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<sst xmlns="http://schemas.openxmlformats.org/spreadsheetml/2006/main" count="7754" uniqueCount="2194">
  <si>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</si>
  <si>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</si>
  <si>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</si>
  <si>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</si>
  <si>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</si>
  <si>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</si>
  <si>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</si>
  <si>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</si>
  <si>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</si>
  <si>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</si>
  <si>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</si>
  <si>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</si>
  <si>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</si>
  <si>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</si>
  <si>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</si>
  <si>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</si>
  <si>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</si>
  <si>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</si>
  <si>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</si>
  <si>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</si>
  <si>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</si>
  <si>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</si>
  <si>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</si>
  <si>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</si>
  <si>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</si>
  <si>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</si>
  <si>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</si>
  <si>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</si>
  <si>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</si>
  <si>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</si>
  <si>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</si>
  <si>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</si>
  <si>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</si>
  <si>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</si>
  <si>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</si>
  <si>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</si>
  <si>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</si>
  <si>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</si>
  <si>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</si>
  <si>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</si>
  <si>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</si>
  <si>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</si>
  <si>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</si>
  <si>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</si>
  <si>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</si>
  <si>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</si>
  <si>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</si>
  <si>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</si>
  <si>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</si>
  <si>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</si>
  <si>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</si>
  <si>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</si>
  <si>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</si>
  <si>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</si>
  <si>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</si>
  <si>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</si>
  <si>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</si>
  <si>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</si>
  <si>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</si>
  <si>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</si>
  <si>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</si>
  <si>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</si>
  <si>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</si>
  <si>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</si>
  <si>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</si>
  <si>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</si>
  <si>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</si>
  <si>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</si>
  <si>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</si>
  <si>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</si>
  <si>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</si>
  <si>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</si>
  <si>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</si>
  <si>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</si>
  <si>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</si>
  <si>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</si>
  <si>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</si>
  <si>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</si>
  <si>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Zhao, QQ; Wen, SY; Yu, WB</t>
  </si>
  <si>
    <t>Objective The escalating global mental health burden has triggered an urgent real-world need for scalable artificial intelligence (AI) solutions. This study employs a quantitative bibliometric approach to objectively present the research hotspots and emerging trends in the global AI-driven mental health landscape (2016-2025), specifically capturing the post-2023 surge in generative AI.Methods We analyzed 9,623 original research articles from Web of Science and Scopus. CiteSpace and VOSviewer were utilized for co-authorship analysis, literature co-citation clustering, and keyword burst detection.Results Research output grew exponentially, surpassing 3,000 publications in 2025. The US and China led productivity, with King's College London as the top institution. Research clusters encompass foundational AI methodologies and four clinical domains: diagnosis (e.g., neuroimaging), digital interventions (e.g., chatbots), targeted conditions (e.g., PTSD), and suicide prevention. Recent keyword bursts highlight diagnostic accuracy, loneliness, and occupational burnout as post-2023 frontiers.Conclusion The field is transitioning from exploratory algorithmic development to patient-centered clinical applications. While AI offers transformative potential for mental health research and care, future research must urgently prioritize patient safety, algorithmic bias, data privacy, safeguards against algorithmic hallucinations, and ethical integration into clinical workflows to ensure sustainable implementation.</t>
  </si>
  <si>
    <t>Zhao, Qiqi; Wen, Siyi; Yu, Wenbing</t>
  </si>
  <si>
    <t/>
  </si>
  <si>
    <t>Social Science Citation Index (SSCI)</t>
  </si>
  <si>
    <t>Yu, WB (corresponding author), Ocean Univ China, Teaching Ctr Fundamental Courses, Qingdao, Shandong, Peoples R China.</t>
  </si>
  <si>
    <t>yuwenbing@ouc.edu.cn</t>
  </si>
  <si>
    <t>Shandong Provincial Undergraduate Teaching Reform Research Project [Z2025080]</t>
  </si>
  <si>
    <t>Shandong Provincial Undergraduate Teaching Reform Research Project</t>
  </si>
  <si>
    <t>This work was supported by the Shandong Provincial Undergraduate Teaching Reform Research Project under Grant Z2025080.</t>
  </si>
  <si>
    <t>[Zhao, Qiqi; Wen, Siyi; Yu, Wenbing] Ocean Univ China, Teaching Ctr Fundamental Courses, Qingdao, Shandong, Peoples R China</t>
  </si>
  <si>
    <t>Ocean University of China</t>
  </si>
  <si>
    <t>J</t>
  </si>
  <si>
    <t>From predictive algorithms to generative intelligence: a decadal bibliometric mapping of global research frontiers in AI-driven mental health (2016-2025)</t>
  </si>
  <si>
    <t>AUSTRALIAN JOURNAL OF PSYCHOLOGY</t>
  </si>
  <si>
    <t>English</t>
  </si>
  <si>
    <t>Review</t>
  </si>
  <si>
    <t>Artificial intelligence; bibliometric analysis; chatbots; CiteSpace; machine learning; mental health</t>
  </si>
  <si>
    <t>97</t>
  </si>
  <si>
    <t>TAYLOR &amp; FRANCIS LTD</t>
  </si>
  <si>
    <t>ABINGDON</t>
  </si>
  <si>
    <t>2-4 PARK SQUARE, MILTON PARK, ABINGDON OR14 4RN, OXON, ENGLAND</t>
  </si>
  <si>
    <t>0004-9530</t>
  </si>
  <si>
    <t>1742-9536</t>
  </si>
  <si>
    <t>AUST J PSYCHOL</t>
  </si>
  <si>
    <t>Aust. J. Psychol.</t>
  </si>
  <si>
    <t>DEC 31 2026</t>
  </si>
  <si>
    <t>2026</t>
  </si>
  <si>
    <t>78</t>
  </si>
  <si>
    <t>1</t>
  </si>
  <si>
    <t>2710168</t>
  </si>
  <si>
    <t>10.1080/00049530.2026.2710168</t>
  </si>
  <si>
    <t>http://dx.doi.org/10.1080/00049530.2026.2710168</t>
  </si>
  <si>
    <t>23</t>
  </si>
  <si>
    <t>Psychology, Multidisciplinary</t>
  </si>
  <si>
    <t>Psychology</t>
  </si>
  <si>
    <t>MG0EZ</t>
  </si>
  <si>
    <t>WOS:001841353500001</t>
  </si>
  <si>
    <t>View Record in Web of Science</t>
  </si>
  <si>
    <t>gold; Green Submitted</t>
  </si>
  <si>
    <t>2026-08-26</t>
  </si>
  <si>
    <t>Moon, H; Guven, A; Li, KD; Rockich-Winston, N</t>
  </si>
  <si>
    <t>Objective Aligning medical education curricula with standardized competency-based assessments is a multifaceted task that requires accuracy and consistency. While generative artificial intelligence (GenAI) models offer potential assistance, their performance compared to that of human subject matter experts remains unclear. This study investigates the consistency, accuracy, and strategies of human- and AI-generated alignments of pharmacological topics with the United States Medical Licensing Examination (USMLE) Step 1 content.Methods A comparative case study examined curricular alignment results produced by GenAI models and human experts. Agreement percentages and pairwise correlation coefficients were calculated to assess consistency and consensus within and between the two groups, highlighting similarities and differences in alignments. We also examined challenges, strategies, and the impact of time constraints on the alignment task.Results GenAIs exhibited higher inter-rater reliability in within-group comparisons, with exact agreement percentages ranging from 60% to 79% and stronger correlations. In contrast, human raters demonstrated greater variability, with exact agreement percentages between 14% and 66% and weaker correlations. While partial agreement improved alignment for both groups, GenAIs maintained higher overall consistency and consensus. On the other hand, only two human raters and all GenAI models exhibited high inter-rater reliability in between-group comparisons. GenAIs generated alignments based on contextual analysis and hierarchical mapping, while humans engaged in iterative refinement using their expertise and reflection. Time constraints had a minimal impact on GenAIs, whereas it was acknowledged as a limiting factor for human performance.Conclusion GenAIs can efficiently provide accurate and consistent alignments of pharmacological content in medical curricula but lack the sophisticated decision-making capabilities of human experts. While human alignments show variability due to human experts' diverse perspectives and backgrounds, trained experts make more contextually informed decisions. A conceptual model of Curricular Human-AI Teaming (Curricular HAT) could combine these complementary strengths to enhance the workflow and outcomes of curricular alignment. The model supports the transparency and scalability of human-AI collaboration while maintaining the responsibility of human judgment and ethical use of GenAI.</t>
  </si>
  <si>
    <t>Moon, Henry; Guven, Ahmet; Li, Kuang-Drew; Rockich-Winston, Nicole</t>
  </si>
  <si>
    <t>Moon, H (corresponding author), Georgia Augusta Univ, Off GB, Med Coll, Augusta, GA 30901 USA.</t>
  </si>
  <si>
    <t>hymoon@augusta.edu</t>
  </si>
  <si>
    <t>[Moon, Henry; Guven, Ahmet] Augusta Univ, Med Coll Georgia, Educ Innovat Inst, Augusta, GA USA; [Moon, Henry] Augusta Univ, Med Coll Georgia, Dept Pediat, Augusta, GA USA; [Guven, Ahmet] Augusta Univ, Med Coll Georgia, Dept Med, Augusta, GA USA; [Li, Kuang-Drew] Augusta Univ, Med Coll Georgia, Augusta, GA USA; [Rockich-Winston, Nicole] Augusta Univ, Med Coll Georgia, Dept Pharmacol &amp; Toxicol, Augusta, GA USA</t>
  </si>
  <si>
    <t>University System of Georgia; Augusta University; University System of Georgia; Augusta University; University System of Georgia; Augusta University; University System of Georgia; Augusta University; University System of Georgia; Augusta University</t>
  </si>
  <si>
    <t>The hidden patterns of alignment: exploring variability between generative AI and human</t>
  </si>
  <si>
    <t>MEDICAL EDUCATION ONLINE</t>
  </si>
  <si>
    <t>Article</t>
  </si>
  <si>
    <t>Alignment; accuracy; artificial intelligence; consistency; curriculum mapping; curricular Human-AI Teaming; curricular HAT; generative AI; GenAI; pharmacology; USMLE</t>
  </si>
  <si>
    <t>PHARMACOLOGY</t>
  </si>
  <si>
    <t>35</t>
  </si>
  <si>
    <t>1087-2981</t>
  </si>
  <si>
    <t>MED EDUC ONLINE</t>
  </si>
  <si>
    <t>Med. Educ. Online</t>
  </si>
  <si>
    <t>31</t>
  </si>
  <si>
    <t>2713347</t>
  </si>
  <si>
    <t>10.1080/10872981.2026.2713347</t>
  </si>
  <si>
    <t>http://dx.doi.org/10.1080/10872981.2026.2713347</t>
  </si>
  <si>
    <t>15</t>
  </si>
  <si>
    <t>Education &amp; Educational Research</t>
  </si>
  <si>
    <t>ME5WY</t>
  </si>
  <si>
    <t>42552577</t>
  </si>
  <si>
    <t>WOS:001840384600001</t>
  </si>
  <si>
    <t>Jo, H; Baek, JS; Lee, D; Kim, AY; Lee, K; Ku, BK; Stern, AW; Kim, JH</t>
  </si>
  <si>
    <t>Veterinary forensic science is a specialized discipline that investigates non-natural animal deaths and injuries. Determining the cause of death in free-roaming cats often presents challenges due to underdeveloped pattern recognition methods and the intricate interplay of events and contributing factors. The integration of natural language processing into forensic investigations may offer potential for the computerized automation of document analysis, with the goal of supporting investigational decision-making. The objective of this study was to develop an AI framework leveraging a transformer-based large language model (LLM) to classify veterinary forensic autopsy reports derived from 271 feline autopsies and to identify the causes of death. We first identified discriminative lexical patterns between vehicular trauma (VT; n = 111) and non-VT cases (n = 160) using Term Frequency-Inverse Document Frequency analysis. The best-performing model, based on Clinical-Longformer, achieved an accuracy of 0.945, precision of 0.885, recall of 1.000, F1 score of 0.939, and AUC-ROC of 0.950. Model interpretability using Integrated Gradients revealed that VT cases were characterized by terms associated with traumatic physical injuries, whereas non-VT cases exhibited a broader range of diagnostic descriptions. These findings demonstrate the feasibility of applying LLMs to veterinary forensic pathological texts and underscore the importance of domain-specific token interpretation for model explainability.</t>
  </si>
  <si>
    <t>Jo, Hyunji; Baek, Ji-Su; Lee, Donghee; Kim, Ah-Young; Lee, Kyunghyun; Ku, Bok-kyung; Stern, Adam W.; Kim, Jong Hyuk</t>
  </si>
  <si>
    <t>Science Citation Index Expanded (SCI-EXPANDED)</t>
  </si>
  <si>
    <t>Kim, JH (corresponding author), Univ Florida, Coll Vet Med, Dept Small Anim Clin Sci, Gainesville, FL 32611 USA.</t>
  </si>
  <si>
    <t>jkim19@ufl.edu</t>
  </si>
  <si>
    <t>Animal and Plant Quarantine Agency [I-1543069-2024-26-01]</t>
  </si>
  <si>
    <t>Animal and Plant Quarantine Agency</t>
  </si>
  <si>
    <t>This work was partly supported by the UF Foundation 'A Cat Has No Name' fund and the UF AI Initiative. This work was also supported by a grant (I-1543069-2024-26-01) from the Animal and Plant Quarantine Agency (APQA), Ministry of Agriculture, Food and Rural Affairs, Republic of Korea.</t>
  </si>
  <si>
    <t>[Jo, Hyunji; Lee, Donghee; Kim, Jong Hyuk] Univ Florida, Coll Vet Med, Dept Small Anim Clin Sci, Gainesville, FL 32611 USA; [Baek, Ji-Su; Kim, Ah-Young; Lee, Kyunghyun; Ku, Bok-kyung] Anim &amp; Plant Quarantine Agcy, Anim Dis Diagnost Div, Gimcheon, South Korea; [Stern, Adam W.] Univ Florida, Coll Vet Med, Dept Comparat Diagnost &amp; Populat Med, Gainesville, FL USA; [Kim, Jong Hyuk] Univ Florida, UF Hlth Canc Inst, Gainesville, FL USA; [Kim, Jong Hyuk] Univ Florida, Intelligent Crit Care Ctr IC3, Gainesville, FL USA; [Kim, Jong Hyuk] Univ Florida, Artificial Intelligence Acad Initiat Ctr AI2, Gainesville, FL USA</t>
  </si>
  <si>
    <t>State University System of Florida; University of Florida; Animal &amp; Plant Quarantine Agency; State University System of Florida; University of Florida; State University System of Florida; University of Florida; State University System of Florida; University of Florida; State University System of Florida; Allen Institute for AI; University of Florida</t>
  </si>
  <si>
    <t>AI-assisted post-mortem classification of vehicle trauma in free-roaming cats using transformer-based large language models</t>
  </si>
  <si>
    <t>VETERINARY QUARTERLY</t>
  </si>
  <si>
    <t>Artificial intelligence; transformer; natural language processing; veterinary forensic science; forensic pathology; large language model; free-roaming cat; Clinical-Longformer</t>
  </si>
  <si>
    <t>INJURIES; VIRTOPSY; DOGS</t>
  </si>
  <si>
    <t>0165-2176</t>
  </si>
  <si>
    <t>1875-5941</t>
  </si>
  <si>
    <t>VET QUART</t>
  </si>
  <si>
    <t>Vet. Q.</t>
  </si>
  <si>
    <t>46</t>
  </si>
  <si>
    <t>2705200</t>
  </si>
  <si>
    <t>10.1080/01652176.2026.2705200</t>
  </si>
  <si>
    <t>http://dx.doi.org/10.1080/01652176.2026.2705200</t>
  </si>
  <si>
    <t>14</t>
  </si>
  <si>
    <t>Veterinary Sciences</t>
  </si>
  <si>
    <t>ME1EB</t>
  </si>
  <si>
    <t>42544936</t>
  </si>
  <si>
    <t>WOS:001840063400001</t>
  </si>
  <si>
    <t>gold; Green Accepted</t>
  </si>
  <si>
    <t>Calcina, E; Novak, E; Mladenic, D</t>
  </si>
  <si>
    <t>Medical institutions produce large volumes of unstructured medical data that require the extraction of relevant medical information used for performing clinical studies and statistical analysis. This paper examines the application of large language models (LLMs) for named entity recognition (NER) in the medical domain, with a focus on their practical usefulness in clinical settings. We evaluate both prompt-based and fine-tuned approaches using the MACCROBAT2020 dataset, which includes clinical case reports annotated with biomedical entities. Furthermore, we extend our evaluation of the fine-tuning methodology to three biomedical NER datasets: QUAERO, NCBI, and E3C. The study compares the performance of several open-source LLMs against baseline models, using exact and relaxed F1 scores across multiple entity types. Fine-tuned LLMs achieved higher strict-match accuracy and produced more reliable structured outputs than prompt-based methods, GLiNER variants, and supervised BERT baselines, particularly for complex medical entities. However, BERT-based encoders remained substantially faster and competitive under relaxed matching. Their performance across multiple datasets, although uneven across languages and annotation schemas, together with efficient operation when quantized, indicates potential for clinical pilot studies. Our code is publicly available on GitHub () under the MIT license.</t>
  </si>
  <si>
    <t>Calcina, Erik; Novak, Erik; Mladenic, Dunja</t>
  </si>
  <si>
    <t>Calcina, E (corresponding author), Jozef Stefan Inst, Ljubljana, Slovenia.</t>
  </si>
  <si>
    <t>erik.calcina@ijs.si</t>
  </si>
  <si>
    <t>The Slovenian Research and Innovation Agency [101080288]</t>
  </si>
  <si>
    <t>The Slovenian Research and Innovation Agency</t>
  </si>
  <si>
    <t>This work was supported by The Slovenian Research and Innovation Agency. Funded by the Horizon Europe Framework Programme. Views and opinions expressed are, however, those of the author(s) only and do not necessarily reflect those of the European Union or European Health and Digital Executive Agency (HADEA). Neither the European Union nor the granting authority can be held responsible for them. Grant Agreement [101080288] PREPARE HORIZON-HLTH-2022-TOOL-12-01.</t>
  </si>
  <si>
    <t>[Calcina, Erik; Novak, Erik; Mladenic, Dunja] Jozef Stefan Inst, Dept Artificial Intelligence, Ljubljana, Slovenia; [Calcina, Erik; Novak, Erik; Mladenic, Dunja] Jozef Stefan Int Postgrad Sch, Ljubljana, Slovenia</t>
  </si>
  <si>
    <t>Slovenian Academy of Sciences &amp; Arts (SASA); Jozef Stefan Institute; Slovenian Academy of Sciences &amp; Arts (SASA); Jozef Stefan Institute</t>
  </si>
  <si>
    <t>PREPARE Project Grp</t>
  </si>
  <si>
    <t>Extracting Biomedical Entities from Clinical Records: A Comparative Study of Large Language Model Approaches</t>
  </si>
  <si>
    <t>APPLIED ARTIFICIAL INTELLIGENCE</t>
  </si>
  <si>
    <t>RECOGNITION</t>
  </si>
  <si>
    <t>Novak, Erik/HKM-6943-2023</t>
  </si>
  <si>
    <t>TAYLOR &amp; FRANCIS INC</t>
  </si>
  <si>
    <t>PHILADELPHIA</t>
  </si>
  <si>
    <t>530 WALNUT STREET, STE 850, PHILADELPHIA, PA 19106 USA</t>
  </si>
  <si>
    <t>0883-9514</t>
  </si>
  <si>
    <t>1087-6545</t>
  </si>
  <si>
    <t>APPL ARTIF INTELL</t>
  </si>
  <si>
    <t>Appl. Artif. Intell.</t>
  </si>
  <si>
    <t>40</t>
  </si>
  <si>
    <t>2700905</t>
  </si>
  <si>
    <t>10.1080/08839514.2026.2700905</t>
  </si>
  <si>
    <t>http://dx.doi.org/10.1080/08839514.2026.2700905</t>
  </si>
  <si>
    <t>Computer Science, Artificial Intelligence; Engineering, Electrical &amp; Electronic</t>
  </si>
  <si>
    <t>Computer Science; Engineering</t>
  </si>
  <si>
    <t>LG3VL</t>
  </si>
  <si>
    <t>WOS:001823953600001</t>
  </si>
  <si>
    <t>gold</t>
  </si>
  <si>
    <t>Cheng, Q; Lou, WW; Mou, G; Liu, YL</t>
  </si>
  <si>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</si>
  <si>
    <t>Cheng, Qun; Lou, Weiwei; Mou, Gue; Liu, Yali</t>
  </si>
  <si>
    <t>Liu, YL (corresponding author), Huazhong Univ Sci &amp; Technol, Tongji Hosp, Tongji Med Coll, Dept Rehabil Med, 1095 Jiefang Ave, Wuhan 430030, Hubei, Peoples R China.</t>
  </si>
  <si>
    <t>sadgagayhgaglk@163.com</t>
  </si>
  <si>
    <t>This research received no external funding.</t>
  </si>
  <si>
    <t>[Cheng, Qun; Lou, Weiwei; Mou, Gue; Liu, Yali] Huazhong Univ Sci &amp; Technol, Tongji Hosp, Tongji Med Coll, Dept Rehabil Med, 1095 Jiefang Ave, Wuhan 430030, Hubei, Peoples R China</t>
  </si>
  <si>
    <t>Huazhong University of Science &amp; Technology</t>
  </si>
  <si>
    <t>Evaluating AI in postoperative rehabilitation of axillary web syndrome after breast cancer surgery: ChatGPT vs DeepSeek</t>
  </si>
  <si>
    <t>JOURNAL OF OBSTETRICS AND GYNAECOLOGY</t>
  </si>
  <si>
    <t>Generative artificial intelligence; axillary web syndrome; breast cancer; clinical reasoning; DeepSeek; ChatGPT</t>
  </si>
  <si>
    <t>EDUCATION</t>
  </si>
  <si>
    <t>13</t>
  </si>
  <si>
    <t>0144-3615</t>
  </si>
  <si>
    <t>1364-6893</t>
  </si>
  <si>
    <t>J OBSTET GYNAECOL</t>
  </si>
  <si>
    <t>J. Obstet. Gynaecol.</t>
  </si>
  <si>
    <t>2695784</t>
  </si>
  <si>
    <t>10.1080/01443615.2026.2695784</t>
  </si>
  <si>
    <t>http://dx.doi.org/10.1080/01443615.2026.2695784</t>
  </si>
  <si>
    <t>10</t>
  </si>
  <si>
    <t>Obstetrics &amp; Gynecology</t>
  </si>
  <si>
    <t>KU4RU</t>
  </si>
  <si>
    <t>42424185</t>
  </si>
  <si>
    <t>WOS:001815880400001</t>
  </si>
  <si>
    <t>Akhund, SA; Qazi, S; Mazhar, MA; Shaikh, AA; Atif, E; Shaikh, A; Shaibah, H; Musa, MAE; NQazi, S; Khan, MA; Obeidat, A</t>
  </si>
  <si>
    <t>Background Medical education faces increasing demand for scalable grading solutions. Large language models have been proposed as automated graders for high-stakes assessments, but evidence for their reliability in multimodal practical examinations remains limited.Methods This retrospective inter-rater reliability study compared three LLMs: ChatGPT-4o, Gemini 2.5 Flash, and Claude 3.5 Haiku with original human reference scores on 19 integrated anatomy, histology, and physiology objective structured practical examination items completed by 309 pre-medical students. Human reference scores were assigned during live summative grading by two content experts who divided items, with each item marked by one expert across all students; no human inter-rater reliability estimate was available. Items required simultaneous image interpretation and short-answer responses. Models were evaluated using zero-shot prompting reflecting deployment-realistic conditions. Agreement was assessed using Spearman's rho, Cohen's kappa, intraclass correlation coefficients, and Bland-Altman analysis. Item-level gap analysis compared student success rates with LLM performance across items.Results Rank-order correlations were strong across all models (rho = 0.784-0.921), but categorical agreement diverged substantially. Pass/fail agreement ranged from 52.1% (ChatGPT; kappa = 0.067, slight) to 84.1% (Claude; kappa = 0.680, substantial). Bland-Altman analysis showed inconsistent systematic bias: Claude over-scored by +2.5 points, Gemini under-scored by -5.0 points, and ChatGPT by -10.0 points. Item-level gap analysis highlighted three recurring divergence patterns: non-standard histological staining, three-dimensional spatial reasoning from two-dimensional images, and semantic inflexibility in short-answer evaluation. The most extreme case was a pelvic three-dimensional model item on which 93.3% of students succeeded by human grading but all three LLMs assigned a mean score of zero.Conclusions Strong rank-order correlation alone does not support LLM grading for categorical decisions in high-stakes assessment contexts. LLMs may serve as assessment assistants for first-pass ranking and discrepancy flagging, but item-level human review of flagged discordances, error-profile monitoring, and preserved human authority over pass/fail decisions are required before high-stakes deployment.</t>
  </si>
  <si>
    <t>Akhund, Shahid Akhtar; Qazi, Sadia; Mazhar, Muhammad Atif; Shaikh, Aftab Ahmed; Atif, Eshal; Shaikh, Adeen; Shaibah, Hassan; Musa, Mohammed Alged Elsheikh; N.Qazi, Sabiya; Khan, Mateen A.; Obeidat, Akef</t>
  </si>
  <si>
    <t>Qazi, S (corresponding author), Alfaisal Univ, Coll Med, Dept Anat, Riyadh 11533, Saudi Arabia.</t>
  </si>
  <si>
    <t>sqazi@alfaisal.edu</t>
  </si>
  <si>
    <t>Alfaisal University</t>
  </si>
  <si>
    <t>Alfaisal University (Alfaisal University)</t>
  </si>
  <si>
    <t>This study did not receive external funding. The APC was covered by Alfaisal University.</t>
  </si>
  <si>
    <t>[Akhund, Shahid Akhtar] Alfaisal Univ, Coll Med, Dept Med Educ, Riyadh, Saudi Arabia; [Akhund, Shahid Akhtar; Qazi, Sadia; Mazhar, Muhammad Atif; Shaikh, Aftab Ahmed; Shaibah, Hassan; Musa, Mohammed Alged Elsheikh; Obeidat, Akef] Alfaisal Univ, Coll Med, Dept Anat, Riyadh 11533, Saudi Arabia; [Atif, Eshal; Shaikh, Adeen] Alfaisal Univ, Coll Med, Riyadh, Saudi Arabia; [N.Qazi, Sabiya; Khan, Mateen A.] Alfaisal Univ, Coll Sci &amp; Gen Studies, Dept Life Sci, Riyadh, Saudi Arabia</t>
  </si>
  <si>
    <t>Alfaisal University; Alfaisal University; Alfaisal University; Alfaisal University</t>
  </si>
  <si>
    <t>Agreement, calibration, and failure of three large language models as high-stakes multimodal ospe graders: a comparative psychometric analysis</t>
  </si>
  <si>
    <t>Large language models; OSPE; automated grading; multimodal assessment; inter- responsible AI</t>
  </si>
  <si>
    <t>LOW KAPPA; RELIABILITY; BIAS</t>
  </si>
  <si>
    <t>Khan, Mateen/LIH-6663-2024; Qazi, Sadia/JZD-3993-2024; Akhund, Shahid/MYR-8953-2025; Obeidat, Akef/KYQ-0859-2024</t>
  </si>
  <si>
    <t>Alged, Mohammed/0009-0005-9890-5469</t>
  </si>
  <si>
    <t>65</t>
  </si>
  <si>
    <t>2</t>
  </si>
  <si>
    <t>2684837</t>
  </si>
  <si>
    <t>10.1080/10872981.2026.2684837</t>
  </si>
  <si>
    <t>http://dx.doi.org/10.1080/10872981.2026.2684837</t>
  </si>
  <si>
    <t>19</t>
  </si>
  <si>
    <t>KU7KE</t>
  </si>
  <si>
    <t>42421433</t>
  </si>
  <si>
    <t>WOS:001816065100001</t>
  </si>
  <si>
    <t>Zhang, CL; Elvitigala, KCML; Sakai, S</t>
  </si>
  <si>
    <t>Recent advances in novel bioinks have dramatically increased the feasibility and applicability of 3D bioprinting for tissue engineering and regenerative medicine. However, developing new bioinks still requires extensive trial-and-error testing due to bioink rheology, crosslinking reactions, printing parameters, and limited resources. Previous classification- or regression-based AI models for bioink optimisation are typically black-box and cannot provide visual results. To address these challenges, a state-of-the-art disentangled and explainable generative AI framework was developed. The framework comprises a beta-conditional variational autoencoder (beta -CVAE) for generating novel, variational images of printed constructs based on ink properties and printing parameters. Furthermore, an in silico closed-loop Bayesian optimisation (BO) system coupled with a convolutional neural network (CNN) was employed to quantitatively predict pre-printing performance and classify defects. The trained beta -CVAE model can generate realistic and condition-dependent images of printed constructs. Visualisation of the latent space revealed an interpretable organisation of the learned features, supporting the model's explainability and controllability. Moreover, transfer learning was employed to rapidly adapt to new blueprint designs with limited data. Although this study focuses on acellular hydrogel printing, the bioink formulations and crosslinking conditions are cytocompatible and extensible to bioprinting applications. The proposed framework accelerates bioprinting optimisation through interpretable generative AI modelling.[GRAPHICS]</t>
  </si>
  <si>
    <t>Zhang, Colin; Elvitigala, Kelum Chamara Manoj Lakmal; Sakai, Shinji</t>
  </si>
  <si>
    <t>Sakai, S (corresponding author), Univ Osaka, Grad Sch Engn Sci, Dept Mat Engn Sci, Div Chem Engn,Sch Engn Sci, 1-3 Machikaneyama Cho, Toyonaka, Osaka 5608531, Japan.</t>
  </si>
  <si>
    <t>sakai@cheng.es.osaka-u.ac.jp</t>
  </si>
  <si>
    <t>Adaptable and Seamless Technology Transfer Program through Target-driven RD; Japan Science and Technology Agency [JPMJTR234C]</t>
  </si>
  <si>
    <t>Adaptable and Seamless Technology Transfer Program through Target-driven RD; Japan Science and Technology Agency (Japan Science &amp; Technology Agency (JST))</t>
  </si>
  <si>
    <t>This work was funded by the Adaptable and Seamless Technology Transfer Program through Target-driven R&amp;D (A-STEP) from the Japan Science and Technology Agency (JST) [grant number JPMJTR234C].</t>
  </si>
  <si>
    <t>[Zhang, Colin; Elvitigala, Kelum Chamara Manoj Lakmal; Sakai, Shinji] Univ Osaka, Grad Sch Engn Sci, Dept Mat Engn Sci, Div Chem Engn,Sch Engn Sci, 1-3 Machikaneyama Cho, Toyonaka, Osaka 5608531, Japan</t>
  </si>
  <si>
    <t>University of Osaka</t>
  </si>
  <si>
    <t>Generative AI-guided in silico closed-loop optimisation of deposition morphology for 3D bioprinting applications</t>
  </si>
  <si>
    <t>VIRTUAL AND PHYSICAL PROTOTYPING</t>
  </si>
  <si>
    <t>3D bioprinting; deposition morphology; machine learning; generative artificial intelligence; variational autoencoder</t>
  </si>
  <si>
    <t>Elvitigala, Kelum/IUN-5264-2023; Zhang, Colin/LLK-8213-2024; Sakai, Shinji/F-9463-2016</t>
  </si>
  <si>
    <t>54</t>
  </si>
  <si>
    <t>1745-2759</t>
  </si>
  <si>
    <t>1745-2767</t>
  </si>
  <si>
    <t>VIRTUAL PHYS PROTOTY</t>
  </si>
  <si>
    <t>Virtual Phys. Prototyp.</t>
  </si>
  <si>
    <t>21</t>
  </si>
  <si>
    <t>e2671497</t>
  </si>
  <si>
    <t>10.1080/17452759.2026.2671497</t>
  </si>
  <si>
    <t>http://dx.doi.org/10.1080/17452759.2026.2671497</t>
  </si>
  <si>
    <t>Engineering, Manufacturing; Materials Science, Multidisciplinary</t>
  </si>
  <si>
    <t>Engineering; Materials Science</t>
  </si>
  <si>
    <t>IJ0BB</t>
  </si>
  <si>
    <t>WOS:001772823600001</t>
  </si>
  <si>
    <t>Madfa, AA; Alshammari, AF; Anazi, BA</t>
  </si>
  <si>
    <t>Background: Artificial intelligence (Al), particularly large language models (LLMs), is increasingly applied to radiographic interpretation in healthcare. In dentistry, radiographic imaging is essential for diagnosis and treatment planning, yet remains subject to variability and human error. Al may enhance diagnostic accuracy and consistency.&lt;br /&gt; Aim: To evaluate and compare the diagnostic accuracy, consistency, and interpretive performance of multimodal Al models ChatGPT, Grok, and MANUS with expert radiologists in dental radiograph interpretation.&lt;br /&gt; Methods: A total of 120 anonymised radiographs (40 OPGs, 40 periapical, 40 CT slices) were selected from validated academic sources. Two board-certified oral and maxillofacial radiologists established gold standard diagnoses. Each image was independently assessed by the three Al models under standardised prompting. Diagnostic accuracy and intra-model consistency were analysed using descriptive statistics, Cohen's kappa, McNemar's test, and logistic regression.&lt;br /&gt; Results: In the first assessment, MANUS and ChatGPT achieved 92.5% accuracy (111/120), while Grok reached 88.3% (106/120). Performance improved in the second round: MANUS 95.0%, ChatGPT 93.3%, and Grok 90.8%, compared with 96.7% for radiologists. ChatGPT showed the highest reproducibility (k = 0.937) , whereas MANUS demonstrated the highest overall accuracy. Strong agreement observed between ChatGPT and MANUS, with greater variability in Grok. No significant systematic bias was detected between Al outputs and radiologist benchmarks.&lt;br /&gt; Conclusion: The evaluated LLMs demonstrated diagnostic performance comparable to expert radiologists. MANUS excelled in accuracy and ChatGPT in reproducibility, supporting their potential as adjunct tools in dental radiology, while maintaining the need for expert oversight.</t>
  </si>
  <si>
    <t>Madfa, Ahmed A.; Alshammari, Abdullah F.; Anazi, Bassam A.</t>
  </si>
  <si>
    <t>Madfa, AA (corresponding author), Univ Hail, Coll Dent, Dept Restorat Dent Sci, Hail, Saudi Arabia.; Alshammari, AF (corresponding author), Univ Hail, Coll Dent, Dept Basic Dent &amp; Med Sci, Hail, Saudi Arabia.</t>
  </si>
  <si>
    <t>ahmed_um_2011@yahoo.com; Abd.alshamari@uoh.edu.sa</t>
  </si>
  <si>
    <t>[Madfa, Ahmed A.] Univ Hail, Coll Dent, Dept Restorat Dent Sci, Hail, Saudi Arabia; [Alshammari, Abdullah F.; Anazi, Bassam A.] Univ Hail, Coll Dent, Dept Basic Dent &amp; Med Sci, Hail, Saudi Arabia</t>
  </si>
  <si>
    <t>University Ha'il; University Ha'il</t>
  </si>
  <si>
    <t>Assessing diagnostic performance of multimodal AI and human experts in oral and maxillofacial radiography: a comparative analysis of ChatGPT, Grok, and MANUS</t>
  </si>
  <si>
    <t>ANNALS OF MEDICINE</t>
  </si>
  <si>
    <t>Artificial intelligence; ChatGPT; dentistry; Grok; MANUS; large language models; radiographic diagnostics</t>
  </si>
  <si>
    <t>ARTIFICIAL-INTELLIGENCE</t>
  </si>
  <si>
    <t>Madfa, Ahmed A/E-7747-2013; Alshammari, Abdullah/NDT-5353-2025</t>
  </si>
  <si>
    <t>Madfa, Ahmed A/0000-0001-6124-0129</t>
  </si>
  <si>
    <t>34</t>
  </si>
  <si>
    <t>3</t>
  </si>
  <si>
    <t>0785-3890</t>
  </si>
  <si>
    <t>1365-2060</t>
  </si>
  <si>
    <t>ANN MED</t>
  </si>
  <si>
    <t>Ann. Med.</t>
  </si>
  <si>
    <t>58</t>
  </si>
  <si>
    <t>2664903</t>
  </si>
  <si>
    <t>10.1080/07853890.2026.2664903</t>
  </si>
  <si>
    <t>http://dx.doi.org/10.1080/07853890.2026.2664903</t>
  </si>
  <si>
    <t>11</t>
  </si>
  <si>
    <t>Medicine, General &amp; Internal</t>
  </si>
  <si>
    <t>General &amp; Internal Medicine</t>
  </si>
  <si>
    <t>HT5WP</t>
  </si>
  <si>
    <t>42093540</t>
  </si>
  <si>
    <t>WOS:001762373500001</t>
  </si>
  <si>
    <t>Kumar, A; Stinson, K; Wang, LT; Nugent, E; Lee, YS; Hormann, M; Love, LJ; Syed, TA</t>
  </si>
  <si>
    <t>Background: AI-generated content is being used across the education spectrum and is beneficial for creating complex multiple-choice questions, such as those used in medical education. However, evaluating AI-generated content is challenging, and existing testing and evaluation methods are falling short. This study uses randomization to compare medical students' performance on and subjective evaluation of AI versus expert-generated questions. We hypothesized that there would be no difference in student performance or subjective evaluation of AI vs expert-generated questions. Methods: We designed a single-center, randomized study where medical student participants received either one AI- or expert-generated question per day over four weeks. Results: Our study showed that participants had similar perceptions of AI versus expert-generated questions (p = 0.18), with no significant difference between the distributions of the proportion of correct responses. The cumulative proportion of questions answered correctly over 28 days was consistent across the two question sets. However, participants rated 53% of AI-generated questions as very easy or easy compared with only 31% of the expert-generated questions. Discussion: Randomization was crucial to show that AI-generated questions were nearly imperceptible from expert-generated questions, demonstrating the need for additional evaluation methods to compare AI- and expert-generated medical education content.</t>
  </si>
  <si>
    <t>Kumar, Akshat; Stinson, Katie; Wang, Litao; Nugent, Elizabeth; Lee, Yongsu; Hormann, Mark; Love, LaTanya Jones; Syed, Toufeeq Ahmed</t>
  </si>
  <si>
    <t>Syed, TA (corresponding author), Univ Texas Hlth Sci Ctr Houston, McWilliams Sch Biomed Informat, Houston, TX 77030 USA.; Syed, TA (corresponding author), Univ Texas Hlth Sci Ctr Houston, McGovern Med Sch, Houston, TX 77030 USA.</t>
  </si>
  <si>
    <t>Toufeeq.A.Syed@uth.tmc.edu</t>
  </si>
  <si>
    <t>[Kumar, Akshat] Univ Calif San Diego Hlth, Dept Internal Med, San Diego, CA USA; [Stinson, Katie; Syed, Toufeeq Ahmed] Univ Texas Hlth Sci Ctr Houston, McWilliams Sch Biomed Informat, Houston, TX 77030 USA; [Wang, Litao; Nugent, Elizabeth; Hormann, Mark; Love, LaTanya Jones; Syed, Toufeeq Ahmed] Univ Texas Hlth Sci Ctr Houston, McGovern Med Sch, Houston, TX 77030 USA; [Lee, Yongsu] Univ Texas Hlth Sci Ctr Houston, Sch Publ Hlth, Houston, TX USA</t>
  </si>
  <si>
    <t>University of California System; University of California San Diego; University of Texas System; University of Texas Health Science Center Houston; University of Texas System; University of Texas Health Science Center Houston; University of Texas System; University of Texas Health Science Center Houston; University of Texas School Public Health</t>
  </si>
  <si>
    <t>Using randomization to compare AI and expert-generated formative assessment questions in medical education</t>
  </si>
  <si>
    <t>Generative AI; medical education; formative assessment; multiple-choice questions; randomized study</t>
  </si>
  <si>
    <t>9</t>
  </si>
  <si>
    <t>5</t>
  </si>
  <si>
    <t>2671586</t>
  </si>
  <si>
    <t>10.1080/10872981.2026.2671586</t>
  </si>
  <si>
    <t>http://dx.doi.org/10.1080/10872981.2026.2671586</t>
  </si>
  <si>
    <t>6</t>
  </si>
  <si>
    <t>HT5PG</t>
  </si>
  <si>
    <t>42106900</t>
  </si>
  <si>
    <t>WOS:001762354400001</t>
  </si>
  <si>
    <t>Cheungpasitporn, W; Pesce, F; Thongprayoon, C; Miao, J; Baloch, MY; Soliman, K; Iñiguez, JSC</t>
  </si>
  <si>
    <t>Cheungpasitporn, Wisit; Pesce, Francesco; Thongprayoon, Charat; Miao, Jing; Baloch, Muhammad Yasir; Soliman, Karim; Chavez Iniguez, Jonathan Samuel</t>
  </si>
  <si>
    <t>Cheungpasitporn, W (corresponding author), Mayo Clin, Div Nephrol &amp; Hypertens, Rochester, MN 55905 USA.</t>
  </si>
  <si>
    <t>wcheungpasitporn@gmail.com</t>
  </si>
  <si>
    <t>[Cheungpasitporn, Wisit; Thongprayoon, Charat; Miao, Jing] Mayo Clin, Div Nephrol &amp; Hypertens, Rochester, MN 55905 USA; [Cheungpasitporn, Wisit] Mayo Clin, Mayo Clin Alix Sch Med, Rochester, MN USA; [Pesce, Francesco] Osped Isola Tiberina Gemelli Isola, Div Renal Med, Rome, Italy; [Pesce, Francesco] Univ Cattolica Sacro Cuore, Dept Translat Med &amp; Surg, Rome, Italy; [Baloch, Muhammad Yasir] Washington Univ St Louis, Div Nephrol, St Louis, MO USA; [Soliman, Karim] Univ Pittsburgh, Div Nephrol &amp; Kidney Transplantat, Med Ctr, Pittsburgh, PA USA; [Chavez Iniguez, Jonathan Samuel] Antiguo Hosp Civil Guadalajara Fray Antonio Alcald, Dept Nephrol, Guadalajara, Mexico</t>
  </si>
  <si>
    <t>Mayo Clinic; Mayo Clinic; Catholic University of the Sacred Heart; IRCCS Policlinico Gemelli; Washington University (WUSTL); Pennsylvania Commonwealth System of Higher Education (PCSHE); University of Pittsburgh</t>
  </si>
  <si>
    <t>Beyond social media: the era of generative AI and intelligent digital platforms in nephrology education</t>
  </si>
  <si>
    <t>RENAL FAILURE</t>
  </si>
  <si>
    <t>Editorial Material</t>
  </si>
  <si>
    <t>Artificial intelligence in nephrology; generative AI; large language models; intelligent digital platforms; clinical reasoning; digital health</t>
  </si>
  <si>
    <t>ARTIFICIAL-INTELLIGENCE; SYSTEM; PHYSICIAN; DISEASE; POINT</t>
  </si>
  <si>
    <t>Soliman, Karim/AAI-6994-2020; Cheungpasitporn, Wisit/H-8194-2019; Pesce, Francesco/AAC-2538-2022; Thongprayoon, Charat/J-4184-2019</t>
  </si>
  <si>
    <t>Pesce, Francesco/0000-0002-2882-4226</t>
  </si>
  <si>
    <t>74</t>
  </si>
  <si>
    <t>7</t>
  </si>
  <si>
    <t>0886-022X</t>
  </si>
  <si>
    <t>1525-6049</t>
  </si>
  <si>
    <t>Ren. Fail.</t>
  </si>
  <si>
    <t>48</t>
  </si>
  <si>
    <t>2658349</t>
  </si>
  <si>
    <t>10.1080/0886022X.2026.2658349</t>
  </si>
  <si>
    <t>http://dx.doi.org/10.1080/0886022X.2026.2658349</t>
  </si>
  <si>
    <t>Urology &amp; Nephrology</t>
  </si>
  <si>
    <t>GW9JU</t>
  </si>
  <si>
    <t>42015810</t>
  </si>
  <si>
    <t>WOS:001747006700001</t>
  </si>
  <si>
    <t>gold; Green Submitted; Green Accepted</t>
  </si>
  <si>
    <t>Santo, DSE; Bezerra, TL; Gomes, MCVL; Fonseca, PAD; Joviano-Santos, JV</t>
  </si>
  <si>
    <t>Artificial intelligence (AI) tools such as ChatGPT are rapidly being adopted in medical education, yet evidence regarding their impact on learners' history-taking (anamnesis) skills remains limited. This gap is particularly relevant in women's health education, where high-quality anamnesis is essential for addressing sensitive, context-dependent concerns and for ensuring the safety of two interrelated patients: mother and fetus. Methods: This study comprised two phases. First, semi-structured virtual interviews were administered to students and faculty to assess their familiarity with ChatGPT and access to digital technologies. Second, an in-person classroom intervention was implemented within the Women's Health discipline, integrating ChatGPT into history-taking instruction. Students' anamnesis performance was evaluated before and after ChatGPT-assisted learning. Additionally, a novel instructional activity was introduced in which ChatGPT generated cases classified as plausible, intermediate, or physiologically impossible, serving as prompts for guided discussion focused on diagnostic pitfalls, critical appraisal, and clinical reasoning. Results: In the virtual phase, faculty (n = 62) and students (n = 115) completed the questionnaires. The classroom intervention involved 40 medical students participating as part of routine Women's Health teaching activities, with faculty oversight to ensure pedagogical alignment and responsible AI use. A pronounced discrepancy emerged between students' familiarity with ChatGPT (99.1%) and lower levels of familiarity among faculty. Anamnesis performance improved significantly after ChatGPT-assisted learning (p &lt; 0.0001). Students reported increased confidence and perceived enhancement of history-taking quality, and all participants viewed ChatGPT as a valuable educational resource. The AI-generated cases effectively stimulated discussion and reinforced clinical reasoning processes. Findings contributed to the development of a practical guideline for the responsible integration of ChatGPT into Women's Health education. Conclusions: ChatGPT can enhance anamnesis and promote critical reasoning through structured interaction with AI-generated cases. However, its effective and responsible use depends on targeted faculty development to ensure alignment with pedagogical goals, appropriate oversight, and consistent integration into curriculum.</t>
  </si>
  <si>
    <t>Espirito Santo, Daniela S.; Lott Bezerra, Thiago; Viana Lopes Gomes, Maria Clara; Augusto de Souza Fonseca, Pablo; Joviano-Santos, Julliane, V</t>
  </si>
  <si>
    <t>Fonseca, PAD (corresponding author), Univ Leon, Inst Ganaderia Montana, CSIC, Finca Marzanas S-N, Grulleros 24346, Leon, Spain.</t>
  </si>
  <si>
    <t>p.fonseca@csic.es</t>
  </si>
  <si>
    <t>Fundao de Amparo Pesquisa do Estado de Minas Gerais</t>
  </si>
  <si>
    <t>Fundac &amp; atilde;o Educacional Lucas Machado (FELUMA), Fundac &amp; atilde;o de Amparo a Pesquisa do Estado de Minas Gerais (FAPEMIG), and Conselho Nacional de Desenvolvimento Cientifico e Tecnologico (CNPq). Julliane V Joviano-Santos is Bolsista de produtividade FAPEMIG - CNPq - Brasil (APQ-06678-24-FAPEMIG. BPQ-100/2024). FAPEMIG (grant number: APQ-03584-25 to Julliane V Joviano-Santos).</t>
  </si>
  <si>
    <t>[Espirito Santo, Daniela S.; Joviano-Santos, Julliane, V] Fac Ciencias Med Minas Gerais, Postgrad Program Hlth Sci, Belo Horizonte, MG, Brazil; [Espirito Santo, Daniela S.; Lott Bezerra, Thiago; Viana Lopes Gomes, Maria Clara; Joviano-Santos, Julliane, V] Fac Ciencias Med Minas Gerais, Belo Horizonte, MG, Brazil; [Augusto de Souza Fonseca, Pablo] Univ Leon, Inst Ganaderia Montana, CSIC, Finca Marzanas S-N, Grulleros 24346, Leon, Spain</t>
  </si>
  <si>
    <t>Consejo Superior de Investigaciones Cientificas (CSIC); Universidad de Leon; CSIC-ULE - Instituto de Ganaderia de Montana (IGM)</t>
  </si>
  <si>
    <t>AI-assisted learning: ChatGPT for anamnesis in women's health education</t>
  </si>
  <si>
    <t>ChatGPT; large language models; woman health; anamnesis; education</t>
  </si>
  <si>
    <t>ARTIFICIAL-INTELLIGENCE; DOCUMENTATION; INFORMATION; PATIENT</t>
  </si>
  <si>
    <t>Di Santo, Daniela/HGB-6967-2022; V Joviano-Santos, Julliane/S-4749-2018</t>
  </si>
  <si>
    <t>V Joviano-Santos, Julliane/0000-0002-5788-6223</t>
  </si>
  <si>
    <t>16</t>
  </si>
  <si>
    <t>2655562</t>
  </si>
  <si>
    <t>10.1080/10872981.2026.2655562</t>
  </si>
  <si>
    <t>http://dx.doi.org/10.1080/10872981.2026.2655562</t>
  </si>
  <si>
    <t>22</t>
  </si>
  <si>
    <t>GC1WD</t>
  </si>
  <si>
    <t>41932848</t>
  </si>
  <si>
    <t>WOS:001732904000001</t>
  </si>
  <si>
    <t>Daniel, RA; Nivethitha, ; Surya, BN; Daniel, A; Visalakshi, R</t>
  </si>
  <si>
    <t>Background: Generative artificial intelligence (AI) platforms such as ChatGPT present new opportunities to strengthen competency-based medical education (CBME). While retrieval practice is a proven strategy for enhancing long-term retention, its application to higher-order domains of Bloom's taxonomy within CBME, particularly when scaffolded by AI, remains underexplored. To our knowledge, this is the first longitudinal CBME study worldwide to evaluate supervised ChatGPT-assisted retrieval practice and its durability over time. Methods: We conducted a six-month, prospective, non-randomised delayed-intervention study and all 270 third-year MBBS students (including supplementary batch) at a private medical college in South India were invited to participate in a faculty-supervised ChatGPT-assisted retrieval-practice intervention. Participants were allocated into four tutorial clusters; two received the intervention immediately, while the remaining two received it after a delay. The intervention comprised four weekly, two-hour sessions featuring higher-order multiple-choice questions, structured faculty-supervised interactions with ChatGPT, and guided metacognitive reflections. Outcomes assessed included MCQ performance at baseline, immediately post-intervention, and at one- and three-month follow-up, as well as student perceptions. Data analysis employed repeated-measures ANOVA and mixed-effects modelling. Results: Of 270 students invited, 253 (93.7 %) met inclusion criteria and completed all assessments, achieving 100% follow-up at immediate, one-month, and three-month evaluations. MCQ performance demonstrated significant improvement across time points (F[3,756] = 65.14, p &lt; 0.001). On a 20-point higher-order MCQ scale, mean scores increased from 12.8 +/- 2.4 at baseline to 15.2 +/- 2.1 immediately post-intervention (adjusted gain +2.37, d = 0.62, p &lt; 0.001). Gains were sustained at one month (+3.78, d = 0.99) and three months (+3.65, d = 0.95), demonstrating durable higher-order learning retention. Both Lower-achieving and Higher-achieving students improved, though the effect was greater among Lower-achieving students (d = 0.72 vs 0.49). Student feedback revealed high levels of satisfaction (mean 4.25 +/- 0.88) and cognitive engagement (4.15 +/- 0.92), while clarity of AI interaction received comparatively lower ratings (3.39 +/- 1.19). Conclusion: Supervised ChatGPT-assisted retrieval practice produced sustained improvements in higher-order cognitive performance, with particularly strong benefits for Lower-achieving students. This scalable, standards-aligned model holds promise for advancing CBME globally and warrants further validation through multi-institutional trials incorporating performance-based and clinical outcomes.</t>
  </si>
  <si>
    <t>Daniel, Roy Arokiam; Nivethitha, V; Surya, B. N.; Daniel, Antoinette; Visalakshi, R.</t>
  </si>
  <si>
    <t>Surya, BN (corresponding author), Chettinad Acad Res &amp; Educ, Chettinad Hosp &amp; Res Inst, Dept Community Med, Kelambakkam 603103, Tamil Nadu, India.</t>
  </si>
  <si>
    <t>suryauk4@gmail.com</t>
  </si>
  <si>
    <t>[Daniel, Roy Arokiam] ESIC Med Coll &amp; Hosp, Dept Community Med, Chennai, Tamil Nadu, India; [Nivethitha, V] Vellore Inst Technol VIT, Sch Comp Sci Engn SCOPE, Chennai, Tamil Nadu, India; [Surya, B. N.] Chettinad Acad Res &amp; Educ, Chettinad Hosp &amp; Res Inst, Dept Community Med, Kelambakkam 603103, Tamil Nadu, India; [Daniel, Antoinette; Visalakshi, R.] Vellore Inst Technol VIT, Sch Social Sci &amp; Language, Dept French, Vellore, Tamil Nadu, India</t>
  </si>
  <si>
    <t>Vellore Institute of Technology (VIT); VIT Chennai; Vellore Institute of Technology (VIT); VIT Vellore</t>
  </si>
  <si>
    <t>Integrating ChatGPT into knowledge-retrieval tutorials in undergraduate medical education: a prospective evaluation of higher-order learning and feasibility</t>
  </si>
  <si>
    <t>Competency-based medical education; ChatGPT; Generative AI; higher-order thinking; medical education assessment; retrieval practice</t>
  </si>
  <si>
    <t>BLOOMS TAXONOMY</t>
  </si>
  <si>
    <t>Surya, B.N./GLU-2875-2022; Natarajan, Surya/GLU-2875-2022</t>
  </si>
  <si>
    <t>Natarajan, Surya/0000-0002-3389-9791; Daniel, Roy/0000-0001-8124-8160</t>
  </si>
  <si>
    <t>25</t>
  </si>
  <si>
    <t>18</t>
  </si>
  <si>
    <t>2639203</t>
  </si>
  <si>
    <t>10.1080/10872981.2026.2639203</t>
  </si>
  <si>
    <t>http://dx.doi.org/10.1080/10872981.2026.2639203</t>
  </si>
  <si>
    <t>12</t>
  </si>
  <si>
    <t>EN5BG</t>
  </si>
  <si>
    <t>41769797</t>
  </si>
  <si>
    <t>WOS:001705281400001</t>
  </si>
  <si>
    <t>Aghaei, S; Ansari, F</t>
  </si>
  <si>
    <t>Although recent studies have focused on foundation language models' architectures, scaling properties, and applications in fields such as healthcare and business, no detailed investigation has addressed their role in manufacturing. This paper fills this gap by examining foundation language models, with a particular focus on large language models (LLMs) as their most prominent instantiation, through the operational manufacturing lens, emphasizing their capabilities and practical applications. In the first part, the core capabilities of LLMs are categorized and analyzed. These capabilities include text understanding and generation, reasoning, multi-modality, interactivity, generalization, and continual learning. The second part examines how these capabilities translate into practical applications across the operational phases of manufacturing. The areas include planning, production, material handling, engineering, quality, maintenance, and warehousing. By aligning LLM functionalities with operational manufacturing phases, the paper shows LLMs' potential to augment decision-making, enhance efficiency, and increase adaptability in the context of Industry 4.0.</t>
  </si>
  <si>
    <t>Aghaei, Sareh; Ansari, Fazel</t>
  </si>
  <si>
    <t>Emerging Sources Citation Index (ESCI)</t>
  </si>
  <si>
    <t>Aghaei, S (corresponding author), TU Wien, Inst Management Sci, Theresianumgasse 27, A-1040 Vienna, Austria.</t>
  </si>
  <si>
    <t>sareh.aghaei@tuwien.ac.at</t>
  </si>
  <si>
    <t>Technische Universitt Wien Bibliothek</t>
  </si>
  <si>
    <t>This research was funded by Technische Universitat Wien Bibliothek.</t>
  </si>
  <si>
    <t>[Aghaei, Sareh; Ansari, Fazel] TU Wien, Fac Mech &amp; Ind Engn, Chair Prod &amp; Maintenance Management, Vienna, Austria</t>
  </si>
  <si>
    <t>Technische Universitat Wien</t>
  </si>
  <si>
    <t>Foundation language models through the lens of manufacturing</t>
  </si>
  <si>
    <t>PRODUCTION AND MANUFACTURING RESEARCH-AN OPEN ACCESS JOURNAL</t>
  </si>
  <si>
    <t>Large language models; manufacturing systems; operational manufacturing phases; industry 4.0; decision-making augmentation</t>
  </si>
  <si>
    <t>Ansari, Fazel/D-2399-2012</t>
  </si>
  <si>
    <t>Ansari, Fazel/0000-0002-2705-0396</t>
  </si>
  <si>
    <t>81</t>
  </si>
  <si>
    <t>2169-3277</t>
  </si>
  <si>
    <t>PROD MANUF RES</t>
  </si>
  <si>
    <t>Prod. Manuf. Res.</t>
  </si>
  <si>
    <t>2632468</t>
  </si>
  <si>
    <t>10.1080/21693277.2026.2632468</t>
  </si>
  <si>
    <t>http://dx.doi.org/10.1080/21693277.2026.2632468</t>
  </si>
  <si>
    <t>Engineering, Industrial</t>
  </si>
  <si>
    <t>Engineering</t>
  </si>
  <si>
    <t>EA6UK</t>
  </si>
  <si>
    <t>WOS:001696570400001</t>
  </si>
  <si>
    <t>Lewis, KO; Foong, CC; Fatima, SS</t>
  </si>
  <si>
    <t>Aim Authorship is a key marker for academic achievement, yet its integrity is increasingly compromised by "free riding," whereby individuals are listed as co-authors without making any substantive contributions. This commentary examines the nature, drivers, and ethical implications of free riding in academic publishing and proposes strategies to promote fairness, accountability, and integrity in authorship practices. Materials and Methods This commentary draws on existing literature, international authorship guidelines (including those of the International Committee of Medical Journal Editors), and ethical frameworks in scholarly publishing. Through narrative analysis, it explores the characteristics, motivations, and consequences of free riding in authorship, with particular attention to institutional, cultural, and power-related influences. Emerging challenges related to Generative Artificial Intelligence and authorship integrity are also examined. Results Five primary forms of free riding in authorship are identified: coercive, reciprocal, gratitude, purchased, and entitlement authorship. These practices are driven by pressures to publish, increasing multi-authorship, ambiguous authorship norms, and incentive structures that prioritize quantity over quality. Despite established guidelines, honorary and coercive authorship persist, undermining accountability and trust in scholarly communication. The use of Generative Artificial Intelligence introduces additional complexities regarding contribution attribution and authorship legitimacy. Institutions and journals play a critical role in addressing these issues through clear authorship policies, transparent contribution tracking (e.g., the CRediT taxonomy), ethical training, mentorship, and technologies that verify individual contributions. Conclusion Free riding in academic authorship represents an ethical challenge that threatens the credibility, fairness, and trustworthiness of scientific knowledge. Addressing this issue requires coordinated reform across institutions, journals, and researcher training. By strengthening accountability mechanisms, and fostering a culture of ethical authorship, the academic community can ensure that authorship accurately reflects genuine intellectual and practical contributions. Confronting free riding in academic publishing is essential not only for maintaining ethical integrity and fairness but also for preserving public trust and the validity of scientific knowledge.</t>
  </si>
  <si>
    <t>Lewis, Kadriye O.; Foong, Chan Choong; Fatima, Syeda Sadia</t>
  </si>
  <si>
    <t>Lewis, KO (corresponding author), Univ San Francisco Quito USFQ, Sch Med, QHRf PV6,E28c, Quito 170902, Ecuador.</t>
  </si>
  <si>
    <t>drlewis714@gmail.com</t>
  </si>
  <si>
    <t>SSF</t>
  </si>
  <si>
    <t>SSF (Swedish Foundation for Strategic Research)</t>
  </si>
  <si>
    <t>KOL conceived the idea for the commentary, developed the conceptual framework, and wrote most of the manuscript. CCF and SSF contributed to writing selected sections and provided critical feedback on the content. Both assisted with reviewing and editing the final version of the manuscript. All authors approved the final manuscript and agreed to be accountable for its content.</t>
  </si>
  <si>
    <t>[Lewis, Kadriye O.] Univ San Francisco Quito USFQ, Sch Med, QHRf PV6,E28c, Quito 170902, Ecuador; [Foong, Chan Choong] Univ Malaya, Fac Med, Med Educ Res &amp; Dev Unit MERDU, Kuala Lumpur, Malaysia; [Fatima, Syeda Sadia] Aga Khan Univ, Dept Biol &amp; Biomed Sci, Karachi, Pakistan</t>
  </si>
  <si>
    <t>Universidad San Francisco de Quito; Universiti Malaya; Aga Khan University</t>
  </si>
  <si>
    <t>Addressing free rider issues in academic authorship in medical education</t>
  </si>
  <si>
    <t>Authorship; ethics; accountability; academic publications; free riders; free riding; medical education research; scientific journals</t>
  </si>
  <si>
    <t>INTEGRITY; FACULTY; CREDIT</t>
  </si>
  <si>
    <t>Foong, Chan Choong/F-5503-2015</t>
  </si>
  <si>
    <t>Fatima, Syeda Sadia/0000-0002-3164-0225; Foong, Chan Choong/0000-0003-4790-005X; Lewis, Kadriye/0000-0001-5947-409X</t>
  </si>
  <si>
    <t>86</t>
  </si>
  <si>
    <t>2625580</t>
  </si>
  <si>
    <t>10.1080/07853890.2026.2625580</t>
  </si>
  <si>
    <t>http://dx.doi.org/10.1080/07853890.2026.2625580</t>
  </si>
  <si>
    <t>17</t>
  </si>
  <si>
    <t>DM1YD</t>
  </si>
  <si>
    <t>41834706</t>
  </si>
  <si>
    <t>WOS:001686733600001</t>
  </si>
  <si>
    <t>Oo, CTL; Wider, W; Pang, NTP; Koh, EBY; Vasanthi, RK; Thet, KZZ; Ramalho, R; Özdemir, BN; Mahboob, K</t>
  </si>
  <si>
    <t>PurposeThis study explores expert consensus on the benefits and future potential of generative artificial intelligence (GAI) in mental health care, using the Technology Acceptance Model (TAM) to interpret these perceptions.MethodsA two-round Delphi study using a mixed-methods design was conducted with 15 purposively selected experts in psychiatry, clinical psychology, counselling, and digital mental health. Round 1 gathered open-ended responses that were thematically analysed to identify benefit and future-potential dimensions. In Round 2, experts ranked these dimensions, and consensus was assessed using Kendall's coefficient of concordance.ResultsTwenty-eight themes were identified across eight benefit dimensions, and 29 themes across eight future-potential dimensions. Statistically significant consensus was achieved for both benefits (W = 0.145, p = 0.034) and future potential (W = 0.152, p = 0.025). Accessibility and availability ranked as the most important current benefit, while AI as a collaborative and informative tool was prioritised for future application.DiscussionExperts perceived GAI as a transformative adjunct to mental health practice, particularly in expanding access, supporting personalised care, and augmenting professional capacity. Adoption is contingent on usability, transparency, trust, and robust ethical governance to ensure equitable and human-centred integration.</t>
  </si>
  <si>
    <t>Oo, Chit Thet Lal; Wider, Walton; Pang, Nicholas Tze Ping; Koh, Eugene Boon Yau; Vasanthi, Rajkumar Krishnan; Thet, Khine Zar Zar; Ramalho, Rodrigo; Ozdemir, Bilge Nur; Mahboob, Kashmine</t>
  </si>
  <si>
    <t>Wider, W (corresponding author), INTI Int Univ, Fac Business &amp; Commun, Nilai, Malaysia.</t>
  </si>
  <si>
    <t>walton.wider@newinti.edu.my</t>
  </si>
  <si>
    <t>[Oo, Chit Thet Lal; Wider, Walton; Thet, Khine Zar Zar] INTI Int Univ, Fac Business &amp; Commun, Nilai, Malaysia; [Oo, Chit Thet Lal] Univ Med, Dept Med Sci, Mandalay, Myanmar; [Wider, Walton] Wekerle Sandor Uzlet Foiskola, Dept Appl Econ Sci, Budapest, Hungary; [Wider, Walton] Shinawatra Univ, Fac Management, Pathum Thani, Sam Khok, Thailand; [Wider, Walton] Int Inst Management &amp; Business, Dept Econ Management &amp; Law, Minsk, BELARUS; [Pang, Nicholas Tze Ping] Univ Malaysia Sabah, Fac Med &amp; Hlth Sci, Kota Kinabalu, Malaysia; [Koh, Eugene Boon Yau] Univ Putra Malaysia, Dept Psychiat, Serdang, Malaysia; [Vasanthi, Rajkumar Krishnan] INTI Int Univ, Fac Hlth &amp; Life Sci, Nilai, Malaysia; [Ramalho, Rodrigo] Univ Auckland, Fac Med &amp; Hlth Sci, Auckland, New Zealand; [Ozdemir, Bilge Nur] Ataturk State Hosp, Emergency Med Dept, Antalya, Turkiye; [Mahboob, Kashmine] Ayub Teaching Hosp, Dept Psychiat, Abbottabad, Pakistan</t>
  </si>
  <si>
    <t>INTI International University; Metharath University; Universiti Malaysia Sabah; Universiti Putra Malaysia; INTI International University; University of Auckland; Ataturk State Hospital</t>
  </si>
  <si>
    <t>The benefits and future potential of generative artificial intelligence (GAI) on mental health: a Delphi study</t>
  </si>
  <si>
    <t>INTERNATIONAL JOURNAL OF QUALITATIVE STUDIES ON HEALTH AND WELL-BEING</t>
  </si>
  <si>
    <t>Generative artificial intelligence; mental health care services; Delphi method; ethical AI integration; long-term digital health strategy</t>
  </si>
  <si>
    <t>/AAU-7826-2020; Thet, Khine Zar Zar/PHO-2500-2026; Wider, Walton/AAD-7072-2022; Koh, Eugene/ACZ-6207-2022; Ramalho,, Rodrigo/ADL-2819-2022; KRISHNAN VASANTHI, RAJKUMAR/AAX-4589-2021</t>
  </si>
  <si>
    <t>Thet, Khine Zar Zar/0009-0003-3277-8693; Ozdemir, Bilge/0000-0003-4325-9031; Ramalho,, Rodrigo/0000-0002-2372-6854</t>
  </si>
  <si>
    <t>68</t>
  </si>
  <si>
    <t>26</t>
  </si>
  <si>
    <t>1748-2623</t>
  </si>
  <si>
    <t>1748-2631</t>
  </si>
  <si>
    <t>INT J QUAL STUD HEAL</t>
  </si>
  <si>
    <t>Int. J. Qual. Stud. Health Well-Being</t>
  </si>
  <si>
    <t>2621802</t>
  </si>
  <si>
    <t>10.1080/17482631.2026.2621802</t>
  </si>
  <si>
    <t>http://dx.doi.org/10.1080/17482631.2026.2621802</t>
  </si>
  <si>
    <t>Public, Environmental &amp; Occupational Health; Nursing; Social Sciences, Biomedical</t>
  </si>
  <si>
    <t>Public, Environmental &amp; Occupational Health; Nursing; Biomedical Social Sciences</t>
  </si>
  <si>
    <t>CQ5PI</t>
  </si>
  <si>
    <t>41589742</t>
  </si>
  <si>
    <t>WOS:001672054100001</t>
  </si>
  <si>
    <t>Shin, S; Choi, J; Hong, E; Lee, M; Lee, M</t>
  </si>
  <si>
    <t>The study is aimed at exploring the potential of using ChatGPT-4 to develop multiple-choice questions that adhere to item development principles through the application of reverse engineering techniques in nursing education. To determine whether ChatGPT-4 could generate multiple-choice questions regarding medical-surgical nursing, the researchers first evaluated ChatGPT-4's level of nursing knowledge. The researchers then developed 20 prompts using reverse engineering techniques; these were subsequently entered into ChatGPT-4, resulting in the generation of 60 multiple-choice questions. All 60 questions were reviewed by five nursing education experts to evaluate compliance with item development principles. ChatGPT-4 demonstrated a high accuracy rate (98.00%) when answering multiple-choice questions about medical-surgical nursing education. AI-generated questions primarily adhered to the principles of item development, with an average compliance score of 7.90/9.00. The least adhered to among the nine-question development principles was 'The question stem should use only essential words or phrases.' Given that the AI-generated questions may serve as preliminary drafts for use in nursing education following expert review, ChatGPT-4 can function as a valuable tool in the design of educational materials. When utilizing ChatGPT-4, it is beneficial for nursing educators to apply reverse engineering techniques that enhance question quality through repeated comparison, as well as to analyze the prompts and corresponding AI-generated questions. Furthermore, including structured outlines and representative sample multiple-choice questions using Markdown syntax in the prompt can enhance the quality of AI-generated questions.</t>
  </si>
  <si>
    <t>Shin, Sujin; Choi, Jaehwa; Hong, Eunmin; Lee, Minjae; Lee, Miji</t>
  </si>
  <si>
    <t>Lee, M (corresponding author), Catholic Univ Pusan, Dept Nursing, Busan, South Korea.</t>
  </si>
  <si>
    <t>miji_lee@naver.com</t>
  </si>
  <si>
    <t>National Research Foundation of Korea [2023R1A2C2006838]</t>
  </si>
  <si>
    <t>National Research Foundation of Korea (National Research Foundation of Korea)</t>
  </si>
  <si>
    <t>This article is funded by the National Research Foundation of Korea, grant id-2023R1A2C2006838.</t>
  </si>
  <si>
    <t>[Shin, Sujin; Lee, Minjae] Ewha Womans Univ, Coll Nursing, Seoul, South Korea; [Choi, Jaehwa] George Washington Univ, Grad Sch Educ &amp; Human Dev, Dept Educ Leadership, Washington, DC USA; [Hong, Eunmin] Wonkwang Univ, Coll Nursing, Iksan, South Korea; [Lee, Miji] Catholic Univ Pusan, Dept Nursing, Busan, South Korea</t>
  </si>
  <si>
    <t>Ewha Womans University; George Washington University; Wonkwang University; Catholic University Pusan</t>
  </si>
  <si>
    <t>Generating multiple-choice questions using reverse engineering techniques</t>
  </si>
  <si>
    <t>Educational measurement; multiple-choice questions; generative artificial intelligence; educational technology; nursing education</t>
  </si>
  <si>
    <t>Hong, Eunmin/OZE-3161-2025; Shin, Sujin/Q-5669-2019</t>
  </si>
  <si>
    <t>Lee, Miji/0000-0001-7946-7006; Choi, Jaehwa/0000-0003-4225-9582; Shin, Sujin/0000-0001-7981-2893; Lee, Minjae/0000-0001-7615-9593</t>
  </si>
  <si>
    <t>56</t>
  </si>
  <si>
    <t>2611632</t>
  </si>
  <si>
    <t>10.1080/10872981.2025.2611632</t>
  </si>
  <si>
    <t>http://dx.doi.org/10.1080/10872981.2025.2611632</t>
  </si>
  <si>
    <t>AV7OH</t>
  </si>
  <si>
    <t>41510996</t>
  </si>
  <si>
    <t>WOS:001657917600001</t>
  </si>
  <si>
    <t>Huang, LN; Islam, T; Miron, A; Hone, K; Li, YM</t>
  </si>
  <si>
    <t>As the workload of radiologists continues to increase, writing radiology reports remains a time-consuming and error-prone task. In recent years, Automated Radiology Report Generation (ARRG) has emerged as a research hotspot aimed at addressing this challenge. This review analyses the main ARRG research streams, including template-based, retrieval-based, encoder-decoder, foundation-model-based, and hybrid approaches. We trace the evolution of ARRG from early template and retrieval paradigms to encoder-decoder and more recent foundationmodel-based approaches, while also discussing the growing roles of multimodal, knowledge integration and reinforcement learning strategies, and we compare their respective strengths and limitations. We further summarise the commonly used public, restricted, and private datasets in ARRG research, while distinguishing between datasets that can directly support report generation and auxiliary resources mainly used for pretraining, grounding, or evaluation. In addition, we examine the clinical implications of radiology report format, with particular attention to the trade-offs between free-text and structured reporting and their consequences for model design. We also review mainstream evaluation methods for ARRG, including quantitative metrics (e.g., NLG and CE metrics) and qualitative assessment, and discuss why factual correctness, report organization, and clinical usefulness are not fully captured by surface-level language similarity alone. Finally, we discuss ethical and governance issues that are especially salient for ARRG, such as privacy, bias, hallucination, omission of key abnormalities, negation errors, and responsibility allocation in clinical workflows. We hope that this review will serve as a useful reference for future ARRG research and for the safe translation of these systems into clinical practice.</t>
  </si>
  <si>
    <t>Huang, Lina; Islam, Tasin; Miron, Alina; Hone, Kate; Li, Yongmin</t>
  </si>
  <si>
    <t>Huang, LN (corresponding author), Brunel Univ London, Dept Comp Sci, London UB8 3PH, England.</t>
  </si>
  <si>
    <t>yongmin.li@brunel.ac.uk; lina.huang@brunel.ac.uk; kate.hone@brunel.ac.uk; tasin.islam@brunel.ac.uk; alina.miron@brunel.ac.uk</t>
  </si>
  <si>
    <t>[Huang, Lina; Islam, Tasin; Miron, Alina; Hone, Kate; Li, Yongmin] Brunel Univ London, Dept Comp Sci, London UB8 3PH, England</t>
  </si>
  <si>
    <t>Brunel University</t>
  </si>
  <si>
    <t>Automated radiology report generation: A comprehensive review</t>
  </si>
  <si>
    <t>EXPERT SYSTEMS WITH APPLICATIONS</t>
  </si>
  <si>
    <t>ARRG; Radiology report formats; Foundation models; Multimodal; Knowledge integration; Ethical challenges</t>
  </si>
  <si>
    <t>STRUCTURED REPORT TEMPLATE; ARTIFICIAL-INTELLIGENCE; EMERGENCY-DEPARTMENT; CHEST RADIOGRAPHS; HEALTH-CARE; MRI REPORTS; IMAGE; CT; QUALITY; SEGMENTATION</t>
  </si>
  <si>
    <t>321</t>
  </si>
  <si>
    <t>PERGAMON-ELSEVIER SCIENCE LTD</t>
  </si>
  <si>
    <t>OXFORD</t>
  </si>
  <si>
    <t>THE BOULEVARD, LANGFORD LANE, KIDLINGTON, OXFORD OX5 1GB, ENGLAND</t>
  </si>
  <si>
    <t>0957-4174</t>
  </si>
  <si>
    <t>1873-6793</t>
  </si>
  <si>
    <t>EXPERT SYST APPL</t>
  </si>
  <si>
    <t>Expert Syst. Appl.</t>
  </si>
  <si>
    <t>DEC 15 2026</t>
  </si>
  <si>
    <t>331</t>
  </si>
  <si>
    <t>C</t>
  </si>
  <si>
    <t>133320</t>
  </si>
  <si>
    <t>10.1016/j.eswa.2026.133320</t>
  </si>
  <si>
    <t>http://dx.doi.org/10.1016/j.eswa.2026.133320</t>
  </si>
  <si>
    <t>41</t>
  </si>
  <si>
    <t>Computer Science, Artificial Intelligence; Engineering, Electrical &amp; Electronic; Operations Research &amp; Management Science</t>
  </si>
  <si>
    <t>Computer Science; Engineering; Operations Research &amp; Management Science</t>
  </si>
  <si>
    <t>KI6HR</t>
  </si>
  <si>
    <t>WOS:001807840800003</t>
  </si>
  <si>
    <t>hybrid; Green Submitted</t>
  </si>
  <si>
    <t>Hong, S; Yoon, JP; Lee, K; Kim, JY</t>
  </si>
  <si>
    <t>Medical image segmentation is essential for clinical image analysis, supporting diagnosis, quantitative assessment, treatment planning, and follow-up evaluation. In real-world clinical workflows, the same anatomical or pathological target may be examined using different imaging modalities, whose distinct signal properties and appearance distributions make reliable cross-modality segmentation challenging. Foundation segmentation models such as the Segment Anything Model (SAM) have demonstrated strong generalization on large-scale natural images. However, reliable adaptation to medical imaging remains challenging due to severe cross-modality shifts, limited annotations, and modality-specific uncertainty. Few-shot cross-modality medical image segmentation often suffers from unstable convergence and overconfident predictions, undermining reliability in clinical decision-making. This study aims to alleviate these challenges by explicitly modeling task-level uncertainty during adaptation. We re-interpret few-shot cross-modality medical image segmentation as a task-level uncertainty inference problem, and we propose BayesPrompt, an uncertainty-aware Bayesian prompt adaptation framework for foundation segmentation models. BayesPrompt incorporates a probabilistic prompt module that encodes feature statistics and task-level uncertainty from few-shot support sets and injects them into the decoder attention of SAM2 while freezing the backbone encoder. Additionally, we introduce Bayesian Meta-Prior Adaptation, which stabilizes few-shot adaptation by aligning target-domain posteriors with source-domain meta-priors via lightweight decoder-head updates. The proposed method is evaluated on ultrasound and magnetic resonance imaging (MRI) datasets under both single-modality and cross-modality segmentation settings. Experimental results show that BayesPrompt consistently outperforms deterministic prompt tuning and adaptation baselines, yielding improved segmentation accuracy, enhanced robustness to modality shifts, and more reliable uncertainty calibration across all evaluated scenarios. These findings demonstrate the importance of modeling task-level uncertainty for few-shot cross-modality adaptation of foundation segmentation models in the evaluated retrospective setting, while external multi-center validation and prospective reader studies remain necessary before any clinical deployment claim can be made.</t>
  </si>
  <si>
    <t>Hong, Sakang; Yoon, Jong Pil; Lee, Kyungsu; Kim, Jun-Young</t>
  </si>
  <si>
    <t>Lee, K (corresponding author), Jeonbuk Natl Univ, Div Elect &amp; Informat Engn Comp Sci, Jeonju 54896, South Korea.; Lee, K (corresponding author), Jeonbuk Natl Univ, Dept Comp Sci &amp; Artificial Intelligence, Jeonju 54896, South Korea.; Kim, JY (corresponding author), Daegu Catholic Univ, Dept Orthoped Surg, Sch Med, Daegu 42472, South Korea.</t>
  </si>
  <si>
    <t>rllove0405@jbnu.ac.kr; ksl@jbnu.ac.kr; jpyoon@knu.ac.kr; drjunyoung@cu.ac.kr</t>
  </si>
  <si>
    <t>Korea Health Technology R&amp;D Project through the Korea Health Industry Development Institute (KHIDI) - Ministry of Health &amp; Welfare, Republic of Korea [RS-2022-KH130593]</t>
  </si>
  <si>
    <t>Korea Health Technology R&amp;D Project through the Korea Health Industry Development Institute (KHIDI) - Ministry of Health &amp; Welfare, Republic of Korea</t>
  </si>
  <si>
    <t>This research was supported by a grant of the Korea Health Technology R&amp;D Project through the Korea Health Industry Development Institute (KHIDI) , funded by the Ministry of Health &amp; Welfare, Republic</t>
  </si>
  <si>
    <t>[Hong, Sakang; Lee, Kyungsu] Jeonbuk Natl Univ, Div Elect &amp; Informat Engn Comp Sci, Jeonju 54896, South Korea; [Yoon, Jong Pil] Kyungpook Natl Univ, Sch Med, Dept Orthoped Surg, Daegu 41944, South Korea; [Lee, Kyungsu] Jeonbuk Natl Univ, Dept Comp Sci &amp; Artificial Intelligence, Jeonju 54896, South Korea; [Kim, Jun-Young] Daegu Catholic Univ, Dept Orthoped Surg, Sch Med, Daegu 42472, South Korea</t>
  </si>
  <si>
    <t>Jeonbuk National University; Kyungpook National University (KNU); Jeonbuk National University; Catholic University of Daegu</t>
  </si>
  <si>
    <t>Uncertainty-aware Bayesian prompt adaptation of SAM2 for few-shot cross-modal segmentation</t>
  </si>
  <si>
    <t>Medical image segmentation; Foundation models; Bayesian prompt learning; Cross-modality adaptation</t>
  </si>
  <si>
    <t>TEST-TIME ADAPTATION</t>
  </si>
  <si>
    <t>77</t>
  </si>
  <si>
    <t>B</t>
  </si>
  <si>
    <t>133226</t>
  </si>
  <si>
    <t>10.1016/j.eswa.2026.133226</t>
  </si>
  <si>
    <t>http://dx.doi.org/10.1016/j.eswa.2026.133226</t>
  </si>
  <si>
    <t>KF7AK</t>
  </si>
  <si>
    <t>WOS:001805856600001</t>
  </si>
  <si>
    <t>Ji, Y; Sun, Y; Li, J; Wang, ZGY; Li, P; Wang, ZF; Zheng, Y</t>
  </si>
  <si>
    <t>Large language models (LLMs) have become essential for knowledge-intensive applications, ranging from enterprise knowledge management to clinical and legal decision support. However, their extensive parameterization creates substantial computational and memory requirements that hinder practical deployment in resource-constrained environments such as edge devices and enterprise systems with limited infrastructure. While structured pruning shows promise for LLM compression, existing methods apply static masks that cannot adapt to diverse input characteristics, resulting in inconsistent performance across different application domains and task distributions. In this work, we present SEAP, a semantic-aware dynamic structured pruning framework designed for efficient deployment of intelligent language systems. Our framework enables adaptive model compression through two key components: (1) an explainability-guided importance estimation method that discovers diverse representative pruning patterns by fusing local and global neuron importance from calibration data, and (2) a lightweight router module that efficiently assigns optimal compression strategies for each input at the pre-fill stage. The pipeline keeps the LLM backbone frozen and requires only a small calibration set, allowing it to be retrofitted into existing expert-system deployments. Extensive experimental results on LLaMA-2/3, Qwen2, and Phi-2 demonstrate that SEAP outperforms state-of-the-art structured pruning methods across diverse language modeling and commonsense reasoning tasks, achieving competitive performance with reductions in memory and inference latency, highlighting its potential for real-world expert-system deployment.</t>
  </si>
  <si>
    <t>Ji, Yang; Sun, Ying; Li, Jin; Wang, Zhigaoyuan; Li, Ping; Wang, Zhefeng; Zheng, Yi</t>
  </si>
  <si>
    <t>Sun, Y (corresponding author), Hong Kong Univ Sci &amp; Technol Guangzhou, Thrust Artificial Intelligence, Informat Hub, Guangzhou 511458, Guangdong, Peoples R China.</t>
  </si>
  <si>
    <t>yji655@connect.hkust-gz.edu.cn; wangzhefeng@huawei.com; jli740@connect.hkust-gz.edu.cn; liping61@huawei.com; zhengyi29@huawei.com; zwang901@connect.hkust-gz.edu.cn; yings@hkust-gz.edu.cn</t>
  </si>
  <si>
    <t>National Natural Science Foundation of China [62306255]</t>
  </si>
  <si>
    <t>National Natural Science Foundation of China (National Natural Science Foundation of China (NSFC))</t>
  </si>
  <si>
    <t>This work is supported by the National Natural Science Foundation of China (No. 62306255) .</t>
  </si>
  <si>
    <t>[Ji, Yang; Sun, Ying; Li, Jin; Wang, Zhigaoyuan] Hong Kong Univ Sci &amp; Technol Guangzhou, Thrust Artificial Intelligence, Informat Hub, Guangzhou 511458, Guangdong, Peoples R China; [Li, Ping; Wang, Zhefeng; Zheng, Yi] Huawei Technol Ltd, Hangzhou 310051, Zhejiang, Peoples R China</t>
  </si>
  <si>
    <t>Hong Kong University of Science &amp; Technology (Guangzhou)</t>
  </si>
  <si>
    <t>Semantic-aware pruning of large language models via neuron importance explanation</t>
  </si>
  <si>
    <t>Model compression; Large language models; Explainable ML</t>
  </si>
  <si>
    <t>57</t>
  </si>
  <si>
    <t>133192</t>
  </si>
  <si>
    <t>10.1016/j.eswa.2026.133192</t>
  </si>
  <si>
    <t>http://dx.doi.org/10.1016/j.eswa.2026.133192</t>
  </si>
  <si>
    <t>WOS:001805856600002</t>
  </si>
  <si>
    <t>Nassehi, D; Hetlevik, O; Breivold, J</t>
  </si>
  <si>
    <t>ObjectiveTo explore how Artificial intelligence (AI) scribes influence Norwegian general practitioners' (GPs) clinical practice, focusing on their impact on workflow, consultation routines, and professional responsibility, and to explore GPs reflections on AI technology and its alignment with their needs, expectations and ethical considerations in primary care.DesignQualitative individual interview study using systematic text condensation (STC).SettingGeneral practice in Norway.SubjectsTen GPs with more than 3 months' regular use of an AI scribe. Participants were self-selected early adopters.ResultsThe GPs in our study reported that using AI scribe markedly saved time, while reducing stress levels. The technology improved consultation structure and patient focus, though some GPs missed their personal writing style and found the language overly standardised. The tool sometime struggled capturing nuances during complex discussions. Occasional transcription errors, and hallucinations highlighted the need for careful review. GPs expressed concern regarding data privacy and regulatory uncertainty but maintained a stance of critical trust. Overall, the AI scribe was seen as a major innovation that enhances efficiency and patient care, provided its outputs remain under vigilant control.ConclusionAccording to the respondents, AI scribes influence GPs daily routines and professional identity by enhancing documentation efficiency, reducing workload and enabling GPs to focus more on patient care. However, they may introduce new areas for error and subtle shifts in clinical practice, such as reliance on AI-generated text. Responsible integration requires collaborations on guidelines, training and further research to balance efficiency gains with patient centred care and address long-term impacts.</t>
  </si>
  <si>
    <t>Nassehi, Damoun; Hetlevik, Oystein; Breivold, Jorgen</t>
  </si>
  <si>
    <t>Nassehi, D (corresponding author), Univ Bergen, Dept Global Publ Hlth &amp; Primary Care, Bergen, Norway.</t>
  </si>
  <si>
    <t>damoun.nassehi@uib.no</t>
  </si>
  <si>
    <t>University of Bergen</t>
  </si>
  <si>
    <t>University of Bergen (University of Bergen)</t>
  </si>
  <si>
    <t>This study was supported by the Research Committee at the Department of Global Public Health and Primary Care, University of Bergen, Norway.</t>
  </si>
  <si>
    <t>[Nassehi, Damoun; Hetlevik, Oystein; Breivold, Jorgen] Univ Bergen, Dept Global Publ Hlth &amp; Primary Care, Bergen, Norway</t>
  </si>
  <si>
    <t>Exploring AI scribes in Norwegian general practice: a qualitative individual interview study</t>
  </si>
  <si>
    <t>SCANDINAVIAN JOURNAL OF PRIMARY HEALTH CARE</t>
  </si>
  <si>
    <t>General practice; primary care; artificial intelligence; large language model; generative AI; AI scribe; professional identity; clinical documentation</t>
  </si>
  <si>
    <t>Nassehi, Damoun/PMS-2138-2026; Hetlevik, Oystein/L-7307-2019</t>
  </si>
  <si>
    <t>20</t>
  </si>
  <si>
    <t>0281-3432</t>
  </si>
  <si>
    <t>1502-7724</t>
  </si>
  <si>
    <t>SCAND J PRIM HEALTH</t>
  </si>
  <si>
    <t>Scand. J. Prim. Health Care</t>
  </si>
  <si>
    <t>44</t>
  </si>
  <si>
    <t>2681143</t>
  </si>
  <si>
    <t>10.1080/02813432.2026.2681143</t>
  </si>
  <si>
    <t>http://dx.doi.org/10.1080/02813432.2026.2681143</t>
  </si>
  <si>
    <t>Health Care Sciences &amp; Services; Primary Health Care; Medicine, General &amp; Internal</t>
  </si>
  <si>
    <t>Health Care Sciences &amp; Services; General &amp; Internal Medicine</t>
  </si>
  <si>
    <t>IZ0RE</t>
  </si>
  <si>
    <t>42235527</t>
  </si>
  <si>
    <t>WOS:001783727100001</t>
  </si>
  <si>
    <t>Li, YS; Zhang, Q; Wang, SJ; Zhang, WY; Si, JS; Zhang, H; Lu, WP</t>
  </si>
  <si>
    <t>Medication recommendation aims to assist physicians by recommending personalized drugs based on electronic health records (EHRs). However, existing methods typically recommend a single drug set for multiple diseases without establishing fine-grained correspondences between drugs and individual diseases, which limits interpretability and clinical trust. Moreover, most approaches ignore the severity of diagnosed diseases, preventing medication recommender systems from accurately assessing a patient's health condition. To address these critical gaps, we propose a novel fine-grained medication recommendation method via medication mapping and diagnosis enhancement, called FineMed. To address the first gap, FineMed decomposes the drug recommendation for a set of diseases into multiple sub-recommendations, each focusing on a single disease, thus enabling the respective recommendation of appropriate drugs for each individual disease. To address the second gap, we design a diagnosis enhancement mechanism that establishes explicit links among various medical elements to reflect disease severity. In extensive retrospective experiments on MIMIC-III, MIMIC-IV, and SMH, FineMed achieves Jaccard scores of 0.3868, 0.3621, and 0.4588, respectively, with an average relative improvement of 3.06% over the strongest competing baselines across Jaccard, F1-score, and PRAUC. FineMed provides fine-grained drug-disease correspondences that offer more explicit justifications for its medication recommendations. It should be noted that the current validation is retrospective and partially dependent on LLM-generated annotations with limited human evaluation, rather than prospective clinical validation. Our code and datasets are available at: https://github.com/liyifo/FineMed.</t>
  </si>
  <si>
    <t>Li, Yishuo; Zhang, Qi; Wang, Shoujin; Zhang, Weiyu; Si, Jiasheng; Zhang, Hu; Lu, Wenpeng</t>
  </si>
  <si>
    <t>Lu, WP (corresponding author), Qilu Univ Technol, Shandong Acad Sci, Key Lab Comp Power Network &amp; Informat Secur, Minist Educ, Jinan, Peoples R China.; Lu, WP (corresponding author), Qilu Univ Technol, Shandong Acad Sci, Shandong Comp Sci Ctr, Nat Supercomp Ctr Jinan, Jinan, Peoples R China.; Lu, WP (corresponding author), Qilu Univ Technol, Shandong Acad Sci, Shandong Prov Key Lab Comp Power Internet &amp; Serv C, Jinan, Peoples R China.; Lu, WP (corresponding author), Qilu Univ Technol, Shandong Acad Sci, Shandong Fundamental Res Ctr Comp Sci, Jinan, Peoples R China.</t>
  </si>
  <si>
    <t>wenpeng.lu@glu.edu.cn; yishuo.li@foxmail.com</t>
  </si>
  <si>
    <t>National Natural Science Foundation of China [62376130]; Key Research and Development Program of Shandong Province (Major Science and Technology Innovation Project) [2026CXGC010604]; Pilot Project for Integrated Innovation of Science, Education, and Industry of Qilu University of Technology (Shandong Academy of Sciences) [2025ZDZX01]</t>
  </si>
  <si>
    <t>National Natural Science Foundation of China (National Natural Science Foundation of China (NSFC)); Key Research and Development Program of Shandong Province (Major Science and Technology Innovation Project); Pilot Project for Integrated Innovation of Science, Education, and Industry of Qilu University of Technology (Shandong Academy of Sciences)</t>
  </si>
  <si>
    <t>This work was supported by National Natural Science Foundation of China (No. 62376130) , Key Research and Development Program of Shandong Province (Major Science and Technology Innovation Project) (No. 2026CXGC010604) , and the Pilot Project for Integrated Innovation of Science, Education, and Industry of Qilu University of Technology (Shandong Academy of Sciences) (No. 2025ZDZX01) .</t>
  </si>
  <si>
    <t>[Li, Yishuo; Zhang, Weiyu; Si, Jiasheng; Lu, Wenpeng] Qilu Univ Technol, Shandong Acad Sci, Key Lab Comp Power Network &amp; Informat Secur, Minist Educ, Jinan, Peoples R China; [Li, Yishuo; Zhang, Weiyu; Si, Jiasheng; Lu, Wenpeng] Qilu Univ Technol, Shandong Acad Sci, Shandong Comp Sci Ctr, Nat Supercomp Ctr Jinan, Jinan, Peoples R China; [Li, Yishuo; Zhang, Weiyu; Si, Jiasheng; Lu, Wenpeng] Qilu Univ Technol, Shandong Acad Sci, Shandong Prov Key Lab Comp Power Internet &amp; Serv C, Jinan, Peoples R China; [Li, Yishuo; Zhang, Weiyu; Si, Jiasheng; Lu, Wenpeng] Qilu Univ Technol, Shandong Acad Sci, Shandong Fundamental Res Ctr Comp Sci, Jinan, Peoples R China; [Zhang, Qi] Tongli Univ, Sch Comp Sci &amp; Technol, Shanghai, Peoples R China; [Wang, Shoujin] Univ Technol Sydney, Data Sci Inst, Sydney, Australia; [Zhang, Hu] Shanxi Univ, Sch Comp &amp; Informat Technol, Taiyuan, Peoples R China</t>
  </si>
  <si>
    <t>Qilu University of Technology; Qilu University of Technology; Qilu University of Technology; Qilu University of Technology; Tongji University; University of Technology Sydney; Shanxi University</t>
  </si>
  <si>
    <t>Medication mapping and diagnosis enhancement for fine-grained medication recommendation</t>
  </si>
  <si>
    <t>INFORMATION SCIENCES</t>
  </si>
  <si>
    <t>Medication recommendation; Electronic health record; Fine-grained medication; Large language model; Severity-aware diagnosis</t>
  </si>
  <si>
    <t>39</t>
  </si>
  <si>
    <t>ELSEVIER SCIENCE INC</t>
  </si>
  <si>
    <t>NEW YORK</t>
  </si>
  <si>
    <t>101 Park Avenue, 24th Floor, NEW YORK, NY, UNITED STATES</t>
  </si>
  <si>
    <t>0020-0255</t>
  </si>
  <si>
    <t>1872-6291</t>
  </si>
  <si>
    <t>INFORM SCIENCES</t>
  </si>
  <si>
    <t>Inf. Sci.</t>
  </si>
  <si>
    <t>DEC 5 2026</t>
  </si>
  <si>
    <t>757</t>
  </si>
  <si>
    <t>123930</t>
  </si>
  <si>
    <t>10.1016/j.ins.2026.123930</t>
  </si>
  <si>
    <t>http://dx.doi.org/10.1016/j.ins.2026.123930</t>
  </si>
  <si>
    <t>27</t>
  </si>
  <si>
    <t>Computer Science, Information Systems</t>
  </si>
  <si>
    <t>Computer Science</t>
  </si>
  <si>
    <t>LY1WD</t>
  </si>
  <si>
    <t>WOS:001836028500001</t>
  </si>
  <si>
    <t>Wang, ZY; Zheng, DG; Qin, C; Li, Y; Cao, JR; Qiu, HC; Kan, HX; Sun, LP; Zhou, XM; Dong, CW; Hu, JL</t>
  </si>
  <si>
    <t>Traditional Chinese Medicine (TCM) clinical practice relies on a structured diagnostic logic that links syndrome differentiation, treatment principle determination, formula selection, and prescription composition. However, existing Large Language Models (LLMs) often treat expert medical cases as "black boxes." They may generate prescriptions without clearly explaining the underlying diagnostic logic, which limits clinical interpretability, traceability, and knowledge inheritance. To address this, we propose a novel framework that leverages the realworld medical records of renowned practitioner Professor Wang Yanquan to construct an explicable reasoning chain. We restructured clinical cases into Question-Chain of Thought (COT)-Response triplets as training instances. Using Qwen2.5-14B-Instruct as the base model, we implemented a reinforcement learning strategy combining Group Relative Policy Optimization (GRPO) and Low-Rank Adaptation (LoRA). Crucially, while the model receives only the clinical query (Question) as input, the associated COT and Response components are utilized to formulate a multi-dimensional reward system, guiding the model to autonomously generate valid diagnostic reasoning paths. Experimental results demonstrate that our optimized framework achieves an F1-score of 0.9337 for syndrome identification. These findings indicate that the proposed method provides a preliminary and interpretable framework for structured TCM reasoning-chain generation from curated expert cases, while further safety validation and external clinical evaluation are required before clinical deployment.</t>
  </si>
  <si>
    <t>Wang, Ziyang; Zheng, Denggao; Qin, Chi; Li, Yu; Cao, JingRui; Qiu, HouChun; Kan, Hongxing; Sun, Liping; Zhou, Xuemei; Dong, Changwu; Hu, Jili</t>
  </si>
  <si>
    <t>Hu, JL (corresponding author), Anhui Univ Chinese Med, Sch Med Informat Engn, Hefei, Peoples R China.; Dong, CW (corresponding author), Anhui Univ Tradit Chinese Med, Affiliated Hosp 2, Hefei, Peoples R China.</t>
  </si>
  <si>
    <t>dcw1018@aliyun.com; hujili@ahtcm.edu.cn</t>
  </si>
  <si>
    <t>Key Projects of University Scientific Research Plan in Anhui Province [2024AH050917]; Open Fund of High-level Key Discipline of Basic Theory of Traditional Chinese Medicine, State Administration of Traditional Chinese Medicine, Anhui University of Chinese Medicine [ZYJCLLZD-07]; Anhui University of Chinese Medicine Xin'an Medical Research Institute 2025 Key Project [2025XAYX010]; Major Science and Technology Research Project of Anhui Province-Research and Application of an Intelligent Diagnosis and Treatment System Based on Multimodal Tongue-Image Information Fusion [202303a07020008]; The "Jiebang Guashuai" Project of Hefei Comprehensive National Science Center-Cloud Diagnosis 365 Health APP for a TCM AI Intelligent Diagnosis and Treatment Platform and Its Application Promotion [2024CXMMTCM002]</t>
  </si>
  <si>
    <t>Key Projects of University Scientific Research Plan in Anhui Province; Open Fund of High-level Key Discipline of Basic Theory of Traditional Chinese Medicine, State Administration of Traditional Chinese Medicine, Anhui University of Chinese Medicine; Anhui University of Chinese Medicine Xin'an Medical Research Institute 2025 Key Project; Major Science and Technology Research Project of Anhui Province-Research and Application of an Intelligent Diagnosis and Treatment System Based on Multimodal Tongue-Image Information Fusion; The "Jiebang Guashuai" Project of Hefei Comprehensive National Science Center-Cloud Diagnosis 365 Health APP for a TCM AI Intelligent Diagnosis and Treatment Platform and Its Application Promotion</t>
  </si>
  <si>
    <t>This work was supported by the Key Projects of University Scientific Research Plan in Anhui Province (2024AH050917); the Open Fund of High-level Key Discipline of Basic Theory of Traditional Chinese Medicine, State Administration of Traditional Chinese Medicine, Anhui University of Chinese Medicine (ZYJCLLZD-07); Anhui University of Chinese Medicine Xin'an Medical Research Institute 2025 Key Project (2025XAYX010); the Major Science and Technology Research Project of Anhui Province-Research and Application of an Intelligent Diagnosis and Treatment System Based on Multimodal Tongue-Image Information Fusion (202303a07020008); and the "Jiebang Guashuai" Project of Hefei Comprehensive National Science Center-Cloud Diagnosis 365 Health APP for a TCM AI Intelligent Diagnosis and Treatment Platform and Its Application Promotion (2024CXMMTCM002).</t>
  </si>
  <si>
    <t>[Wang, Ziyang; Zheng, Denggao; Qin, Chi; Li, Yu; Cao, JingRui; Qiu, HouChun; Kan, Hongxing; Sun, Liping; Hu, Jili] Anhui Univ Chinese Med, Sch Med Informat Engn, Hefei, Peoples R China; [Kan, Hongxing; Dong, Changwu; Hu, Jili] Anhui Univ Chinese Med, Ctr Xinan Med &amp; Modernizat Tradit Chinese Med IHM, Hefei, Peoples R China; [Dong, Changwu] Anhui Univ Tradit Chinese Med, Affiliated Hosp 2, Hefei, Peoples R China; [Zhou, Xuemei] Anhui Univ Chinese Med, Sch Tradit Chinese Med, Hefei, Peoples R China</t>
  </si>
  <si>
    <t>Anhui University of Chinese Medicine; Anhui University of Chinese Medicine; Anhui University of Chinese Medicine; Anhui University of Chinese Medicine</t>
  </si>
  <si>
    <t>Generating interpretable clinical reasoning chains in TCM via group relative policy optimization and multi-dimensional rewards</t>
  </si>
  <si>
    <t>BIOMEDICAL SIGNAL PROCESSING AND CONTROL</t>
  </si>
  <si>
    <t>Traditional Chinese Medicine (TCM); Reinforcement learning; Chain of Thought (COT); LoRA; GRPO</t>
  </si>
  <si>
    <t>37</t>
  </si>
  <si>
    <t>ELSEVIER SCI LTD</t>
  </si>
  <si>
    <t>London</t>
  </si>
  <si>
    <t>125 London Wall, London, ENGLAND</t>
  </si>
  <si>
    <t>1746-8094</t>
  </si>
  <si>
    <t>1746-8108</t>
  </si>
  <si>
    <t>BIOMED SIGNAL PROCES</t>
  </si>
  <si>
    <t>Biomed. Signal Process. Control</t>
  </si>
  <si>
    <t>DEC 1 2026</t>
  </si>
  <si>
    <t>128</t>
  </si>
  <si>
    <t>111275</t>
  </si>
  <si>
    <t>10.1016/j.bspc.2026.111275</t>
  </si>
  <si>
    <t>http://dx.doi.org/10.1016/j.bspc.2026.111275</t>
  </si>
  <si>
    <t>Engineering, Biomedical</t>
  </si>
  <si>
    <t>MX7GF</t>
  </si>
  <si>
    <t>WOS:001853375300002</t>
  </si>
  <si>
    <t>Konrad, PM; Popa, AA; Sabzehmeidani, Y; Zhong, L; Tripathy, M; Constantinescu, A; Liehn, EA; Ayvaz, S</t>
  </si>
  <si>
    <t>Accurate segmentation of carotid artery structures in histopathological images is vital for cardiovascular disease research. This study systematically evaluates ten deep learning segmentation models including classical architectures, modern CNNs, a Vision Transformer, and foundation models, on a limited dataset of nine cardiovascular histology images. We conducted ablation studies on data augmentation, input resolution, and random seed stability to quantify sources of variance. Evaluation on an independent generalization dataset (N = 153) under distribution shift reveals that foundation models maintain performance while classical architectures fail, and that rankings change substantially between in-distribution and out-of-distribution settings. Training on the second dataset at varying sample sizes reveals dataset-specific ranking hierarchies confirming that model rankings are not generalizable across datasets. Despite rigorous Bayesian hyperparameter optimization, model performance remains highly sensitive to data splits. The bootstrap analysis reveals substantially overlapping confidence intervals among top models, with differences driven more by statistical noise than algorithmic superiority. This instability exposes limitations of standard benchmarking in low-data clinical settings and challenges assumptions that performance rankings reflect clinical utility. We advocate for uncertainty-aware evaluation in low-data clinical research scenarios from two perspectives. First, the scenario is not niche and is rather widely spread; and second, it enables pursuing or discontinuing research tracks with limited datasets from incipient stages of observations.</t>
  </si>
  <si>
    <t>Konrad, Phongsakon Mark; Popa, Andrei-Alexandru; Sabzehmeidani, Yaser; Zhong, Liang; Tripathy, Madhulika; Constantinescu, Andrei; Liehn, Elisa A.; Ayvaz, Serkan</t>
  </si>
  <si>
    <t>Ayvaz, S (corresponding author), Univ Southern Denmark, Ctr Ind Software, Alsion 2, DK-6400 Sonderborg, Denmark.</t>
  </si>
  <si>
    <t>phon@mmmi.sdu.dk; andrei@sdu.dk; yasers@sdu.dk; andrei.constantinescu@umfcd.ro; seay@mmmi.sdu.dk; madhulika.tripathi@duke-nus.edu.sg; zhong.liang@duke-nus.edu.sg; liehn.elisaanamaria@nhcs.com.sg</t>
  </si>
  <si>
    <t>Innovation Fund Denmark [9142-00001B]; CNCS-UEFISCDI [PN-III-P4-PCE-2021-1680]</t>
  </si>
  <si>
    <t>Innovation Fund Denmark (Innovation Fund Denmark); CNCS-UEFISCDI</t>
  </si>
  <si>
    <t>Funding This work is supported by the Innovation Fund Denmark for the project DIREC (9142-00001B) , CNCS-UEFISCDI, project number PN-III-P4-PCE-2021-1680. The content is solely the responsibility of the authors and does not represent the official views of funding sources.</t>
  </si>
  <si>
    <t>[Konrad, Phongsakon Mark; Ayvaz, Serkan] Univ Southern Denmark, Ctr Ind Software, Alsion 2, DK-6400 Sonderborg, Denmark; [Popa, Andrei-Alexandru; Sabzehmeidani, Yaser] Univ Southern Denmark, Ctr Ind Mech, Alsion 2, DK-6400 Sonderborg, Denmark; [Zhong, Liang; Tripathy, Madhulika] Duke NUS, 8 Coll Rd, Singapore 169857, Singapore; [Liehn, Elisa A.] Natl Heart Ctr Singapore, 5 Hosp Dr, Singapore 169609, Singapore; [Constantinescu, Andrei] Univ Med &amp; Pharm Carol Davila Bucharest, Bulevardul Eroii Sanit 8, Bucharest 050474, Romania</t>
  </si>
  <si>
    <t>University of Southern Denmark; University of Southern Denmark; National University of Singapore; National Heart Centre Singapore; Carol Davila University of Medicine &amp; Pharmacy</t>
  </si>
  <si>
    <t>Challenges in deep learning-based small organ segmentation: A benchmarking perspective for medical research with limited datasets</t>
  </si>
  <si>
    <t>Medical image segmentation; Benchmark instability; Limited data; Statistical Stability; Histopathology; Foundation models; Explainable AI</t>
  </si>
  <si>
    <t>70</t>
  </si>
  <si>
    <t>111226</t>
  </si>
  <si>
    <t>10.1016/j.bspc.2026.111226</t>
  </si>
  <si>
    <t>http://dx.doi.org/10.1016/j.bspc.2026.111226</t>
  </si>
  <si>
    <t>MW0FE</t>
  </si>
  <si>
    <t>WOS:001852216600002</t>
  </si>
  <si>
    <t>Szondy, I; Martyin, K; Mohos, G; Kiss, T; Szabó, K; Boostani, M; Goldust, M; Grzybowski, A; Bánvölgyi, A; Kiss, N</t>
  </si>
  <si>
    <t>Artificial intelligence (AI) comprises computational methods capable of performing tasks associated with human cognition, and includes specialized subfields such as machine learning, deep learning, convolutional neural networks for image analysis, and large language models for text-based workflows. In dermatology, these methods are increasingly used across research and clinical practice, supporting drug discovery, diagnosis, decision-making, and personalized treatment. In drug discovery, AI can accelerate target identification, support in silico compound design, and predict the effectiveness and safety profiles of compounds. It also offers opportunities for drug repurposing, helping identify candidates for conditions with limited treatment options. In clinical practice, AI enhances teledermatology and imaging-based assessment, providing consistent lesion analysis, severity evaluation, and triage support across malignant, inflammatory, and infectious skin diseases. Beyond diagnosis, AI is beginning to play a significant role in supporting therapeutic decision-making. Clinical decision-support systems and multimodal AI tools assist clinicians by organizing information, suggesting management strategies, monitoring disease progression, and helping align treatment choices with current guidelines. AI models can further estimate treatment response, durability, and the likelihood of therapy adjustment, creating a basis for more individualized care. Despite these advances, significant challenges remain. Bias in training data, limited real-world validation, unclear regulatory frameworks, concerns over interpretability, and the need for patient and clinician trust remain ongoing barriers. This review aims to provide an up-todate overview of the emerging application domains of AI in dermatology.</t>
  </si>
  <si>
    <t>Szondy, Istvan; Martyin, Katalin; Mohos, Gabriella; Kiss, Tara; Szabo, Katalin; Boostani, Mehdi; Goldust, Mohamad; Grzybowski, Andrzej; Banvolgyi, Andras; Kiss, Norbert</t>
  </si>
  <si>
    <t>Kiss, N (corresponding author), Semmelweis Univ, Fac Med, Dept Dermatol Venereol &amp; Dermatooncol, Maria Utca 41, H-1085 Budapest, Hungary.</t>
  </si>
  <si>
    <t>kiss.norbert@semmelweis.hu</t>
  </si>
  <si>
    <t>[Szondy, Istvan; Martyin, Katalin; Mohos, Gabriella; Kiss, Tara; Szabo, Katalin; Banvolgyi, Andras; Kiss, Norbert] Semmelweis Univ, Fac Med, Dept Dermatol Venereol &amp; Dermatooncol, Maria Utca 41, H-1085 Budapest, Hungary; [Boostani, Mehdi] Roswell Pk Comprehens Canc Ctr, Dept Dermatol, Buffalo, NY USA; [Goldust, Mohamad] Yale Univ, Sch Med, Dept Dermatol, New Haven, CT USA; [Grzybowski, Andrzej] Univ Warmia &amp; Mazury, Dept Ophthalmol, Olsztyn, Poland; [Grzybowski, Andrzej] Fdn Ophthalmol Dev, Inst Res Ophthalmol, Poznan, Poland</t>
  </si>
  <si>
    <t>Semmelweis University; Roswell Park Comprehensive Cancer Center; Yale University; University of Warmia &amp; Mazury</t>
  </si>
  <si>
    <t>Artificial intelligence in skin disease therapeutics: from drug discovery to personalized treatment pathways</t>
  </si>
  <si>
    <t>PRESSE MEDICALE</t>
  </si>
  <si>
    <t>Artificial intelligence; Drug discovery; Diagnosis; Decision support; Personalized treatment; Review</t>
  </si>
  <si>
    <t>DERMATOLOGY; CANCER; MODELS</t>
  </si>
  <si>
    <t>87</t>
  </si>
  <si>
    <t>MASSON EDITEUR</t>
  </si>
  <si>
    <t>MOULINEAUX CEDEX 9</t>
  </si>
  <si>
    <t>21 STREET CAMILLE DESMOULINS, ISSY, 92789 MOULINEAUX CEDEX 9, FRANCE</t>
  </si>
  <si>
    <t>0755-4982</t>
  </si>
  <si>
    <t>2213-0276</t>
  </si>
  <si>
    <t>PRESSE MED</t>
  </si>
  <si>
    <t>Presse Med.</t>
  </si>
  <si>
    <t>DEC 2026</t>
  </si>
  <si>
    <t>55</t>
  </si>
  <si>
    <t>4</t>
  </si>
  <si>
    <t>104376</t>
  </si>
  <si>
    <t>10.1016/j.lpm.2026.104376</t>
  </si>
  <si>
    <t>http://dx.doi.org/10.1016/j.lpm.2026.104376</t>
  </si>
  <si>
    <t>MP1XW</t>
  </si>
  <si>
    <t>42386042</t>
  </si>
  <si>
    <t>WOS:001847577500001</t>
  </si>
  <si>
    <t>hybrid</t>
  </si>
  <si>
    <t>Iheduru-Anderson, K</t>
  </si>
  <si>
    <t>Generative AI has entered nursing education rapidly and pervasively. While considerable scholarly attention has been directed toward student use of these tools, including concerns about academic integrity, citation fabrication, and the design of AI-resistant assessments. Far less attention has been paid to faculty practice. Yet many of us now routinely use generative AI in the work of teaching itself: generating grading rubrics, simplifying assignment instructions, aligning course materials to program outcomes, drafting feedback on student work, and refining policy language. This practice has spread without institutional guidance, without faculty disclosure norms, and with little professional conversation about what it means. This paper invites that conversation. It begins from the author's own practice and observations among colleagues, then examines three sets of questions raised by faculty AI use that have not yet been adequately engaged in the nursing literature. First, what is actually transferred when faculty paste assignments, rubrics, scenarios, and student work into commercial AI systems, and how do those transfers align, or fail to align, with the data practices of the platforms involved? Second, on whose behalf do faculty make these disclosure decisions, given that course materials embed the contributions of colleagues, clinical partners, prior developers, and students? Third, what does it mean for the development of nursing pedagogy when work once central to the formation of educators, including assessment design, feedback, and curricular alignment, is increasingly mediated through commercial generative tools? The paper does not argue that faculty should stop using generative AI. It argues that we should subject our own practice to the same reflection we have begun to ask of our students, and it offers a starting framework for that collective examination.</t>
  </si>
  <si>
    <t>Iheduru-Anderson, Kechi</t>
  </si>
  <si>
    <t>Science Citation Index Expanded (SCI-EXPANDED); Social Science Citation Index (SSCI)</t>
  </si>
  <si>
    <t>Iheduru-Anderson, K (corresponding author), Cent Michigan Univ, Herbert H &amp; Grace A Dow Coll Hlth Profess, Sch Rehabil &amp; Med Sci, Mt Pleasant, MI 48859 USA.</t>
  </si>
  <si>
    <t>ihedu1k@cmich.edu</t>
  </si>
  <si>
    <t>[Iheduru-Anderson, Kechi] Cent Michigan Univ, Herbert H &amp; Grace A Dow Coll Hlth Profess, Sch Rehabil &amp; Med Sci, Mt Pleasant, MI 48859 USA</t>
  </si>
  <si>
    <t>Central Michigan University</t>
  </si>
  <si>
    <t>What are we sharing? Faculty use of generative AI and the questions we have not yet asked in nursing education</t>
  </si>
  <si>
    <t>NURSE EDUCATION TODAY</t>
  </si>
  <si>
    <t>Generative artificial intelligence; Nursing education; Faculty practice; Data privacy; Informed consent; Pedagogical expertise; Professional ethics</t>
  </si>
  <si>
    <t>CHURCHILL LIVINGSTONE</t>
  </si>
  <si>
    <t>EDINBURGH</t>
  </si>
  <si>
    <t>JOURNAL PRODUCTION DEPT, ROBERT STEVENSON HOUSE, 1-3 BAXTERS PLACE, LEITH WALK, EDINBURGH EH1 3AF, MIDLOTHIAN, SCOTLAND</t>
  </si>
  <si>
    <t>0260-6917</t>
  </si>
  <si>
    <t>1532-2793</t>
  </si>
  <si>
    <t>NURS EDUC TODAY</t>
  </si>
  <si>
    <t>Nurse Educ. Today</t>
  </si>
  <si>
    <t>167</t>
  </si>
  <si>
    <t>107326</t>
  </si>
  <si>
    <t>10.1016/j.nedt.2026.107326</t>
  </si>
  <si>
    <t>http://dx.doi.org/10.1016/j.nedt.2026.107326</t>
  </si>
  <si>
    <t>Education, Scientific Disciplines; Nursing</t>
  </si>
  <si>
    <t>Education &amp; Educational Research; Nursing</t>
  </si>
  <si>
    <t>MT4QB</t>
  </si>
  <si>
    <t>42594486</t>
  </si>
  <si>
    <t>WOS:001850472300001</t>
  </si>
  <si>
    <t>Neto, M; Pinto, R; Reis, J; Antao, L</t>
  </si>
  <si>
    <t>The adoption of Generative AI (GenAI) and Large Language Models (LLMs) in healthcare education has acceler ated rapidly since 2023, yet the evidence base for their use in Scenario-Based Learning (SBL) remains fragmented. This systematic review synthesises empirical research on GenAI applications across scenario-based, case-based, problem-based, and simulation-based learning in healthcare education. Following the PRISMA 2020 guidelines, five databases were searched on 9 November 2025 for peer-reviewed studies published from January 2023 onwards. Of 1151 initial records, 23 studies met the inclusion criteria. Quality was assessed using the Mixed Methods Appraisal Tool (MMAT). Thematic synthesis identified six cross-cutting themes organised around a cen tral finding: prompt design in educational contexts functions as a form of instructional specification, encoding the cognitive targets and quality criteria that would otherwise be implicit in expert authoring. Yet only 34.8% of studies aligned generated content with established instructional frameworks, and an equal proportion re ported prompting strategies in sufficient detail for reproduction. Additional findings include: variable validation practices lacking standardisation; superior outcomes from hybrid human-AI collaboration over fully automated approaches; persistent evaluation gaps in longitudinal and comparative designs; and scalability as a primary adoption driver despite largely unquantified efficiency gains. GPT-4 dominated implementations (44.4%), while open-source alternatives were under-explored. Educational outcomes were generally positive for higher-order cognitive skills but inconsistent for knowledge acquisition. A four-stage validation pipeline is proposed as a con ceptual framework to guide responsible deployment, pending empirical validation. These findings suggest that GenAI integration in healthcare SBL requires treating prompt design as a methodological element, standardising multi-stage validation, and formalising human-AI collaboration to realise its educational potential.</t>
  </si>
  <si>
    <t>Neto, Mariana; Pinto, Rui; Reis, Joao; Antao, Liliana</t>
  </si>
  <si>
    <t>Pinto, R (corresponding author), Univ Porto, SYSTEC ARISE, Fac Engn, Rua Dr Roberto Frias,S-N, P-4200465 Porto, Portugal.</t>
  </si>
  <si>
    <t>up201606791@up.pt; jpcreis@fe.up.pt; lpsantao@fe.up.pt; rpinto@fe.up.pt</t>
  </si>
  <si>
    <t>Foundation for Science and Technology (FCT/MCTES) [LA/P/0112/2020, UIDB/00147/2020, UIDP/00147/2020]; Medtiles [UIDB/00147/2020, UIDP/00147/2020]</t>
  </si>
  <si>
    <t>Foundation for Science and Technology (FCT/MCTES); Medtiles</t>
  </si>
  <si>
    <t>The authors acknowledge the support provided by the Foundation for Science and Technology (FCT/MCTES) within the scope of the Associated Laboratory ARISE (LA/P/0112/2020), the R&amp;D Unit SYSTEC through Base (UIDB/00147/2020) and Programmatic (UIDP/00147/2020) funds. The authors also acknowledge Medtiles for its collaboration and support, particularly for providing the educational platform and clinical scenario generation that informed part of this research.</t>
  </si>
  <si>
    <t>[Neto, Mariana] Univ Porto, Fac Engn, Rua Dr Roberto Frias,S-N, P-4200465 Porto, Portugal; [Pinto, Rui; Reis, Joao; Antao, Liliana] Univ Porto, SYSTEC ARISE, Fac Engn, Rua Dr Roberto Frias,S-N, P-4200465 Porto, Portugal; [Reis, Joao; Antao, Liliana] UPTEC Asprela1, Medtiles, Rua Alfredo Allen 455-461, P-4200135 Porto, Portugal</t>
  </si>
  <si>
    <t>Universidade do Porto; Universidade do Porto</t>
  </si>
  <si>
    <t>Generative AI in scenario-based healthcare education: A systematic review of applications, validation practices, and pedagogical integration</t>
  </si>
  <si>
    <t>COMPUTERS AND EDUCATION: ARTIFICIAL INTELLIGENCE</t>
  </si>
  <si>
    <t>Generative artificial intelligence; Large language models; Scenario-based learning; Healthcare education; Systematic literature review; Human-AI collaboration</t>
  </si>
  <si>
    <t>MEDICAL-EDUCATION</t>
  </si>
  <si>
    <t>73</t>
  </si>
  <si>
    <t>ELSEVIER</t>
  </si>
  <si>
    <t>AMSTERDAM</t>
  </si>
  <si>
    <t>RADARWEG 29, 1043 NX AMSTERDAM, NETHERLANDS</t>
  </si>
  <si>
    <t>2666-920X</t>
  </si>
  <si>
    <t>COMPUT EDUC-ARTIF IN</t>
  </si>
  <si>
    <t>Comput. Educ. Artif. Intell.</t>
  </si>
  <si>
    <t>100654</t>
  </si>
  <si>
    <t>10.1016/j.caeai.2026.100654</t>
  </si>
  <si>
    <t>http://dx.doi.org/10.1016/j.caeai.2026.100654</t>
  </si>
  <si>
    <t>Computer Science, Artificial Intelligence; Computer Science, Interdisciplinary Applications; Education &amp; Educational Research</t>
  </si>
  <si>
    <t>Computer Science; Education &amp; Educational Research</t>
  </si>
  <si>
    <t>MN6JT</t>
  </si>
  <si>
    <t>WOS:001846525600001</t>
  </si>
  <si>
    <t>Espona, J; Roig, E; Garcia, M; Duran-Sindreu, F; Abella, F; Dummer, PMH; Gonzalez, JA; Elmsmari, F; Pineda, K; Figueras, O; Roig, M</t>
  </si>
  <si>
    <t>Objectives: To validate DT-RAG, a curated retrieval-augmented generation system for dental traumatology decision support, against eight commercial large language models. Methods: A knowledge base of 250 curated text units ("chunks") from five authoritative sources (IADT 2020, ESE 2021, Krastl 2021, AAE 2013, Cochrane) was built and deployed with Gemini 2.5 Flash as base model. In Study 1, 99 binary clinical questions were submitted in three runs to DT-RAG and eight LLMs; modal accuracy was compared by McNemar exact tests with Holm correction. In Study 2, seven blinded specialists scored DT-RAG against three frontier LLMs on ten clinical scenarios using a 92-point rubric; differences were estimated by linear mixed-effects regression. Results: DT-RAG achieved 96.0% modal accuracy (95% CI 90.1-98.4), significantly exceeding every commercial LLM (best comparator GPT-5.5 87.9%; paired difference +8.1 pp, 95% CI +2.9 to +14.9; p_Holm = 0.013). The curated knowledge base elevated the base model from 49.5% to 98.0% valid rationale rate, eliminating confabulations in this evaluation (0 vs 21). In Study 2, DT-RAG achieved the highest mean score (82.1/92; 89.3%), significantly exceeding Claude Opus 4.5 (72.6; paired difference +9.6 points, exact Wilcoxon p = 0.016), Gemini 2.5 Pro (60.3) and GPT-4.1 (50.4); all seven evaluators ranked DT-RAG first (Kendall's W = 0.97). Conclusions: DT-RAG, a curated retrieval-augmented configuration, outperformed frontier-tier general-purpose LLMs on this dental traumatology benchmark, with no confabulated rationales observed among the responses assessed. This approach may be applicable to other well-defined clinical domains with authoritative guidelines. Clinical significance: Curated retrieval augmentation produced accurate, source-traceable and reproducible responses in dental traumatology under benchmark and simulated-scenario conditions, making every error auditable against its source. Clinical safety requires prospective evaluation.</t>
  </si>
  <si>
    <t>Espona, Jose; Roig, Elena; Garcia, Marc; Duran-Sindreu, Fernando; Abella, Francesc; Dummer, Paul M. H.; Gonzalez, Jose Antonio; Elmsmari, Firas; Pineda, Kenneth; Figueras, Oscar; Roig, Miguel</t>
  </si>
  <si>
    <t>Roig, E (corresponding author), Univ Int Catalunya, Dept Orthodont, Josep Trueta S-N, Barcelona 08195, Spain.</t>
  </si>
  <si>
    <t>eroigf@uic.es</t>
  </si>
  <si>
    <t>[Espona, Jose; Figueras, Oscar; Roig, Miguel] Univ Int Catalunya, Dept Restorat Dent, Barcelona, Spain; [Roig, Elena] Univ Int Catalunya, Dept Orthodont, Josep Trueta S-N, Barcelona 08195, Spain; [Garcia, Marc; Duran-Sindreu, Fernando; Abella, Francesc; Gonzalez, Jose Antonio] Univ Int Catalunya, Dept Endodont, Barcelona, Spain; [Dummer, Paul M. H.] Cardiff Univ, Sch Dent, Cardiff, Wales; [Elmsmari, Firas] Ajman Univ, Coll Dent, Dept Clin Sci, Ajman, U Arab Emirates; [Elmsmari, Firas] Ajman Univ, Ctr Med &amp; Bioallied Hlth Sci Res, Ajman, U Arab Emirates; [Pineda, Kenneth] Univ San Carlos, Dept Endodont, Guatemala City, Guatemala</t>
  </si>
  <si>
    <t>Universitat Internacional de Catalunya (UIC); Universitat Internacional de Catalunya (UIC); Cardiff University; Ajman University; Ajman University; Universidad de San Carlos de Guatemala</t>
  </si>
  <si>
    <t>Curated retrieval-augmented generation for dental traumatology</t>
  </si>
  <si>
    <t>JOURNAL OF DENTISTRY</t>
  </si>
  <si>
    <t>Dental traumatology; Clinical guidelines; Retrieval-augmented generation; Large language models; Clinical decision support; Evidence-based endodontics</t>
  </si>
  <si>
    <t>Pineda, Kenneth Roderico/0000-0001-6399-2551</t>
  </si>
  <si>
    <t>0300-5712</t>
  </si>
  <si>
    <t>1879-176X</t>
  </si>
  <si>
    <t>J DENT</t>
  </si>
  <si>
    <t>J. Dent.</t>
  </si>
  <si>
    <t>175</t>
  </si>
  <si>
    <t>106947</t>
  </si>
  <si>
    <t>10.1016/j.jdent.2026.106947</t>
  </si>
  <si>
    <t>http://dx.doi.org/10.1016/j.jdent.2026.106947</t>
  </si>
  <si>
    <t>8</t>
  </si>
  <si>
    <t>Dentistry, Oral Surgery &amp; Medicine</t>
  </si>
  <si>
    <t>MN2AH</t>
  </si>
  <si>
    <t>42546813</t>
  </si>
  <si>
    <t>WOS:001846229300001</t>
  </si>
  <si>
    <t>Mayer, Y; Canullo, L; Kivovics, M; Giladi, HZ; Gabay, E; Ginesin, O</t>
  </si>
  <si>
    <t>Objectives: To compare expert-rated diagnostic accuracy, patient safety, completeness of management, and freedom from detectable hallucinations across eleven conversational artificial-intelligence (AI) platforms (general-purpose large language models [LLMs], a general-purpose retrieval-augmented [RAG] platform, and a medical-domain RAG platform) using synthetic vignettes of dental implant complications. Methods: Thirty vignettes (10 surgical, 10 biological, 10 mechanical/prosthetic) were submitted as independent prompts to each platform. Four blinded specialists (periodontists or oral and maxillofacial surgeons, &gt;10 years' implant experience) scored each response on a 5-point Likert scale across four parameters. Friedman tests (Kendall's W effect size) assessed ordinal scores, and Cochran's Q tested two binary outcomes: safe (Safety &gt; 4) and hallucination-free (Hallucinations &gt; 4). Results: Across 330 responses (1320 ratings), OpenEvidence achieved 100% safe and 100% hallucination-free responses. Among general-purpose platforms, safe rates ranged from 56.7% (Claude 4.5 Haiku) to 86.7% (Perplexity) and hallucination-free rates from 36.7% (Claude 4.5 Haiku) to 93.3% (GPT-5.4 Thinking; Qwen 3.5Plus), both significant (Cochran's Q, p &lt; 0.01). Friedman tests were significant for every parameter (lowest p = 1.7 &amp; times; 10(-15); Kendall's W 0.126-0.293). OpenEvidence had the highest composite score (4.90 +/- 0.18), with the largest effects in the mechanical/prosthetic subcategory (W = 0.548, large). Conclusions: Within a vignette-based design, the medical-domain RAG platform (OpenEvidence) achieved the highest ratings across all domains, with Perplexity second; among general-purpose LLMs, GPT-5.4 Thinking, Claude Opus, and Mistral led. These findings reflect performance under tested conditions, not real-world efficacy. All platforms should serve as adjuncts to specialist judgement, and prospective validation is required before clinical deployment. Clinical Significance: Retrieval-augmented platforms grounded in peer-reviewed literature earned higher expert ratings than general-purpose LLMs, with the medical-domain platform OpenEvidence rated 100% safe and hallucination-free. Inter-model gaps were largest for mechanical/prosthetic cases; specialist verification remains essential before clinical use.</t>
  </si>
  <si>
    <t>Mayer, Yaniv; Canullo, Luigi; Kivovics, Marton; Giladi, Hadar Zigdon; Gabay, Eran; Ginesin, Ofir</t>
  </si>
  <si>
    <t>Mayer, Y (corresponding author), Rambam Hlth Care Campus, Sch Grad Dent, Dept Periodontol, HaAliya HaShniya St 8, IL-3109601 Haifa, Israel.</t>
  </si>
  <si>
    <t>[Mayer, Yaniv; Giladi, Hadar Zigdon; Gabay, Eran; Ginesin, Ofir] Technion Israel Inst Technol, Ruth &amp; Bruce Rappaport Fac Med, Haifa, Israel; [Mayer, Yaniv; Giladi, Hadar Zigdon; Gabay, Eran; Ginesin, Ofir] Rambam Hlth Care Campus, Dept Periodontol, Haifa, Israel; [Canullo, Luigi] Univ St Camillus, Dept Prosthodont, I-00139 Rome, Italy; [Kivovics, Marton] Semmelweis Univ, Dept Publ Dent Hlth, Budapest, Hungary</t>
  </si>
  <si>
    <t>Technion Israel Institute of Technology; Rappaport Faculty of Medicine; Technion Israel Institute of Technology; Rambam Health Care Campus; Semmelweis University</t>
  </si>
  <si>
    <t>Large language models and retrieval-augmented platforms for dental implant complications: A blinded, expert-rated benchmarking study</t>
  </si>
  <si>
    <t>Artificial intelligence; Large language models; Retrieval-augmented generation; Dental implants; Peri-implantitis; Clinical decision support; Hallucinations</t>
  </si>
  <si>
    <t>CONSENSUS REPORT; PLACEMENT; SURVIVAL</t>
  </si>
  <si>
    <t>43</t>
  </si>
  <si>
    <t>106828</t>
  </si>
  <si>
    <t>10.1016/j.jdent.2026.106828</t>
  </si>
  <si>
    <t>http://dx.doi.org/10.1016/j.jdent.2026.106828</t>
  </si>
  <si>
    <t>MJ9BY</t>
  </si>
  <si>
    <t>42269758</t>
  </si>
  <si>
    <t>WOS:001843998200001</t>
  </si>
  <si>
    <t>Reymus, M; Tichy, A; Diegritz, C; Weisbrod, B; Schwendicke, F; Werner, N</t>
  </si>
  <si>
    <t>Objectives: To present a feasible workflow for artificial intelligence (AI)-assisted software engineering in dentistry as a technical innovation report. The use of this workflow is illustrated through three self-developed open-source dental applications. Methods: Four AI-assisted development approaches were employed: chat-based interfaces of large language models, command-line interface tools, integrated development environments with AI assistance, and agent-based architectures. The dental software applications were created by a single clinician without formal programming training. Results: Three applications were created: (1) VirtualEndo Converter, a Blender add-on for automated CBCT derived STL conversion for augmented/virtual reality (AR/VR), (2) MeshComparisonTool, a 3D Slicer extension for quantitative 3D morphology comparisons, and (3) DentalEmergencyTrainer, an application for simulating dental trauma emergency calls. All the applications are publicly available under the MIT license on GitHub. Conclusions: This report demonstrates that AI-assisted software development can enable dental practitioners without formal programming training to create functional prototypes of applications for research, education, and potentially clinical support. However, the reproducibility of this approach remains to be established, as the three tools were developed by a single clinician, and their clinical deployment would require thorough validation, security auditing, and regulatory assessment. Clinical Significance: AI-assisted development can help dental practitioners prototype tools that address unmet needs in clinical workflows, research, and education, but clinical use requires cautious separation from validated medical software. Before deployment, such tools require defined intended use, safety evaluation, data-protection safeguards, maintenance plans, and regulatory assessment.</t>
  </si>
  <si>
    <t>Reymus, Marcel; Tichy, Antonin; Diegritz, Christian; Weisbrod, Benedikt; Schwendicke, Falk; Werner, Nils</t>
  </si>
  <si>
    <t>Reymus, M (corresponding author), Ludwig Maximilians Univ Munchen, LMU Univ Hosp, Dept Conservat Dent Periodontol &amp; Digital Dentc, Goethestr 70, D-80336 Munich, Germany.</t>
  </si>
  <si>
    <t>marcel.reymus@med.uni-muenchen.de</t>
  </si>
  <si>
    <t>[Reymus, Marcel; Tichy, Antonin; Diegritz, Christian; Weisbrod, Benedikt; Schwendicke, Falk; Werner, Nils] Ludwig Maximilians Univ Munchen, LMU Univ Hosp, Dept Conservat Dent Periodontol &amp; Digital Dent, LMU Med, Munich, Germany; [Tichy, Antonin] Charles Univ Prague, Inst Dent Med, Fac Med 1, Prague, Czech Republic</t>
  </si>
  <si>
    <t>University of Munich; Charles University Prague; General University Hospital Prague</t>
  </si>
  <si>
    <t>AI-assisted software development in digital dentistry: A technical innovation report with three open-source applications</t>
  </si>
  <si>
    <t>Artificial intelligence; Large language models; Vibe coding; Dental education; Endodontics; Augmented reality</t>
  </si>
  <si>
    <t>106864</t>
  </si>
  <si>
    <t>10.1016/j.jdent.2026.106864</t>
  </si>
  <si>
    <t>http://dx.doi.org/10.1016/j.jdent.2026.106864</t>
  </si>
  <si>
    <t>MI9XU</t>
  </si>
  <si>
    <t>42361884</t>
  </si>
  <si>
    <t>WOS:001843373500001</t>
  </si>
  <si>
    <t>Xiong, YT; Chen, YX; Sun, YN; Lu, AJ; Tang, W; Liu, C</t>
  </si>
  <si>
    <t>Objectives: Large language models (LLMs) have significant potential for dental applications, but their inherent tendency to hallucinate remains a major challenge. This study aims to develop and evaluate a graph-based agentic decision support system for dental question answering. Methods: We developed a Dental Graph-based Agentic Decision Support System (DGADS) to support precision dental question answering. DGADS comprised three core modules: a knowledge graph builder, a graph-based RAG module, and an agentic RAG module. DGADS transformed a large volume of dental textual knowledge into a knowledge graph, termed DentalKG, and established a graph-based retrieval augmented generation system. DGADS was evaluated on three benchmarks against state-of-the-art LLMs and chunk-based RAG approaches, including internal multiple-choice questions, external multiple-choice questions, and open-ended questions. Results: DentalKG comprised 130,735 entities and 236,935 triples constructed and evaluated between 15 October 2025 and 1 May 2026. DGADS leveraged knowledge from DentalKG to outperform baseline models, achieving absolute accuracy improvements of 0.04 (95% CI: 0.03, 0.06) on 500 internal questions and 0.05 (95% CI: 0.04, 0.07) on 260 external questions. In addition, DGADS improved performance on open-ended questions, with mean scores increasing up to 0.78 points on a 5-point scale. DGADS was able to automatically assess the sufficiency of information retrieved from DentalKG and retrieve relevant data from external information sources. Conclusions: DGADS has the potential to become a useful research-oriented tool for supporting dental question answering, with the promise of improving the precision and efficiency of broader clinical applications. Clinical Significance: DGADS supports precise dental question answering by grounding LLMs' outputs in a dental knowledge graph and retrieving external evidence when needed. By reducing hallucinations and providing traceable rationale in benchmark-based evaluations, it may help clinicians access reliable information more efficiently in the future.</t>
  </si>
  <si>
    <t>Xiong, Yu-Tao; Chen, Yu-Xin; Sun, Ya-Nan; Lu, Ao-Jun; Tang, Wei; Liu, Chang</t>
  </si>
  <si>
    <t>Tang, W; Liu, C (corresponding author), Sichuan Univ, West China Hosp Stomatol, State Key Lab Oral Dis, Chengdu 610041, Peoples R China.; Tang, W; Liu, C (corresponding author), Sichuan Univ, West China Hosp Stomatol, Natl Ctr Stomatol, Chengdu 610041, Peoples R China.; Tang, W; Liu, C (corresponding author), Sichuan Univ, West China Hosp Stomatol, Natl Clin Res Ctr Oral Dis, Chengdu 610041, Peoples R China.; Tang, W; Liu, C (corresponding author), Sichuan Univ, West China Hosp Stomatol, Dept Oral &amp; Maxillofacial Surg, Chengdu 610041, Peoples R China.</t>
  </si>
  <si>
    <t>mydrtw@vip.sina.com; liu_chang_92@sina.com</t>
  </si>
  <si>
    <t>Sichuan Science and Technology Program [2024NSFSC0659]; Research and Development Program of West China Hospital of Stomatology Sichuan University [RD-03-202,303]; National Health Commission Hospital Management Institute Clinical Application Research Project on Medical Artificial Intelligence [YLXX24AIA009]</t>
  </si>
  <si>
    <t>Sichuan Science and Technology Program (Sichuan Science and Technology Program); Research and Development Program of West China Hospital of Stomatology Sichuan University; National Health Commission Hospital Management Institute Clinical Application Research Project on Medical Artificial Intelligence</t>
  </si>
  <si>
    <t>This work was funded by the Sichuan Science and Technology Program (Grant No 2024NSFSC0659), the Research and Development Program of West China Hospital of Stomatology Sichuan University (Grant No RD-03-202,303), and the National Health Commission Hospital Management Institute "Clinical Application Research Project on Medical Artificial Intelligence" (Grant No YLXX24AIA009)The funders had no role in the design and conduct of the study; the collection, management, analysis, and interpretation of the data; the preparation, review, or approval of the manuscript; or the decision to submit the manuscript for publication</t>
  </si>
  <si>
    <t>[Xiong, Yu-Tao; Chen, Yu-Xin; Tang, Wei; Liu, Chang] Sichuan Univ, West China Hosp Stomatol, State Key Lab Oral Dis, Chengdu 610041, Peoples R China; [Xiong, Yu-Tao; Chen, Yu-Xin; Tang, Wei; Liu, Chang] Sichuan Univ, West China Hosp Stomatol, Natl Ctr Stomatol, Chengdu 610041, Peoples R China; [Xiong, Yu-Tao; Chen, Yu-Xin; Tang, Wei; Liu, Chang] Sichuan Univ, West China Hosp Stomatol, Natl Clin Res Ctr Oral Dis, Chengdu 610041, Peoples R China; [Xiong, Yu-Tao; Chen, Yu-Xin; Tang, Wei; Liu, Chang] Sichuan Univ, West China Hosp Stomatol, Dept Oral &amp; Maxillofacial Surg, Chengdu 610041, Peoples R China; [Sun, Ya-Nan; Lu, Ao-Jun] Sichuan Univ, Coll Comp Sci, Chengdu 610065, Peoples R China</t>
  </si>
  <si>
    <t>Sichuan University; Sichuan University; Sichuan University; Sichuan University; Sichuan University</t>
  </si>
  <si>
    <t>DGADS: A graph-based agentic decision support system for precision dental question answering</t>
  </si>
  <si>
    <t>Large language models; Knowledge graph; Retrieval-augmented generation; Dental question answering; Artificial intelligence</t>
  </si>
  <si>
    <t>106875</t>
  </si>
  <si>
    <t>10.1016/j.jdent.2026.106875</t>
  </si>
  <si>
    <t>http://dx.doi.org/10.1016/j.jdent.2026.106875</t>
  </si>
  <si>
    <t>MI9ZW</t>
  </si>
  <si>
    <t>42385839</t>
  </si>
  <si>
    <t>WOS:001843378900001</t>
  </si>
  <si>
    <t>Zhang, HX; Yan, XY; Yang, YQ; Jin, LJ; Yang, P; Wang, JW</t>
  </si>
  <si>
    <t>Objectives: This study implemented a structured evaluation pipeline integrating automated metrics with expert scoring to assess six widely used large language models (LLMs) on their abilities to interpret longitudinal dental case vignettes through open-ended questions, aiming for providing practical guidance for dental practitioners.&lt;br /&gt; Methods: Thirty-four standardized longitudinal periodontal case vignettes were sourced from a published textbook, generating 258 open-ended question-answer pairs. A controlled three-step prompting protocol was used to generate responses respectively from six LLMs, including GPT, Gemini, Copilot, DeepSeek, Llama and MedGemma. Performances were assessed using automated metrics (faithfulness, answer relevancy and readability) and blinded expert evaluation based on a 5-point Likert scale.&lt;br /&gt; Results: There were significant differences across all evaluation metrics among the six models. DeepSeek achieved the highest expert ratings, with a median score of 4.5/5, outperforming other models such as GPT (4.0/5), Gemini (4.0/5), Copilot (4.0/5), MedGemma (3.75/5), and Llama (3.5/5). DeepSeek also demonstrated comparable or superior performance in faithfulness, answer relevancy, and readability. Distinct performance tradeoffs were observed, where Copilot offered high readability at the cost of accuracy, Gemini tended to produce less relevant responses, and Llama generated less readable text.&lt;br /&gt; Conclusions: The evaluation pipeline enabled reproducible and transparent comparison of LLMs in dental case reasoning, and identified DeepSeek as a robust choice for answering open-ended dental questions. Dental practitioners should be aware of limitations of each current model, when selecting an AI tool for clinical or educational tasks.&lt;br /&gt; Clinical significance: This study provides a multi-dimensional evaluation framework that characterizes how current LLMs perform on open-ended dental questions. The results highlight meaningful differences across models and emphasize the need for practitioners to consider each model's strengths and limitations when selecting them for educational or decision-support tasks.</t>
  </si>
  <si>
    <t>Zhang, Hexian; Yan, Xinyu; Yang, Yanqi; Jin, Lijian; Yang, Ping; Wang, Junwen</t>
  </si>
  <si>
    <t>Wang, JW (corresponding author), Room 2A07,2-F,34 Hosp Rd, Hong Kong, Peoples R China.</t>
  </si>
  <si>
    <t>ljjin@hku.hk; yang.ping@mayo.edu; xinyuyan@connect.hku.hk; junwen@hku.hk; yangyanq@hku.hk; chordzhang@connect.hku.hk</t>
  </si>
  <si>
    <t>University of Hong Kon [C7015-23G, 2207101590, 2201101499]; Faculty of Dentistry, the University of Hong Kong [207051059, 6010309]</t>
  </si>
  <si>
    <t>University of Hong Kon; Faculty of Dentistry, the University of Hong Kong</t>
  </si>
  <si>
    <t>This work was supported by collaborative research fund of Research Grants Council [C7015-23G], seed funding for collaborative research [2207101590] and basic research [2201101499] from the University of Hong Kong, and startup funds [207051059, 6010309] from Faculty of Dentistry, the University of Hong Kong to J Wang.</t>
  </si>
  <si>
    <t>[Zhang, Hexian; Wang, Junwen] Univ Hong Kong, Fac Dent, Div Appl Oral Sci &amp; Community Dent Care, 34 Hosp Rd, Hong Kong, Peoples R China; [Yan, Xinyu; Yang, Yanqi] Univ Hong Kong, Fac Dent, Div Paediat Dent &amp; Orthodont, 34 Hosp Rd, Hong Kong, Peoples R China; [Jin, Lijian] Univ Hong Kong, Fac Dent, Div Periodontol &amp; Implant Dent, 34 Hosp Rd, Hong Kong, Peoples R China; [Yang, Ping] Mayo Clin, Dept Quantitat Hlth Sci, Div Epidemiol, Scottsdale, AZ 85259 USA</t>
  </si>
  <si>
    <t>University of Hong Kong; University of Hong Kong; University of Hong Kong; Mayo Clinic; Mayo Clinic Phoenix</t>
  </si>
  <si>
    <t>Evaluation of six cutting-edge large language models in answering a set of open-ended questions in dental case reports</t>
  </si>
  <si>
    <t>Artificial intelligence; Deep learning; Dental education; Electronic dental records; Dentistry; Periodontology</t>
  </si>
  <si>
    <t>45</t>
  </si>
  <si>
    <t>106853</t>
  </si>
  <si>
    <t>10.1016/j.jdent.2026.106853</t>
  </si>
  <si>
    <t>http://dx.doi.org/10.1016/j.jdent.2026.106853</t>
  </si>
  <si>
    <t>MI9XI</t>
  </si>
  <si>
    <t>42342199</t>
  </si>
  <si>
    <t>WOS:001843372300001</t>
  </si>
  <si>
    <t>Jin, YQ; Yang, KX; Martinez-Maldonado, R; Gasevic, D; Yan, LX</t>
  </si>
  <si>
    <t>Generative AI is becoming part of academic writing, but its educational value depends on how control is shared between learner and system. This study examined an agency gap: performance differences that may arise when AI agent initiative is misaligned with learners' generative AI literacy. Seventy-nine medical and nursing students completed two multimodal analytical writing tasks using healthcare simulation data visualisations. They were randomly assigned to a reactive agent that responded only when prompted or a proactive agent that provided sequenced questions and feedback. Generative AI literacy was measured using the validated 20-item Generative AI Literacy Assessment Test. Epistemic network analysis showed that proactive interaction created stronger links among conceptual reasoning, evidence use, and constructive engagement, whereas reactive interaction was more factual and procedural. Ordinal regression showed that generative AI literacy predicted immediate independent writing performance after support was removed, particularly for visual data integration, critical thinking, and overall quality. Condition-specific mediation estimates showed a literacy-performance association in the reactive condition but not in the proactive condition; however, the indirect effects and literacy-by-design interactions were not significant. This pattern is consistent with smaller literacy-related performance differences under proactive scaffolding, but it does not establish a compensatory causal effect. Learner reflections indicated that effective AI writing support requires contextual feedback, dialogic scaffolding, and calibration of initiative to learner needs and task complexity. These findings position interaction design as a potential mechanism for supporting equitable and agency-supportive educational AI agents.</t>
  </si>
  <si>
    <t>Jin, Yueqiao; Yang, Kaixun; Martinez-Maldonado, Roberto; Gasevic, Dragan; Yan, Lixiang</t>
  </si>
  <si>
    <t>Gasevic, D (corresponding author), Univ Hong Kong, Fac Educ, Hong Kong, Peoples R China.; Gasevic, D (corresponding author), Univ Hong Kong, Sch Comp &amp; Data Sci, Hong Kong, Peoples R China.; Yan, LX (corresponding author), Tsinghua Univ, Sch Educ, Beijing, Peoples R China.</t>
  </si>
  <si>
    <t>dgasevic@hku.hk; roberto.martinezmaldonado@monash.edu; lixiangyan@tsinghua.edu.cn; kaixun.yang1@monash.edu; ariel.jin@monash.edu</t>
  </si>
  <si>
    <t>[Jin, Yueqiao; Yang, Kaixun; Gasevic, Dragan] Monash Univ, Fac Informat Technol, Clayton, Vic 3168, Australia; [Gasevic, Dragan] Univ Hong Kong, Fac Educ, Hong Kong, Peoples R China; [Gasevic, Dragan] Univ Hong Kong, Sch Comp &amp; Data Sci, Hong Kong, Peoples R China; [Yan, Lixiang] Tsinghua Univ, Sch Educ, Beijing, Peoples R China</t>
  </si>
  <si>
    <t>Monash University; University of Hong Kong; University of Hong Kong; Tsinghua University</t>
  </si>
  <si>
    <t>The agency gap in AI-supported writing: How reactive and proactive agent designs shape multimodal reasoning</t>
  </si>
  <si>
    <t>Generative AI literacy; Human-AI interaction; Academic writing; Agency</t>
  </si>
  <si>
    <t>GENERATIVE AI; FRAMEWORK; LITERACY</t>
  </si>
  <si>
    <t>89</t>
  </si>
  <si>
    <t>100655</t>
  </si>
  <si>
    <t>10.1016/j.caeai.2026.100655</t>
  </si>
  <si>
    <t>http://dx.doi.org/10.1016/j.caeai.2026.100655</t>
  </si>
  <si>
    <t>MH8GC</t>
  </si>
  <si>
    <t>WOS:001842582600001</t>
  </si>
  <si>
    <t>Mathy, RM; Schmitz, F; Kauczor, HU; Jang, H; Sedaghat, S</t>
  </si>
  <si>
    <t>Purpose To evaluate the performance of five language models (LLMs)-ChatGPT, Gemini, Meta, Claude, and DeepSeek-in providing clinically relevant advice on microwave ablation (MWA), a minimally invasive therapy for tumor treatment. Methods A total of 27 standardized questions covering seven thematic domains of MWA were presented to each LLM using a single-input approach. Responses were independently evaluated by three senior radiologists using three customized 4-point rating scales: Overall Quality Score (OQS), Understandability Score (US), and Implementability Score (IS). The mean of these metrics was calculated as the Mean Quality Score (MQS). Interrater reliability was assessed using intraclass correlation coefficients (ICC). Results 540 ratings were performed. All LLMs successfully generated relevant responses. ChatGPT achieved the highest MQS (3.65 +/- 0.54), outperforming Claude (3.47 +/- 0.59) and DeepSeek (3.47 +/- 0.60), while Gemini (3.00 +/- 0.55) and Meta (2.95 +/- 0.61) scored significantly lower (p &lt; 0.05). ChatGPT also ranked highest across all subcategories, particularly in Effectiveness and Outcomes (3.73 +/- 0.44), Risks and Complications (3.89 +/- 0.32), and Post-Procedure Care (3.89 +/- 0.32). Interrater reliability was moderate to good (ICC = 0.56-0.75), confirming consistent evaluation. Conclusion All examined LLMs demonstrated the ability to provide meaningful advice on MWA. However, ChatGPT showed the best overall accuracy, clarity, and clinical applicability. Claude and DeepSeek achieved comparable results in specific areas. While these findings highlight the promising potential of LLMs in supporting clinical decision-making, human oversight and domain-specific validation remain essential.</t>
  </si>
  <si>
    <t>Mathy, Rene Michael; Schmitz, Fabian; Kauczor, Hans-Ulrich; Jang, Hyungseok; Sedaghat, Sam</t>
  </si>
  <si>
    <t>Sedaghat, S (corresponding author), Univ Hosp Heidelberg, Dept Diagnost &amp; Intervent Radiol, Neuenheimer Feld 420, D-69120 Heidelberg, Germany.</t>
  </si>
  <si>
    <t>sam.sedaghat@med.uni-heidelberg.de</t>
  </si>
  <si>
    <t>[Mathy, Rene Michael; Schmitz, Fabian; Kauczor, Hans-Ulrich; Sedaghat, Sam] Univ Hosp Heidelberg, Dept Diagnost &amp; Intervent Radiol, Neuenheimer Feld 420, D-69120 Heidelberg, Germany; [Jang, Hyungseok] Univ Calif Davis, Dept Radiol, Sacramento, CA USA</t>
  </si>
  <si>
    <t>Ruprecht Karls University Heidelberg; University of California System; University of California Davis</t>
  </si>
  <si>
    <t>Assessing the clinical applicability of large language models for microwave ablation guidance</t>
  </si>
  <si>
    <t>EUROPEAN JOURNAL OF RADIOLOGY OPEN</t>
  </si>
  <si>
    <t>Microwave ablation; Large language models; ChatGPT; Artificial intelligence; Interventional radiology; Clinical decision support</t>
  </si>
  <si>
    <t>LIVER</t>
  </si>
  <si>
    <t>2352-0477</t>
  </si>
  <si>
    <t>EUR J RADIOL OPEN</t>
  </si>
  <si>
    <t>Eur. J. Radiol. Open</t>
  </si>
  <si>
    <t>100804</t>
  </si>
  <si>
    <t>10.1016/j.ejro.2026.100804</t>
  </si>
  <si>
    <t>http://dx.doi.org/10.1016/j.ejro.2026.100804</t>
  </si>
  <si>
    <t>Radiology, Nuclear Medicine &amp; Medical Imaging</t>
  </si>
  <si>
    <t>MH1KL</t>
  </si>
  <si>
    <t>WOS:001842117200001</t>
  </si>
  <si>
    <t>Zhang, YT; Wang, HH; Yu, ZH; Hasikin, K; Wang, YR; Wu, X</t>
  </si>
  <si>
    <t>Large Language Models (LLMs) possess contextual awareness, multimodal interaction, and knowledge reasoning capabilities, enabling applications in digital public health scenarios such as intelligent health management, personalized medical education, and public health behavioral intervention. However, LLMs struggle to maintain consistency between output and human expectations in dynamic interactive environments. Therefore, this study proposed GEN-EVALLM, based on iterative feedback mechanisms and human preference alignment. GENEVALLM consisted of three modules. Firstly, the generative agent module was responsible for generating diverse candidate content based on input goals. Secondly, the evaluation module constructed a multidimensional evaluation index system inspired by medical education assessment criteria. Thirdly, the humanAI collaboration module collected human feedback of the generated content and regarded them as interaction signals, using reinforcement learning to achieve adaptive optimization and human preference alignment of the generative agent module. These three modules formed a closed-loop "generation-evaluation-feedback optimization" system that enabled dynamic adjustment of generative content during continuous human-AI interaction. In experiments simulating human-AI collaboration, GEN-EVALLM demonstrated significant adaptability and continuous optimization capabilities. Compared to mainstream methods, we achieved a factual accuracy index of 0.92 and a coherence index of 0.85. After 110 rounds of reinforcement learning interactions, the generation accuracy stabilized at 0.9023. Human feedback also validated this finding. Overall, GEN-EVALLM was able to continuously adjust generative content across multiple rounds of feedback, achieving alignment with human preferences.</t>
  </si>
  <si>
    <t>Zhang, Yongting; Wang, Huanhuan; Yu, Zehua; Hasikin, Khairunnisa; Wang, Yingrong; Wu, Xiang</t>
  </si>
  <si>
    <t>Wu, X (corresponding author), Univ Malaya, Fac Engn, Dept Biomed Engn, Kuala Lumpur 50603, Malaysia.; Wu, X (corresponding author), Yunlong Lake Lab Deep Underground Sci &amp; Engn, Xuzhou 221000, Peoples R China.; Wu, X (corresponding author), Xuzhou Med Univ, Inst Med Informat Secur, Xuzhou 221004, Peoples R China.</t>
  </si>
  <si>
    <t>wuxiang@xzhmu.edu.cn</t>
  </si>
  <si>
    <t>Cooperation Project between Yunlong Lake Laboratory [104024005]; Affiliated Hospital of Xuzhou Medical University [104024005]; Serving the "343" Industrial Development Project for Universities in Xuzhou [gx2024017]; Jiangsu Medical and Health Artificial Intelligence Engineering Research Center [2025JGZZ54]; Jiangsu Province Higher Education Reform Research Project [2025JGZZ54]; Xuzhou Medical University Postgraduate Education and Teaching Reform Key Project [XYJGKT202402]; National Key Project on Online Course Construction and Teaching Research for Postgraduates in Medicine [A YXC2022-02-01 10]; Jiangsu Provincial Innovation Capacity Building Program [BM2022009, BM2023017]</t>
  </si>
  <si>
    <t>Cooperation Project between Yunlong Lake Laboratory; Affiliated Hospital of Xuzhou Medical University; Serving the "343" Industrial Development Project for Universities in Xuzhou; Jiangsu Medical and Health Artificial Intelligence Engineering Research Center; Jiangsu Province Higher Education Reform Research Project; Xuzhou Medical University Postgraduate Education and Teaching Reform Key Project; National Key Project on Online Course Construction and Teaching Research for Postgraduates in Medicine; Jiangsu Provincial Innovation Capacity Building Program</t>
  </si>
  <si>
    <t>This work was supported by the Cooperation Project between Yunlong Lake Laboratory and the Affiliated Hospital of Xuzhou Medical University under Grant no. 104024005, the Serving the "343" Industrial Development Project for Universities in Xuzhou under Grant no. gx2024017, the Jiangsu Medical and Health Artificial Intelligence Engineering Research Center, the Jiangsu Province Higher Education Reform Research Project under Grant no. 2025JGZZ54, the Xuzhou Medical University Postgraduate Education and Teaching Reform Key Project under Grant no. XYJGKT202402, the National Key Project on Online Course Construction and Teaching Research for Postgraduates in Medicine under Grant no. A YXC2022-02-01 10, and the Jiangsu Provincial Innovation Capacity Building Program under Grant no. BM2022009 and BM2023017, respectively.</t>
  </si>
  <si>
    <t>[Zhang, Yongting; Hasikin, Khairunnisa; Wang, Yingrong; Wu, Xiang] Univ Malaya, Fac Engn, Dept Biomed Engn, Kuala Lumpur 50603, Malaysia; [Zhang, Yongting; Wu, Xiang] Yunlong Lake Lab Deep Underground Sci &amp; Engn, Xuzhou 221000, Peoples R China; [Zhang, Yongting; Wang, Huanhuan; Yu, Zehua; Wu, Xiang] Xuzhou Med Univ, Inst Med Informat Secur, Xuzhou 221004, Peoples R China</t>
  </si>
  <si>
    <t>Universiti Malaya; Xuzhou Medical University</t>
  </si>
  <si>
    <t>A Human-AI LLM framework by adaptive content generation and evaluation for medical education</t>
  </si>
  <si>
    <t>DISPLAYS</t>
  </si>
  <si>
    <t>Large language model; Human-AI collaborative learning; Generation and evaluation; Reinforcement learning optimization; Generative AI</t>
  </si>
  <si>
    <t>0141-9382</t>
  </si>
  <si>
    <t>1872-7387</t>
  </si>
  <si>
    <t>Displays</t>
  </si>
  <si>
    <t>95</t>
  </si>
  <si>
    <t>103650</t>
  </si>
  <si>
    <t>10.1016/j.displa.2026.103650</t>
  </si>
  <si>
    <t>http://dx.doi.org/10.1016/j.displa.2026.103650</t>
  </si>
  <si>
    <t>Computer Science, Hardware &amp; Architecture; Engineering, Electrical &amp; Electronic; Instruments &amp; Instrumentation; Optics</t>
  </si>
  <si>
    <t>Computer Science; Engineering; Instruments &amp; Instrumentation; Optics</t>
  </si>
  <si>
    <t>MF2AS</t>
  </si>
  <si>
    <t>WOS:001840800300001</t>
  </si>
  <si>
    <t>Corti, K; Leaver, M</t>
  </si>
  <si>
    <t>The term "factorial prompt matrix" (FPM) names and formalizes the emerging yet unstandardized practice of creating data structures that organize systematically varied prompts used to elicit responses from conversational AI (CAI) products. We introduce a methods framework for designing and implementing FPMs that, though broadly applicable, is primarily intended for social and behavioral scientists interested in controlled observational or experimental research on CAI response behavior. FPMs start from a principled sampling spine of CAI query "target" items that are then crossed with configurable factors drawn from four classes: (1) the large language model (LLM), (2) the product-system, (3) the user context, and (4) the query design. This produces a factorial grid of distinct prompts that can be passed to CAIs (e.g., using APIs). Using the ICD-11 (International Classification of Diseases, Eleventh Revision) as a spine for generating medical prompts, we demonstrate use of FPMs to analyze CAI information retrieval behaviors such as web search invocation. Key methodological contributions: A formalized data structure (FPM) for systematically constructing and deploying prompts to CAIs. A modular, four-class schema for conceptually organizing the configurable factors of a CAI prompting protocol. Demonstration of FPMs across single-factor and multi-factor observational and experimental research designs.</t>
  </si>
  <si>
    <t>Corti, Kevin; Leaver, Meghan</t>
  </si>
  <si>
    <t>Corti, K (corresponding author), Jebel Corp, New York, NY 80249 USA.</t>
  </si>
  <si>
    <t>research@jebeldata.com</t>
  </si>
  <si>
    <t>[Corti, Kevin; Leaver, Meghan] Jebel Corp, New York, NY 80249 USA</t>
  </si>
  <si>
    <t>Building factorial prompt matrices using query targets and configurable factor classes: A methods framework for conversational AI response behavior research</t>
  </si>
  <si>
    <t>METHODSX</t>
  </si>
  <si>
    <t>2215-0161</t>
  </si>
  <si>
    <t>MethodsX</t>
  </si>
  <si>
    <t>104062</t>
  </si>
  <si>
    <t>10.1016/j.mex.2026.104062</t>
  </si>
  <si>
    <t>http://dx.doi.org/10.1016/j.mex.2026.104062</t>
  </si>
  <si>
    <t>Multidisciplinary Sciences</t>
  </si>
  <si>
    <t>Science &amp; Technology - Other Topics</t>
  </si>
  <si>
    <t>MF3AT</t>
  </si>
  <si>
    <t>WOS:001840868100001</t>
  </si>
  <si>
    <t>Dong, YY; Peng, CY; Wu, YC; Shen, SH; Sun, XD; Chen, TN; Guan, SB; Wang, CQ; Ni, ER; Huang, TB; Tao, J</t>
  </si>
  <si>
    <t>Integrating artificial intelligence into medical imaging offers potential for dental education. While existing models automate diagnosis, they often lack the interpretive depth needed for comprehensive student training. To address these limitations, this paper presents Gen-Mentor, a human-in-the-loop instructional framework that integrates the DentDiff-VLM backbone into a dental-radiography workflow. The backbone uses Faster R-CNN to localize four target radiographic findings: Filling, Implant, Impacted Tooth, and Cavity. A conditional diffusion model supports curriculum expansion by generating class-specific synthetic ROI candidates as candidate instructional assets. A vision-language model (VLM) generates evidence-linked caption candidates, which a large language model (LLM) reformats into candidate case descriptions, comparisons, and quiz prompts. Selected candidate instructional assets then undergo structured expert review. We evaluate Gen-Mentor across technical performance, expert review of instructional assets, and learner acceptance among dental students (N = 45). The framework achieved a mean System Usability Scale score of 72.7, with improvements in case diversity and immediate-feedback support.</t>
  </si>
  <si>
    <t>Dong, Yiyun; Peng, Chuanyang; Wu, Yichen; Shen, Shihui; Sun, Xiaodan; Chen, Tiannan; Guan, Shanbin; Wang, Changquan; Ni, Ersheng; Huang, Tianbin; Tao, Jiang</t>
  </si>
  <si>
    <t>Tao, J (corresponding author), Shanghai Res Inst Stomatol, Shanghai Ninth Peoples Hosp, Dept Gen Dent, Shanghai 200011, Peoples R China.; Tao, J (corresponding author), Shanghai Jiao Tong Univ, Shanghai Res Inst Stomatol, Coll Stomatol, Shanghai 200011, Peoples R China.; Tao, J (corresponding author), Shanghai Res Inst Stomatol, Natl Ctr Stomatol, Shanghai 200011, Peoples R China.; Tao, J (corresponding author), Shanghai Res Inst Stomatol, Natl Clin Res Ctr Oral Dis, Shanghai 200011, Peoples R China.; Tao, J (corresponding author), Shanghai Res Inst Stomatol, Shanghai Key Lab Stomatol, Shanghai 200011, Peoples R China.; Huang, TB (corresponding author), Wuzhou Red Cross Hosp, Dept Head &amp; Neck Surg, Wuzhou 543000, Guangxi, Peoples R China.</t>
  </si>
  <si>
    <t>tianbinhuang@hotmail.com; taojiang_doctor@sjtu.edu.cn</t>
  </si>
  <si>
    <t>The "Clinical Teaching Incentive Team" of Shanghai Ninth People's Hospital [2025-8]; Guangxi Zhuang Autonomous Region Health Commission [Z-D20241593]; Wuzhou Health Commission [H2023018]</t>
  </si>
  <si>
    <t>The "Clinical Teaching Incentive Team" of Shanghai Ninth People's Hospital; Guangxi Zhuang Autonomous Region Health Commission; Wuzhou Health Commission</t>
  </si>
  <si>
    <t>This work was sponsored by the "Clinical Teaching Incentive Team" of Shanghai Ninth People's Hospital (2025-8), Guangxi Zhuang Autonomous Region Health Commission (Z-D20241593), and Wuzhou Health Commission (H2023018).</t>
  </si>
  <si>
    <t>[Dong, Yiyun; Shen, Shihui; Sun, Xiaodan; Chen, Tiannan; Tao, Jiang] Shanghai Res Inst Stomatol, Shanghai Ninth Peoples Hosp, Dept Gen Dent, Shanghai 200011, Peoples R China; [Dong, Yiyun; Shen, Shihui; Sun, Xiaodan; Chen, Tiannan; Tao, Jiang] Shanghai Jiao Tong Univ, Shanghai Res Inst Stomatol, Coll Stomatol, Shanghai 200011, Peoples R China; [Dong, Yiyun; Shen, Shihui; Sun, Xiaodan; Chen, Tiannan; Tao, Jiang] Shanghai Res Inst Stomatol, Natl Ctr Stomatol, Shanghai 200011, Peoples R China; [Dong, Yiyun; Shen, Shihui; Sun, Xiaodan; Chen, Tiannan; Tao, Jiang] Shanghai Res Inst Stomatol, Natl Clin Res Ctr Oral Dis, Shanghai 200011, Peoples R China; [Dong, Yiyun; Shen, Shihui; Sun, Xiaodan; Chen, Tiannan; Tao, Jiang] Shanghai Res Inst Stomatol, Shanghai Key Lab Stomatol, Shanghai 200011, Peoples R China; [Peng, Chuanyang] China Med Univ, Sch &amp; Hosp Stomatol, Dept Emergency &amp; Oral Med, Liaoning Prov Key Lab Oral Dis, Shenyang 110002, Liaoning, Peoples R China; [Wu, Yichen] Natl Univ Singapore, Singapore 119077, Singapore; [Guan, Shanbin; Wang, Changquan; Huang, Tianbin] Wuzhou Red Cross Hosp, Dept Head &amp; Neck Surg, Wuzhou 543000, Guangxi, Peoples R China; [Ni, Ersheng] Univ Queensland St Lucia, Brisbane, Qld 4072, Australia</t>
  </si>
  <si>
    <t>Shanghai Jiao Tong University; National University of Singapore; University of Queensland</t>
  </si>
  <si>
    <t>Gen-Mentor: A human-in-the-loop instructional framework for dental radiography using generative AI</t>
  </si>
  <si>
    <t>Dental radiograph analysis; Vision language model; Educational AI</t>
  </si>
  <si>
    <t>100641</t>
  </si>
  <si>
    <t>10.1016/j.caeai.2026.100641</t>
  </si>
  <si>
    <t>http://dx.doi.org/10.1016/j.caeai.2026.100641</t>
  </si>
  <si>
    <t>MD9ZK</t>
  </si>
  <si>
    <t>WOS:001839983700001</t>
  </si>
  <si>
    <t>Abuhammad, S</t>
  </si>
  <si>
    <t>There is a growing acceptance of using artificial intelligence in health care, education, and clinical practice. Artificial intelligence will be used in learning personalization, clinical case design, simulations, academic writing, and feedback to the learner. However, there is a gap in the readiness of students, instructors, curriculum, and standards for safe patient care because of the rapid development of such technology. Artificial intelligence should be viewed as more than simply a threat to digital literacy and academic integrity as highlighted in this Contemporary Issues article. In practice, nurses have to understand how to safely use artificial intelligence, since artificial intelligence should be considered to be an essential component of nursing education, ethics, and practice. Its unique contribution is a three-level accountability system that connects epistemic accountability (verification and clinical reasoning), relational accountability (compassionate, person-centered care), and professional responsibility (ethics, governance, and transparency). This article within this paradigm identifies four nursing curriculum priorities: artificial intelligence literacy, assessment redesign, ethical governance, and faculty development, all of which have consequences for educators, institutional leaders, and legislators.</t>
  </si>
  <si>
    <t>Abuhammad, Sawsan</t>
  </si>
  <si>
    <t>Abuhammad, S (corresponding author), Univ Sharjah, Dept Nursing, Coll Hlth Sci, Sharjah, U Arab Emirates.</t>
  </si>
  <si>
    <t>shabuhammad@just.edu.jo</t>
  </si>
  <si>
    <t>[Abuhammad, Sawsan] Univ Sharjah, Coll Hlth Sci, Nursing Dept, Sharjah, U Arab Emirates; [Abuhammad, Sawsan] Jordan Univ Sci &amp; Technol, Fac Nursing, Dept Maternal &amp; Child Hlth Nursing, Irbid, Jordan</t>
  </si>
  <si>
    <t>University of Sharjah; Jordan University of Science &amp; Technology</t>
  </si>
  <si>
    <t>Artificial intelligence in nursing education: A contemporary issue for ethical, safe, and human-centered curriculum reform</t>
  </si>
  <si>
    <t>Artificial intelligence; Nursing education; Curriculum; Ethics; Clinical reasoning; Confidentiality; Generative AI; Patient safety</t>
  </si>
  <si>
    <t>107310</t>
  </si>
  <si>
    <t>10.1016/j.nedt.2026.107310</t>
  </si>
  <si>
    <t>http://dx.doi.org/10.1016/j.nedt.2026.107310</t>
  </si>
  <si>
    <t>MD8VG</t>
  </si>
  <si>
    <t>42537407</t>
  </si>
  <si>
    <t>WOS:001839905200001</t>
  </si>
  <si>
    <t>Jang, G</t>
  </si>
  <si>
    <t>Generative artificial intelligence [GenAI] is increasingly treated as a primary explanation for students' perceived difficulties with sustained attention in nursing education. The author contends that such a framing risks misdiagnosing a longerstanding educational concern. While GenAI raises legitimate issues related to misinformation, overreliance, academic integrity, privacy, and critical thinking, students' attentional difficulties should also be understood within the broader history of the attention economy, short-form media, and digitally saturated learning environments. Drawing on literature on sustained attention, cognitive effort, attention regulation, digital distraction, short-form media, and GenAI in healthcare education, the author highlights a chronological mismatch between the recent emergence of widely accessible GenAI tools and earlier shifts in digital environments that reward novelty, rapid attentional switching, and low-friction engagement. Rather than reducing the issue to shortened attention span, the author examines how digitally saturated learning environments reshape sustained attention, attention regulation, and tolerance for cognitive effort in nursing education. This reframing matters because nursing education depends on students' capacity to sustain attention during clinical reasoning, patient assessment, communication, documentation, simulation-based learning, and safe decision-making. GenAI may amplify or make visible pre-existing challenges, but restriction alone is unlikely to address the broader attentional conditions shaping students' learning. Thus, the author calls for attention-supportive pedagogy that scaffolds cognitive effort, makes reasoning visible, supports digital and AI literacy, and deliberately cultivates sustained attention, critical evaluation, and clinical judgment in nursing education. Drawing on literature on sustained attention, cognitive effort, attention regulation, digital distraction, short-form media, and GenAI in healthcare education, the author highlights a chronological mismatch between the recent emergence of widely accessible GenAI tools and earlier shifts in digital environments that reward novelty, rapid attentional switching, and lowfriction engagement. Rather than treating declining attention span as a fixed cognitive trait or uniform population-level decline, the paper focuses on difficulties with sustained attention and attention regulation in contemporary nursing education. This reframing matters because nursing education depends on students' capacity to sustain attention during clinical reasoning, patient assessment, communication, documentation, simulation-based learning, and safe decision-making. GenAI may amplify or make visible pre-existing challenges, but restriction alone is unlikely to address the broader attentional conditions shaping students' learning. The paper therefore calls for attention-supportive pedagogy that scaffolds cognitive effort, makes reasoning visible, supports digital and AI literacy, and deliberately cultivates sustained attention, critical evaluation, and clinical judgment in nursing education.</t>
  </si>
  <si>
    <t>Jang, Gina</t>
  </si>
  <si>
    <t>Jang, G (corresponding author), Univ Alberta, Dianne &amp; Irving Kipnes Hlth Res Acad, Fac Nursing, 11405-87 Ave NW, Edmonton, AB T6G 1C9, Canada.</t>
  </si>
  <si>
    <t>gjjang@ualberta.ca</t>
  </si>
  <si>
    <t>[Jang, Gina] Univ Alberta, Dianne &amp; Irving Kipnes Hlth Res Acad, Fac Nursing, 11405-87 Ave NW, Edmonton, AB T6G 1C9, Canada</t>
  </si>
  <si>
    <t>University of Alberta</t>
  </si>
  <si>
    <t>The attention crisis in nursing education predates generative AI</t>
  </si>
  <si>
    <t>Nursing education; Generative artificial intelligence; Sustained attention; Attention economy; Digital pedagogy</t>
  </si>
  <si>
    <t>MEDIA</t>
  </si>
  <si>
    <t>107303</t>
  </si>
  <si>
    <t>10.1016/j.nedt.2026.107303</t>
  </si>
  <si>
    <t>http://dx.doi.org/10.1016/j.nedt.2026.107303</t>
  </si>
  <si>
    <t>MA2RK</t>
  </si>
  <si>
    <t>42520657</t>
  </si>
  <si>
    <t>WOS:001837445100001</t>
  </si>
  <si>
    <t>Kapun, MM; Smolander, N; Masotta, V; Caples, M; Kamensek, T</t>
  </si>
  <si>
    <t>Introduction: Genomics is increasingly recognized as essential for precision health, yet its integration into undergraduate nursing and other health sciences curricula remains limited. Persistent gaps in genomics literacy and confidence among students and professionals indicate that current educational approaches may not adequately prepare graduates for genomics-informed care and precision health. The aim of this review is to map educational approaches and methods used to enhance genomic competencies among undergraduate health sciences students and discuss implications for nursing education. Methods: Scoping review, reported in accordance with PRISMA-ScR recommendations. Systematic search in CINAHL Ultimate, ERIC, and MEDLINE for studies published in English between January 2015 and December 2024 was undertaken. Data were charted using a standardized extraction form and synthesized descriptively and narratively, grouping interventions by educational approach, methods, strategies, techniques, and tools. Results: Thirty-one studies were included, mostly from the United States, involving primarily medical and nursing students. Educational approaches centered on experiential and practice-based learning, simulation, case- and problem-based learning, flipped classrooms, collaborative or interprofessional learning, narrative and arts-based methods, and technology-enhanced strategies such as virtual labs, online modules, and digital storytelling. These approaches were associated with improvements in genomic knowledge, application to clinical scenarios, ethical awareness, engagement, and self-reported confidence, although outcomes were predominantly short-term. Conclusions: Genomics education for health sciences students is characterized by diverse, largely experiential and student-centered approaches. Integration into curricula remains fragmented and often focused on genetics rather than broader genomics and precision health. Nurse educators should prioritize integrated, authentic, and ethically informed genomics education, supported by educator development and digital technologies, including generative AI, to prepare graduates for precision nursing care.</t>
  </si>
  <si>
    <t>Kapun, Marija Milavec; Smolander, Nina; Masotta, Vittorio; Caples, Maria; Kamensek, Tina</t>
  </si>
  <si>
    <t>Kapun, MM (corresponding author), Univ Ljubljana, Fac Hlth Sci, Nursing Dept, Zdravstvena Pot 5, Ljubljana, Slovenia.</t>
  </si>
  <si>
    <t>milavecm@zf.uni-lj.si</t>
  </si>
  <si>
    <t>European Commission Erasmus + Programme [2021-1-FI01-KA220-HED-000027545]; Scholarship for International Operators (TAMK Support Foundation)</t>
  </si>
  <si>
    <t>European Commission Erasmus + Programme (Erasmus+); Scholarship for International Operators (TAMK Support Foundation)</t>
  </si>
  <si>
    <t>This work was supported by the European Commission Erasmus + Programme, Action KA220-HED, Grant No.: 2021-1-FI01-KA220-HED-000027545, with additional partial support from the Scholarship for International Operators (TAMK Support Foundation).</t>
  </si>
  <si>
    <t>[Kapun, Marija Milavec; Kamensek, Tina] Univ Ljubljana, Fac Hlth Sci, Nursing Dept, Zdravstvena Pot 5, Ljubljana, Slovenia; [Smolander, Nina] Tampere Univ Appl Sci, Kontukatu 3, Tampere, Finland; [Masotta, Vittorio] Univ Laquila, Dept Life Hlth &amp; Environm Sci, Piazza Santa Margherita 2, Laquila, Italy; [Caples, Maria] Univ Coll Cork, Coll Rd, Cork, Ireland</t>
  </si>
  <si>
    <t>University of Ljubljana; Tampere University; Tampere University of Applied Sciences TAMK; University of L'Aquila; University College Cork</t>
  </si>
  <si>
    <t>Educational approaches to enhance genomics competencies among health sciences students: A scoping review with implications for nursing education</t>
  </si>
  <si>
    <t>Genomics education; Genomics literacy; Health sciences students; Education strategies; Precision health</t>
  </si>
  <si>
    <t>MEDICAL GENETICS; UNDERGRADUATE; SESSION</t>
  </si>
  <si>
    <t>93</t>
  </si>
  <si>
    <t>107299</t>
  </si>
  <si>
    <t>10.1016/j.nedt.2026.107299</t>
  </si>
  <si>
    <t>http://dx.doi.org/10.1016/j.nedt.2026.107299</t>
  </si>
  <si>
    <t>MA2SO</t>
  </si>
  <si>
    <t>42520658</t>
  </si>
  <si>
    <t>WOS:001837448100001</t>
  </si>
  <si>
    <t>Rastaghi, A; Ahmadi, MJ; Khameneh, EA; Heidari, R; Riazi-Esfahani, H; Tavakoli, M; Mohammadi, SF; Taghirad, HD</t>
  </si>
  <si>
    <t>Surgical skill assessment is critical for patient safety and effective training, yet prevailing methods often lack objectivity and educational value. Expert based ratings are subjective and time consuming, while many automated approaches provide opaque scores with limited instructional relevance. This study proposes a feedback oriented framework that leverages synchronized kinematic and force measurements to derive clinically meaningful insights by integrating expert defined knowledge with temporal patterns learned directly from data. Manually defined metrics were interpreted using a Support Vector Machine, while data driven temporal patterns were simultaneously captured through a multivariate Shapelet Transform combined with an enriched Random Forest classifier. To maximize the benefits of both approaches, their outputs were integrated using an ensemble meta model based on XGBoost. The framework was evaluated in a proof of concept deep vitrectomy study using the ARASH:ASiST haptic system, with seven cadaveric eye recordings acquired under near clinical conditions, and its generalizability was further examined through a feasibility analysis conducted on the public JIGSAWS benchmark. Classification performance of each phase segment was better on the JIGSAWS benchmark than on the locally collected vitrectomy dataset, attributable to larger sample sizes, balanced class distributions, and simpler surgical tasks. Quantitative results were translated into structured narrative feedback using large language models, and the feedback was qualitatively reviewed by clinical experts for relevance and clarity. Expert review confirmed that the generated feedback aligns with clinically accepted interpretations of surgical performance and supports the framework's feasibility, potential generalizability, and the need for larger scale validation and quantitative benchmarking in future studies.</t>
  </si>
  <si>
    <t>Rastaghi, Ali; Ahmadi, Mohammad Javad; Khameneh, Esmaeil Asadi; Heidari, Reza; Riazi-Esfahani, Hamid; Tavakoli, Mahdi; Mohammadi, Seyed-Farzad; Taghirad, Hamid D.</t>
  </si>
  <si>
    <t>Taghirad, HD (corresponding author), KN Toosi Univ Technol, Fac Elect &amp; Comp Engn, Appl Robot &amp; AI Solut ARAS, Tehran 1969764499, Iran.; Khameneh, EA (corresponding author), Univ Tehran Med Sci, Farabi Eye Hosp, Translat Ophthalmol Res Ctr, Tehran 1336616351, Iran.</t>
  </si>
  <si>
    <t>reza.heidari2060@gmail.com; taghirad@kntu.ac.ir; asadi_tums@yahoo.com</t>
  </si>
  <si>
    <t>[Rastaghi, Ali; Ahmadi, Mohammad Javad; Heidari, Reza; Taghirad, Hamid D.] KN Toosi Univ Technol, Fac Elect &amp; Comp Engn, Appl Robot &amp; AI Solut ARAS, Tehran 1969764499, Iran; [Khameneh, Esmaeil Asadi; Riazi-Esfahani, Hamid; Mohammadi, Seyed-Farzad] Univ Tehran Med Sci, Farabi Eye Hosp, Translat Ophthalmol Res Ctr, Tehran 1336616351, Iran; [Tavakoli, Mahdi] Univ Alberta, Dept Elect &amp; Comp Engn, Edmonton, AB T6G 1H9, Canada; [Tavakoli, Mahdi] Univ Alberta, Dept Biomed Engn, Edmonton, AB T6G 1H9, Canada</t>
  </si>
  <si>
    <t>Tehran University of Medical Sciences; Farabi Eye Hospital; University of Alberta; University of Alberta</t>
  </si>
  <si>
    <t>Interpretable surgical skill assessment: A feedback-generative framework using kinematic and force data</t>
  </si>
  <si>
    <t>RESULTS IN ENGINEERING</t>
  </si>
  <si>
    <t>Surgical skill assessment; Interpretable metrics; Feedback generation; Kinematic and force; Vitrectomy</t>
  </si>
  <si>
    <t>TECHNICAL SKILL; COMPETENCE</t>
  </si>
  <si>
    <t>2590-1230</t>
  </si>
  <si>
    <t>RESULTS ENG</t>
  </si>
  <si>
    <t>Results Eng.</t>
  </si>
  <si>
    <t>32</t>
  </si>
  <si>
    <t>112188</t>
  </si>
  <si>
    <t>10.1016/j.rineng.2026.112188</t>
  </si>
  <si>
    <t>http://dx.doi.org/10.1016/j.rineng.2026.112188</t>
  </si>
  <si>
    <t>Engineering, Multidisciplinary</t>
  </si>
  <si>
    <t>MC2MU</t>
  </si>
  <si>
    <t>WOS:001838793900001</t>
  </si>
  <si>
    <t>Nguyen, VA; Ha, TMA; Nguyen, TTH</t>
  </si>
  <si>
    <t>Introduction &gt; Multimodal large language models (LLMs) can generate free-text interpretations of clinical images, but their performance on orthodontic cephalometric superimpositions is unknown. This study compared zero-shot interpretations from three LLMs with those of a second-year orthodontic resident. Methods &gt; Ninety lateral cephalometric superimposition images from a private orthodontic practice were analyzed, including 30 nongrowing, 30 growing, and 30 orthognathic cases. Each image included overall maxillary regional, and mandibular regional superimpositions. ChatGPT 5.5, Gemini 3.1 Pro, Claude Opus 4.8, and the resident interpreted the same images using the same prompt, with no case context provided. Two senior orthodontists scored each interpretation against adjudicated reference interpretations using a 16-item rubric, yielding total scores from 0 to 32 and four domain scores. Friedman tests compared methods; Wilcoxon signed-rank tests with Holm adjustment compared each LLM with the resident. Results &gt; Total scores differed significantly among methods (Friedman P &lt; 0.001; Kendall W = 0.592). Median total scores were 30.5 (interquartile range [IQR]: 28-32) for the resident, 17 (IQR: 14-22) for ChatGPT, 12 (IQR: 9-16) for Gemini, and 9.5 (IQR: 4.25-14) for Claude. All LLMs scored significantly lower than the resident overall, by domain, and within each case type (adjusted P &lt; 0.001). Conclusions &gt; In zero-shot cephalometric superimposition interpretation, all tested multimodal LLMs performed substantially below a second-year orthodontic resident. These models should not be used as stand-alone interpreters without expert review.</t>
  </si>
  <si>
    <t>Nguyen, Viet Anh; Ha, Thi Minh Anh; Nguyen, Thi Thu Huong</t>
  </si>
  <si>
    <t>Nguyen, VA (corresponding author), Hanoi Med Univ, Sch Dent, Hanoi 10000, Vietnam.</t>
  </si>
  <si>
    <t>bsvietanhniengrang@gmail.com</t>
  </si>
  <si>
    <t>[Nguyen, Viet Anh; Nguyen, Thi Thu Huong] Hanoi Med Univ, Sch Dent, Hanoi 10000, Vietnam; [Ha, Thi Minh Anh] Viet Anh Orthodont Clin, Hanoi, Vietnam</t>
  </si>
  <si>
    <t>Hanoi Medical University</t>
  </si>
  <si>
    <t>Performance of multimodal large language models in interpreting lateral cephalometric superimpositions: A comparative observer-performance study</t>
  </si>
  <si>
    <t>INTERNATIONAL ORTHODONTICS</t>
  </si>
  <si>
    <t>Artificial intelligence; Large language model; Orthodontics; Cephalometry; Cephalometric; superimposition; Observer performance</t>
  </si>
  <si>
    <t>ELSEVIER MASSON SAS EDITEUR</t>
  </si>
  <si>
    <t>ISSY LES MOULINEAUX CEDEX</t>
  </si>
  <si>
    <t>62, RUE CAMILLE DESMOULINS, ISSY LES MOULINEAUX CEDEX, 92442, FRANCE</t>
  </si>
  <si>
    <t>1761-7227</t>
  </si>
  <si>
    <t>1879-680X</t>
  </si>
  <si>
    <t>INT ORTHOD</t>
  </si>
  <si>
    <t>Int. Orthod.</t>
  </si>
  <si>
    <t>24</t>
  </si>
  <si>
    <t>101216</t>
  </si>
  <si>
    <t>10.1016/j.ortho.2026.101216</t>
  </si>
  <si>
    <t>http://dx.doi.org/10.1016/j.ortho.2026.101216</t>
  </si>
  <si>
    <t>MA0OK</t>
  </si>
  <si>
    <t>42508094</t>
  </si>
  <si>
    <t>WOS:001837302000001</t>
  </si>
  <si>
    <t>Dhull, A; Pal, K; Kumar, M</t>
  </si>
  <si>
    <t>Rare diseases are medical conditions affecting a small percentage of the population, often leading to diagnostic challenges due to limited clinical data and symptom overlap with common diseases. Due to the lack of knowledge about these disorders and the fact that many of their symptoms are similar to those of common disorders, doctors find it difficult to diagnose these conditions. This paper leverages DeepSeek Plus Knowledge Graph for high-precision symptom extraction in rare diseases, integrating natural language processing (NLP) and graph-based reasoning to enhance disease recognition. This study presents a novel model called "Rarepheno" that extracts symptoms related to rare diseases from clinical text using DeepSeek Large Language Model (LLM) and knowledge graphs (KG). The proposed model integrates DeepSeek AI, N-GRAM based term extraction, and the Human Phenotype Ontology (HPO) knowledge graph to enhance symptom identification. To improve contextual precision and reduce false positives, the system leverages semantic similarity through BioClinicalBERT embeddings. The proposed model outperforms the state-of-the-art rare disease phenotyping algorithms, with a precision score of 0.83, compared to PhenoGPT (GPT-J) (0.809), PhenoTagger (0.720), and ClinPhen (0.590). Compared to rule-based systems like MetaMap (0.707) and NCBO (0.777), Rarepheno demonstrated superior accuracy in extracting standardized symptom terms. This performance gain reflects its ability to reduce false positives and improve symptom-disease association, particularly in heterogeneous and unstructured clinical texts. This study demonstrates how the new-age technologies, such as GenAI and Natura Language Processing (NLP) can aid in collecting valuable clinical data, improving patient safety and rare disease identification.</t>
  </si>
  <si>
    <t>Dhull, Anuradha; Pal, Kartik; Kumar, Manoj</t>
  </si>
  <si>
    <t>Dhull, A (corresponding author), NorthCap Univ, Dept CSE, Gurugram, India.</t>
  </si>
  <si>
    <t>anuradha@ncuindia.edu; 23csp003@ncuindia.edu; wss.manojkumar@gmail.com</t>
  </si>
  <si>
    <t>[Dhull, Anuradha; Pal, Kartik] NorthCap Univ, Dept CSE, Gurugram, India; [Kumar, Manoj] Univ Wollongong, Fac Engn &amp; Informat Sci, Dubai, U Arab Emirates</t>
  </si>
  <si>
    <t>The Northcap University; University of Wollongong; University of Wollongong Dubai</t>
  </si>
  <si>
    <t>A novel approach for Rare Disease symptom extraction from Clinical Texts Using Knowledge Graph Embeddings and Large Language Models</t>
  </si>
  <si>
    <t>INTELIGENCIA ARTIFICIAL-IBEROAMERICAN JOURNAL OF ARTIFICIAL INTELLIGENCE</t>
  </si>
  <si>
    <t>Rare Diseases; Knowledge Graphs; DeepSeek Plus; Symptom Extraction; Precision; Biomedical NLP; Large Language Models (LLMs)</t>
  </si>
  <si>
    <t>/AAI-8971-2021</t>
  </si>
  <si>
    <t>33</t>
  </si>
  <si>
    <t>ASOC ESPANOLA INTELIGENCIA ARTIFICIAL</t>
  </si>
  <si>
    <t>VALENCIA</t>
  </si>
  <si>
    <t>FAC INFORMATICA, UNIV POLITECNICA VALENCIA, VALENCIA, SPAIN</t>
  </si>
  <si>
    <t>1137-3601</t>
  </si>
  <si>
    <t>1988-3064</t>
  </si>
  <si>
    <t>INTEL ARTIF-IBEROAM</t>
  </si>
  <si>
    <t>Inteligencia Artif.</t>
  </si>
  <si>
    <t>29</t>
  </si>
  <si>
    <t>10.4114/intartif.vol29iss78pp1-20</t>
  </si>
  <si>
    <t>http://dx.doi.org/10.4114/intartif.vol29iss78pp1-20</t>
  </si>
  <si>
    <t>Computer Science, Artificial Intelligence</t>
  </si>
  <si>
    <t>LW1KE</t>
  </si>
  <si>
    <t>WOS:001834640900001</t>
  </si>
  <si>
    <t>Avenel, J; Chevallier, C; Dubourg, E</t>
  </si>
  <si>
    <t>Health communication is central to prevention and care, yet generic messages frequently fail to achieve real behaviour change. Personalisation offers a way forward by aligning health information with individual characteristics. This chapter examines why one-size-fits-all approaches are limited, how tailored strategies can improve engagement and adherence, and what challenges must be addressed to ensure equity and trust. We also discuss how emerging technologies, including large language models, create new opportunities for scalable, evidencebased personalisation. Ultimately, we argue that personalised health communication is not a refinement but a strategic necessity for improving outcomes across healthcare systems.</t>
  </si>
  <si>
    <t>Avenel, Justine; Chevallier, Coralie; Dubourg, Edgar</t>
  </si>
  <si>
    <t>Avenel, J (corresponding author), Univ PSL, Ecole normale Super, Inst Jean Nicod, Dept Cognit Studies,EHESS,CNRS, Paris, France.; Avenel, J (corresponding author), French Natl Publ Hlth Agcy, Sante publ France, St Maurice, France.</t>
  </si>
  <si>
    <t>aveneljustine@gmail.com</t>
  </si>
  <si>
    <t>Women's Cancers Institute, Institut Curie [ANR-23-IAHU-0006]</t>
  </si>
  <si>
    <t>Women's Cancers Institute, Institut Curie</t>
  </si>
  <si>
    <t>Sante publique France, Agence Nationale de Sante Publique; Women's Cancers Institute, Institut Curie, ANR-23-IAHU-0006.</t>
  </si>
  <si>
    <t>[Avenel, Justine; Chevallier, Coralie; Dubourg, Edgar] Univ PSL, Ecole normale Super, Inst Jean Nicod, Dept Cognit Studies,EHESS,CNRS, Paris, France; [Avenel, Justine] French Natl Publ Hlth Agcy, Sante publ France, St Maurice, France; [Dubourg, Edgar] PSL Res Univ, Inst Curie, Paris, France</t>
  </si>
  <si>
    <t>Centre National de la Recherche Scientifique (CNRS); Universite PSL; Ecole Normale Superieure (ENS); Sante publique France; UNICANCER; Institut Curie; Universite PSL; Institut Curie</t>
  </si>
  <si>
    <t>Beyond one-size-fits-all: Personalising health communication to drive real behaviour change</t>
  </si>
  <si>
    <t>Personalised communication; Health communication; Message tailoring; Behaviour change; Patient adherence; Patient engagement</t>
  </si>
  <si>
    <t>INTENTIONS; ADHERENCE; ATTITUDES; OUTCOMES; METAANALYSIS; PERSUASION; LITERACY; MESSAGES; NEED</t>
  </si>
  <si>
    <t>69</t>
  </si>
  <si>
    <t>104370</t>
  </si>
  <si>
    <t>10.1016/j.lpm.2026.104370</t>
  </si>
  <si>
    <t>http://dx.doi.org/10.1016/j.lpm.2026.104370</t>
  </si>
  <si>
    <t>LV2VC</t>
  </si>
  <si>
    <t>42365897</t>
  </si>
  <si>
    <t>WOS:001834058900001</t>
  </si>
  <si>
    <t>Vadner, DJ; Brown, AN; Gold, MH</t>
  </si>
  <si>
    <t>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medical research and publishing, critically examines associated risks and ethical dilemmas, and reviews emerging regulatory and editorial guidance. Finally, it outlines future directions centered on explainable and auditable AI, standardized AI literacy, and hybrid human-AI workflows. Ensuring that AI remains a tool for augmentation rather than replacement will be essential to preserving trust, rigor, and integrity in medical scholarship as these technologies become increasingly embedded in the scientific enterprise.</t>
  </si>
  <si>
    <t>Vadner, Douglas Jaxon; Brown, Angela N.; Gold, Michael H.</t>
  </si>
  <si>
    <t>Vadner, DJ (corresponding author), Rosalind Franklin Univ Med &amp; Sci, Chicago Med Sch, 3333 Green Bay Rd, N Chicago, IL 60064 USA.</t>
  </si>
  <si>
    <t>douglas.vadner@my.rfums.org</t>
  </si>
  <si>
    <t>[Vadner, Douglas Jaxon] Rosalind Franklin Univ Med &amp; Sci, Chicago Med Sch, 3333 Green Bay Rd, N Chicago, IL 60064 USA; [Brown, Angela N.; Gold, Michael H.] Gold Skin Care Ctr, Nashville, TN USA; [Gold, Michael H.] Tennessee Clin Res Ctr, Nashville, TN USA</t>
  </si>
  <si>
    <t>Rosalind Franklin University of Medicine &amp; Science; Chicago Medical School</t>
  </si>
  <si>
    <t>Artificial Intelligence in medical research and publishing: Progress, risks, and future perspectives</t>
  </si>
  <si>
    <t>Artificial intelligence; Medical publishing; Peer review; Ethics; Large language models; Research integrity</t>
  </si>
  <si>
    <t>CLASSIFICATION; CHATGPT</t>
  </si>
  <si>
    <t>104371</t>
  </si>
  <si>
    <t>10.1016/j.lpm.2026.104371</t>
  </si>
  <si>
    <t>http://dx.doi.org/10.1016/j.lpm.2026.104371</t>
  </si>
  <si>
    <t>LI4DR</t>
  </si>
  <si>
    <t>42379290</t>
  </si>
  <si>
    <t>WOS:001825331000001</t>
  </si>
  <si>
    <t>Cui, JQ; Liu, B; Wu, X; Zhou, JL; Zhou, LP; Shen, DG; Wang, Y</t>
  </si>
  <si>
    <t>While single-task medical image restoration (MedIR) has achieved remarkable progress, developing a unified model that generalizes across diverse MedIR tasks remains largely unexplored, primarily due to the complex degradation patterns present in medical images across different modalities. To tackle this challenge, in this paper, we propose UniMedIR, an all-in-one framework that unifies multiple MedIR tasks within a single model through text-guided prompting and dual-domain modeling. Specifically, UniMedIR leverages large language model (LLM)enhanced descriptions to provide task-relevant guidance by explicitly encoding restoration objective, imaging modality, and degradation characteristics. To further improve prompt quality, we introduce a mixture of task experts (MoTE), which captures both task-shared anatomical structures and task-specific degradation patterns to generate adaptive and discriminative task prompts. Through this design, our UniMedIR learns common structural representations while also modeling modality-dependent degradations, enabling robust generalization across diverse tasks and modalities. Guided by these prompts, we then develop a dual-domain transformer (DuDoTrans) that performs joint spatial and frequency modeling for enhanced restoration. Within the DuDoTrans, a prompt-guided spatial attention (ProSA) recovers task-adaptive structure information in the spatial domain, while an adaptive frequency modulator (AdaFM) adaptively decomposes and refines high-frequency and low-frequency components to restore structure and texture details. In addition, we build a comprehensive benchmark across six representative MedIR tasks spanning computed tomography (CT), magnetic resonance imaging (MRI), and positron emission tomography (PET) modalities. Extensive experiments demonstrate that UniMedIR achieves the state-of-the-art performance in both quantitative and qualitative evaluations among all-in-one MedIR approaches and exhibits superior robustness to unseen settings. Code is available at https://github.com/gluucose/UniMedIR.</t>
  </si>
  <si>
    <t>Cui, Jiaqi; Liu, Bo; Wu, Xi; Zhou, Jiliu; Zhou, Luping; Shen, Dinggang; Wang, Yan</t>
  </si>
  <si>
    <t>Wang, Y (corresponding author), Sichuan Univ, Sch Comp Sci, Chengdu 610065, Sichuan, Peoples R China.</t>
  </si>
  <si>
    <t>zhoujiliu@cuit.edu.cn; luping.zhou@sydney.edu.au; dgshen@shanghaitech.edu.cn; cuijiaqi1@stu.scu.edu.cn; ywang@scu.edu.cn; bokelvin.liu@connect.polyu.hk; xi.wu@cuit.edu.cn</t>
  </si>
  <si>
    <t>National Natural Science Foundation of China (NSFC) [62371325, U23A20295, 62131015, 82441023, 82394432]; Sichuan Science and Technology Program [2025NSFJQ0050, 2024ZDZX0018]; Key Lab of Internet Natural Language Processing of Sichuan Provincial Education Department [INLP202402]; HPC Platform of ShanghaiTech University</t>
  </si>
  <si>
    <t>National Natural Science Foundation of China (NSFC) (National Natural Science Foundation of China (NSFC)); Sichuan Science and Technology Program (Sichuan Science and Technology Program); Key Lab of Internet Natural Language Processing of Sichuan Provincial Education Department; HPC Platform of ShanghaiTech University</t>
  </si>
  <si>
    <t>This work is supported by National Natural Science Foundation of China (NSFC 62371325, U23A20295, 62131015, 82441023, 82394432), Sichuan Science and Technology Program 2025NSFJQ0050, Sichuan Science and Technology Program 2024ZDZX0018, and Key Lab of Internet Natural Language Processing of Sichuan Provincial Education Department (No. INLP202402) and HPC Platform of ShanghaiTech University.</t>
  </si>
  <si>
    <t>[Cui, Jiaqi; Liu, Bo; Zhou, Jiliu; Wang, Yan] Sichuan Univ, Sch Comp Sci, Chengdu 610065, Sichuan, Peoples R China; [Wu, Xi] Chengdu Univ Informat Technol, Sch Comp Sci, Chengdu 610225, Sichuan, Peoples R China; [Zhou, Luping] Univ Sydney, Sch Elect &amp; Informat Engn, Sydney, NSW 2006, Australia; [Shen, Dinggang] ShanghaiTech Univ, Sch Biomed Engn, Shanghai 201210, Peoples R China; [Shen, Dinggang] ShanghaiTech Univ, State Key Lab Adv Med Mat &amp; Devices, Shanghai 201210, Peoples R China; [Shen, Dinggang] Shanghai United Imaging Intelligence Co Ltd, Shanghai 200232, Peoples R China; [Shen, Dinggang] Shanghai Clin Res &amp; Trial Ctr, Shanghai 201210, Peoples R China</t>
  </si>
  <si>
    <t>Sichuan University; Chengdu University of Information Technology; University of Sydney; ShanghaiTech University; ShanghaiTech University</t>
  </si>
  <si>
    <t>All-In-One medical image restoration via Text-Guided prompting and Dual-Domain modeling</t>
  </si>
  <si>
    <t>INFORMATION FUSION</t>
  </si>
  <si>
    <t>All-in-one medical image restoration; Text-guided prompting; Dual-domain modeling</t>
  </si>
  <si>
    <t>LOW-DOSE CT</t>
  </si>
  <si>
    <t>66</t>
  </si>
  <si>
    <t>1566-2535</t>
  </si>
  <si>
    <t>1872-6305</t>
  </si>
  <si>
    <t>INFORM FUSION</t>
  </si>
  <si>
    <t>Inf. Fusion</t>
  </si>
  <si>
    <t>136</t>
  </si>
  <si>
    <t>104558</t>
  </si>
  <si>
    <t>10.1016/j.inffus.2026.104558</t>
  </si>
  <si>
    <t>http://dx.doi.org/10.1016/j.inffus.2026.104558</t>
  </si>
  <si>
    <t>Computer Science, Artificial Intelligence; Computer Science, Theory &amp; Methods</t>
  </si>
  <si>
    <t>KK2SX</t>
  </si>
  <si>
    <t>WOS:001808955500001</t>
  </si>
  <si>
    <t>Wang, L; Zhou, J; Yang, XK; Ye, H; Zhang, H; Wang, ZJ; Chen, Y; Yan, K; Tan, CY; Xu, XM; Pu, JT</t>
  </si>
  <si>
    <t>Accurate medical image segmentation is critical for image-guided clinical procedures, yet the complexity and variability of anatomical structures make it highly challenging. To address this, we propose a novel segmentation framework that integrates a Hierarchical Spatial Perception network (HSP-Net) and a foundation model (SAM: Segment Anything Model)-assisted uncertainty suppression (SUS) strategy. HSP-Net enhances the classical U-Net architecture using a Group Pyramid Attention (GPA) module, which dynamically emphasizes discriminative features at multiple scales through a Channel Pooling Attention (CPA) block and a Spatial Hierarchical Attention (SHA) block. The SUS strategy leverages the SAM to identify hard-to-segment pixels and reduce prediction uncertainty. By combining semantic feature learning with foundation model-assisted refinement, our framework achieves promising performance across five publicly available datasets (i.e., BUSI, CVC, ISIC2017, ISIC2018, and Synapse). Extensive experiments show that it consistently outperforms U-Net and its multiple variants (e.g., UNeXt and UTNet), achieving an average Dice score of 0.8815 and a 95% Hausdorff distance of 7.3867, while demonstrating robust generalization across multi-modal medical images. The source code is publicly available at https://github.com/wmuLei/hsp-net.</t>
  </si>
  <si>
    <t>Wang, Lei; Zhou, Jie; Yang, Xiaokai; Ye, Huan; Zhang, Hao; Wang, Zijian; Chen, Yu; Yan, Ke; Tan, Chuoying; Xu, Xiaomin; Pu, Jiantao</t>
  </si>
  <si>
    <t>Wang, L (corresponding author), Wenzhou Med Univ, Eye Hosp, Natl Engn Res Ctr Ophthalmol &amp; Optometry, Wenzhou 325027, Peoples R China.</t>
  </si>
  <si>
    <t>lei.wang@eye.ac.cn</t>
  </si>
  <si>
    <t>Wenzhou Municipal Science and Technology Bureau, China [Y20240059, Y2023382]; Natural Science Foundation of Zhejiang Province, China [LQ21H040007]; National Institutes of Health, United States [R01CA237277, R01EY033973, R01HL174570]</t>
  </si>
  <si>
    <t>Wenzhou Municipal Science and Technology Bureau, China; Natural Science Foundation of Zhejiang Province, China (Natural Science Foundation of Zhejiang Province); National Institutes of Health, United States (United States Department of Health &amp; Human Services, National Institutes of Health (NIH) - USA)</t>
  </si>
  <si>
    <t>This work is supported in part by Wenzhou Municipal Science and Technology Bureau, China (Grant No. Y20240059 and Y2023382) , Natural Science Foundation of Zhejiang Province, China (Grant No. LQ21H040007) , and National Institutes of Health, United States (Grant No. R01CA237277, R01EY033973, and R01HL174570) .</t>
  </si>
  <si>
    <t>[Wang, Lei] Wenzhou Med Univ, Eye Hosp, Zhejiang Key Lab Ophthalm Drug Discovery &amp; Med Dev, Wenzhou 325027, Peoples R China; [Wang, Lei; Zhou, Jie; Zhang, Hao; Wang, Zijian; Chen, Yu; Yan, Ke; Tan, Chuoying] Wenzhou Med Univ, Eye Hosp, Natl Engn Res Ctr Ophthalmol &amp; Optometry, Wenzhou 325027, Peoples R China; [Zhou, Jie; Zhang, Hao; Wang, Zijian; Chen, Yu; Yan, Ke; Tan, Chuoying] Wenzhou Med Univ, Eye Hosp, Natl Clin Res Ctr Ocular Dis, Wenzhou 325027, Peoples R China; [Yang, Xiaokai; Ye, Huan; Xu, Xiaomin] Shanghai Univ, Wenzhou Med Univ, Wenzhou Peoples Hosp, Wenzhou Clin Inst 3,Affiliated Hosp 3, Wenzhou 325000, Peoples R China; [Pu, Jiantao] Univ Pittsburgh, Dept Radiol Bioengn &amp; Ophthalmol, Pittsburgh, PA 15213 USA</t>
  </si>
  <si>
    <t>Wenzhou Medical University; Wenzhou Medical University; Wenzhou Medical University; Shanghai University; Wenzhou Medical University; Pennsylvania Commonwealth System of Higher Education (PCSHE); University of Pittsburgh</t>
  </si>
  <si>
    <t>Hierarchical spatial perception network and SAM-assisted uncertainty suppression for medical image segmentation</t>
  </si>
  <si>
    <t>PATTERN RECOGNITION</t>
  </si>
  <si>
    <t>Image segmentation; Attention block; Segment Anything Model; Uncertainty suppression</t>
  </si>
  <si>
    <t>0031-3203</t>
  </si>
  <si>
    <t>1873-5142</t>
  </si>
  <si>
    <t>PATTERN RECOGN</t>
  </si>
  <si>
    <t>Pattern Recognit.</t>
  </si>
  <si>
    <t>180</t>
  </si>
  <si>
    <t>114198</t>
  </si>
  <si>
    <t>10.1016/j.patcog.2026.114198</t>
  </si>
  <si>
    <t>http://dx.doi.org/10.1016/j.patcog.2026.114198</t>
  </si>
  <si>
    <t>JZ3KL</t>
  </si>
  <si>
    <t>42491717</t>
  </si>
  <si>
    <t>WOS:001801549600001</t>
  </si>
  <si>
    <t>Green Submitted</t>
  </si>
  <si>
    <t>Bashir, M; El-Sappagh, S; Woo, SS; Kim, DI; Abuhmed, T</t>
  </si>
  <si>
    <t>The Internet of Medical Things (IoMT) enables continuous monitoring, remote diagnosis, and personalized treatment through interconnected medical devices operating across edge, cloud, and local environments. As a communication-centric infrastructure, IoMT depends on interoperability, low-latency networking, and coordinated intelligence to support reliable healthcare services. Realizing its full potential requires computational models that are interpretable, robust, and trustworthy. Large Language Models (LLMs) offer strong capabilities in natural language generation and contextual reasoning for clinical documentation, patient interaction, and decision support, yet their black-box behavior raises concerns regarding transparency and clinical trust. Explainable Artificial Intelligence (XAI) addresses these challenges by providing mechanisms for interpretability and accountability. Although IoMT, LLMs, and XAI have each advanced significantly, prior studies have largely examined them as separate research directions or through limited partial integrations. This work presents a unified systemlevel analytical study of their convergence in healthcare, positioning IoMT as the foundational infrastructure, LLMs as the contextual reasoning layer, and XAI as the trust-enabling layer for transparency and accountability. Furthermore, the paper systematically examines this convergence through rigorous analysis of architectural foundations and diverse healthcare application domains, and presents clinically grounded case studies to offer a unified, comprehensive, and forward-looking perspective on trustworthy digital healthcare systems.</t>
  </si>
  <si>
    <t>Bashir, Maria; El-Sappagh, Shaker; Woo, Simon S.; Kim, Dong In; Abuhmed, Tamer</t>
  </si>
  <si>
    <t>Abuhmed, T (corresponding author), Sungkyunkwan Univ, Coll Comp &amp; Informat, Dept Comp Sci &amp; Engn, Suwon 16419, South Korea.</t>
  </si>
  <si>
    <t>shaker.elsappagh@Gu.edu.eg; swoo@g.skku.edu; mariabashir@g.skku.edu; dongin@skku.edu; tamer@skku.edu</t>
  </si>
  <si>
    <t>National Research Foundation of Korea(NRF) - Korea government(MSIT) [RS-2021-NR058558]; Institute for Information &amp; communications Technology Planning &amp; Evaluation (IITP) - Korea government (MSIT) [IITP-2026-RS-2020-II201821]; AI Platform to Fully Adapt and Reflect Privacy-Policy Changes [2022-0-00688]</t>
  </si>
  <si>
    <t>National Research Foundation of Korea(NRF) - Korea government(MSIT) (National Research Foundation of Korea, Ministry of Science &amp; ICT (MMSTI)); Institute for Information &amp; communications Technology Planning &amp; Evaluation (IITP) - Korea government (MSIT) (Institute for Information &amp; Communication Technology Planning &amp; Evaluation (IITP), Republic of Korea); AI Platform to Fully Adapt and Reflect Privacy-Policy Changes</t>
  </si>
  <si>
    <t>This work was supported by the National Research Foundation of Korea(NRF) grant funded by the Korea government(MSIT)(RS-2021-NR058558), (Institute for Information &amp; communications Technology Planning &amp; Evaluation) (IITP) grant funded by the Korea government (MSIT) under the ICT Creative Consilience Program (IITP-2026-RS-2020-II201821), AI Platform to Fully Adapt and Reflect Privacy-Policy Changes (No. 2022-0-00688).</t>
  </si>
  <si>
    <t>[Bashir, Maria; Kim, Dong In] Sungkyunkwan Univ, Coll Informat &amp; Commun Engn, Dept Elect &amp; Comp Engn, Suwon 16419, South Korea; [El-Sappagh, Shaker] Galala Univ, Fac Comp Sci &amp; Engn, Suez 435611, Egypt; [El-Sappagh, Shaker] Benha Univ, Fac Comp &amp; Artificial Intelligence, Informat Syst Dept, Banha 13518, Egypt; [Woo, Simon S.; Abuhmed, Tamer] Sungkyunkwan Univ, Coll Comp &amp; Informat, Dept Comp Sci &amp; Engn, Suwon 16419, South Korea</t>
  </si>
  <si>
    <t>Sungkyunkwan University (SKKU); Galala University; Egyptian Knowledge Bank (EKB); Benha University; Sungkyunkwan University (SKKU)</t>
  </si>
  <si>
    <t>Toward trustworthy digital healthcare: A system-level convergence of IoMT, large language models, and explainable AI</t>
  </si>
  <si>
    <t>Internet of medical things; Large language models; Explainable artificial intelligence; Trustworthy healthcare; Multimodal data fusion; Edge intelligence</t>
  </si>
  <si>
    <t>ARTIFICIAL-INTELLIGENCE; NEURAL-NETWORK; INTERNET; DATASET; THINGS; ANALYTICS; CHALLENGES; FRAMEWORK; XAI; IOT</t>
  </si>
  <si>
    <t>El-Sappagh, Shaker/E-3799-2019; Abuhmed, Tamer/AAQ-9890-2020</t>
  </si>
  <si>
    <t>294</t>
  </si>
  <si>
    <t>104507</t>
  </si>
  <si>
    <t>10.1016/j.inffus.2026.104507</t>
  </si>
  <si>
    <t>http://dx.doi.org/10.1016/j.inffus.2026.104507</t>
  </si>
  <si>
    <t>28</t>
  </si>
  <si>
    <t>JU6XV</t>
  </si>
  <si>
    <t>WOS:001798397000001</t>
  </si>
  <si>
    <t>Li, WH; Liu, FY; Du, B</t>
  </si>
  <si>
    <t>Ultrasound image segmentation is pivotal for anatomical delineation, parameter measurement, and clinical treatment planning. Despite the Segment Anything Model (SAM)'s dominance in general domains, its direct application to ultrasound imaging is hindered by acoustic shadows, speckle noise, and low-contrast boundaries. As SAM's segmentation quality is tightly coupled to the informativeness of its prompts, its standard prompting mechanism often struggles with boundary ambiguity and lacks the medical semantic priors required for precise localization. To bridge this gap, we propose BT-SAM, a Boundary-Text hybrid prompting framework that reformulates the prompt encoding paradigm. First, we introduce a Boundary-Aware Prior branch to extract fine-grained structural cues, explicitly addressing the issue of indistinct edges. Second, a Text-Guided Semantic branch integrates clinical knowledge from a medical Large Language Model (LLM) to rectify semantic misalignment. Crucially, these features from both branches are fused via an adaptive Prompt Generator, which injects boundary-enhanced and biologically descriptive embeddings into the mask decoder. Extensive experiments conducted on seven public ultrasound datasets demonstrate that BT-SAM consistently outperforms existing methods, effectively mitigating localization drift and boundary leakage in complex ultrasound scenarios. Our code is released at https://github.com/llwwhh4002/BT-SAM.</t>
  </si>
  <si>
    <t>Li, Wenhao; Liu, Fangyi; Du, Bo</t>
  </si>
  <si>
    <t>Liu, FY; Du, B (corresponding author), Wuhan Univ, Inst Artificial Intelligence, Natl Engn Res Ctr Multimedia Software, Sch Comp Sci, Wuhan, Peoples R China.; Liu, FY; Du, B (corresponding author), Wuhan Univ, Hubei Key Lab Multimedia &amp; Network Commun Engn, Wuhan, Peoples R China.</t>
  </si>
  <si>
    <t>dubo@whu.edu.cn; fangyiliu@whu.edu.cn</t>
  </si>
  <si>
    <t>National Key Research and Development Program of China [2023YFC2705701]; New Cornerstone Science Foundation through the XPLORER PRIZE; National Science Foundation for Distinguished Young Scholars of China [62225113]; Innovative Research Group Project of Hubei Province [2024AFA017]; WHU-Kingsoft Joint Lab</t>
  </si>
  <si>
    <t>National Key Research and Development Program of China (National Key Research &amp; Development Program of China); New Cornerstone Science Foundation through the XPLORER PRIZE; National Science Foundation for Distinguished Young Scholars of China (National Natural Science Foundation of China (NSFC), National Science Fund for Distinguished Young Scholars); Innovative Research Group Project of Hubei Province; WHU-Kingsoft Joint Lab</t>
  </si>
  <si>
    <t>This work was supported by National Key Research and Development Program of China (Grant No. 2023YFC2705701) , the New Cornerstone Science Foundation through the XPLORER PRIZE, National Science Foundation for Distinguished Young Scholars of China (Grant No. 62225113) , the Innovative Research Group Project of Hubei Province (Grant No. 2024AFA017) , WHU-Kingsoft Joint Lab and the supercomputing system in the Supercomputing Center of Wuhan University. The numerical calculations in this paper have been done on the supercomputing system in the Supercomputing Center of Wuhan University.</t>
  </si>
  <si>
    <t>[Li, Wenhao] Wuhan Univ, Sch Cyber Sci &amp; Engn, Key Lab Aerosp Informat Secur &amp; Trusted Comp, Minist Educ, Wuhan, Peoples R China; [Liu, Fangyi; Du, Bo] Wuhan Univ, Inst Artificial Intelligence, Natl Engn Res Ctr Multimedia Software, Sch Comp Sci, Wuhan, Peoples R China; [Liu, Fangyi; Du, Bo] Wuhan Univ, Hubei Key Lab Multimedia &amp; Network Commun Engn, Wuhan, Peoples R China</t>
  </si>
  <si>
    <t>Wuhan University; Wuhan University; Wuhan University</t>
  </si>
  <si>
    <t>BT-SAM: Fusing boundary and textual guidance for robust ultrasound segmentation</t>
  </si>
  <si>
    <t>Ultrasound image segmentation; Segment anything model; Boundary-text hybrid prompting</t>
  </si>
  <si>
    <t>NET; NETWORK</t>
  </si>
  <si>
    <t>Du, Bo/AEY-9731-2022</t>
  </si>
  <si>
    <t>114170</t>
  </si>
  <si>
    <t>10.1016/j.patcog.2026.114170</t>
  </si>
  <si>
    <t>http://dx.doi.org/10.1016/j.patcog.2026.114170</t>
  </si>
  <si>
    <t>JV5RC</t>
  </si>
  <si>
    <t>WOS:001798989900001</t>
  </si>
  <si>
    <t>Liu, YY; Liu, SY; Zhang, JH; Wang, K; Tang, C; Tao, DP; Chen, Z; Xiang, W</t>
  </si>
  <si>
    <t>Human emotion recognition is essential for emotionally intelligent systems in areas such as human-computer interaction, healthcare, and behavioral analysis. In real-world scenarios, emotional states are often ambiguous and fall outside predefined categories, making existing models unable to handle unseen emotion classes, thus limiting their use in sensitive domains like depression detection. To address this, open-set emotion recognition (O-ER) methods with pretrained models have been proposed to classify known emotions while detecting unknown ones. However, most focus on unimodal recognition, ignoring rich cues in multimodal data and limiting robustness. This motivates open-set multimodal emotion recognition (O-MER), which captures multimodal information to better recognize known emotions and detect unseen ones. However, directly fusing modalities often leads to semantically heterogeneous emotion representations, highlighting the need for a unified modality-interactive prompting mechanism to structurally align and fuse cross-modal affective cues. We propose Hierarchical Cross-modal Emotion-interactive Prompting (HCEP), a novel framework that adapts pretrained models for O-MER via a two-level prompt learning mechanism. HCEP includes three components: (1) Semantic-level Multimodal Emotion-aligning Prompting (SMEP), aligning and capturing multimodal emotion features via semantic emotion-unified prompts; (2) Class-level Unimodal Emotion-opposing Prompting (CUEP), refining decision boundaries per modality with positive and negative prompts; and (3) Dual-stream Prompt-driven Open-set Learning (DPOL), jointly optimizing known emotion classification and unknown emotion detection using a novel threshold-based discrimination strategy. Extensive experiments on five O-MER benchmarks demonstrate that HCEP achieves state-of-the-art results, outperforming the baseline with an average 16.79% AUROC and 28.49% OSCR relative gains, validating its strong capability to recognize known and detect unseen emotions.</t>
  </si>
  <si>
    <t>Liu, Yuanyuan; Liu, Shuyang; Zhang, Jiahao; Wang, Ke; Tang, Chang; Tao, Dapeng; Chen, Zhe; Xiang, Wei</t>
  </si>
  <si>
    <t>Tao, DP (corresponding author), Yunnan Univ, Sch Informat Sci &amp; Engn, Kunming 650500, Yunnan, Peoples R China.; Chen, Z (corresponding author), Trobe Univ, Sch Comp Engn &amp; Math Sci, Melbourne, Vic 3086, Australia.</t>
  </si>
  <si>
    <t>dptao@ynu.edu.cn; zhe.chen@latrobe.edu.au</t>
  </si>
  <si>
    <t>Yunling Scholar Talent Program of Yunnan Province [K264202230207]</t>
  </si>
  <si>
    <t>Yunling Scholar Talent Program of Yunnan Province</t>
  </si>
  <si>
    <t>This work was supported by Yunling Scholar Talent Program of Yunnan Province under Grant K264202230207.</t>
  </si>
  <si>
    <t>[Liu, Yuanyuan; Liu, Shuyang; Zhang, Jiahao; Wang, Ke] China Univ Geosci Wuhan, Sch Comp Sci, Wuhan 430074, Hubei, Peoples R China; [Tang, Chang] Huazhong Univ Sci &amp; Technol, Sch Software Engn, Wuhan 430074, Hubei, Peoples R China; [Tao, Dapeng] Yunnan Univ, Sch Informat Sci &amp; Engn, Kunming 650500, Yunnan, Peoples R China; [Chen, Zhe; Xiang, Wei] Trobe Univ, Sch Comp Engn &amp; Math Sci, Melbourne, Vic 3086, Australia</t>
  </si>
  <si>
    <t>China University of Geosciences; Huazhong University of Science &amp; Technology; Yunnan University; La Trobe University</t>
  </si>
  <si>
    <t>Hinting the unknown: Effective open-set multimodal emotion recognition with a hierarchical cross-modal emotion-interactive prompting approach</t>
  </si>
  <si>
    <t>Open-set recognition; Multimodal emotion recognition; Prompt learning; Pretrained foundation models; Cross-modal alignment</t>
  </si>
  <si>
    <t>Tao, Dapeng/E-8649-2013; Chen, Zhe/JHU-4086-2023</t>
  </si>
  <si>
    <t>Zhang, Jiahao/0009-0001-8410-1698</t>
  </si>
  <si>
    <t>104530</t>
  </si>
  <si>
    <t>10.1016/j.inffus.2026.104530</t>
  </si>
  <si>
    <t>http://dx.doi.org/10.1016/j.inffus.2026.104530</t>
  </si>
  <si>
    <t>JS7IC</t>
  </si>
  <si>
    <t>WOS:001797067500001</t>
  </si>
  <si>
    <t>Pang, ST; Dong, YJ; Wang, R; Wang, JR; Lyu, H; Chen, WW; Li, Q; Song, H; Shi, XS</t>
  </si>
  <si>
    <t>Recent advances in deep learning, particularly Transformer-based models, have achieved promising performance on large-scale tabular data. However, adapting large language models (LLMs) to tabular learning remains challenging: (i) tabular features often lose some semantic information when directly encoded into the input tokens for LLMs, and (ii) redundant or noisy features are prevalent, thereby limiting model performance and interpretability. To address these issues, we propose FITEL, an end-to-end interpretable framework that first identifies informative features at the column level and then performs disease prediction at the row level. Specifically, the LLM-enhanced tabular embedding (TEL) module introduces a trainable tabular embedding mechanism for the LLM encoder, avoiding costly serialization and enabling task-specific representations enriched with LLM knowledge. Additionally, the dynamic feature interpretation (DFI) module incorporates a dynamic sparse graph that identifies key features during training, enhancing interpretability while guiding the model toward more reliable predictions. Experiments on three clinical tasks demonstrate that FITEL achieves superior classification and interpretation performance over recent state-of-the-art methods.</t>
  </si>
  <si>
    <t>Pang, Shuting; Dong, Yanjie; Wang, Rui; Wang, Junren; Lyu, He; Chen, Wenwen; Li, Qian; Song, Huan; Shi, Xiaoshuang</t>
  </si>
  <si>
    <t>Shi, XS (corresponding author), Univ Elect Sci &amp; Technol China, Sch Comp Sci &amp; Engn, Chengdu, Peoples R China.; Song, H (corresponding author), Sichuan Univ, West China Hosp, West China Biomed Big Data Ctr, Chengdu, Peoples R China.; Song, H (corresponding author), Sichuan Univ, Medx Ctr Informat, Chengdu, Peoples R China.</t>
  </si>
  <si>
    <t>xsshi2021@uestc.edu.cn; songhuan@wchscu.cn</t>
  </si>
  <si>
    <t>High Performance Computing platform at West China Biomedical Big Data Center, West China Hospital, Sichuan University [82471535, 62276052]; National Natural Science Foundation of China [82471535, 62276052]; Technology Program of Health Commission of Sichuan Province (Special Program for Clinical Research) [23LCYJ024]</t>
  </si>
  <si>
    <t>High Performance Computing platform at West China Biomedical Big Data Center, West China Hospital, Sichuan University; National Natural Science Foundation of China (National Natural Science Foundation of China (NSFC)); Technology Program of Health Commission of Sichuan Province (Special Program for Clinical Research)</t>
  </si>
  <si>
    <t>The computations in this paper were supported by the High Performance Computing platform at West China Biomedical Big Data Center, West China Hospital, Sichuan University. We thank all the patients, data collectors, and investigators that participated in CSAC. We thank the members involved in West China Biomedical Big Data Center and West China Biobank for their support. This work was funded by the National Natural Science Foundation of China (82471535 to H.S., 62276052 to X.S.) ; Technology Program of Health Commission of Sichuan Province (Special Program for Clinical Research) (23LCYJ024 to Q.L.) .</t>
  </si>
  <si>
    <t>[Pang, Shuting; Shi, Xiaoshuang] Univ Elect Sci &amp; Technol China, Sch Comp Sci &amp; Engn, Chengdu, Peoples R China; [Dong, Yanjie] Sichuan Univ, West China Hosp, Dept Anesthesiol, Chengdu, Peoples R China; [Dong, Yanjie; Wang, Rui; Lyu, He; Chen, Wenwen; Song, Huan] Sichuan Univ, West China Hosp, West China Biomed Big Data Ctr, Chengdu, Peoples R China; [Wang, Junren] Sichuan Univ, West China Hosp, Mental Hlth Ctr, Guo Xue Lane 37, Chengdu, Peoples R China; [Wang, Junren] Sichuan Univ, West China Hosp, West China Biomed Big Data Ctr, Guo Xue Lane 37, Chengdu, Peoples R China; [Wang, Junren; Lyu, He; Chen, Wenwen; Song, Huan] Sichuan Univ, Medx Ctr Informat, Chengdu, Peoples R China; [Li, Qian] Sichuan Univ, West China Hosp, Dept Anesthesiol, Chengdu, Sichuan, Peoples R China</t>
  </si>
  <si>
    <t>University of Electronic Science &amp; Technology of China; Sichuan University; Sichuan University; Sichuan University; Sichuan University; Sichuan University; Sichuan University</t>
  </si>
  <si>
    <t>Feature-interpretable disease prediction from tabular data via dynamic GCN and LLMs</t>
  </si>
  <si>
    <t>Tabular data; Feature interpretability; Dynamic graph convolutional network; Large language model</t>
  </si>
  <si>
    <t>Pang, Shuting/0009-0007-9195-8853</t>
  </si>
  <si>
    <t>114137</t>
  </si>
  <si>
    <t>10.1016/j.patcog.2026.114137</t>
  </si>
  <si>
    <t>http://dx.doi.org/10.1016/j.patcog.2026.114137</t>
  </si>
  <si>
    <t>JN8QK</t>
  </si>
  <si>
    <t>WOS:001793765100001</t>
  </si>
  <si>
    <t>Zhou, CL; Tu, XH; Chen, GY; He, TT; Bai, X; Liu, Y</t>
  </si>
  <si>
    <t>Query expansion enhances information retrieval by enriching user queries with semantically relevant terms or contextual information. Recently, large language model (LLM)-based approaches have shown promise by extracting keywords from the query and expanding the query using both internal model knowledge and external sources. However, in specialized domains like biomedicine, query keywords often provide limited information. As a result, expansion based on this limited information frequently leads to hallucinations, which can significantly degrade retrieval performance. Focusing on medical information retrieval, we propose Iterative Conceptual Query Expansion (ICQE), a method that expands queries using biomedical concepts generated by LLMs based on both the original query and external resources. To further mitigate hallucination, ICQE incorporates an Iterative Query Refinement mechanism, which mimics human behavior when using scientific search engines by incrementally refining the query through appending one biomedical concept at a time. Extensive evaluation on two biomedical information retrieval benchmarks, NFCorpus and TREC-COVID, ICQE consistently outperforms the compared query expansion baselines on the evaluated benchmarks. These results highlight ICQE's strong capability in generating relevant biomedical concepts from user queries and effectively expanding the queries to enhance retrieval performance.</t>
  </si>
  <si>
    <t>Zhou, Chenlian; Tu, Xinhui; Chen, Guanyi; He, Tingting; Bai, Xin; Liu, Yu</t>
  </si>
  <si>
    <t>Chen, GY; He, TT (corresponding author), Cent China Normal Univ, Hubei Prov Key Lab Artificial Intelligence &amp; Smart, Wuhan 430079, Hubei, Peoples R China.; Chen, GY; He, TT (corresponding author), Cent China Normal Univ, Natl Language Resources Monitor &amp; Res Ctr Network, Wuhan 430079, Hubei, Peoples R China.; Chen, GY; He, TT (corresponding author), Cent China Normal Univ, Sch Comp Sci, Wuhan 430079, Hubei, Peoples R China.</t>
  </si>
  <si>
    <t>tthe@mail.ccnu.edu.cn; g.chen@ccnu.edu.cn</t>
  </si>
  <si>
    <t>MOE (Ministry of Education in China) Project of Humanities and Social Sciences [25YJC740005]; National Language and Character Research Base [ZDI145-168]; Fundamental Research Funds for the Central Universities, Academy of Frontier Interdisciplinary Research, Central China Normal University [JC2026PT-004]</t>
  </si>
  <si>
    <t>MOE (Ministry of Education in China) Project of Humanities and Social Sciences; National Language and Character Research Base; Fundamental Research Funds for the Central Universities, Academy of Frontier Interdisciplinary Research, Central China Normal University</t>
  </si>
  <si>
    <t>This work was supported by the MOE (Ministry of Education in China) Project of Humanities and Social Sciences (Project No.25YJC740005), the National Language and Character Research Base (Project No.ZDI145-168), and Fundamental Research Funds for the Central Universities, Academy of Frontier Interdisciplinary Research, Central China Normal University (Project No.JC2026PT-004).</t>
  </si>
  <si>
    <t>[Zhou, Chenlian; Tu, Xinhui; Chen, Guanyi; He, Tingting; Bai, Xin; Liu, Yu] Cent China Normal Univ, Hubei Prov Key Lab Artificial Intelligence &amp; Smart, Wuhan 430079, Hubei, Peoples R China; [Zhou, Chenlian; Bai, Xin; Liu, Yu] Cent China Normal Univ, Fac Artificial Intelligence Educ, Wuhan 430079, Hubei, Peoples R China; [Zhou, Chenlian; Tu, Xinhui; Chen, Guanyi; He, Tingting; Bai, Xin; Liu, Yu] Cent China Normal Univ, Natl Language Resources Monitor &amp; Res Ctr Network, Wuhan 430079, Hubei, Peoples R China; [Tu, Xinhui; Chen, Guanyi; He, Tingting] Cent China Normal Univ, Sch Comp Sci, Wuhan 430079, Hubei, Peoples R China; [Liu, Yu] Cent China Normal Univ, Natl Engn Res Ctr Educ Big Data, Wuhan 430079, Hubei, Peoples R China</t>
  </si>
  <si>
    <t>Central China Normal University; Central China Normal University; Central China Normal University; Central China Normal University; Central China Normal University</t>
  </si>
  <si>
    <t>Iterative conceptual query expansion for biomedical information retrieval</t>
  </si>
  <si>
    <t>Information retrieval; Biomedical information retrieval; Large language models</t>
  </si>
  <si>
    <t>Chen, Guanyi/HJY-0461-2023</t>
  </si>
  <si>
    <t>53</t>
  </si>
  <si>
    <t>330</t>
  </si>
  <si>
    <t>133049</t>
  </si>
  <si>
    <t>10.1016/j.eswa.2026.133049</t>
  </si>
  <si>
    <t>http://dx.doi.org/10.1016/j.eswa.2026.133049</t>
  </si>
  <si>
    <t>JJ8VM</t>
  </si>
  <si>
    <t>WOS:001791064300001</t>
  </si>
  <si>
    <t>Li, J; Diao, HY; Yu, QK; Zhou, FX; Zheng, XR; Zheng, YL; Meng, YD; Dong, SB</t>
  </si>
  <si>
    <t>The missing-modality problem poses a significant challenge to multimodal learning, particularly in the medical domain where data are highly sensitive due to ethical constraints. Existing approaches typically rely on implicit disentanglement to learn modality-invariant representations to tackle this problem, but such methods capture only coarse cross-modal consistency, overlooking the importance of high-level semantic guidance for explicit disentanglement. Moreover, most current multimodal fusion methods treat different modalities equally, without accounting for their inherent specificity. This often results in suboptimal fusion and limits the model's ability to leverage modality-specific diagnostic information. To address these issues, we propose KEDR, a Knowledge-enhanced Explicit Disentangled Representation network for incomplete modality learning. KEDR introduces two core components. First, the Knowledge-enhanced Explicit Disentanglement (KED) module leverages a large language model with Chain-of-Thought (CoT) reasoning to generate semantic priors describing cross-modal shared disease attributes. These priors are explicitly aligned with shared features through optimal transport, allowing clear separation of shared and modality-specific representations. Second, the Confidence-aware Adaptive Deep Fusion (CAD) module estimates modality contribution by modeling associations between prediction error and reliability, and integrates multimodal cues through an iterative equilibrium fusion mechanism, ensuring trustworthy and stable predictions under different missing-modality settings. Extensive experiments on three multimodal medical datasets demonstrate that KEDR outperforms state-of-the-art missing-modality approaches across various missing-modality settings. Visualizations of modality-wise confidence further reveal meaningful modality selection, confirming that KEDR not only improves diagnostic accuracy but also enhances robustness and trustworthiness. The implementation code is publicly available at https://github.com/lijing-coder/KEDR.</t>
  </si>
  <si>
    <t>Li, Jing; Diao, Hongyuan; Yu, Qinkai; Zhou, Feixiang; Zheng, Xiaorou; Zheng, Yalin; Meng, Yanda; Dong, Shoubin</t>
  </si>
  <si>
    <t>Dong, SB (corresponding author), South China Univ Technol, Guangdong Prov Key Lab Multimodal Big Data Intelli, Guangzhou, Peoples R China.; Dong, SB (corresponding author), South China Univ Technol, Sch Comp Sci &amp; Engn, Guangzhou, Peoples R China.</t>
  </si>
  <si>
    <t>sbdong@scut.edu.cn</t>
  </si>
  <si>
    <t>China Scholarship Council (CSC); National Natural Science Foundation of China [61976239]</t>
  </si>
  <si>
    <t>China Scholarship Council (CSC) (China Scholarship Council); National Natural Science Foundation of China (National Natural Science Foundation of China (NSFC))</t>
  </si>
  <si>
    <t>Jing Li acknowledges the support from the China Scholarship Council (CSC) for funding his joint Ph.D. program at the University of Exeter, UK. He also gratefully acknowledges the University of Liverpool, UK. and King Abdullah University of Science and Technology (KAUST), Saudi Arabia. for providing the visiting research opportunity. This work was supported in part by the National Natural Science Foundation of China (No. 61976239) .</t>
  </si>
  <si>
    <t>[Li, Jing; Zheng, Xiaorou; Dong, Shoubin] South China Univ Technol, Guangdong Prov Key Lab Multimodal Big Data Intelli, Guangzhou, Peoples R China; [Li, Jing; Diao, Hongyuan; Dong, Shoubin] South China Univ Technol, Sch Comp Sci &amp; Engn, Guangzhou, Peoples R China; [Li, Jing; Yu, Qinkai; Meng, Yanda] Univ Exeter, Dept Comp Sci, Exeter, England; [Li, Jing; Zhou, Feixiang; Zheng, Yalin] Univ Liverpool, Dept Eye &amp; Vis Sci, Liverpool, England; [Li, Jing; Yu, Qinkai; Meng, Yanda] King Abdullah Univ Sci &amp; Technol KAUST, Bioengn Program, Biomed Sci Div BioMed, Thuwal, Saudi Arabia; [Yu, Qinkai; Zhou, Feixiang; Zheng, Yalin] Univ Liverpool, Liverpool Ctr Cardiovasc Sci, Liverpool, England; [Zheng, Xiaorou] Univ Hong Kong, Dept Real Estate &amp; Construct, Hong Kong, Peoples R China</t>
  </si>
  <si>
    <t>South China University of Technology; South China University of Technology; University of Exeter; University of Liverpool; King Abdullah University of Science &amp; Technology; University of Liverpool; University of Hong Kong</t>
  </si>
  <si>
    <t>Knowledge-enhanced explicitly disentangled representation with missing modality for medical image diagnosis</t>
  </si>
  <si>
    <t>Incomplete modality learning; Large language model; Explicit disentanglement; Optimal transport; Confidence-aware fusion</t>
  </si>
  <si>
    <t>CONVERGENCE</t>
  </si>
  <si>
    <t>Yu, QINKAI/NVM-4884-2025; Meng, Yanda/IUQ-7187-2023</t>
  </si>
  <si>
    <t>104502</t>
  </si>
  <si>
    <t>10.1016/j.inffus.2026.104502</t>
  </si>
  <si>
    <t>http://dx.doi.org/10.1016/j.inffus.2026.104502</t>
  </si>
  <si>
    <t>JG3CC</t>
  </si>
  <si>
    <t>WOS:001788641700001</t>
  </si>
  <si>
    <t>Chai, HY; Guo, FQ; Wang, JJ; Song, XY; Hu, TH</t>
  </si>
  <si>
    <t>While technology-supported learning has traditionally facilitated aspects of higher-order thinking and creativity, emerging generative artificial intelligence (Gen AI) holds significant potential for further development in this area. However, whether Gen AI-assisted learning could effectively foster students' creativity has not yet achieved a consensus. To answer this question, this paper adopted meta-analysis to investigate 32 relevant (quasi-)experimental studies and evaluate the potential effect of Gen AI-assisted learning on students' creativity. Results revealed that Gen AIassisted learning demonstrated an approximately moderate positive correlation with students' creativity (g = 0.420). Moderator analysis indicated that creativity improvement brought by Gen AI-assisted learning was more effective (a) in the fields of medical nursing and natural sciences, (b) when teaching procedural and mixed knowledge, (c) when embedding Gen AI in other learning platforms, (d) when learning intervention lasted between 1 and 4 weeks, (e) in collaborative learning, (f) for code generation, (g) in other regions (Africa and South America). These results contributed insights for advancing future studies and practices in leveraging Gen AIassisted learning to foster students' creativity.</t>
  </si>
  <si>
    <t>Chai, Huanyou; Guo, Fangqi; Wang, Jinjin; Song, Xinyi; Hu, Tianhui</t>
  </si>
  <si>
    <t>Chai, HY (corresponding author), Cent China Normal Univ, Fac Artificial Intelligence Educ, Wuhan 430079, Peoples R China.; Hu, TH (corresponding author), Hubei Univ Educ, Collaborat Innovat Ctr K 12 Educ Digitalizat Hubei, Wuhan 430205, Peoples R China.</t>
  </si>
  <si>
    <t>chaihy@ccnu.edu.cn; huth@hue.edu.cn; 18614976358@mails.ccnu.edu.cn; songxy@mails.ccnu.edu.cn; guofangqi@mails.ccnu.edu.cn</t>
  </si>
  <si>
    <t>Postdoctoral Fellowship Program of CPSF [GZB20240255]; Postdoctoral Innovative Talent Cultivation Project of Hubei Province [2024HBBHCXB041]; The 76th Cohort of China Postdoctoral Funds for Upper-Level Projects [2024M761089]</t>
  </si>
  <si>
    <t>Postdoctoral Fellowship Program of CPSF; Postdoctoral Innovative Talent Cultivation Project of Hubei Province; The 76th Cohort of China Postdoctoral Funds for Upper-Level Projects</t>
  </si>
  <si>
    <t>This study was funded by the Postdoctoral Fellowship Program of CPSF upder [Project No GZB20240255] , Postdoctoral Innovative Talent Cultivation Project of Hubei Province [Project No 2024HBBHCXB041] , and The 76th Cohort of China Postdoctoral Funds for Upper-Level Projects [Project No 2024M761089] .</t>
  </si>
  <si>
    <t>[Chai, Huanyou; Guo, Fangqi; Wang, Jinjin; Song, Xinyi] Cent China Normal Univ, Fac Artificial Intelligence Educ, Wuhan 430079, Peoples R China; [Hu, Tianhui] Hubei Univ Educ, Collaborat Innovat Ctr K 12 Educ Digitalizat Hubei, Wuhan 430205, Peoples R China</t>
  </si>
  <si>
    <t>Central China Normal University; Hubei University of Education</t>
  </si>
  <si>
    <t>Uncovering the effect of Gen AI-assisted learning on students' creativity: A meta-analysis from quasi-experimental evidence</t>
  </si>
  <si>
    <t>THINKING SKILLS AND CREATIVITY</t>
  </si>
  <si>
    <t>Generative artificial intelligence; Creativity; Meta-analysis; Quasi-experimental; ChatGPT</t>
  </si>
  <si>
    <t>HIGHER-ORDER THINKING; GENERATIVE AI; SKILLS</t>
  </si>
  <si>
    <t>Chai, Huanyou/JNT-4109-2023</t>
  </si>
  <si>
    <t>84</t>
  </si>
  <si>
    <t>1871-1871</t>
  </si>
  <si>
    <t>1878-0423</t>
  </si>
  <si>
    <t>THINK SKILLS CREAT</t>
  </si>
  <si>
    <t>Think. Skills Creat.</t>
  </si>
  <si>
    <t>62</t>
  </si>
  <si>
    <t>A</t>
  </si>
  <si>
    <t>102227</t>
  </si>
  <si>
    <t>10.1016/j.tsc.2026.102227</t>
  </si>
  <si>
    <t>http://dx.doi.org/10.1016/j.tsc.2026.102227</t>
  </si>
  <si>
    <t>HK6QI</t>
  </si>
  <si>
    <t>WOS:001756318900001</t>
  </si>
  <si>
    <t>Gwózdz-Broczkowska, A</t>
  </si>
  <si>
    <t>Generative artificial intelligence (AI) can convert clinical information into patient-facing instructions, including discharge summaries, medication explanations, portal messages and plain-language educational materials. These outputs may improve accessibility and reduce documentation burden. They also create a distinct patient-safety problem: patients may act on fluent, incomplete, or contextually unsafe instructions without the clinical knowledge required to detect error. Early evaluations show a recurring trade-off. Large language models can improve readability and understandability of discharge information, yet physician and pharmacist review has identified omissions, inaccuracies, newly introduced actions, medication-related problems and potentially harmful safety issues, particularly in complex discharge contexts. This narrative and interpretative review reframes AI-generated patient instructions as a safety-critical informatics intervention rather than a languagesimplification tool. A targeted literature mapping was undertaken across empirical studies of AI-generated discharge communication, health-literacy and medication-safety literature, patient-safety evidence, and emerging artificial-intelligence governance frameworks. I propose a sevendomain safety framework covering factual accuracy, clinical completeness, actionability, medication clarity, escalation and safety-netting, healthliteracy alignment, and accountability with auditability. The framework is intended to support implementation, local evaluation and reviewer assessment rather than to function as a formal consensus guideline. High-risk patient-facing outputs require accountable clinical workflows, with human verification, traceability, equity testing and post-deployment monitoring. Before wider use, evaluation needs to assess not only readability, but also comprehension, actionability and potential harm.</t>
  </si>
  <si>
    <t>Gwozdz-Broczkowska, Anna</t>
  </si>
  <si>
    <t>Gwózdz-Broczkowska, A (corresponding author), Mil Inst Med, Natl Res Inst, 128 Szaserow St, PL-04141 Warsaw, Poland.</t>
  </si>
  <si>
    <t>agwozdz-broczkowska@wim.mil.pl</t>
  </si>
  <si>
    <t>[Gwozdz-Broczkowska, Anna] Mil Inst Med, Natl Res Inst, 128 Szaserow St, PL-04141 Warsaw, Poland</t>
  </si>
  <si>
    <t>Military Institute of Aviation Medicine</t>
  </si>
  <si>
    <t>AI-generated patient instructions as safety-critical communication: a provisional evidence-informed framework for clinical deployment</t>
  </si>
  <si>
    <t>INTERNATIONAL JOURNAL OF MEDICAL INFORMATICS</t>
  </si>
  <si>
    <t>Artificial intelligence; Patient safety; Health literacy; Medical informatics; Discharge instructions; Large language models; Patient communication</t>
  </si>
  <si>
    <t>HEALTH; DISCHARGE</t>
  </si>
  <si>
    <t>38</t>
  </si>
  <si>
    <t>ELSEVIER IRELAND LTD</t>
  </si>
  <si>
    <t>CLARE</t>
  </si>
  <si>
    <t>ELSEVIER HOUSE, BROOKVALE PLAZA, EAST PARK SHANNON, CO, CLARE, 00000, IRELAND</t>
  </si>
  <si>
    <t>1386-5056</t>
  </si>
  <si>
    <t>1872-8243</t>
  </si>
  <si>
    <t>INT J MED INFORM</t>
  </si>
  <si>
    <t>Int. J. Med. Inform.</t>
  </si>
  <si>
    <t>NOV 15 2026</t>
  </si>
  <si>
    <t>221</t>
  </si>
  <si>
    <t>106645</t>
  </si>
  <si>
    <t>10.1016/j.ijmedinf.2026.106645</t>
  </si>
  <si>
    <t>http://dx.doi.org/10.1016/j.ijmedinf.2026.106645</t>
  </si>
  <si>
    <t>Computer Science, Information Systems; Health Care Sciences &amp; Services; Medical Informatics</t>
  </si>
  <si>
    <t>Computer Science; Health Care Sciences &amp; Services; Medical Informatics</t>
  </si>
  <si>
    <t>MW2RC</t>
  </si>
  <si>
    <t>42607431</t>
  </si>
  <si>
    <t>WOS:001852384500002</t>
  </si>
  <si>
    <t>Kan, BS; Wang, T; Qu, YY; Wang, FL; Hao, TY</t>
  </si>
  <si>
    <t>Clinical trial outcome prediction involves predicting whether a trial is successful by analyzing its components before the trial begins. However, existing methods are training-based, which struggle to generalize to clinical trial scenarios not encountered during training due to the limited availability of annotated data. They also neglect the relationships among trial status, primary endpoints, and outcomes, resulting in discrepancies between predicted outcomes and prespecified trial endpoints. This paper proposes a Two-stage Evidence-based and Endpoint-guided Method (TEEM) for training-free clinical trial outcome prediction. Specifically, the TEEM decomposes clinical trial outcome prediction into two sub-tasks: clinical trial status prediction and primary endpoint prediction. It employs a two-stage mechanism that integrates the sub-tasks. In the first stage, TEEM leverages multiple Large Language Model (LLM) agents and an evidence-based retrieval-augmented generation mechanism to identify key factors contributing to trial status. In the second stage, an endpoint-guided agent is introduced to ensure alignment between predicted outcomes and prespecified trial endpoints. Extensive experiments on the TOP dataset demon strate that TEEM outperforms both the state-of-the-art training-free Plan-and-Solve method and the training-based LIFTED method.</t>
  </si>
  <si>
    <t>Kan, Baoshuo; Wang, Teng; Qu, Yingying; Wang, Fu Lee; Hao, Tianyong</t>
  </si>
  <si>
    <t>Hao, TY (corresponding author), South China Normal Univ, Sch Comp Sci, Guangzhou, Peoples R China.</t>
  </si>
  <si>
    <t>ttengwang@gmail.com; pwang@hkmu.edu.hk; jessie.qu@gdufs.edu.cn; haoty@m.scnu.edu.cn; baoshuokan@m.scnu.edu.cn</t>
  </si>
  <si>
    <t>National Natural Science Foundation of China [62372189]; Research Grants Council of the Hong Kong Special Administrative Region, China [UGC/FDS16/E03/25]</t>
  </si>
  <si>
    <t>National Natural Science Foundation of China (National Natural Science Foundation of China (NSFC)); Research Grants Council of the Hong Kong Special Administrative Region, China</t>
  </si>
  <si>
    <t>The work is supported by grants from National Natural Science Foundation of China (No. 62372189) and the Research Grants Council of the Hong Kong Special Administrative Region, China (UGC/FDS16/E03/25) .</t>
  </si>
  <si>
    <t>[Kan, Baoshuo; Hao, Tianyong] South China Normal Univ, Sch Comp Sci, Guangzhou, Peoples R China; [Wang, Teng] Tencent, Shenzhen, Peoples R China; [Qu, Yingying] Guangdong Univ Foreign Studies, Sch Business, Guangzhou, Peoples R China; [Wang, Fu Lee] Hong Kong Metropolitan Univ, Sch Sci &amp; Technol, Hong Kong, Peoples R China</t>
  </si>
  <si>
    <t>South China Normal University; Tencent; Guangdong University of Foreign Studies; Hong Kong Metropolitan University</t>
  </si>
  <si>
    <t>Reasoning towards endpoints: A two-stage, evidence-augmented method for training-free clinical trial outcome prediction</t>
  </si>
  <si>
    <t>NEUROCOMPUTING</t>
  </si>
  <si>
    <t>Clinical trial outcome prediction; Retrieval-augmented generation; Large language model</t>
  </si>
  <si>
    <t>0925-2312</t>
  </si>
  <si>
    <t>1872-8286</t>
  </si>
  <si>
    <t>Neurocomputing</t>
  </si>
  <si>
    <t>NOV 14 2026</t>
  </si>
  <si>
    <t>702</t>
  </si>
  <si>
    <t>134680</t>
  </si>
  <si>
    <t>10.1016/j.neucom.2026.134680</t>
  </si>
  <si>
    <t>http://dx.doi.org/10.1016/j.neucom.2026.134680</t>
  </si>
  <si>
    <t>MJ2BO</t>
  </si>
  <si>
    <t>WOS:001843519300001</t>
  </si>
  <si>
    <t>Zhou, CL; Fan, R; Liu, Y; Bai, X; Tu, XH; He, TT</t>
  </si>
  <si>
    <t>Biomedical Information Retrieval (BIR) aims to identify relevant evidence from large-scale biomedical literature and knowledge resources in response to user information needs. In practical settings, biomedical queries are of ten underspecified and fail to express critical disease, molecular, or mechanistic context, leading to a semantic gap between user queries and relevant documents ultimately limiting retrieval effectiveness. Query expansion is a common strategy for alleviating this mismatch. Recent large language model (LLM)-based query expansion methods have demonstrated the ability to generate contextually relevant terms by leveraging parametric knowl edge. However, such methods generally lack explicit modeling of core biomedical concepts and often expand queries without sufficiently grounding generated terms in retrieval evidence. This limitation can introduce noisy or weakly supported biomedical terms, thereby reducing retrieval precision and robustness. To address this is sue, we propose Concept-Centric Reasoning (CCR), an evidence-guided query expansion framework that treats biomedical query expansion as an iterative concept reasoning process. Instead of directly generating expanded terms, CCR first identifies concept-level evidence from retrieved documents, including disease entities, clinical phenotypes, biological processes, and pathological mechanisms, and then progressively refines the query through alternating retrieval and concept reasoning steps. To further improve expansion quality, CCR incorporates a con cept reflection stage that consolidates and re-evaluates inferred concepts according to their consistency across retrieved evidence, producing a more grounded and informative expanded query. Experiments on TREC-COVID and NFCorpus show that CCR consistently improves over BM25 under the same retrieval backbone and re mains competitive with recent LLM-based query expansion methods, particularly on TREC-COVID and top-ranked precision metrics.</t>
  </si>
  <si>
    <t>Zhou, Chenlian; Fan, Rui; Liu, Yu; Bai, Xin; Tu, Xinhui; He, Tingting</t>
  </si>
  <si>
    <t>Tu, XH; He, TT (corresponding author), Hubei Prov Key Lab Artificial Intelligence &amp; Smart, Wuhan, Peoples R China.</t>
  </si>
  <si>
    <t>yuliu@mails.ccnu.edu.cn; xin_b@mails.ccnu.edu.cn; tthe@mail.ccnu.edu.cn; ruifan@ccnu.edu.cn; myphyllis@mails.ccnu.edu.cn; tuxinhui@mail.ccnu.edu.cn</t>
  </si>
  <si>
    <t>National Language and Character Research Base</t>
  </si>
  <si>
    <t>Acknowledgements This work was supported by the National Language and Character Research Base.</t>
  </si>
  <si>
    <t>[Zhou, Chenlian; Liu, Yu; Bai, Xin] Cent China Normal Univ, Fac Artificial Intelligence Educ, Wuhan, Peoples R China; [Zhou, Chenlian; Fan, Rui; Liu, Yu; Bai, Xin; Tu, Xinhui; He, Tingting] Hubei Prov Key Lab Artificial Intelligence &amp; Smart, Wuhan, Peoples R China; [Zhou, Chenlian; Fan, Rui; Liu, Yu; Bai, Xin; Tu, Xinhui; He, Tingting] Natl Language Resources Monitor &amp; Res Ctr Network, Wuhan, Peoples R China; [Tu, Xinhui; He, Tingting] Cent China Normal Univ, Sch Comp Sci, Wuhan, Peoples R China; [Fan, Rui] Cent China Normal Univ, Sch Chinese Language &amp; Literature, Wuhan, Peoples R China</t>
  </si>
  <si>
    <t>Central China Normal University; Central China Normal University; Central China Normal University</t>
  </si>
  <si>
    <t>CCR: Concept-centric reasoning for iterative query expansion in biomedical information retrieval</t>
  </si>
  <si>
    <t>Biomedical information retrieval; Query expansion; Concept-centric reasoning; Large language models</t>
  </si>
  <si>
    <t>NOV 7 2026</t>
  </si>
  <si>
    <t>701</t>
  </si>
  <si>
    <t>134543</t>
  </si>
  <si>
    <t>10.1016/j.neucom.2026.134543</t>
  </si>
  <si>
    <t>http://dx.doi.org/10.1016/j.neucom.2026.134543</t>
  </si>
  <si>
    <t>LR0JM</t>
  </si>
  <si>
    <t>WOS:001831180200001</t>
  </si>
  <si>
    <t>Wegener, E; Ng, M; Guerrieri, M; Showalter, TN; de Leon, J; Ramani, S; Dreosti, M; Lim, T; Wong, BD; Ho, AN; Chao, MC; Wilczynski, Z; Chong, PT; McClintock, S; Foreman, D; Brown, M; McCombie, S; McMillan, K; Handmer, M; Frydenberg, M; Wong, LM; Hayne, D; Yaxley, J; Stricker, P; Martin, J</t>
  </si>
  <si>
    <t>This interim analysis of a multicentre implementation trial (n = 200) evaluated a multimodal artificial intelligence biomarker's impact on shared short-term androgen deprivation therapy (ST-ADT) decisions in intermediate-risk prostate cancer (IR-PC). Biomarker testing altered 27.5% (CI: 21.4-34.2%) of final decisions. ST-ADT use significantly decreased: 70.3% (CI: 58.5-80.3%) of patients initially electing ST-ADT changed to 'NO', versus a 2.4% (CI: 0.5-6.8%) shift to 'YES' (p &lt; 0.001). Decision changes were significantly greater in unfavourable versus favourable IR-PC (35% v 4%; p &lt; 0.001). These interim findings demonstrate a significant shift toward de-escalation.</t>
  </si>
  <si>
    <t>Wegener, Eric; Ng, Michael; Guerrieri, Mario; Showalter, Timothy N.; de Leon, Jeremy; Ramani, Sagar; Dreosti, Marcus; Lim, Tee; Wong, Bradley; Ho, Annie; Chao, Michael; Wilczynski, Zachary; Chong, Peter; McClintock, Scott; Foreman, Darren; Brown, Matthew; McCombie, Stephen; McMillan, Kevin; Handmer, Marcus; Frydenberg, Mark; Wong, Lih-Ming; Hayne, Dickon; Yaxley, John; Stricker, Phillip; Martin, Jarad</t>
  </si>
  <si>
    <t>Wegener, E (corresponding author), GenesisCare, Lake Macquarie Private Hosp, 3 Sydney St Lake Macquarie, Gateshead, NSW 2290, Australia.; Wegener, E (corresponding author), Univ Newcastle, Callaghan, NSW 2308, Australia.</t>
  </si>
  <si>
    <t>bradley.wong@genesiscare.com; dickon.hayne@uwa.edu.au; office@stricker.com.au; kevinmcmillan@urologyeast.com.au; secretary.ming@melbourneurologygroup.com.au; stephen.ming@melbourneurologygroup.com.au; sagar.ramani@genesiscare.com; marcus@urologysurgery.com.au; mario.guerrieri@genesiscare.com; dryaxley@wesleyurologyclinic.com.au; reception@drscottmcclintock.com.au; tim@artertima.ai; tee.lim@genesiscare.com; michael.ng@genesiscare.com; jeremy.deleon@genesiscare.com; matthew.brown2@health.wa.gov.au; zach@artera.ai; annie.ho@genesiscare.com; marcus.dreosti@genesiscare.com; michael.chao@genesiscare.com; eric.wegener@genesiscare.com; jarad.martin@health.nsw.gov.au</t>
  </si>
  <si>
    <t>McCloud Consulting Group</t>
  </si>
  <si>
    <t>This GenesisCare investigator-initiated study is being led by GenesisCare in collaboration with ArteraAI (R). Open access publishing facilitated by The University of Newcastle-The University of Newcastle agreement via the Council of Australian University Librarians. Statistical support was provided by McCloud Consulting Group.</t>
  </si>
  <si>
    <t>[Wegener, Eric; Martin, Jarad] GenesisCare, Lake Macquarie Private Hosp, 3 Sydney St Lake Macquarie, Gateshead, NSW 2290, Australia; [Wegener, Eric; Martin, Jarad] Univ Newcastle, Callaghan, NSW 2308, Australia; [Ng, Michael; Guerrieri, Mario] GenesisCare, St Vincent Hosp, 41 Victoria Parade, Fitzroy, Vic 3065, Australia; [Ng, Michael] Univ Melbourne, Dept Med, Melbourne, Australia; [Showalter, Timothy N.; Wilczynski, Zachary] Artera Inc, Los Altos, CA USA; [Showalter, Timothy N.] Univ Virginia, Dept Radiat Oncol, Charlottesville, VA USA; [de Leon, Jeremy; Ho, Annie] GenesisCare, St Vincents Hosp, Level A,438 Victoria St, Darlinghurst, NSW 2010, Australia; [Ramani, Sagar] GenesisCare, John Flynn Private Hosp, 42 Inland Dr, Tugun, Qld 4224, Australia; [Dreosti, Marcus] GenesisCare Kurralta Pk, Tennyson Ctr, 520 South Rd, Kurralta Pk, SA 5037, Australia; [Lim, Tee; Hayne, Dickon] Fiona Stanley Hosp, 102-118 Murdoch Dr, Murdoch, WA 6150, Australia; [Wong, Bradley; Chao, Michael] GenesisCare Buderim, 10 King St, Buderim, Qld 4556, Australia; [Chao, Michael] GenesisCare, Ringwood Private Hosp, 36 Mt Dandenong Rd, Ringwood, Vic 3135, Australia; [Chong, Peter] Lake Macquarie Urol, Level 3,Suite 2-20 Smart St, Charlestown, NSW 2290, Australia; [McClintock, Scott] Gold Coast Private Hosp, Level 3,123 Nerang St, Southport, Qld 4215, Australia; [Foreman, Darren] South Terrace Urol, 326 South Tce, Adelaide, SA 5000, Australia; [Brown, Matthew; McCombie, Stephen] St John God Wexford Med Ctr, 3 Barry Marshall Parade, Murdoch, WA 6150, Australia; [McMillan, Kevin] Knox Private Hosp, 262 Mt Highway, Wantirna, Vic 3152, Australia; [Handmer, Marcus] John Hunter Hosp, Dept Urol, Lookout Rd, New Lambton, NSW 2305, Australia; [Frydenberg, Mark] Australian Urol Associates, Ground Floor,322 Glenferrie Rd, Malvern, Vic 3144, Australia; [Wong, Lih-Ming] Melbourne Urol Grp, Suite 2,141 Grey St, East Melbourne, Australia; [Lim, Tee; Hayne, Dickon] Univ Western Australia, Med Sch, Perth, Australia; [Yaxley, John] Wesley Med Ctr, Wesley Urol Clin, Suite 42,Level 4,40 Chasely St, Auchenflower, Qld 4066, Australia; [Stricker, Phillip] St Vincents Hosp Sydney, Darlinghurst, NSW, Australia</t>
  </si>
  <si>
    <t>Artificial Intelligence impact on decision-making regarding short-term ADT with prostate radiotherapy: ASTuTE clinical trial interim results</t>
  </si>
  <si>
    <t>CLINICAL AND TRANSLATIONAL RADIATION ONCOLOGY</t>
  </si>
  <si>
    <t>Prostate cancer; Androgen deprivation therapy; Artificial Intelligence; Biomarkers; Deep learning; Digital pathology; Radiotherapy</t>
  </si>
  <si>
    <t>CANCER</t>
  </si>
  <si>
    <t>2405-6308</t>
  </si>
  <si>
    <t>CLIN TRANSL RAD ONCO</t>
  </si>
  <si>
    <t>Clin. Transl. Radiat. Oncol.</t>
  </si>
  <si>
    <t>NOV 2026</t>
  </si>
  <si>
    <t>61</t>
  </si>
  <si>
    <t>101257</t>
  </si>
  <si>
    <t>10.1016/j.ctro.2026.101257</t>
  </si>
  <si>
    <t>http://dx.doi.org/10.1016/j.ctro.2026.101257</t>
  </si>
  <si>
    <t>Oncology; Radiology, Nuclear Medicine &amp; Medical Imaging</t>
  </si>
  <si>
    <t>MZ5ND</t>
  </si>
  <si>
    <t>WOS:001854617300001</t>
  </si>
  <si>
    <t>Wang, YC; Lee, YC; Ju, YJ; Chen, TT; Huang, SL; Yang, CW; Hsieh, CL</t>
  </si>
  <si>
    <t>Objective The Gap-Kalamazoo Communication Skills Assessment Form (GKCSAF) is widely used to assess clinicians' communication skills. While expert-rated administration of the GKCSAF is seen as objective and thorough, manual scoring is time-and resource-intensive. The ChatGPT-rated GKCSAF is a large language model-based rating approach that uses the same GKCSAF items and scoring criteria. It shows acceptable reliability and validity while reducing rater burden. However, the responsiveness of the expert-rated and ChatGPT-rated GKCSAF has remained unknown, limiting the interpretation of change scores in communication skills. The study aimed to compare the responsiveness of the expert-rated and ChatGPT-rated GKCSAF. Methods Eighty occupational therapy students completed two recorded clinical interactions with different patients. Between interactions, students received training via the Communication Skills Measure for Therapists, a formative measure that assesses communication skills and yields actionable feedback. Transcripts of the interactions were independently scored by trained expert raters and by ChatGPT. Responsiveness was examined using paired t-tests, Cohen's d, and standardized response mean (SRM). Differences in responsiveness indices between the rating approaches (i.e., the expert-rated and ChatGPT-rated GKCSAF) were estimated using bootstrap confidence intervals. Results For both rating approaches, mean post-training scores were significantly higher than mean pre-training scores (both t = 3.8, p &lt; 0.001). The responsiveness indices were nearly moderate (expert-rated GKCSAF: d = 0.45, SRM = 0.42; ChatGPT-rated GKCSAF: d = 0.47, SRM = 0.43), with no significant differences between the two rating approaches (bootstrap 95% confidence intervals for the differences included zero). Conclusions Both the ChatGPT-rated and expert-rated GKCSAF showed evidence of responsiveness for detecting changes in clinicians' communication skills.</t>
  </si>
  <si>
    <t>Wang, Yi-Ching; Lee, Ya-Chen; Ju, Yu-Jeng; Chen, Tzu-Ting; Huang, Sheau-Ling; Yang, Chih-Wei; Hsieh, Ching-Lin</t>
  </si>
  <si>
    <t>Hsieh, CL (corresponding author), 4F,17,Xuzhou Rd, Taipei City 100, Taiwan.</t>
  </si>
  <si>
    <t>clhsieh@ntu.edu.tw</t>
  </si>
  <si>
    <t>[Wang, Yi-Ching; Ju, Yu-Jeng; Chen, Tzu-Ting; Huang, Sheau-Ling; Hsieh, Ching-Lin] Natl Taiwan Univ, Coll Med, Sch Occupat Therapy, Taipei, Taiwan; [Lee, Ya-Chen; Hsieh, Ching-Lin] Asia Univ, Coll Med &amp; Hlth Sci, Dept Occupat Therapy, Taichung, Taiwan; [Chen, Tzu-Ting] Kaohsiung Chang Gung Mem Hosp, Dept Psychiat, Kaohsiung, Taiwan; [Huang, Sheau-Ling; Hsieh, Ching-Lin] Natl Taiwan Univ Hosp, Dept Phys Med &amp; Rehabil, Taipei, Taiwan; [Ju, Yu-Jeng; Yang, Chih-Wei] Natl Taiwan Univ, Coll Med, Dept &amp; Grad Inst Med Educ &amp; Bioeth, Taipei, Taiwan; [Yang, Chih-Wei] Natl Taiwan Univ Hosp, Dept Med Educ, Taipei, Taiwan; [Yang, Chih-Wei] Natl Taiwan Univ Hosp, Dept Emergency Med, Taipei, Taiwan</t>
  </si>
  <si>
    <t>National Taiwan University; Asia University Taiwan; Chang Gung Memorial Hospital; National Taiwan University; National Taiwan University Hospital; National Taiwan University; National Taiwan University; National Taiwan University Hospital; National Taiwan University; National Taiwan University Hospital</t>
  </si>
  <si>
    <t>Detecting change in clinical communication skills: Responsiveness of the Gap-Kalamazoo communication skills assessment form scored by experts and ChatGPT</t>
  </si>
  <si>
    <t>PATIENT EDUCATION AND COUNSELING</t>
  </si>
  <si>
    <t>GKCSAF; ChatGPT-rated GKCSAF; Communication skills; Assessment; Responsiveness</t>
  </si>
  <si>
    <t>CONSENSUS</t>
  </si>
  <si>
    <t>Wang, Yi-Ching/0009-0004-6069-9391</t>
  </si>
  <si>
    <t>0738-3991</t>
  </si>
  <si>
    <t>1873-5134</t>
  </si>
  <si>
    <t>PATIENT EDUC COUNS</t>
  </si>
  <si>
    <t>Patient Educ. Couns.</t>
  </si>
  <si>
    <t>152</t>
  </si>
  <si>
    <t>109829</t>
  </si>
  <si>
    <t>10.1016/j.pec.2026.109829</t>
  </si>
  <si>
    <t>http://dx.doi.org/10.1016/j.pec.2026.109829</t>
  </si>
  <si>
    <t>Public, Environmental &amp; Occupational Health; Social Sciences, Interdisciplinary</t>
  </si>
  <si>
    <t>Public, Environmental &amp; Occupational Health; Social Sciences - Other Topics</t>
  </si>
  <si>
    <t>MX1IH</t>
  </si>
  <si>
    <t>42612316</t>
  </si>
  <si>
    <t>WOS:001852972200001</t>
  </si>
  <si>
    <t>Kaya, MF; Sabet, S</t>
  </si>
  <si>
    <t>Rationale and objectives Large language models may help radiologists apply increasingly complex imaging guidelines, but their safety and clinical usefulness as decision-support tools in abdominal radiology remain uncertain. We evaluated the usefulness, potential harm, guideline concordance, and triage performance of Gemini across different levels of case difficulty. Materials and methods In this expert-based cross-sectional study, 200 synthetic, guideline-based abdominal radiology cases were created by consensus across four domains: adrenal, renal, liver, and pancreatic lesions (50 cases each). Case difficulty was prospectively assigned as level 1, 2, or 3 before LLM querying. Using text-only case descriptions, Gemini 1.5 Flash generated an impression, recommendation, rationale, and final category for each case. Five abdominal radiologists independently rated usefulness (1-5) and harm (0-3). Two abdominal radiologists independently assessed impression concordance, final-category concordance, and triage appropriateness relative to the reference standard. Results Median usefulness was 5 (IQR, 1), and median harm was 0 (IQR, 0). Overall impression concordance was 85.0 % (170/200), and final-category concordance was 77.5 % (155/200). Greater case difficulty was associated with lower usefulness (p &lt; 0.001), higher harm (p &lt; 0.001), lower concordance (both p &lt; 0.001), and worse triage performance. Triage distributions differed by case difficulty (p = 0.012), with appropriate triage declining from 85.7 % in level 1 cases to 66.2 % in level 3 cases. Conclusion Gemini showed high perceived usefulness, low overall harm, and generally strong guideline concordance in abdominal radiology. However, declining performance with greater case difficulty supports its use as assistive decision support rather than autonomous management in complex or high-risk scenarios.</t>
  </si>
  <si>
    <t>Kaya, Mehmet Fatih; Sabet, Soheil</t>
  </si>
  <si>
    <t>Kaya, MF (corresponding author), Grp Florence Nightingale Hosp, Dept Radiol, Erol Kaya Caddesi 41,Daire 6, Istanbul, Turkiye.</t>
  </si>
  <si>
    <t>drmehmetfatihkaya@gmail.com</t>
  </si>
  <si>
    <t>[Kaya, Mehmet Fatih; Sabet, Soheil] Grp Florence Nightingale Hosp, Dept Radiol, Erol Kaya Caddesi 41,Daire 6, Istanbul, Turkiye</t>
  </si>
  <si>
    <t>Guideline-concordant decision support in abdominal radiology: An expert-based evaluation of Gemini</t>
  </si>
  <si>
    <t>EUROPEAN JOURNAL OF RADIOLOGY</t>
  </si>
  <si>
    <t>Abdominal radiology; Large language models; Guideline concordance; Triage; Clinical decision support</t>
  </si>
  <si>
    <t>WHITE PAPER; MANAGEMENT</t>
  </si>
  <si>
    <t>0720-048X</t>
  </si>
  <si>
    <t>1872-7727</t>
  </si>
  <si>
    <t>EUR J RADIOL</t>
  </si>
  <si>
    <t>Eur. J. Radiol.</t>
  </si>
  <si>
    <t>204</t>
  </si>
  <si>
    <t>113166</t>
  </si>
  <si>
    <t>10.1016/j.ejrad.2026.113166</t>
  </si>
  <si>
    <t>http://dx.doi.org/10.1016/j.ejrad.2026.113166</t>
  </si>
  <si>
    <t>MW1IX</t>
  </si>
  <si>
    <t>42607501</t>
  </si>
  <si>
    <t>WOS:001852294900001</t>
  </si>
  <si>
    <t>Naeim, M; Narimani, M</t>
  </si>
  <si>
    <t>Background: The rapid expansion of generative artificial intelligence (AI) in mental health care has raised critical questions regarding its acceptance, potential benefits, risks, and ethical implications for mental health professionals. This study explored in depth the perspectives of professionals from multiple countries on the integration of generative AI into psychological interventions. Methods: A qualitative design was employed, using written semi-structured interviews with 34 mental health professionals from the United States, Canada, the United Kingdom, Germany, Australia, New Zealand, Iran, and T &amp; uuml;rkiye. Data were analyzed through reflexive thematic analysis. Results: Four overarching themes were identified: (1) general perceptions characterized by enthusiasm alongside skepticism; (2) opportunities including expanded access to care, personalized support, and reduced clinical workload; (3) concerns related to response quality, the therapeutic alliance, and ethical and data security issues; and (4) future perspectives emphasizing accountability, complementary clinician-AI roles, and responsible innovation. Participants consistently highlighted the importance of algorithmic transparency, empirical validation, ethical governance, and clinician training. These findings informed the development of the concepts of epistemic trust and the hybrid therapeutic alliance as interpretive frameworks for understanding clinicians' evaluations of AI in psychological practice. Conclusion: The findings suggest that the responsible integration of generative AI into psychological practice requires balancing innovation with clinical oversight, ethical governance, and human judgment. The concepts of epistemic trust and the hybrid therapeutic alliance are proposed as novel conceptual frameworks for understanding clinicians' acceptance and responsible use of AI in mental health care. Future research should examine these concepts across diverse clinical and cultural contexts to inform implementation strategies, clinician training, and regulatory policy.</t>
  </si>
  <si>
    <t>Naeim, Mahdi; Narimani, Mohammad</t>
  </si>
  <si>
    <t>Narimani, M (corresponding author), Univ Mohaghegh Ardabili, Fac Educ Sci &amp; Psychol, Dept Psychol, Ardebil, Iran.</t>
  </si>
  <si>
    <t>narimani@uma.ac.ir</t>
  </si>
  <si>
    <t>[Naeim, Mahdi; Narimani, Mohammad] Univ Mohaghegh Ardabili, Fac Educ Sci &amp; Psychol, Dept Psychol, Ardebil, Iran</t>
  </si>
  <si>
    <t>University of Mohaghegh Ardabili</t>
  </si>
  <si>
    <t>Mental health professionals' perspectives on integrating artificial intelligence into psychological interventions: A qualitative multinational study with a focus on epistemic trust and the hybrid therapeutic alliance</t>
  </si>
  <si>
    <t>PSYCHIATRY RESEARCH</t>
  </si>
  <si>
    <t>Generative artificial intelligence; Psychological interventions; Mental health professionals; Thematic analysis; Epistemic trust; Therapeutic alliance</t>
  </si>
  <si>
    <t>0165-1781</t>
  </si>
  <si>
    <t>1872-7123</t>
  </si>
  <si>
    <t>PSYCHIAT RES</t>
  </si>
  <si>
    <t>Psychiatry Res.</t>
  </si>
  <si>
    <t>365</t>
  </si>
  <si>
    <t>117371</t>
  </si>
  <si>
    <t>10.1016/j.psychres.2026.117371</t>
  </si>
  <si>
    <t>http://dx.doi.org/10.1016/j.psychres.2026.117371</t>
  </si>
  <si>
    <t>Psychiatry</t>
  </si>
  <si>
    <t>MV4YW</t>
  </si>
  <si>
    <t>42603525</t>
  </si>
  <si>
    <t>WOS:001851861500001</t>
  </si>
  <si>
    <t>Dong, HT; Zhou, Y; Liu, XJ; Chen, J; Ren, L; Wang, F; Chen, YS; Zhong, YF</t>
  </si>
  <si>
    <t>The pan-cancer screening agenda is moving past single-analyte assays toward platforms that read several molecular layers from one specimen and a single measurement. Smart nanomaterials - plasmonic colloids, quantum dots, upconversion phosphors, magnetic colloids, DNA origami, and stimuli-responsive carriers - supply the physical contact with tumour-derived analytes; modern deep-learning architectures (1-D and 2-D convolutional networks, transformers, graph neural networks, self-supervised foundation models) supply the inference engine that converts raw spectra, magnetisation curves, electrochemical traces, and image stacks into a clinical readout. We searched PubMed on 25 April 2026 with a Boolean string combining cancer, nanomaterial, and machine-learning terms; the query returned 527 indexed records between January 2018 and the search date. Eighteen study-cancer entries from 12 PMID-verified primary studies were extracted with explicit AUC values and re-analysed alongside the four established cfDNA-based multi-cancer early detection (MCED) trials [1-4]. The sample-size-weighted pooled AUC across these entries is 0.886, with per-cancer values ranging from 0.840 (lung, plasma exosome SERS) to 0.999 (thyroid, serum SERS plus ResNet (Lin and et al., 2025) [5]. Fifty-two PMID-verified references span the chemistry, the algorithmic toolkit, the pan-cancer evidence base, and the regulatory framework. The pipeline that emerges - sample -&gt; smart nanoprobe -&gt; multi-channel readout -&gt; AI decoder -&gt; pan-cancer label, with a longitudinal feedback loop - is shared across solid and haematological tumours. We discuss what is in place and what still has to be built before AI-coupled smart nanomaterials become a routine component of the cancer diagnostic stack.</t>
  </si>
  <si>
    <t>Dong, Huiting; Zhou, Yun; Liu, Xianjie; Chen, Jun; Ren, Ling; Wang, Fei; Chen, Yushuai; Zhong, Yifan</t>
  </si>
  <si>
    <t>Zhong, YF (corresponding author), China Med Univ, Dept Ophthalmol, Hosp 1, Shenyang 110000, Liaoning, Peoples R China.; Ren, L (corresponding author), China Med Univ, Dept Radiol, Hosp 1, Shenyang 110000, Liaoning, Peoples R China.; Wang, F (corresponding author), China Med Univ, Dept Otolaryngol, Hosp 1, Shenyang 110000, Liaoning, Peoples R China.; Chen, YS (corresponding author), China Med Univ, Dept Gerontol, Hosp 1, Shenyang 110000, Liaoning, Peoples R China.</t>
  </si>
  <si>
    <t>renling@cmu.edu.cn; zhongyifan851111@163.com; feiwang@cmu.edu.cn; cys3527@163.com</t>
  </si>
  <si>
    <t>[Dong, Huiting] China Med Univ, Dept Breast Surg, Hosp 1, Shenyang 110000, Liaoning, Peoples R China; [Zhou, Yun; Liu, Xianjie; Chen, Jun; Zhong, Yifan] China Med Univ, Dept Ophthalmol, Hosp 1, Shenyang 110000, Liaoning, Peoples R China; [Ren, Ling] China Med Univ, Dept Radiol, Hosp 1, Shenyang 110000, Liaoning, Peoples R China; [Wang, Fei] China Med Univ, Dept Otolaryngol, Hosp 1, Shenyang 110000, Liaoning, Peoples R China; [Chen, Yushuai] China Med Univ, Dept Gerontol, Hosp 1, Shenyang 110000, Liaoning, Peoples R China</t>
  </si>
  <si>
    <t>China Medical University; China Medical University; China Medical University; China Medical University; China Medical University</t>
  </si>
  <si>
    <t>Artificial intelligence-driven smart nanomaterials for pan-cancer diagnosis: A review of recent advances</t>
  </si>
  <si>
    <t>TRAC-TRENDS IN ANALYTICAL CHEMISTRY</t>
  </si>
  <si>
    <t>Smart nanomaterials; Modern deep-learning; Pan-cancer; cfDNA</t>
  </si>
  <si>
    <t>LABEL-FREE SERS</t>
  </si>
  <si>
    <t>52</t>
  </si>
  <si>
    <t>0165-9936</t>
  </si>
  <si>
    <t>1879-3142</t>
  </si>
  <si>
    <t>TRAC-TREND ANAL CHEM</t>
  </si>
  <si>
    <t>Trac-Trends Anal. Chem.</t>
  </si>
  <si>
    <t>119086</t>
  </si>
  <si>
    <t>10.1016/j.trac.2026.119086</t>
  </si>
  <si>
    <t>http://dx.doi.org/10.1016/j.trac.2026.119086</t>
  </si>
  <si>
    <t>Chemistry, Analytical</t>
  </si>
  <si>
    <t>Chemistry</t>
  </si>
  <si>
    <t>MV4GE</t>
  </si>
  <si>
    <t>WOS:001851812900001</t>
  </si>
  <si>
    <t>Mishra, N; Abu-Hanna, A; Calixto, I</t>
  </si>
  <si>
    <t>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 generative rationales, but evidence that such explanations reflect model reasoning remains limited. To support trustworthy deployment, we highlight three regulatory priorities: prioritizing explanations that enable independent verification or logic auditing over plausibility-only rationales; preferring inspectable models where regulatory documentation is required; and prospectively validating explanations in clinical workflows before scaling.</t>
  </si>
  <si>
    <t>Mishra, Nishant; Abu-Hanna, Ameen; Calixto, Iacer</t>
  </si>
  <si>
    <t>Mishra, N (corresponding author), Amsterdam UMC Locat Univ Amsterdam, Dept Med Informat, Meibergdreef 9, NL-1105 AZ Amsterdam, Netherlands.</t>
  </si>
  <si>
    <t>n.mishra@amsterdamumc.nl</t>
  </si>
  <si>
    <t>[Mishra, Nishant; Abu-Hanna, Ameen; Calixto, Iacer] Amsterdam UMC Locat Univ Amsterdam, Dept Med Informat, Meibergdreef 9, NL-1105 AZ Amsterdam, Netherlands; [Mishra, Nishant; Abu-Hanna, Ameen; Calixto, Iacer] Amsterdam Publ Hlth, Methodol, Amsterdam, Netherlands; [Abu-Hanna, Ameen; Calixto, Iacer] Amsterdam Publ Hlth, Mental Hlth, Amsterdam, Netherlands</t>
  </si>
  <si>
    <t>Explainability of decoder-only clinical large language models: A scoping review</t>
  </si>
  <si>
    <t>ARTIFICIAL INTELLIGENCE IN MEDICINE</t>
  </si>
  <si>
    <t>Explainable artificial intelligence; Large language models; Clinical natural language processing; Chain-of-thought reasoning; Natural language explanations; Clinical decision support; Scoping review</t>
  </si>
  <si>
    <t>CHATBOT</t>
  </si>
  <si>
    <t>159</t>
  </si>
  <si>
    <t>0933-3657</t>
  </si>
  <si>
    <t>1873-2860</t>
  </si>
  <si>
    <t>ARTIF INTELL MED</t>
  </si>
  <si>
    <t>Artif. Intell. Med.</t>
  </si>
  <si>
    <t>181</t>
  </si>
  <si>
    <t>103501</t>
  </si>
  <si>
    <t>10.1016/j.artmed.2026.103501</t>
  </si>
  <si>
    <t>http://dx.doi.org/10.1016/j.artmed.2026.103501</t>
  </si>
  <si>
    <t>Computer Science, Artificial Intelligence; Engineering, Biomedical; Medical Informatics</t>
  </si>
  <si>
    <t>Computer Science; Engineering; Medical Informatics</t>
  </si>
  <si>
    <t>MS8PZ</t>
  </si>
  <si>
    <t>42594748</t>
  </si>
  <si>
    <t>WOS:001850063200001</t>
  </si>
  <si>
    <t>Holmes, J; Mastroleo, F; Borras-Osorio, M; Seetamsetty, S; Shiraishi, S; Fatyga, M; Boughey, JC; Thiels, CA; Breen, WG; Ma, DJ; Ebner, DK; Routman, DM; Laughlin, BS; Vargas, CE; Patel, SH; Vora, SA; Laack, NN; Foong, AYK; Liu, W; Waddle, MR</t>
  </si>
  <si>
    <t>Background Radiation oncology workflows generate large volumes of electronic health record (EHR) data requiring daily synthesis. Large language model (LLM)-based automation is promising, but workflow-embedded implementations at scale remain limited. We describe the design and early usability and adoption evaluation of The Daily Dose (TDD), an LLM-driven system for automated clinical summarization and trial identification in radiation oncology. Materials and methods TDD delivers physician-specific email summaries each morning across three Mayo Clinic campuses using RadOnc-GPT (GPT-4o) to generate EHR-derived patient summaries and identify potentially eligible clinical trials for new or consult visits. One month post-deployment, an anonymous cross-sectional survey adapted from the System Usability Scale and Technology Acceptance Model was administered to all recipients. Results Fifty-five of 110 users responded (50%); 94.5% were in radiation oncology and 69.1% were attending physicians. Overall, 83.6% used TDD at least several times per week. Mean domain scores (5-point Likert) were 3.89 +/- 1.04 for usability and satisfaction, 3.43 +/- 1.24 for perceived usefulness, and 3.80 +/- 1.17 for impact and future use. Satisfaction was significantly associated with perceived time savings (p &lt; 0.001); 27% estimated saving &gt;= 10 min daily. Internal consistency was high (alpha = 0.97). Free-text responses highlighted improved preparedness and patient-context awareness but noted occasional inaccuracies and imperfect trial matching. Conclusion In this early usability and adoption evaluation, a workflow-integrated LLM summarization tool was widely adopted and generally favorably perceived. These findings reflect user perceptions; objective validation of summary accuracy, trial-matching performance, and workflow efficiency is needed to establish clinical impact.</t>
  </si>
  <si>
    <t>Holmes, Jason; Mastroleo, Federico; Borras-Osorio, Mariana; Seetamsetty, Srinivas; Shiraishi, Satomi; Fatyga, Mirek; Boughey, Judy C.; Thiels, Cornelius A.; Breen, William G.; Ma, Daniel J.; Ebner, Daniel K.; Routman, David M.; Laughlin, Brady S.; Vargas, Carlos E.; Patel, Samir H.; Vora, Sujay A.; Laack, Nadia N.; Foong, Andrew Y. K.; Liu, Wei; Waddle, Mark R.</t>
  </si>
  <si>
    <t>Liu, W; Waddle, MR (corresponding author), Mayo Clin, Dept Radiat Oncol, 5777 E Mayo Blvd, Phoenix, AZ 85054 USA.</t>
  </si>
  <si>
    <t>[Holmes, Jason; Fatyga, Mirek; Laughlin, Brady S.; Vargas, Carlos E.; Patel, Samir H.; Vora, Sujay A.; Liu, Wei; Waddle, Mark R.] Mayo Clin, Dept Radiat Oncol, 5777 E Mayo Blvd, Phoenix, AZ 85054 USA; [Mastroleo, Federico; Borras-Osorio, Mariana; Seetamsetty, Srinivas; Shiraishi, Satomi; Breen, William G.; Ma, Daniel J.; Ebner, Daniel K.; Routman, David M.; Laack, Nadia N.; Foong, Andrew Y. K.; Waddle, Mark R.] Mayo Clin, Dept Radiat Oncol, 200 First St SW, Rochester, MN 55905 USA; [Mastroleo, Federico] IEO European Inst Oncol IRCCS, Div Radiat Oncol, Via Ripamonti 435, I-20141 Milan, Italy; [Mastroleo, Federico] Univ Milan, Dept Oncol &amp; Hematooncol, Via Festa Perdono 7, I-20122 Milan, Italy; [Boughey, Judy C.; Thiels, Cornelius A.] Mayo Clin, Dept Surg, 200 First St SW, Rochester, MN 55905 USA</t>
  </si>
  <si>
    <t>Mayo Clinic; University of Milan; Mayo Clinic</t>
  </si>
  <si>
    <t>The daily dose: Early usability of an LLM tool for patient summaries and trial matching in radiation oncology</t>
  </si>
  <si>
    <t>large language model; radiation oncology; clinical decision support; workflow automation; electronic health record; clinical trial matching; artificial intelligence</t>
  </si>
  <si>
    <t>101261</t>
  </si>
  <si>
    <t>10.1016/j.ctro.2026.101261</t>
  </si>
  <si>
    <t>http://dx.doi.org/10.1016/j.ctro.2026.101261</t>
  </si>
  <si>
    <t>MT9EU</t>
  </si>
  <si>
    <t>WOS:001850784600001</t>
  </si>
  <si>
    <t>Mei, JP; Shen, JY; Lu, CL; Mei, LH; Yang, G</t>
  </si>
  <si>
    <t>While Vision-Language (V-L) foundation models offer strong cross-modal capabilities for medical image analysis, the large domain gap between their pre-trained semantic spaces and medical tasks hinders direct knowledge transfer. To address this, we propose Derm-Align, a novel medical-knowledge enhanced multimodal alignment framework for skin disease classification, with three key innovations: (1) constructing fine-grained image-text pairs via domain-specific medical descriptions for dermoscopic images; (2) jointly fine-tuning text and image encoders to learn a unified dermatology semantic space; (3) integrating prompt learning to acquire task-relevant knowledge under low-resource scenarios. Experiments were conducted on our self-collected dataset (Dermoscopic-2) and benchmark datasets (Dermoscopic-3, from four sources). Quantitative results show incorporating skin disease domain knowledge improves Top-1 accuracy by 20.0%-35.1% vs. vanilla V-L models. Derm-Align achieves 90.26% accuracy on Dermoscopic-2 and an average of 82.12% across the four Dermoscopic-3 datasets. Notably, it outperforms professional dermatologists in accuracy (90.26% vs. 80.61%) and sensitivity (82.76% vs. 74.14%), highlighting its clinical diagnostic potential.</t>
  </si>
  <si>
    <t>Mei, Jian-Ping; Shen, Jiayu; Lu, Chunlong; Mei, Lihong; Yang, Gao</t>
  </si>
  <si>
    <t>Mei, JP (corresponding author), Zhejiang Univ Technol, Hangzhou 310023, Peoples R China.; Yang, G (corresponding author), Fudan Univ, Jinshan Hosp, Shanghai, Peoples R China.</t>
  </si>
  <si>
    <t>jpmei@zjut.edu.cn; yanggao@fudan.edu.cn</t>
  </si>
  <si>
    <t>National Natural Science Foundation of China [62276234]</t>
  </si>
  <si>
    <t>Acknowledgments This work was supported by the National Natural Science Foundation of China (Grant No.: 62276234) .</t>
  </si>
  <si>
    <t>[Mei, Jian-Ping; Shen, Jiayu; Lu, Chunlong] Zhejiang Univ Technol, Hangzhou 310023, Peoples R China; [Mei, Lihong; Yang, Gao] Fudan Univ, Jinshan Hosp, Shanghai, Peoples R China</t>
  </si>
  <si>
    <t>Zhejiang University of Technology; Fudan University</t>
  </si>
  <si>
    <t>Derm-Align: Dermatological diagnosis through multi-modal alignment and prompt learning</t>
  </si>
  <si>
    <t>CLIP; Prompt learning; Skin disease classification; Visual-language model</t>
  </si>
  <si>
    <t>NOV 1 2026</t>
  </si>
  <si>
    <t>127</t>
  </si>
  <si>
    <t>111204</t>
  </si>
  <si>
    <t>10.1016/j.bspc.2026.111204</t>
  </si>
  <si>
    <t>http://dx.doi.org/10.1016/j.bspc.2026.111204</t>
  </si>
  <si>
    <t>MM4XJ</t>
  </si>
  <si>
    <t>WOS:001845748200001</t>
  </si>
  <si>
    <t>Zarei, M; Mozaffari, M; Hajiani, Y</t>
  </si>
  <si>
    <t>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instruction and content generation, AI-supported tools were associated with preliminary gains in knowledge acquisition, learner engagement, and self-regulated study, although accuracy depended on supervision and prompt quality. In simulation and procedural training, computer-vision, motion-analytics, and VR/AR systems supported immediate feedback and were associated with improved procedural efficiency in early studies. In assessment and learning analytics, AI tools reduced feedback latency and improved scoring consistency, but validity, fairness, and explainability remained central concerns. In diagnostic reasoning, AI-supported case platforms and LLM-based dialogue improved short-term reasoning performance and metacognitive calibration, while evidence for long-term clinical transfer remained limited. Conclusion: AI appears most defensible as an augmentative educational partner that strengthens feedback, personalization, and competency-based progression, rather than as an autonomous substitute for educators. The current evidence supports cautious, supervised implementation, but remains early-phase and methodologically uneven. Multicenter validation, transparent reporting, equity-focused implementation, and structured AI-literacy training are essential before AI can be integrated more broadly into high-stakes educational workflows.</t>
  </si>
  <si>
    <t>Zarei, Malek; Mozaffari, Masoud; Hajiani, Yasamin</t>
  </si>
  <si>
    <t>Hajiani, Y (corresponding author), Islamic Azad Univ, Fac Pharm &amp; Pharmaceut Sci, Dept Pharmaceut, Tehran Med Sci, Tehran, Iran.</t>
  </si>
  <si>
    <t>drjhajiani@gmail.com</t>
  </si>
  <si>
    <t>[Zarei, Malek] Shahid Beheshti Univ Med Sci, Dept Pharmacol, Tehran, Iran; [Mozaffari, Masoud] Shiraz Univ Med Sci, Dept Pharmacol, Shiraz, Iran; [Mozaffari, Masoud] Petr Ind Hlth Org, Shiraz, Iran; [Hajiani, Yasamin] Islamic Azad Univ, Fac Pharm &amp; Pharmaceut Sci, Dept Pharmaceut, Tehran Med Sci, Tehran, Iran</t>
  </si>
  <si>
    <t>Shahid Beheshti University Medical Sciences; Shiraz University of Medical Science; Islamic Azad University</t>
  </si>
  <si>
    <t>Artificial intelligence in medical education: a narrative review across four functional domains</t>
  </si>
  <si>
    <t>CURRENTS IN PHARMACY TEACHING AND LEARNING</t>
  </si>
  <si>
    <t>Artificial intelligence; Medical education; Simulation; Diagnostic reasoning; Large language models; AI literacy; Educational assessment; Competency-based medical educ</t>
  </si>
  <si>
    <t>76</t>
  </si>
  <si>
    <t>1877-1297</t>
  </si>
  <si>
    <t>1877-1300</t>
  </si>
  <si>
    <t>CURR PHARM TEACH LEA</t>
  </si>
  <si>
    <t>Curr. Pharm. Teach. Learn.</t>
  </si>
  <si>
    <t>102752</t>
  </si>
  <si>
    <t>10.1016/j.cptl.2026.102752</t>
  </si>
  <si>
    <t>http://dx.doi.org/10.1016/j.cptl.2026.102752</t>
  </si>
  <si>
    <t>Education, Scientific Disciplines</t>
  </si>
  <si>
    <t>MO6IN</t>
  </si>
  <si>
    <t>42574942</t>
  </si>
  <si>
    <t>WOS:001847199600001</t>
  </si>
  <si>
    <t>Gorenshtein, A; Bhansali, R; Westover, B; Goldenholz, DM</t>
  </si>
  <si>
    <t>Objectives: Manuscript preparation is a bottleneck in publishing, and cloud-based AI tools raise confidentiality concerns for clinical researchers. We developed the Paper Analysis Tool (PAT), a free, multi-agent framework that audits manuscripts with a local open-weight language model. Materials and methods: PAT comprises 31 components (one deterministic text-metrics module and 30 languagemodel agents) run locally. For six manuscripts (three in-house neurology, three external preprints), suggestions from the PAT pipeline, the same local model, and a frontier model (Claude Sonnet 5), each with one generic prompt, were pooled, source-stripped, shuffled, and scored blind by two co-authors for actionability and usefulness; text suggestions mapped to 15 grounded domains, figures to five figure-quality domains. Results: Orchestrated by PAT, a local open-weight 27B model covered 11.3 of 15 useful domains, versus 5.5 for the same model with one generic prompt and 9.3 for the frontier benchmark, exceeding the same model in every paper and after matching (8.7 versus 5.5). Coverage and per-suggestion usefulness were distinct axes: the frontier was more useful (81 % versus 29 %) and led at the clearly-useful threshold (7.7 versus 5.4) and after matching (9.3 versus 6.4). Inter-rater agreement was 90.5 % and 91.7 % (Cohen kappa 0.81, 0.82). By deterministic Phase0 metrics (rater-independent), PAT's rewrites cut passive-voice sentences from 51 % to 6 %, long sentences by 73 %, and word count by 22 %. Discussion: In this proof-of-concept, PAT's structured audit reliably broadened a local open-weight model's coverage of the 15 quality-relevant domains, exceeding the same one-prompt model in every paper and after matching, with inference kept local. Per-suggestion usefulness is bounded by the base model: the local model trailed the frontier and PAT's suggestions still need author judgment. As a model-agnostic framework, PAT can pair this breadth with a stronger base model to raise usefulness, without claiming frontier-equivalent per-suggestion quality. Conclusion: Local, privacy-preserving multi-agent review is feasible and broadens the domains a base model addresses.</t>
  </si>
  <si>
    <t>Gorenshtein, Alon; Bhansali, Rohan; Westover, Brandon; Goldenholz, Daniel M.</t>
  </si>
  <si>
    <t>Gorenshtein, A (corresponding author), Beth Israel Deaconess Med Ctr, Harvard Med Sch, 330 Brookline Ave, Boston, MA 02115 USA.</t>
  </si>
  <si>
    <t>agorensh@bidmc.harvard.edu</t>
  </si>
  <si>
    <t>ABPN [K23NS124656]; NIH [RF1AG064312, RF1NS120947, R01AG073410, R01HL161253, R01NS126282, R01AG073598, R01NS131347, R01NS130119]</t>
  </si>
  <si>
    <t>ABPN; NIH (United States Department of Health &amp; Human Services, National Institutes of Health (NIH) - USA, Office of the Administrator (NIH))</t>
  </si>
  <si>
    <t>DG and RB were funded in part by K23NS124656. DG and AG were funded in part by ABPN. MBW receives research funding from the NIH (RF1AG064312, RF1NS120947, R01AG073410, R01HL161253, R01NS126282, R01AG073598, R01NS131347, R01NS130119).</t>
  </si>
  <si>
    <t>[Gorenshtein, Alon; Bhansali, Rohan; Westover, Brandon; Goldenholz, Daniel M.] Beth Israel Deaconess Med Ctr, Dept Neurol, Boston, MA USA; [Gorenshtein, Alon; Bhansali, Rohan; Westover, Brandon; Goldenholz, Daniel M.] Harvard Med Sch, Boston, MA USA; [Gorenshtein, Alon] Beth Israel Deaconess Med Ctr, Harvard Med Sch, 330 Brookline Ave, Boston, MA 02115 USA</t>
  </si>
  <si>
    <t>Harvard University; Harvard University Medical Affiliates; Beth Israel Deaconess Medical Center; Harvard University; Harvard Medical School; Harvard University; Harvard Medical School; Harvard University Medical Affiliates; Beth Israel Deaconess Medical Center</t>
  </si>
  <si>
    <t>A local, privacy-oriented multi-agent LLM framework for framework-grounded manuscript editing: A proof-of-concept</t>
  </si>
  <si>
    <t>AI agent; Large language model; Manuscript editing; Local language model</t>
  </si>
  <si>
    <t>REPRODUCIBILITY</t>
  </si>
  <si>
    <t>220</t>
  </si>
  <si>
    <t>106650</t>
  </si>
  <si>
    <t>10.1016/j.ijmedinf.2026.106650</t>
  </si>
  <si>
    <t>http://dx.doi.org/10.1016/j.ijmedinf.2026.106650</t>
  </si>
  <si>
    <t>MO4YU</t>
  </si>
  <si>
    <t>42574979</t>
  </si>
  <si>
    <t>WOS:001847106700001</t>
  </si>
  <si>
    <t>Khadka, S; Jiang, XR; Palade, V</t>
  </si>
  <si>
    <t>Objective: Clinical coding is vital yet complex, often hindered by imperfect training data. This study addresses the overlooked issue of undercoding and coding errors in standard datasets and investigates their impact on automated coding algorithms. Furthermore, it explores the potential of AI-assisted tools to facilitate the challenging process of clinical coding audit. Methods: We developed a novel and effective interpretable coding pipeline that integrates Large Language Models (LLMs) for evidence extraction and code verification with a multiclass classifier trained on a large-scale silver-standard evidence dataset for code prediction. Using this pipeline as an audit tool, three professional coders systematically identified, categorised, and corrected errors in two widely used datasets containing human-annotated evidence (MDACE and CodiEsp). Results: The audit uncovered significant data quality issues, including an estimated 76.3% undercoding rate in MDACE and a 29.7% error rate in CodiEsp. Re-evaluating existing models on the corrected datasets improved performance, consistently across all metrics on MDACE, and in recall on CodiEsp. Additionally, the proposed pipeline achieved superior or comparable performance to state-of-the-art LLM-based methods, demonstrating its viability as a high-potential dual-use coding framework. Models and results that are publishable in compliance with the data privacy requirements of the datasets have been made publicly accessible in the acocmpanied Github repository: https://github.com/Supriya 090/LLM-Clinical-Coding-Audit. Conclusion: Our findings demonstrate that substantial errors in benchmark datasets significantly impact model evaluation. The results underscore a critical need to shift the research focus from purely model-centric approaches to data-centric solutions in clinical AI, highlighting the effectiveness of AIassisted audits in improving data integrity.</t>
  </si>
  <si>
    <t>Khadka, Supriya; Jiang, Xiaorui; Palade, Vasile</t>
  </si>
  <si>
    <t>Jiang, XR (corresponding author), Univ Sheffield, Sch Informat Journalism &amp; Commun, 2 Whitham Rd, Sheffield S10 2AH, England.</t>
  </si>
  <si>
    <t>xiaorui.jiang@sheffield.ac.uk</t>
  </si>
  <si>
    <t>[Khadka, Supriya; Palade, Vasile] Coventry Univ, Ctr Computat Sci &amp; Math Modelling, Puma Way, Coventry CV1 2TT, England; [Jiang, Xiaorui] Univ Sheffield, Sch Informat Journalism &amp; Commun, 2 Whitham Rd, Sheffield S10 2AH, England</t>
  </si>
  <si>
    <t>Coventry University; University of Sheffield</t>
  </si>
  <si>
    <t>LLM-assisted clinical coding audit through an interpretable coding pipeline</t>
  </si>
  <si>
    <t>Automated clinical coding; Large language model; Coding audit; Code quality; Interpretability</t>
  </si>
  <si>
    <t>106605</t>
  </si>
  <si>
    <t>10.1016/j.ijmedinf.2026.106605</t>
  </si>
  <si>
    <t>http://dx.doi.org/10.1016/j.ijmedinf.2026.106605</t>
  </si>
  <si>
    <t>MM7BG</t>
  </si>
  <si>
    <t>42570566</t>
  </si>
  <si>
    <t>WOS:001845893500001</t>
  </si>
  <si>
    <t>Gutiérrez, OAG; Imbrognio, F; De la Torre, OA; Vegas, DH; Fabiani, MA</t>
  </si>
  <si>
    <t>Background: The integration of large language models (LLMs) into vascular surgery promises scalable clinical decision support, yet their prognostic reliability remains unproven. This study evaluates the accuracy, calibration, and stability of generative artificial intelligence (AI) in predicting outcomes for chronic limb-threatening ischemia (CLTI).&lt;br /&gt; Methods: In a retrospective single-center study, we evaluated 49 patients undergoing revascularization for CLTI. Two LLM architectures (GPT-5.5 and DeepSeek-V4 [DS]) were tested using "naive" (unstructured) and "structured" (tabular) zero-shot prompting strategies to predict major adverse events (MAEs) at 6-month, 1-year, and 5-year horizons. Performance was assessed using Brier scores for calibration, sensitivity for discrimination, and Wasserstein distance for stability. Results: A critical dissociation between calibration and discrimination was observed. DS naive achieved a superior Brier score of 0.068 at 6 months, suggesting high probabilistic accuracy. However, this mathematical precision masked a failure in clinical utility: all models exhibited a sensitivity of 0.00 at 6-month and 1-year horizons. The models adopted an "actuarial hedging" strategy, clustering predictions around the population mean to minimize mathematical error rather than identifying specific high-risk patients. While internal reproducibility (intraclass correlation coefficient [ICCs] &gt;0.500) and distributional stability across prompts were surprisingly high, this consistency proved deceptive, based entirely on nondiscriminatory safety biases.&lt;br /&gt; Conclusion: While LLMs demonstrate semantic competence in medical discourse, they currently lack the pragmatic utility required for high-stakes prognostication. The observed "hallucinated calibration" and deceptive stability creates a dangerous illusion of reliability. Until issues of discriminatory failure are resolved, LLMs should remain restricted to administrative rather than predictive roles in patient decision-making.</t>
  </si>
  <si>
    <t>Gutierrez, Oliver Antonio Gomez; Imbrognio, Franco; De la Torre, Oscar A.; Vegas, Diego Herrera; Fabiani, Mario Alejandro</t>
  </si>
  <si>
    <t>Fabiani, MA (corresponding author), Tecnol Monterrey, Sch Med &amp; Hlth Sci, Ave Batallon San Patricio 112, San Pedro Garza Garcia 66260, Nuevo Leon, Mexico.</t>
  </si>
  <si>
    <t>alefabiani@gmail.com</t>
  </si>
  <si>
    <t>[Gutierrez, Oliver Antonio Gomez; De la Torre, Oscar A.; Fabiani, Mario Alejandro] Tecnol Monterrey, Vasc Med Ctr, Sch Med &amp; Hlth Sci, Monterrey, Mexico; [Imbrognio, Franco; Vegas, Diego Herrera] Escuela Med, Inst Univ CEMIC, Vasc Surg, Buenos Aires, Argentina</t>
  </si>
  <si>
    <t>Tecnologico de Monterrey; Centro de Educacion Medica e Investigaciones Clinicas (CEMIC)</t>
  </si>
  <si>
    <t>The Illusion of Precision: Artificial Intelligence Cannot yet Reliably Predict Individual Outcomes in Infrapopliteal Chronic Limb-Threatening Ischemia</t>
  </si>
  <si>
    <t>ANNALS OF VASCULAR SURGERY</t>
  </si>
  <si>
    <t>AUTOMATION BIAS</t>
  </si>
  <si>
    <t>0890-5096</t>
  </si>
  <si>
    <t>1615-5947</t>
  </si>
  <si>
    <t>ANN VASC SURG</t>
  </si>
  <si>
    <t>Ann. Vasc. Surg.</t>
  </si>
  <si>
    <t>132</t>
  </si>
  <si>
    <t>592</t>
  </si>
  <si>
    <t>601</t>
  </si>
  <si>
    <t>10.1016/j.avsg.2026.07.004</t>
  </si>
  <si>
    <t>http://dx.doi.org/10.1016/j.avsg.2026.07.004</t>
  </si>
  <si>
    <t>Surgery; Peripheral Vascular Disease</t>
  </si>
  <si>
    <t>Surgery; Cardiovascular System &amp; Cardiology</t>
  </si>
  <si>
    <t>MK9PB</t>
  </si>
  <si>
    <t>42448030</t>
  </si>
  <si>
    <t>WOS:001844710600001</t>
  </si>
  <si>
    <t>Garcia-Ordás, MT; Rubio-Martin, S; Merayo, A; Crespo-Alvaro, A; Garcia-Olalla, O; Garcia-Rodriguez, I</t>
  </si>
  <si>
    <t>Depression affects over 280 million people worldwide, yet early detection remains challenging due to limited access to mental health services and the subjective nature of traditional assessment methods. Automated sys tems that can accurately and transparently assess depression from natural language could significantly improve early intervention and treatment outcomes. However, existing approaches using traditional natural language processing techniques (e.g., TF-IDF, Word2Vec) produce opaque feature representations that lack clinical inter pretability, limiting their adoption in healthcare settings. This paper introduces a novel two-stage framework for depression prediction that leverages large language models (LLMs) to automatically generate interpretable, clinically relevant features from interview transcripts. The framework first employs few-shot prompting to gen erate a set of clinically grounded questions aligned with PHQ-8 diagnostic criteria, then uses the same LLMs to extract numerical features by answering these questions for each transcript. We evaluated three state-of-the-art LLMs (GPT-4o-mini, Claude-3.5-haiku, Gemini-Flash-1.5-8B) and five regression models on the E-DAIC dataset. Our results demonstrate that the proposed LLM-based feature extraction significantly outperforms traditional methods, with GPT-4o-mini achieving the best performance: RMSE of 4.19, MAE of 3.20, and R2 of 0.50 when combined with Ridge regression, representing improvements of up to 30% over TF-IDF and Word2Vec baselines. Furthermore, SHAP (SHapley Additive exPlanations) analysis revealed that features related to guilt and suicidal ideation are the most predictive, aligning with established clinical knowledge and validating the clinical relevance of the extracted features. This work bridges the critical gap between predictive accuracy and interpretability in mental health assessment, providing a transparent, explainable system that clinicians can trust and understand, thereby laying the foundation for more reliable and clinically adoptable diagnostic tools.</t>
  </si>
  <si>
    <t>Garcia-Ordas, Maria Teresa; Rubio-Martin, Sergio; Merayo, Alicia; Crespo-Alvaro, Arturo; Garcia-Olalla, Oscar; Garcia-Rodriguez, Isaias</t>
  </si>
  <si>
    <t>Merayo, A (corresponding author), Univ Leon, Escuela Ingn Ind Informat, ALBA Res Grp, Campus Vegazana,S-N, Leon 24071, Spain.</t>
  </si>
  <si>
    <t>amerc@unileon.es</t>
  </si>
  <si>
    <t>Universidad de Leon through the 'Programa Propio de Investigacion de la Universidad de Leon 2021' grant [PID2023-146168OA-I00]; Spanish Ministerio de Ciencia, Innovacion y Universidades [PID2023-146168OA-I00]</t>
  </si>
  <si>
    <t>Universidad de Leon through the 'Programa Propio de Investigacion de la Universidad de Leon 2021' grant; Spanish Ministerio de Ciencia, Innovacion y Universidades</t>
  </si>
  <si>
    <t>This research was made possible thanks to the support of the Universidad de Leon through the 'Programa Propio de Investigacion de la Universidad de Leon 2021' grant. Moreover, this work is a result of the project 'NLP-Driven Insight Engine for Suicide Attempt Detection in EHR (SUICIDETECT)', which is being developed under grant 'PID2023-146168OA-I00' from the Spanish Ministerio de Ciencia, Innovacion y Universidades.</t>
  </si>
  <si>
    <t>[Garcia-Ordas, Maria Teresa; Rubio-Martin, Sergio; Merayo, Alicia; Crespo-Alvaro, Arturo; Garcia-Rodriguez, Isaias] Univ Leon, Escuela Ingn Ind Informat, ALBA Res Grp, Campus Vegazana,S-N, Leon 24071, Spain; [Garcia-Olalla, Oscar] Xeridia SL, AI Dept, Ave Padre Isla 16, Leon 24002, Spain</t>
  </si>
  <si>
    <t>Universidad de Leon</t>
  </si>
  <si>
    <t>Explainable depression prediction using SHAP and large language models to extract features from text transcriptions</t>
  </si>
  <si>
    <t>APPLIED SOFT COMPUTING</t>
  </si>
  <si>
    <t>Depression; Explainable AI; Large language models; SHAP; Feature extraction; Natural language processing; PHQ-8</t>
  </si>
  <si>
    <t>36</t>
  </si>
  <si>
    <t>1568-4946</t>
  </si>
  <si>
    <t>1872-9681</t>
  </si>
  <si>
    <t>APPL SOFT COMPUT</t>
  </si>
  <si>
    <t>Appl. Soft. Comput.</t>
  </si>
  <si>
    <t>203</t>
  </si>
  <si>
    <t>116129</t>
  </si>
  <si>
    <t>10.1016/j.asoc.2026.116129</t>
  </si>
  <si>
    <t>http://dx.doi.org/10.1016/j.asoc.2026.116129</t>
  </si>
  <si>
    <t>Computer Science, Artificial Intelligence; Computer Science, Interdisciplinary Applications</t>
  </si>
  <si>
    <t>MJ3BR</t>
  </si>
  <si>
    <t>WOS:001843588400001</t>
  </si>
  <si>
    <t>Gao, RY; Yang, ZX; Liu, ZP</t>
  </si>
  <si>
    <t>Objective: Pan-cancer survival prediction aims to identify generalizable prognostic patterns from heterogeneous data across cancer types for individualized precision medicine. However, existing multimodal methods are limited by cross-cancer molecular heterogeneity, diverse histological patterns, semantic inconsistency across modalities, and the dilution of prognostically relevant whole-slide image (WSI) regions by numerous weakly informative patches. Moreover, training separate models for individual cancer types limits joint modeling of shared prognostic patterns. Methods: We developed FusionSurv, a unified multimodal framework with a coordinated architecture for pan-cancer survival modeling. Cancer-adaptive omics encoding generates patient-level molecular representations that guide WSI patch preselection before graph construction. A patient-specific dynamic KNN graph captures dependencies among retained regions. Pathology, omics, and clinical representations are then integrated using cancer-specific low-, mid-, and high-risk prototypes and a generalist-specialist mixture-of-experts head for continuous risk prediction. Results: Based on five-fold cross-validation of 2672 patients from six TCGA cohorts, FusionSurv outperformed representative unimodal and multimodal models in overall C-index, with the best performance in BRCA, LUAD, KIRP, and PAAD. Without retraining or fine-tuning, the TCGA-trained ensemble achieved C-indices of 0.581 in CPTAC-LUAD and 0.589 in CPTAC-PAAD. Further biological and pathological analyses showed that high-risk signals identified by FusionSurv are enriched in protein phosphorylation regulation, hypoxia and chemical stress responses, and ERBB-related signaling pathways. High-and low-attention patches exhibited differences in H&amp;E morphology and HoVer-Net cell-level overlays. Conclusion: FusionSurv supports biologically plausible and pathologically interpretable cross-modal risk modeling for unified pan-cancer survival prediction.</t>
  </si>
  <si>
    <t>Gao, Ruiyi; Yang, Zhixia; Liu, Zhi-Ping</t>
  </si>
  <si>
    <t>Liu, ZP (corresponding author), Xinjiang Univ, Coll Math &amp; Syst Sci, Urumqi, Xinjiang, Peoples R China.; Liu, ZP (corresponding author), Shandong Univ, Sch Control Sci &amp; Engn, Dept Biomed Engn, Jinan, Shandong, Peoples R China.</t>
  </si>
  <si>
    <t>yangzhx@xju.edu.cn; zpliu@sdu.edu.cn; gaozishun@stu.xju.edu.cn</t>
  </si>
  <si>
    <t>National Natural Science Foundation of China (NSFC) [12461058]</t>
  </si>
  <si>
    <t>National Natural Science Foundation of China (NSFC) (National Natural Science Foundation of China (NSFC))</t>
  </si>
  <si>
    <t>This work was partially supported by the National Natural Science Foundation of China (NSFC) under Grant No. 12461058.</t>
  </si>
  <si>
    <t>[Gao, Ruiyi; Yang, Zhixia; Liu, Zhi-Ping] Xinjiang Univ, Coll Math &amp; Syst Sci, Urumqi, Xinjiang, Peoples R China; [Liu, Zhi-Ping] Shandong Univ, Sch Control Sci &amp; Engn, Dept Biomed Engn, Jinan, Shandong, Peoples R China</t>
  </si>
  <si>
    <t>Xinjiang University; Shandong University</t>
  </si>
  <si>
    <t>FusionSurv: A multi-modal fusion representation network for pan-cancer survival analysis</t>
  </si>
  <si>
    <t>FOUNDATION MODEL</t>
  </si>
  <si>
    <t>60</t>
  </si>
  <si>
    <t>111197</t>
  </si>
  <si>
    <t>10.1016/j.bspc.2026.111197</t>
  </si>
  <si>
    <t>http://dx.doi.org/10.1016/j.bspc.2026.111197</t>
  </si>
  <si>
    <t>ML3EB</t>
  </si>
  <si>
    <t>WOS:001844952800001</t>
  </si>
  <si>
    <t>Super, I; Rezaeian, O; Asan, O</t>
  </si>
  <si>
    <t>Background: Generative artificial intelligence, particularly large language models (LLMs), has rapidly advanced and shows promise in healthcare for supporting teams through their ability to understand and generate medical text. While human-AI collaboration has been explored, the integration of LLMs into healthcare teams remains under-researched. Objective: This scoping review aims to examine how LLMs are currently used to support teamwork and communication in healthcare teams, including both solely professional teams and those involving patients. Methods: Following PRISMA-ScR guidelines, we registered our review with the Open Science Framework (July 30, 2025). We searched PubMed, Web of Science, and ScienceDirect for articles from 2014 to 2024. After screening 3,865 unique titles and abstracts, 127 full texts were reviewed. Results: Twenty studies were included, predominantly employing quantitative and simulation-based designs, with limited in situ evaluations. LLM use cases were categorized into decision support, communication, and administrative functions. Outcome measures primarily focused on accuracy and quality (15/20 studies), with fewer assessing safety (4/20), readability or empathy (5/20), workflow efficiency (3/20), and error modes (2/ 20). Across use cases, LLMs demonstrated potential to improve efficiency and communication, although performance and risks varied by task complexity and use context. Conclusion: LLMs hold substantial potential to enhance healthcare teamwork by supporting clinical decisions, streamlining administrative workflows, and improving patient communication. However, ethical, legal, and accountability concerns remain. Current studies largely evaluate model performance without considering the dynamics of human team members. Future research should examine LLMs' impact on trust, collaboration, and decision-making within clinical teams, while implementation efforts must address contextual and interdisciplinary factors to ensure responsible integration.</t>
  </si>
  <si>
    <t>Super, Ilse; Rezaeian, Olya; Asan, Onur</t>
  </si>
  <si>
    <t>Asan, O (corresponding author), Stevens Inst Technol, Dept Syst Engn, 1 Castle Point Terrace, Hoboken, NJ 07030 USA.</t>
  </si>
  <si>
    <t>oasan@stevens.edu</t>
  </si>
  <si>
    <t>[Super, Ilse; Rezaeian, Olya; Asan, Onur] Stevens Inst Technol, Dept Syst Engn, 1 Castle Point Terrace, Hoboken, NJ 07030 USA</t>
  </si>
  <si>
    <t>Stevens Institute of Technology</t>
  </si>
  <si>
    <t>How large language models can be used for teamwork and communication in healthcare settings: A scoping review</t>
  </si>
  <si>
    <t>Communication; Teamwork; Healthcare; human-AI teaming</t>
  </si>
  <si>
    <t>PATIENT; PROVIDER; CHATGPT</t>
  </si>
  <si>
    <t>106648</t>
  </si>
  <si>
    <t>10.1016/j.ijmedinf.2026.106648</t>
  </si>
  <si>
    <t>http://dx.doi.org/10.1016/j.ijmedinf.2026.106648</t>
  </si>
  <si>
    <t>MK6TB</t>
  </si>
  <si>
    <t>42561766</t>
  </si>
  <si>
    <t>WOS:001844517800001</t>
  </si>
  <si>
    <t>Hayes, DS; Blank, EH; Muchow, RD</t>
  </si>
  <si>
    <t>Background: Individuals frequently consult the internet when seeking information about their health. However, patient education materials (PEMs) published online are often written above the recommended sixth-to eighthgrade reading level. The readability and quality of online resources for inherited conditions are poorly studied. Additionally, little is known about the reading level of responses from artificial intelligence (AI) models when prompted with healthcare inquiries. We aimed to assess the readability and quality of online health information encountered when searching for inherited pediatric orthopaedic conditions, including outputs from popular large language model (LLM) chatbots. Methods: Twenty-three inherited pediatric orthopaedic conditions were queried using Google in three common search formats. First-page search results, including Google AI Overviews, were analyzed. Searches were replicated in three chatbots: Microsoft Copilot, ChatGPT, and Google Gemini. Readability was assessed using Flesch Reading Ease (FRE) and Flesch-Kincaid Grade Level (FKGL). Results: Of 706 identified webpages, 355 met inclusion criteria. Most webpages were hosted by government agencies, academic hospitals, or nonprofit organizations. Mean readability levels were high (FRE 38.2; FKGL 12.1), substantially exceeding the recommended levels for patient-facing health information. Only 18% of webpages met eighth-grade readability standards. AI-generated outputs demonstrated similar readability (FRE 36.1; FKGL 12.3). Only 2% of AI responses met eighth-grade readability recommendations. However, when the input prompt included a request to improve readability, AI models lowered average output readability by nearly six grade levels (FRE 69.0; FKGL 6.8). Conclusions: Online information for inherited pediatric orthopaedic conditions is frequently written above recommended reading levels, and AI-generated content does not meaningfully improve accessibility unless specifically prompted to do so. Despite generally reputable website sources, limited readability and accountability highlight opportunities for orthopaedic surgeons and organizations to advocate for improved clarity, accessibility, and patient-centered communication. Key Concepts: (1) Online patient education materials for inherited pediatric orthopaedic conditions are written at a higher reading level than the recommended 8 th grade level. (2) Only 18% of websites and 2% of AI-generated responses meet the &lt;= 8th grade readability standard. (3) Most online resources come from reputable sources (government, academic hospitals, nonprofits) but still have poor readability. (4) AI-generated health information has similar readability to websites but is significantly shorter. (5) Improving readability, accessibility, and patient-centered communication is a key opportunity for orthopaedic providers and organizations. Level of Evidence: V</t>
  </si>
  <si>
    <t>Hayes, Daniel S.; Blank, Elizabeth H.; Muchow, Ryan D.</t>
  </si>
  <si>
    <t>Hayes, DS (corresponding author), Univ Kentucky, Coll Med, 780 Rose St MN 150, Lexington, KY 40506 USA.</t>
  </si>
  <si>
    <t>danielhayes@uky.edu</t>
  </si>
  <si>
    <t>[Hayes, Daniel S.; Blank, Elizabeth H.; Muchow, Ryan D.] Univ Kentucky, Coll Med, Dept Orthopaed Surg &amp; Sports Med, Lexington, KY USA; [Hayes, Daniel S.] Univ Kentucky, Coll Med, 780 Rose St MN 150, Lexington, KY 40506 USA</t>
  </si>
  <si>
    <t>University of Kentucky; University of Kentucky</t>
  </si>
  <si>
    <t>What Resources Are Available for Parents Online? A Readability, Quality, and Source Evaluation of Website and AI-Generated Content on Inherited Pediatric Orthopaedic Conditions</t>
  </si>
  <si>
    <t>JOURNAL OF THE PEDIATRIC ORTHOPAEDIC SOCIETY OF NORTH AMERICA</t>
  </si>
  <si>
    <t>Pediatrics; Orthopaedics; Readability; Patient education; Artificial intelligence</t>
  </si>
  <si>
    <t>PATIENT EDUCATION MATERIALS</t>
  </si>
  <si>
    <t>Blank, Elizabeth/0009-0004-1413-9932</t>
  </si>
  <si>
    <t>2768-2765</t>
  </si>
  <si>
    <t>J PEDIATR ORTHOP SOC</t>
  </si>
  <si>
    <t>J. Pediatr. Orthop. Soc. N. Am.</t>
  </si>
  <si>
    <t>100420</t>
  </si>
  <si>
    <t>10.1016/j.jposna.2026.100420</t>
  </si>
  <si>
    <t>http://dx.doi.org/10.1016/j.jposna.2026.100420</t>
  </si>
  <si>
    <t>Orthopedics; Pediatrics</t>
  </si>
  <si>
    <t>ML2NU</t>
  </si>
  <si>
    <t>WOS:001844910500001</t>
  </si>
  <si>
    <t>Esteron, JV; Agustin, RMS; Basilio, SRY; Padolina, NGD; Fernandez, ZS; Ramirez, DQ</t>
  </si>
  <si>
    <t>Objective: This discussion paper conceptualizes cognitive fog as a communication and reasoning problem that can emerge when clinicians, patients, or organizations over-rely on artificial intelligence (AI) tools in health care. Discussion: Drawing on a selective, theory-oriented narrative synthesis of literature on AI-enabled clinical decision support, large language models, automation bias, cognitive offloading, patient-facing AI communication, and shared decision-making, this paper defines cognitive fog as a condition in which fluent, rapid, and institutionally embedded AI output blurs the boundary between assistance and authority. It comprises epistemic blurring, metacognitive weakening, and relational displacement. In clinical and patient-facing contexts, inaccurate or biased recommendations may reduce accuracy, while polished language can make generic education appear personal and automated recommendations appear deliberative. Management requires explicit role boundaries, AI literacy, cognitive forcing routines, visible human review, proportionate patient-facing disclosure, and governance that addresses workflow, accountability, equity, and patient understanding. Conclusion: AI overreliance is not only a technical safety issue; it is also a health communication issue because it can cloud reasoning, weaken accountability, and narrow shared decision-making. Effective mitigation must address both individual barriers, including time pressure, variable AI literacy, and reluctance to challenge automated output, and systemic barriers, including weak governance, opaque tools, misaligned incentives, and inadequate monitoring.</t>
  </si>
  <si>
    <t>Esteron, Jeffrey, V; Agustin, Rhocette M. Sn; Basilio, Shiela Rose Y.; Padolina, Norlene Gale D.; Fernandez, Zenaida S.; Ramirez, Debbie Q.</t>
  </si>
  <si>
    <t>Esteron, JV (corresponding author), Angeles Univ Fdn, Coll Nursing, Angeles, Philippines.</t>
  </si>
  <si>
    <t>esteron.jeffrey@auf.edu.ph; snagustin.rhocette@auf.edu.ph; fernandezzs@auf.edu.ph; padolina.norlenegale@auf.edu.ph; ramirezdq@auf.edu.ph; basilio.shielarose@auf.edu.ph</t>
  </si>
  <si>
    <t>[Esteron, Jeffrey, V; Agustin, Rhocette M. Sn; Basilio, Shiela Rose Y.; Padolina, Norlene Gale D.; Fernandez, Zenaida S.; Ramirez, Debbie Q.] Angeles Univ Fdn, Coll Nursing, Angeles, Philippines; [Esteron, Jeffrey, V] Angeles Univ Fdn, Grad Sch, Angeles, Philippines</t>
  </si>
  <si>
    <t>Angeles University Foundation; Angeles University Foundation</t>
  </si>
  <si>
    <t>Cognitive fog in AI-assisted care: Preserving clinical reasoning, patient education, and shared decision-making</t>
  </si>
  <si>
    <t>Artificial intelligence; Cognitive fog; Automation bias; Clinical reasoning; Patient education; Shared decision-making</t>
  </si>
  <si>
    <t>Esteron, Jeffrey/HJO-9808-2023</t>
  </si>
  <si>
    <t>ESTERON, JEFFREY/0009-0006-3333-2011</t>
  </si>
  <si>
    <t>109808</t>
  </si>
  <si>
    <t>10.1016/j.pec.2026.109808</t>
  </si>
  <si>
    <t>http://dx.doi.org/10.1016/j.pec.2026.109808</t>
  </si>
  <si>
    <t>MI9XV</t>
  </si>
  <si>
    <t>42556121</t>
  </si>
  <si>
    <t>WOS:001843373600001</t>
  </si>
  <si>
    <t>Alsayed, MI; Alsayed, MM; Maghrabi, A; Alzahrani, A; Felemban, A; Badirah, S; Alabdulkarim, F; Sheitt, H; Hashem, D; Meer, E; Alkadhi, Y; Abusalah, A; Zia, Z</t>
  </si>
  <si>
    <t>Background: Radiology reports are written for clinicians, leaving the majority of patients unable to understand their own imaging findings. Large language models (LLMs) offer a means to simplify reports for patient-facing use; however, most implementations rely on cloud-based platforms that raise data privacy and regulatory concerns. Arabic-speaking populations - over 400 million people worldwide - remain substantially underserved in medical AI research, with no prospectively evaluated AI Arabic radiology report simplification system previously reported. Objective: This study aimed to conduct a preliminary prospective feasibility and safety evaluation of patient-perceived understandability outcomes and radiologist-assessed clinical safety of an on-site, institutionally governed AI system that generates simplified radiology reports in plain English and Arabic for Arabic-speaking outpatients. Methods: In this prospective single-center observational study conducted at King Faisal Specialist Hospital and Research Centre-Jeddah (KFSHRC-J) in January 2026, 98 adult outpatients (mean age 50.0 +/- 14.9 years; 50 men, 48 women; IRB #2251488) reviewed three versions of their own radiology report in randomized order: a traditional radiologist report, an AI-simplified English report, and an AI-simplified Arabic report. The system used a two-stage pipeline: Qwen3-14B-FP8 with structured prompt engineering for English simplification (Stage 1), and a fine-tuned Hala-1.2B model for Arabic translation (Stage 2; 8,319 training samples). Patient-perceived understandability was measured on a 5-point Likert scale (1 = Very Easy; 5 = Very Difficult). Three board-certified radiologists independently assessed clinical safety using a standardized seven-domain rubric; inter-rater agreement was quantified using ICC(2,k). Results: AI-simplified Arabic reports produced a median perceived understandability score of 1 (IQR 1-2) versus 5 (IQR 3-5) for traditional reports (p &lt; 0.001; rank-biserial r = 0.97), with 94.9% (93/98) of patients preferring the Arabic simplified version. Safety evaluation demonstrated 96.9% (95/98) of reports safe for patient release, with a hallucination rate of 3.1% (n = 3; 1 unsafe, 2 safe by consensus). Inter-rater reliability was moderate by conventional thresholds (ICC 0.48-0.55) due to a ceiling effect from uniformly high safety scores (mean fidelity 4.8/5.0; 90.8% highest rating; SD = 0.3), with 91.2% absolute agreement on binary safety classification and Fleiss' kappa = 0.71 for safety. Conclusions: In this preliminary prospective feasibility evaluation, a locally deployed, clinician-and AI team-built system significantly improved patient-perceived understandability of radiology reports for Arabic-speaking patients, with a radiologist-assessed safety profile that is promising but requires further validation before broad clinical deployment. The hallucination rate of 3.1% (1.0% unsafe) is lower than published pooled benchmarks, though direct comparisons are limited by methodological heterogeneity across studies (pooled 7.2% across 38 simplification studies; 1.12% for fine-tuned models). To our knowledge, this is among the first prospectively evaluated AI systems for Arabic radiology report simplification, highlighting the potential of on-site AI deployment as a safe, privacy-preserving approach for multilingual radiology communication, warranting further investigation of its contribution to health equity.</t>
  </si>
  <si>
    <t>Alsayed, Mohammad I.; Alsayed, Mohammed Moeenaldeen; Maghrabi, Akram; Alzahrani, Ali; Felemban, Abdulbari; Badirah, Sara; Alabdulkarim, Faisal; Sheitt, Hana; Hashem, Dalia; Meer, Emtenen; Alkadhi, Yusuf; Abusalah, Ahmad; Zia, Zergham</t>
  </si>
  <si>
    <t>Alsayed, MI (corresponding author), King Faisal Specialist Hosp &amp; Res Ctr Jeddah KFSHR, Dept Radiol, POB 40047, Jeddah 21499, Saudi Arabia.; Alsayed, MI (corresponding author), Dept Radiol, KFSHRC J, Jeddah, Saudi Arabia.</t>
  </si>
  <si>
    <t>malsayed2@kfshrc.edu.sa</t>
  </si>
  <si>
    <t>[Alsayed, Mohammed Moeenaldeen] King Faisal Specialist Hosp &amp; Res Ctr Riyadh KFSHR, Artificial Intelligence Lab, Riyadh, Saudi Arabia; [Abusalah, Ahmad] King Faisal Specialist Hosp &amp; Res Ctr Riyadh KFSHR, Digital Innovat Hub, Riyadh, Saudi Arabia; [Alabdulkarim, Faisal; Alkadhi, Yusuf] King Faisal Specialist Hosp &amp; Res Ctr Riyadh KFSHR, Dept Radiol, Riyadh, Saudi Arabia; [Alsayed, Mohammad I.; Maghrabi, Akram; Alzahrani, Ali; Felemban, Abdulbari; Badirah, Sara; Sheitt, Hana; Hashem, Dalia; Meer, Emtenen; Zia, Zergham] King Faisal Specialist Hosp &amp; Res Ctr Jeddah KFSHR, Dept Radiol, POB 40047, Jeddah 21499, Saudi Arabia; [Alsayed, Mohammad I.; Maghrabi, Akram; Alzahrani, Ali; Badirah, Sara; Alabdulkarim, Faisal; Sheitt, Hana; Alkadhi, Yusuf; Abusalah, Ahmad; Zia, Zergham] Dept Radiol, KFSHRC J, Jeddah, Saudi Arabia; [Alsayed, Mohammed Moeenaldeen] KFSHRC R, AI Lab, Riyadh, Saudi Arabia; [Hashem, Dalia] KFSHRC R, Dept Radiol, Riyadh, Saudi Arabia; [Meer, Emtenen] KFSHRC R, Digital Innovat Hub, Riyadh, Saudi Arabia</t>
  </si>
  <si>
    <t>AI-powered radiology report simplification in Arabic: A prospective evaluation of patient-perceived understandability and clinical safety</t>
  </si>
  <si>
    <t>Artificial intelligence; Radiology reports; Natural language processing; Patient communication; Arabic language; Health literacy; Clinical safety; Large language models; On-site deployment; Report simplification</t>
  </si>
  <si>
    <t>RELIABILITY; ACCESS</t>
  </si>
  <si>
    <t>106637</t>
  </si>
  <si>
    <t>10.1016/j.ijmedinf.2026.106637</t>
  </si>
  <si>
    <t>http://dx.doi.org/10.1016/j.ijmedinf.2026.106637</t>
  </si>
  <si>
    <t>MH1PT</t>
  </si>
  <si>
    <t>42546532</t>
  </si>
  <si>
    <t>WOS:001842131300001</t>
  </si>
  <si>
    <t>Parida, A; Capellán-Martín, D; Atito, S; Awais, M; Ledesma-Carbayo, MJ; Linguraru, MG; Anwar, SM</t>
  </si>
  <si>
    <t>Foundation models trained on vast amounts of unlabeled data are transforming general-purpose learning, demonstrating generalizability across diverse domains. Such models are emerging as versatile and precise diagnostic tools in the medical field, signaling a transformative shift in clinical AI applications. In line with these developments, we introduce Diverse Concept Modeling (DiCoMX), a self-supervised learning (SSL) framework toward developing domain-specific chest X-ray (CXR) foundation models. DiCoMX is based on capturing concepts from CXR images using pseudo-labels through knowledge distillation from a teacher model. Our main idea is to use Vision Transformer (ViT) outputs to learn local pseudo-labels for individual tokens and a global pseudo-label for the entire CXR image. We pretrained a ViT on 600,638 CXRs and applied it to a range of independent downstream tasks, including pneumonia and COVID-19 detection in both adult and pediatric populations, multi label disease classification, and lung segmentation. Our experimental results demonstrate that DiCoMX outperforms existing SSL methods by learning more effective representations and improving model convergence. Therefore, DiCoMX learns transferable representations from large-scale unlabeled CXR datasets, providing a scalable step toward building domain-specific CXR foundation models. The code for pre-training foundation models using DiCoMX is publicly available at: https://github.com/Pediatric-Accelerated-Intelligence-Lab/DiCoMX.</t>
  </si>
  <si>
    <t>Parida, Abhijeet; Capellan-Martin, Daniel; Atito, Sara; Awais, Muhammad; Ledesma-Carbayo, Maria J.; Linguraru, Marius George; Anwar, Syed Muhammad</t>
  </si>
  <si>
    <t>Parida, A (corresponding author), Childrens Natl Hosp, Sheikh Zayed Inst Pediat Surg Innovat, 111 Michigan Ave NW, Washington, DC 20010 USA.</t>
  </si>
  <si>
    <t>pabhijeet@childrensnational.org</t>
  </si>
  <si>
    <t>National Heart, Lung and Blood Institute's [R42 HL145669]; Ministerio de Ciencia e Innovacion, Agencia Estatal de Investigacion [PID2022-141493OB-I00, PID2025-169806OB-I00]; European Regional Development Fund (ERDF) [TEC-2024/COM-44]; ADVANCETB Cost Action (EU) [CA21164]; Universidad Politecnica de Madrid; Comunidad de Madrid, Spain through the MAGERIT-CM project [TEC-2024/COM-44]</t>
  </si>
  <si>
    <t>National Heart, Lung and Blood Institute's (United States Department of Health &amp; Human Services, National Institutes of Health (NIH) - USA, NIH National Heart Lung &amp; Blood Institute (NHLBI)); Ministerio de Ciencia e Innovacion, Agencia Estatal de Investigacion; European Regional Development Fund (ERDF) (European Union (EU)); ADVANCETB Cost Action (EU); Universidad Politecnica de Madrid; Comunidad de Madrid, Spain through the MAGERIT-CM project</t>
  </si>
  <si>
    <t>This work was partially supported by the National Heart, Lung and Blood Institute's award R42 HL145669 and the Ministerio de Ciencia e Innovacion, Agencia Estatal de Investigacion, under grants PID2022-141493OB-I00 and PID2025-169806OB-I00 (10.13039/501100011 033/MCIN/AEI/ERDF, UE), co-financed by European Regional Development Fund (ERDF), 'A way of making Europe', as well as the ADVANCETB Cost Action (EU) project (ID CA21164). DCM's PhD fellowship is supported by Universidad Politecnica de Madrid. The authors acknowledge the Universidad Politecnica de Madrid for providing computing resources on the Magerit Supercomputer. This work was also supported by the Comunidad de Madrid, Spain through the MAGERIT-CM project (TEC-2024/COM-44).</t>
  </si>
  <si>
    <t>[Parida, Abhijeet; Capellan-Martin, Daniel; Linguraru, Marius George; Anwar, Syed Muhammad] Childrens Natl Hosp, Sheikh Zayed Inst Pediat Surg Innovat, 111 Michigan Ave NW, Washington, DC 20010 USA; [Parida, Abhijeet; Capellan-Martin, Daniel; Ledesma-Carbayo, Maria J.] Univ Politecn Madrid, Calle Ramiro de Maeztu 7, Madrid 28040, Spain; [Capellan-Martin, Daniel; Ledesma-Carbayo, Maria J.] Inst Salud Carlos III, Ctr Invest Biomed Red Bioingn Biomat &amp; Nanomed CIB, Ave Monforte de Lemos 3-5, Madrid 28029, Spain; [Atito, Sara; Awais, Muhammad] Univ Surrey, Ctr Vis Speech &amp; Signal Proc, Stag Hill, Guildford GU2 7XH, England; [Linguraru, Marius George; Anwar, Syed Muhammad] George Washington Univ, Sch Med &amp; Hlth Sci, Dept Radiol, 2121 I St NW, Washington, DC 20052 USA; [Linguraru, Marius George; Anwar, Syed Muhammad] George Washington Univ, Sch Med &amp; Hlth Sci, Dept Pediat, 2121 I St NW, Washington, DC 20052 USA</t>
  </si>
  <si>
    <t>Children's National Health System; Universidad Politecnica de Madrid; University of Surrey</t>
  </si>
  <si>
    <t>Diverse Concept Modeling (DiCoMX): Domain-specific self-supervised pre-training strategy for chest X-ray foundation models</t>
  </si>
  <si>
    <t>Self-supervised learning; Domain-specific pre-training; Chest X-ray; Vision transformer; Local and global features; Classification; Segmentation</t>
  </si>
  <si>
    <t>111135</t>
  </si>
  <si>
    <t>10.1016/j.bspc.2026.111135</t>
  </si>
  <si>
    <t>http://dx.doi.org/10.1016/j.bspc.2026.111135</t>
  </si>
  <si>
    <t>MF1GP</t>
  </si>
  <si>
    <t>WOS:001840748000001</t>
  </si>
  <si>
    <t>Zheng, Y; Dong, YJ; Yao, Z; Yu, JH; Wu, GQ</t>
  </si>
  <si>
    <t>esPurpose: Breast cancer is a leading cause of cancer-related death among women worldwide. Accurate tumor segmentation plays a crucial role in the diagnosis of tumor status. Foundation model based medical image segmentation methods show promising performance due to their extensive domain knowledge. However, their heavy computational burden, slow inference speeds, and reliance on manual prompts hinder both deployment efficiency and adaptability. Methods: We propose a lightweight self-prompting (Tiny-SAM) model for ultrasound breast tumor segmentation. First, we developed an efficient distillation method for SAM-Med2D that uses soft labels to decouple teacher model distillation and hard labels to guide student model training, saving computational cost while maintaining high performance. Second, we introduced the cross-attention mechanism to reduce high targetprompt correlation, enabling self-prompting and automating segmentation process. Finally, we improved the traditional multi-head attention mechanism through dynamic combination, enhancing computational efficiency. Results: We conducted extensive experiments on 593 images from a public dataset and 3,513 images from a private dataset to validate our model. Compared to SAM-Med2D, our model reduced the parameters by approximately 20 times and improved computational efficiency by 3 times, demonstrating overall superior performance. Compared to prompt-based methods, our approach achieved Dice coefficient improvements of 0.31% (attaining 0.8509) and 1.52% (attaining 0.8576) on two datasets, while surpassing other automatic segmentation methods of 3.44% and 0.95%, respectively. Conclusions: Our AI-model based method improves both the accuracy and efficiency of automatic breast cancer segmentation, and shows significant potential for clinical adoption. The source code is available at https ://github.com/darwein/SPL-SAM.</t>
  </si>
  <si>
    <t>Zheng, Yuan; Dong, Yijie; Yao, Zhao; Yu, Jinhua; Wu, Guoqing</t>
  </si>
  <si>
    <t>Yu, JH; Wu, GQ (corresponding author), Fudan Univ, Coll Biomed Engn, Shanghai, Peoples R China.</t>
  </si>
  <si>
    <t>guoqingwu@fudan.edu.cn; jhyu@fudan.edu.cn</t>
  </si>
  <si>
    <t>China University-Industry-University-Research Innovation Fund [2024DR026]; National natural science foundation of China [82372096]; AI for Science Foundation of Fudan University [FudanX24AI038]; Shanghai Science and Technology Commission Explorer Project [24TS1410600]</t>
  </si>
  <si>
    <t>China University-Industry-University-Research Innovation Fund; National natural science foundation of China (National Natural Science Foundation of China (NSFC)); AI for Science Foundation of Fudan University; Shanghai Science and Technology Commission Explorer Project</t>
  </si>
  <si>
    <t>This study was supported by the China University-Industry-University-Research Innovation Fund (2024DR026) ; National natural science foundation of China (82372096) ; AI for Science Foundation of Fudan University (FudanX24AI038) ; Shanghai Science and Technology Commission Explorer Project (24TS1410600) .</t>
  </si>
  <si>
    <t>[Zheng, Yuan; Yao, Zhao; Yu, Jinhua; Wu, Guoqing] Fudan Univ, Coll Biomed Engn, Shanghai, Peoples R China; [Dong, Yijie] Shanghai Jiao Tong Univ, Ruijin Hosp, Dept Ultrasound, Sch Med, Shanghai 200025, Peoples R China</t>
  </si>
  <si>
    <t>Fudan University; Shanghai Jiao Tong University</t>
  </si>
  <si>
    <t>Lightweight Medical SAM with Self-prompting for Ultrasound Breast Tumor Segmentation</t>
  </si>
  <si>
    <t>Medical Image Segmentation; Knowledge Distillation; Self-prompting; Lightweight; Foundation Medical Imaging Model</t>
  </si>
  <si>
    <t>IMAGE SEGMENTATION</t>
  </si>
  <si>
    <t>111184</t>
  </si>
  <si>
    <t>10.1016/j.bspc.2026.111184</t>
  </si>
  <si>
    <t>http://dx.doi.org/10.1016/j.bspc.2026.111184</t>
  </si>
  <si>
    <t>MF4DN</t>
  </si>
  <si>
    <t>WOS:001840943000001</t>
  </si>
  <si>
    <t>de Ridder, LA; Zusterzeel, PLM; Krüse, AJ</t>
  </si>
  <si>
    <t>Background: Large language models (LLMs) such as ChatGPT are increasingly used by patients to obtain medical information, particularly for human papillomavirus (HPV) infection and cervical intraepithelial neoplasia (CIN), where patients seek explanations on diagnosis, risk, screening, and follow-up. The clinical usefulness of chatbotgenerated information depends not only on the accuracy but also on its perceived relevance to clinical practice. This study evaluated perceived clinical accuracy and perceived alignment with clinical consensus of ChatGPT responses to common patient questions on HPV and CIN over time. Methods: In this longitudinal evaluation study, ten frequently asked patient questions on HPV and CIN were extracted from a Dutch cancer information platform (kanker.nl). Questions were submitted to the publicly available ChatGPT web interface at two timepoints (Aug-2024 and Oct-2025) using an identical procedure. Responses were assessed by five gynecologists using 5-point Likert scales for perceived clinical accuracy and perceived alignment with clinical consensus. Ratings of 4 or 5 were considered favorable evaluations. Outcomes were summarized descriptively, and inter-rater reliability was assessed using Fleiss' kappa. Results: In 2024, 88.0 % of perceived clinical accuracy ratings and 82.0 % of perceived consensus alignment ratings were scored as 4 or 5. In 2025, these proportions were 92.0 % and 76.0 %, respectively. Favorable ratings were common for both outcomes at both timepoints. Modest differences were observed across individual questions, although no formal hypothesis testing was performed. Variability in expert ratings was observed, with Fleiss' kappa values below zero at both timepoints, indicating agreement worse than expected by chance. Conclusions: ChatGPT-generated responses to HPV-and CIN-related patient questions frequently received favorable clinician ratings. However, poor inter-rater reliability and the lack of objective guideline bench-marking limit the strength of these findings. Further validation is required before broader integration into patient education.</t>
  </si>
  <si>
    <t>de Ridder, L. A.; Zusterzeel, P. L. M.; Kruse, A. J.</t>
  </si>
  <si>
    <t>de Ridder, LA (corresponding author), Radboud Univ Nijmegen, Med Ctr, Dept Obstet &amp; Gynecol, Geert Grooteplein Zuid 10, NL-6525 GA Nijmegen, Netherlands.</t>
  </si>
  <si>
    <t>larissa.deridder@radboudumc.nl</t>
  </si>
  <si>
    <t>[de Ridder, L. A.; Zusterzeel, P. L. M.] Radboud Univ Nijmegen, Med Ctr, Dept Obstet &amp; Gynecol, Geert Grooteplein Zuid 10, NL-6525 GA Nijmegen, Netherlands; [de Ridder, L. A.; Kruse, A. J.] Isala Hosp, Dept Obstet &amp; Gynecol, Dokter van Heesweg 2, NL-8025 AB Zwolle, Netherlands</t>
  </si>
  <si>
    <t>Radboud University Nijmegen</t>
  </si>
  <si>
    <t>Clinician-perceived clinical accuracy and guideline alignment of ChatGPT responses to patient questions on HPV and CIN: a two-year comparative evaluation</t>
  </si>
  <si>
    <t>Artificial Intelligence; ChatGPT; Patient education; Cervical Intraepithelial Neoplasia (CIN); Human Papillomavirus (HPV)</t>
  </si>
  <si>
    <t>106636</t>
  </si>
  <si>
    <t>10.1016/j.ijmedinf.2026.106636</t>
  </si>
  <si>
    <t>http://dx.doi.org/10.1016/j.ijmedinf.2026.106636</t>
  </si>
  <si>
    <t>MD8WO</t>
  </si>
  <si>
    <t>42537621</t>
  </si>
  <si>
    <t>WOS:001839908600001</t>
  </si>
  <si>
    <t>Kukreti, S; Liu, SY; Lu, PF; Lo, CL; Lu, MT; Ko, NY</t>
  </si>
  <si>
    <t>Introduction: The global burden of infectious diseases (ID), combined with a shortage of ID specialists, continues to challenge healthcare systems worldwide. Artificial intelligence (AI), particularly large language models such as ChatGPT, has emerged as a potential adjunct for diagnosis, triage, clinical decision-making, and patient communication. However, evidence describing its role in ID care and comparison with physician-led practice remains fragmented. To map and synthesize the current literature on the use of ChatGPT in infectious disease diagnosis, triage, and management, summarizing reported performance outcomes, clinical applications, and identified knowledge gaps in comparison with conventional physician-led care. Method: This scoping review followed PRISMA-ScR guidance. PubMed, Embase, and the Cochrane Library were searched inception in January 2026, with reference list screening. Peer-reviewed studies evaluating ChatGPT in ID-related contexts were included if they compared outputs with physicians, infectious disease specialists, residents, or established clinical standards. Outcomes of interest included diagnostic accuracy, triage, clinical management, antimicrobial prescribing, patient communication, screening, and education. Data were extracted using a Joanna Briggs Institute form and synthesized narratively. Results: Fifteen studies were included, covering bloodstream infections, community-acquired pneumonia, tuberculosis, HIV, sexually transmitted diseases, histopathology, pharmacotherapy, emergency medicine triage, and screening. GPT-4 outperformed resident physicians in emergency diagnostic accuracy and generated generally appropriate management plans for pneumonia. In contrast, for bloodstream infections, ChatGPT achieved optimal management in only 1 of 44 cases, with potentially harmful recommendations reported in 16%. Patient-facing responses were often accurate and empathetic, particularly for HIV prevention, but frequently failed to meet recommended readability standards for sexually transmitted disease education. Antimicrobial and pharmacotherapy recommendations were commonly incomplete or discordant with expert practice. Conclusions: This scoping review provides an infectious disease-specific synthesis of evidence on ChatGPT across diagnosis, triage, management, antimicrobial stewardship, communication, screening, and education. The findings show that ChatGPT may support selected clinical and public health tasks but remains unreliable for complex infections and antimicrobial decision-making. Therefore, ChatGPT should be used cautiously as a supervised adjunct, not as a replacement for infectious disease clinicians. Future prospective studies and governance frameworks are needed to guide safe implementation.</t>
  </si>
  <si>
    <t>Kukreti, Shikha; Liu, Ssu-Yi; Lu, Pei-Fang; Lo, Ching-Lung; Lu, Meng-Ting; Ko, Nai-Ying</t>
  </si>
  <si>
    <t>Ko, NY (corresponding author), Natl Cheng Kung Univ, Coll Med, Dept Nursing, Tainan, Taiwan.</t>
  </si>
  <si>
    <t>nyko@mail.ncku.edu.tw</t>
  </si>
  <si>
    <t>National Science and Technology Council [114-2811-B-006-028]</t>
  </si>
  <si>
    <t>National Science and Technology Council</t>
  </si>
  <si>
    <t>This Manuscript is funded by National Science and Technology Council, grant reference number 114-2811-B-006-028.</t>
  </si>
  <si>
    <t>[Kukreti, Shikha; Lu, Pei-Fang; Lu, Meng-Ting; Ko, Nai-Ying] Natl Cheng Kung Univ, Coll Med, Dept Nursing, Tainan, Taiwan; [Liu, Ssu-Yi] Natl Cheng Kung Univ, Dept Med, Tainan, Taiwan; [Lo, Ching-Lung] Natl Cheng Kung Univ, Natl Cheng Kung Univ Hosp, Coll Med, Div Infect Dis,Dept Internal Med, Tainan, Taiwan; [Lu, Meng-Ting] Natl Cheng Kung Univ, Dept Publ Hlth, Coll Med, Tainan, Taiwan; [Ko, Nai-Ying] Natl Cheng Kung Univ, Coll Med, Dept Nursing, Int Doctoral Program Nursing, Tainan, Taiwan</t>
  </si>
  <si>
    <t>National Cheng Kung University; National Cheng Kung University; National Cheng Kung University; National Cheng Kung University Hospital; National Cheng Kung University; National Cheng Kung University</t>
  </si>
  <si>
    <t>Can ChatGPT match physicians in the diagnosis, triage, management and prevention of infectious diseases? A scoping review</t>
  </si>
  <si>
    <t>ChatGPT; Clinical Decision-Making; Infectious Diseases; Scoping Review</t>
  </si>
  <si>
    <t>106631</t>
  </si>
  <si>
    <t>10.1016/j.ijmedinf.2026.106631</t>
  </si>
  <si>
    <t>http://dx.doi.org/10.1016/j.ijmedinf.2026.106631</t>
  </si>
  <si>
    <t>MD7RU</t>
  </si>
  <si>
    <t>42537620</t>
  </si>
  <si>
    <t>WOS:001839828200001</t>
  </si>
  <si>
    <t>Zhang, C; Li, WY; Wang, GX; Meng, L; He, S; Zhang, GQ; Du, BH; Zhang, YS; Huang, CX; An, S</t>
  </si>
  <si>
    <t>Online healthcare platforms are a solution to mitigate geographical disparities in medical resource allocation, yet their efficiency depends on the effectiveness of doctor-patient matching. Existing approaches frame this task as doctor recommendation via traditional recommendation paradigms, suffering from three key limitations: (1) over looking doctors' subjective experience, (2) inefficient utilization of scarce expert resources, and (3) inadequate triage accuracy for patients' colloquial chief complaints. To address these limitations, we redefine this task as a resource-constrained bipartite graph matching problem and propose a Globally-optimized Healthcare Allocation Framework (GHAF), featuring three principal innovations: First, to the best of our knowledge, it represents the first paradigm shift for doctor-patient matching, transitioning from single-aspect patient-centric recommendation to dual-aspect doctor-patient constrained bipartite graph matching. Second, we develop a knowledge-enhanced triage engine (KETE) that integrates LLMs and our knowledge graph. Finally, we propose a global bipartite graph optimization (GBGO) method that alleviates medical structural resource misallocation to some extent. Results on JD Health demonstrate GHAF's efficacy, showing significant improvements in three key metrics: patient-initiated positive feedback rate (+0.3 pp.), consultation acceptance rate (+11.4 pp.) and prescription acceptance rate (+5.3 pp.). Additionally, KETE achieves 98.4% F1-score in department classification. This work establishes a novel paradigm in problem formulation, simultaneously optimizing platform efficiency, doctor experience and patient experience.</t>
  </si>
  <si>
    <t>Zhang, Chao; Li, Wanyue; Wang, Guoxin; Meng, Lei; He, Shan; Zhang, Guoqi; Du, Baohua; Zhang, Yuesong; Huang, Chenxi; An, Shan</t>
  </si>
  <si>
    <t>An, S (corresponding author), Tianjin Univ, Sch Elect &amp; Informat Engn, Tianjin 300072, Peoples R China.</t>
  </si>
  <si>
    <t>anshan.tju@gmail.com</t>
  </si>
  <si>
    <t>[Zhang, Chao; Huang, Chenxi; An, Shan] Tianjin Univ, Sch Elect &amp; Informat Engn, Tianjin 300072, Peoples R China; [Li, Wanyue; Wang, Guoxin; He, Shan; Zhang, Guoqi; Du, Baohua; Zhang, Yuesong] JD Hlth Int Inc, JD Grp, Beijing 100176, Peoples R China; [Meng, Lei] Shandong Univ, Coll Software, Jinan 250101, Shandong, Peoples R China</t>
  </si>
  <si>
    <t>Tianjin University; Shandong University</t>
  </si>
  <si>
    <t>From recommendation to allocation: A novel paradigm for doctor-patient matching in online healthcare platforms</t>
  </si>
  <si>
    <t>Doctor recommendation; Healthcare allocation; Intelligent triage; Large language models; Knowledge graph; Globally optimization</t>
  </si>
  <si>
    <t>47</t>
  </si>
  <si>
    <t>116089</t>
  </si>
  <si>
    <t>10.1016/j.asoc.2026.116089</t>
  </si>
  <si>
    <t>http://dx.doi.org/10.1016/j.asoc.2026.116089</t>
  </si>
  <si>
    <t>MB6MR</t>
  </si>
  <si>
    <t>WOS:001838386100002</t>
  </si>
  <si>
    <t>Chen, Y; Bao, TB; Long, J; Yang, L</t>
  </si>
  <si>
    <t>Automatic grading of Diabetic Retinopathy (DR) constitutes a pivotal task in intelligent ophthalmic image analysis, directly impacting the feasibility of large-scale screening and clinical computer-aided diagnosis. Despite significant advancements in deep learning methodologies, challenges persist regarding ambiguous class boundaries and inherent class imbalance. To address these impediments, this study proposes DRGCD, a novel discriminative diffusion framework. By integrating the medical foundation model, Bio_ClinicalBERT, into a semantic guidance module and incorporating graph structure-aware mechanisms, the framework achieves a deep fusion of cross-modal prior knowledge and discriminative modeling. The framework incorporates three innovative mechanisms: First, a Semantic Anchor Generator Module is designed based on Bio_ClinicalBERT. By explicitly modeling the linguistic semantic representations of each DR grade and guiding the alignment of image features with these semantics, this module significantly enhances the separability between adjacent classes, effectively mitigating the issue of ambiguous boundaries. Second, an Anchor-GCN Module is proposed to construct a semantic graph among classes. Leveraging graph convolutional propagation, this module strengthens the model's discriminative capability regarding minority class samples, significantly ameliorating the class imbalance problem. Finally, a discriminative diffusion process is introduced within the continuous latent decision space. Through progressive reverse denoising, the overall discriminative power is reinforced, thereby boosting the model's accuracy and robustness in complex clinical scenarios. Experimental results demonstrate that DRGCD achieves an accuracy of 86.3% and a Macro-F1 score of 0.722 on the APTOS2019 dataset. Furthermore, it maintains superior generalization performance on the FGADR dataset, attaining an accuracy of 78.2% and a Macro-F1 score of 0.628, significantly outperforming existing state-of-the-art methods.</t>
  </si>
  <si>
    <t>Chen, Yu; Bao, TingBo; Long, Jun; Yang, Liu</t>
  </si>
  <si>
    <t>Chen, Y (corresponding author), Northeast Forestry Univ, Coll Comp Sci &amp; Control Engn, Harbin 150040, Heilongjiang, Peoples R China.</t>
  </si>
  <si>
    <t>nefu_chenyu@nefu.edu.cn</t>
  </si>
  <si>
    <t>National Natural Science Foundation of China [72301060]</t>
  </si>
  <si>
    <t>Acknowledgment This work was supported by the National Natural Science Foundation of China (No. 72301060) .</t>
  </si>
  <si>
    <t>[Chen, Yu; Bao, TingBo; Yang, Liu] Northeast Forestry Univ, Coll Comp Sci &amp; Control Engn, Harbin 150040, Heilongjiang, Peoples R China; [Long, Jun] Northeast Forestry Univ, Coll Mech &amp; Elect Engn, Harbin 150040, Heilongjiang, Peoples R China</t>
  </si>
  <si>
    <t>Northeast Forestry University - China; Northeast Forestry University - China</t>
  </si>
  <si>
    <t>DRGCD: A graph-structured and language-guided diffusion model for Diabetic Retinopathy classification</t>
  </si>
  <si>
    <t>Medical image classification; Multimodal fusion; Discriminative diffusion model; Graph convolutional network; Semantic anchors</t>
  </si>
  <si>
    <t>111069</t>
  </si>
  <si>
    <t>10.1016/j.bspc.2026.111069</t>
  </si>
  <si>
    <t>http://dx.doi.org/10.1016/j.bspc.2026.111069</t>
  </si>
  <si>
    <t>MA4LH</t>
  </si>
  <si>
    <t>WOS:001837564800001</t>
  </si>
  <si>
    <t>Wan, YX; Chen, ZX; Xu, YQ; Xu, YY; Li, MF; Wang, YF</t>
  </si>
  <si>
    <t>This study addresses the challenges of Error Coupling and model homogenization that commonly arise in dual-model collaborative learning for semi-supervised medical image segmentation by proposing a Divergent-Convergent Framework (DCF). The core innovation of this framework lies in abandoning the traditional blind pursuit of strong prediction consistency and instead dynamically quantifying the confidence and disagreement between the two models through a Guidance Mask (GM). In regions of high confidence and low disagreement, a Convergence Stabilization Mechanism is applied to reinforce the learning of robust pseudo-labels; in regions of low confidence or high disagreement, a Divergent Exploration Mechanism is activated, guiding the models to perform differentiated exploration along two dimensions: internal semantic confusion and external feature orthogonality. This effectively maintains model diversity while suppressing the propagation of shared errors. Systematic experiments on six publicly available datasets - four 2D (ACDC, PROMISE12, Hippocampus, ATLAS) and two 3D (BraTS2019, Pancreas-CT) - demonstrate that DCF significantly outperforms state-of-theart semi-supervised methods across multiple labeled ratios, including 5%, 10%, and 20%. Qualitative analyses and cross-domain evaluations further validate the method's advantages in segmenting regions with ambiguous boundaries and its robustness to domain shifts. Moreover, DCF can be directly applied to fine-tune segmentation foundation models such as MedSAM and MedSAM2, consistently improving their performance under the same labeled budget, thereby demonstrating its practical value as a label-efficient strategy for clinical deployment.</t>
  </si>
  <si>
    <t>Wan, Yuxuan; Chen, Zhixuan; Xu, Yuquan; Xu, Yiyang; Li, Mingfeng; Wang, Yuefei</t>
  </si>
  <si>
    <t>Wang, YF (corresponding author), Chengdu Univ, Coll Comp Sci, Chengdu 610106, Sichuan, Peoples R China.</t>
  </si>
  <si>
    <t>wangyuefei@cdu.edu.cn</t>
  </si>
  <si>
    <t>Sichuan Science and Technology Program [2026NSFSC1484]; Key Laboratory of Pattern Recognition and Intelligent Information Processing of Sichuan [MSSB-2025-16]; Open Project Fund of the Key Laboratory of Digital Innovation of Tianfu Culture, Sichuan Provincial Department of Culture and Tourism [TFWH-2025-12]; National Supercomputing Center in Chengdu-Chengdu University Branch</t>
  </si>
  <si>
    <t>Sichuan Science and Technology Program (Sichuan Science and Technology Program); Key Laboratory of Pattern Recognition and Intelligent Information Processing of Sichuan; Open Project Fund of the Key Laboratory of Digital Innovation of Tianfu Culture, Sichuan Provincial Department of Culture and Tourism; National Supercomputing Center in Chengdu-Chengdu University Branch</t>
  </si>
  <si>
    <t>This research was supported by the Sichuan Science and Technology Program (2026NSFSC1484) , the Key Laboratory of Pattern Recognition and Intelligent Information Processing of Sichuan (MSSB-2025-16) , and the Open Project Fund of the Key Laboratory of Digital Innovation of Tianfu Culture, Sichuan Provincial Department of Culture and Tourism (TFWH-2025-12) . In addition, the computational platform for this study was supported by the National Supercomputing Center in Chengdu-Chengdu University Branch.</t>
  </si>
  <si>
    <t>[Wan, Yuxuan; Chen, Zhixuan; Xu, Yiyang; Li, Mingfeng] Chengdu Univ, Stirling Coll, Chengdu 610106, Sichuan, Peoples R China; [Xu, Yuquan] Natl Univ Singapore, Yong Loo Lin Sch Med, Dept Biochem, Singapore 117596, Singapore; [Wang, Yuefei] Chengdu Univ, Coll Comp Sci, Chengdu 610106, Sichuan, Peoples R China; [Wang, Yuefei] Sichuan Prov Dept Culture &amp; Tourism, Key Lab Digital Innovat Tianfu Culture, Chengdu, Sichuan, Peoples R China</t>
  </si>
  <si>
    <t>Chengdu University; National University of Singapore; Chengdu University</t>
  </si>
  <si>
    <t>Breaking error coupling via divergent-convergent coordination for semi-supervised medical image segmentation</t>
  </si>
  <si>
    <t>MEDICAL IMAGE ANALYSIS</t>
  </si>
  <si>
    <t>Semi-supervised learning; Medical image segmentation; Collaborative learning; Error coupling</t>
  </si>
  <si>
    <t>CONSISTENCY</t>
  </si>
  <si>
    <t>71</t>
  </si>
  <si>
    <t>1361-8415</t>
  </si>
  <si>
    <t>1361-8423</t>
  </si>
  <si>
    <t>MED IMAGE ANAL</t>
  </si>
  <si>
    <t>Med. Image Anal.</t>
  </si>
  <si>
    <t>114</t>
  </si>
  <si>
    <t>104236</t>
  </si>
  <si>
    <t>10.1016/j.media.2026.104236</t>
  </si>
  <si>
    <t>http://dx.doi.org/10.1016/j.media.2026.104236</t>
  </si>
  <si>
    <t>Computer Science, Artificial Intelligence; Computer Science, Interdisciplinary Applications; Engineering, Biomedical; Radiology, Nuclear Medicine &amp; Medical Imaging</t>
  </si>
  <si>
    <t>Computer Science; Engineering; Radiology, Nuclear Medicine &amp; Medical Imaging</t>
  </si>
  <si>
    <t>LY6FU</t>
  </si>
  <si>
    <t>42508185</t>
  </si>
  <si>
    <t>WOS:001836324800001</t>
  </si>
  <si>
    <t>Alsolami, E; Thota, SK; Alarood, AA; Polat, K</t>
  </si>
  <si>
    <t>Cross-modal medical image synthesis has become an important research direction for multimodal artificial intelligence, data augmentation, and privacy-preserving healthcare applications. However, existing unpaired image translation methods frequently fail to preserve diagnostically relevant anatomical structures, remain computationally demanding, and are sensitive to image perturbations. To address these limitations, this paper proposes AP-CycleGAN, a novel attentionenhanced perceptual cycle-consistent adversarial framework for high-fidelity mammogram-toMRI image synthesis. The proposed architecture introduces a Spatial-Channel Attention Module (SCAM) that jointly models spatial lesion localization and channel-wise feature dependencies within a ResNet-based generator, enabling adaptive refinement of diagnostically significant breast tissue representations. Furthermore, a composite multi-objective optimization strategy integrating adversarial, cycle-consistency, perceptual, structural similarity, and mutual information losses is developed to simultaneously preserve structural integrity, perceptual consistency, and cross-modal information. Spectrally normalized PatchGAN discriminators further improve the stability of adversarial training and the realism of synthesis. Extensive experiments conducted using patient-level five-fold cross-validation on the CBIS-DDSM dataset and external validation on the INbreast dataset demonstrate that AP-CycleGAN consistently outperforms conventional CycleGAN variants and diffusion-based synthesis models. The proposed framework achieves a mean SSIM of 0.882, an FID of 42.6, and 95.8% structural preservation under challenging perturbation conditions, while retaining 95.4% of its structural similarity on an external dataset. In downstream breast tumor detection, incorporating synthesized MRI images improves detection performance to an AUC of 0.956, exceeding that of models trained solely on real images. Despite its superior synthesis quality, AP-CycleGAN maintains high computational efficiency with only 11.38 million parameters and an average inference time of 23 ms, making it suitable for largescale multimodal AI research and resource-constrained computing environments. These results demonstrate that the proposed framework provides an effective and computationally efficient solution for structurally faithful cross-modal medical image synthesis, offering significant potential for data augmentation, multimodal representation learning, and privacy-preserving medical image analysis while acknowledging that further prospective multi-center clinical vali-dation remains necessary before diagnostic deployment.</t>
  </si>
  <si>
    <t>Alsolami, Eesa; Thota, Sandeep Kumar; Alarood, Ala Abdulsalam; Polat, Kemal</t>
  </si>
  <si>
    <t>Polat, K (corresponding author), Bolu Abant Izzet Baysal Univ, Fac Engn, Elect Elect Engn Dept, AE Comp &amp; Elect Engn, Golkoy Campus, TR-14280 Bolu, Turkiye.</t>
  </si>
  <si>
    <t>kpolat@ibu.edu.tr</t>
  </si>
  <si>
    <t>Deputyship for Research &amp; Innovation, Ministry of Education in Saudi Arabia [UJ-25-DR-1379]</t>
  </si>
  <si>
    <t>Deputyship for Research &amp; Innovation, Ministry of Education in Saudi Arabia (Ministry of Education Saudi Arabia)</t>
  </si>
  <si>
    <t>The authors extend their appreciation to the Deputyship for Research &amp; Innovation, Ministry of Education in Saudi Arabia for funding this research work through the project number UJ-25-DR-1379.</t>
  </si>
  <si>
    <t>[Alsolami, Eesa; Alarood, Ala Abdulsalam] Univ Jeddah, Coll Comp Sci &amp; Engn, Jeddah 21959, Saudi Arabia; [Thota, Sandeep Kumar] Oracle Inc, Santa Clara, CA USA; [Polat, Kemal] Bolu Abant Izzet Baysal Univ, Fac Engn, Elect Elect Engn Dept, Golkoy Campus, TR-14280 Bolu, Turkiye</t>
  </si>
  <si>
    <t>University of Jeddah; Abant Izzet Baysal University</t>
  </si>
  <si>
    <t>AP-CycleGAN: An attention-enhanced perceptual cycle-consistent adversarial framework for cross-modal mammogram-to-MRI synthesis in breast imaging research</t>
  </si>
  <si>
    <t>COMPUTERS &amp; ELECTRICAL ENGINEERING</t>
  </si>
  <si>
    <t>Cross-modal medical image synthesis; Cycle-consistent generative adversarial networks (CycleGAN); Attention mechanisms (spatial-channel attention); Breast cancer diagnosis; Medical image data augmentation</t>
  </si>
  <si>
    <t>NETWORK</t>
  </si>
  <si>
    <t>Alsolami, Eesa/KWT-7427-2024; alarood, Ala/KWT-6887-2024; POLAT, KEMAL/R-5692-2019</t>
  </si>
  <si>
    <t>0045-7906</t>
  </si>
  <si>
    <t>1879-0755</t>
  </si>
  <si>
    <t>COMPUT ELECTR ENG</t>
  </si>
  <si>
    <t>Comput. Electr. Eng.</t>
  </si>
  <si>
    <t>139</t>
  </si>
  <si>
    <t>111408</t>
  </si>
  <si>
    <t>10.1016/j.compeleceng.2026.111408</t>
  </si>
  <si>
    <t>http://dx.doi.org/10.1016/j.compeleceng.2026.111408</t>
  </si>
  <si>
    <t>Computer Science, Hardware &amp; Architecture; Computer Science, Interdisciplinary Applications; Engineering, Electrical &amp; Electronic</t>
  </si>
  <si>
    <t>LX6UR</t>
  </si>
  <si>
    <t>WOS:001835685500001</t>
  </si>
  <si>
    <t>Ouyang, JR; Wang, YH; Gao, YH; Xu, YX; Yang, S; Chen, H</t>
  </si>
  <si>
    <t>Spatial Transcriptomics (ST) offers spatially resolved gene expression but remains costly. Predicting expression directly from widely available Hematoxylin and Eosin (H&amp;E) stained images presents a cost-effective alternative. However, most computational approaches (i) predict each gene independently, overlooking co-expression structure, and (ii) cast the task as continuous regression despite expression being discrete counts. This mismatch can yield biologically implausible outputs and complicate downstream analyses. We introduce GenAR, a multi-scale autoregressive framework that refines predictions from coarse to fine. GenAR (a) clusters genes into hierarchical groups to expose cross-gene dependencies, (b) models expression as discrete token generation over a fixed vocabulary of integer count tokens to directly predict raw counts, and (c) conditions decoding on fused histological and spatial embeddings. By modeling expression on the physical count scale, GenAR avoids the limitations of continuous regression, while its coarse-to-fine factorization ensures a principled conditional decomposition. Extensive experimental results on five ST datasets across different tissue types demonstrate that GenAR achieves state-of-the-art performance, offering potential implications for precision medicine and cost-effective molecular profiling. Code is publicly available at https://github.com/oyjr/genar.</t>
  </si>
  <si>
    <t>Ouyang, Jiarui; Wang, Yihui; Gao, Yihang; Xu, Yingxue; Yang, Shu; Chen, Hao</t>
  </si>
  <si>
    <t>Chen, H (corresponding author), Hong Kong Univ Sci &amp; Technol, Dept Comp Sci &amp; Engn, Hong Kong, Peoples R China.; Chen, H (corresponding author), Hong Kong Univ Sci &amp; Technol, Dept Chem &amp; Biol Engn, Hong Kong, Peoples R China.; Chen, H (corresponding author), Hong Kong Univ Sci &amp; Technol, Div Life Sci, Hong Kong, Peoples R China.; Chen, H (corresponding author), Hong Kong Univ Sci &amp; Technol, State Key Lab Nervous Syst Disorders, Hong Kong, Peoples R China.; Chen, H (corresponding author), HKUST Shenzhen Hong Kong Collaborat Innovat Res In, Shenzhen, Peoples R China.</t>
  </si>
  <si>
    <t>jouyangag@connect.ust.hk; ywangrm@connect.ust.hk; ygaodh@connect.ust.hk; yxueb@connect.ust.hk; jhc@ust.hk; syangcw@connect.ust.hk</t>
  </si>
  <si>
    <t>National Natural Science Foundation of China [62202403]; Hong Kong Innovation and Technology Commission [MHP/002/22, ITCPD/17-9]; Research Grants Council of the Hong Kong Special Administrative Region, China [R6003-22, C4024-22GF]; Shenzhen Science and Technology Innovation Committee Fund [KCXFZ2023073-1094059008]</t>
  </si>
  <si>
    <t>National Natural Science Foundation of China (National Natural Science Foundation of China (NSFC)); Hong Kong Innovation and Technology Commission; Research Grants Council of the Hong Kong Special Administrative Region, China (Hong Kong Research Grants Council); Shenzhen Science and Technology Innovation Committee Fund</t>
  </si>
  <si>
    <t>Acknowledgments This work was supported by the National Natural Science Foundation of China (No. 62202403) , Hong Kong Innovation and Technology Commission (Project No. MHP/002/22 and ITCPD/17-9) , Research Grants Council of the Hong Kong Special Administrative Region, China (Project No. R6003-22 and C4024-22GF) , and Shenzhen Science and Technology Innovation Committee Fund (Project No. KCXFZ2023073-1094059008) .</t>
  </si>
  <si>
    <t>[Ouyang, Jiarui; Wang, Yihui; Gao, Yihang; Xu, Yingxue; Yang, Shu; Chen, Hao] Hong Kong Univ Sci &amp; Technol, Dept Comp Sci &amp; Engn, Hong Kong, Peoples R China; [Gao, Yihang] Shenzhen Loop Area Inst, Shenzhen, Peoples R China; [Chen, Hao] Hong Kong Univ Sci &amp; Technol, Dept Chem &amp; Biol Engn, Hong Kong, Peoples R China; [Chen, Hao] Hong Kong Univ Sci &amp; Technol, Div Life Sci, Hong Kong, Peoples R China; [Chen, Hao] Hong Kong Univ Sci &amp; Technol, State Key Lab Nervous Syst Disorders, Hong Kong, Peoples R China; [Chen, Hao] HKUST Shenzhen Hong Kong Collaborat Innovat Res In, Shenzhen, Peoples R China</t>
  </si>
  <si>
    <t>Hong Kong University of Science &amp; Technology; Hong Kong University of Science &amp; Technology; Hong Kong University of Science &amp; Technology; Hong Kong University of Science &amp; Technology</t>
  </si>
  <si>
    <t>GenAR: Next-scale autoregressive generation for spatial gene expression prediction</t>
  </si>
  <si>
    <t>Histopathology; Spatial transcriptomics; Gene expression prediction; Autoregressive</t>
  </si>
  <si>
    <t>Wang, Yihui/OLQ-4655-2025; Chen, Hao/JHU-3470-2023</t>
  </si>
  <si>
    <t>104232</t>
  </si>
  <si>
    <t>10.1016/j.media.2026.104232</t>
  </si>
  <si>
    <t>http://dx.doi.org/10.1016/j.media.2026.104232</t>
  </si>
  <si>
    <t>LX6CJ</t>
  </si>
  <si>
    <t>42503259</t>
  </si>
  <si>
    <t>WOS:001835637900001</t>
  </si>
  <si>
    <t>Hosseinirad, S; Mobaraki, M; Handa, D; Arman, R; Edgcumbe, P</t>
  </si>
  <si>
    <t>Early detection of pulmonary embolism (PE) is critical for clinical outcomes, yet existing deep-learning models often fail to generalize across institutions. The recently released Google CT Foundation model, pre-trained on a large, diverse CT corpus, produces compact volumetric embeddings that may transfer to downstream tasks without fine-tuning. We evaluate a classification pipeline that pairs these frozen embeddings with three lightweight heads - Multi-Layer Perceptron (MLP), Random Forest (RF), and a stacking ensemble - for central PE detection, training on the public RSNA CTPA dataset and externally validating on the Stanford INSPECT cohort. The pipeline first reproduces the published data-size scaling behavior of the foundation model on other medical pathologies. The highest point-estimate test AUC of 0.79 was obtained by the RF trained on a balanced training set of 408 CT studies and evaluated on the held-out RSNA test set of 144 studies; paired DeLong tests showed that this advantage over the MLP and stacking heads was not statistically significant. Direct comparison to specialized state-of-the-art PE pipelines is task-mismatched - those target any-PE rather than central PE - so the result anchors a non-fine-tuned baseline rather than a deficit. In a low-data regime, hard vascular segmentation did not improve performance. On the external INSPECT cohort, AUC dropped by 0.17 and specificity at the transferred operating point collapsed, so simple global threshold recalibration does not restore deployability-frozen generalist embeddings alone do not guarantee cross-institutional reliability.</t>
  </si>
  <si>
    <t>Hosseinirad, Sara; Mobaraki, Mobina; Handa, Dhanav; Arman, Ryan; Edgcumbe, Philip</t>
  </si>
  <si>
    <t>Hosseinirad, S (corresponding author), Univ British Columbia, Vancouver, BC V6T 1Z4, Canada.</t>
  </si>
  <si>
    <t>sarahrad@ece.ubc.ca</t>
  </si>
  <si>
    <t>[Hosseinirad, Sara; Mobaraki, Mobina; Handa, Dhanav; Edgcumbe, Philip] Univ British Columbia, Vancouver, BC V6T 1Z4, Canada; [Arman, Ryan] Oumi, Bellevue, WA 98007 USA; [Handa, Dhanav] Johns Hopkins Univ, Baltimore, MD 21218 USA</t>
  </si>
  <si>
    <t>University of British Columbia; Johns Hopkins University</t>
  </si>
  <si>
    <t>Evaluating the Google CT Foundation model for central pulmonary embolism detection on computed tomography pulmonary angiograms</t>
  </si>
  <si>
    <t>Pulmonary embolism detection; Foundation model; Artificial intelligence in medical imaging</t>
  </si>
  <si>
    <t>AREAS</t>
  </si>
  <si>
    <t>Handa, Dhanav/0009-0003-8181-0872</t>
  </si>
  <si>
    <t>113092</t>
  </si>
  <si>
    <t>10.1016/j.ejrad.2026.113092</t>
  </si>
  <si>
    <t>http://dx.doi.org/10.1016/j.ejrad.2026.113092</t>
  </si>
  <si>
    <t>LU8FI</t>
  </si>
  <si>
    <t>42492117</t>
  </si>
  <si>
    <t>WOS:001833745100001</t>
  </si>
  <si>
    <t>Yu, SHT; Li, JL; Carland, JE; Ritchie, A; Dunn, A; Baysari, MT</t>
  </si>
  <si>
    <t>Background: Digital scribes use automatic speech recognition to transcribe a clinician-patient conversation and use generative artificial intelligence (AI) technology to summarise the transcript into relevant documentation templates. Objective: To survey and summarise recent literature published on the factors affecting the adoption of digital scribes, and the impacts of digital scribes on patients, clinicians, and health organisations. Methods: Following the PRISMA-ScR guideline, MEDLINE, CINAHL, Web of Science, SCOPUS, and EMBASE were searched for original research papers or case studies that described and evaluated the implementation or use of digital scribes in real-life healthcare settings. Themes and sub-themes were mapped to the updated Consolidated Framework for Implementation Research (CFIR) and the CFIR Outcomes Addendum. Results: Of the 4772 studies screened, 29 were included in this review. Digital scribes were generally regarded as acceptable (n = 11) and usable (n = 8), but concerns over the accuracy of notes generated by the scribes were also reported (n = 9). Impacts of digital scribes included improved clinician wellbeing (n = 12), reduction in documentation burden (n = 18), and improved patient-clinician interaction (n = 10). Limited studies examined the impact of digital scribes on broader health organisation outcomes, such as cost and productivity (n = 3). Discussion: The fast pace at which digital scribes are being adopted warrants regular updated reviews. Further studies are required to compare the additional benefits of digital scribes over and above human scribes, if any, the role of patient trust in the adoption of digital scribes, and how digital scribes perform in various clinical settings. Conclusion: Digital scribes could reduce clinicians' documentation burden, but their adoption was limited by accuracy concerns. While patient satisfaction with digital scribes appears positive, this should be a focus for future studies. The cost-effectiveness and financial impact of digital scribes on health organisations should be further explored.</t>
  </si>
  <si>
    <t>Yu, Sin Hung Timothy; Li, Julie; Carland, Jane E.; Ritchie, Angus; Dunn, Adam; Baysari, Melissa T.</t>
  </si>
  <si>
    <t>Yu, SHT (corresponding author), Univ Sydney, Fac Med &amp; Hlth, Susan Wakil Sch Nursing &amp; Midwifery, Digital Hlth Human Factors Res Grp, Level 8 Susan Wakil Hlth Bldg A18, Sydney, NSW 2006, Australia.</t>
  </si>
  <si>
    <t>siyu6682@uni.sydney.edu.au; melissa.baysari@sydney.edu.au; angus.ritchie@health.nsw.gov.au; julie.li@sydney.edu.au; jane.carland@svha.org.au; adam.dunn@sydney.edu.au</t>
  </si>
  <si>
    <t>[Yu, Sin Hung Timothy; Li, Julie; Baysari, Melissa T.] Univ Sydney, Fac Med &amp; Hlth, Susan Wakil Sch Nursing &amp; Midwifery, Digital Hlth Human Factors Res Grp, Level 8 Susan Wakil Hlth Bldg A18, Sydney, NSW 2006, Australia; [Yu, Sin Hung Timothy; Ritchie, Angus] Sydney Local Hlth Dist, POB M30,Missenden Rd, Camperdown, NSW 2050, Australia; [Carland, Jane E.] St Vincents Hosp, Dept Clin Pharmacol &amp; Toxicol, Therapeut Ctr, Level 2,Xavier Bldg,Victoria St, Sydney, NSW 2010, Australia; [Carland, Jane E.] UNSW Sydney, St Vincents Hosp, Fac Med &amp; Hlth, Sch Clin Med, St Vincents Healthcare Clin Campus,St Vincents Cli, Darlinghurst, NSW 2010, Australia; [Ritchie, Angus] Univ Sydney, Fac Med &amp; Hlth, Sch Med, Sydney, Australia; [Dunn, Adam] Univ Sydney, Fac Med &amp; Hlth, Sch Publ Hlth, Sydney, Australia</t>
  </si>
  <si>
    <t>University of Sydney; Sydney Local Health District; NSW Health; St Vincents Hospital Sydney; NSW Health; St Vincents Hospital Sydney; University of Sydney; University of Sydney</t>
  </si>
  <si>
    <t>Adoption and utility of digital scribes in clinical practice - A scoping review</t>
  </si>
  <si>
    <t>Digital scribe; Automatic documentation; Virtual scribe; Ambient scribe; Ambient clinical documentation; AI scribe</t>
  </si>
  <si>
    <t>HEALTH-CARE; INTELLIGENCE</t>
  </si>
  <si>
    <t>Baysari, Melissa/AFC-8830-2022; Dunn, Adam/H-4425-2019</t>
  </si>
  <si>
    <t>Dunn, Adam/0000-0002-1720-8209; Yu, Sin Hung/0009-0004-4660-0754</t>
  </si>
  <si>
    <t>106630</t>
  </si>
  <si>
    <t>10.1016/j.ijmedinf.2026.106630</t>
  </si>
  <si>
    <t>http://dx.doi.org/10.1016/j.ijmedinf.2026.106630</t>
  </si>
  <si>
    <t>LU3VN</t>
  </si>
  <si>
    <t>42492420</t>
  </si>
  <si>
    <t>WOS:001833449200001</t>
  </si>
  <si>
    <t>Wang, FC; Lyu, Y; Yang, YL</t>
  </si>
  <si>
    <t>Objective: To develop and validate a clinically oriented, diffusion-based framework for orthodontic profile visualization that synthesizes photorealistic lower-facial outcomes under explicit cephalometric contour guidance. Methods: Retrospective paired post-treatment cephalograms and profile photographs of ten adult Asian female patients were collected. Soft-tissue profiles were traced and rigidly registered to photographs. The lower facial third was synthesized using a Stable Diffusion inpainting model conditioned by ControlNet. Performance was evaluated quantitatively via landmark localization error and image quality metrics, including Learned Perceptual Image Patch Similarity (LPIPS), Structural Similarity Index (SSIM) and Peak Signal-to-Noise Ratio (PSNR). Subjective evaluation included a Visual Turing Test (VTT) and realism ratings by orthodontists and laypeople. Results: The mean landmark error was 1.38 +/- 0.13 mm, with 95.0% of deviations within the 2.0 mm clinical threshold. Image quality metrics demonstrated high fidelity (LPIPS: 0.089 +/- 0.024; SSIM: 0.951 +/- 0.009, PSNR: 28.69 +/- 2.47 dB). In the VTT, laypeople performed at chance level (accuracy: 51.3% +/- 13.0%; P &gt; 0.05), whereas orthodontists showed higher detection accuracy (71.0% +/- 9.9%; P &lt; 0.001). Realism ratings did not differ between generated and real images using the Wilcoxon signed-rank test (P = 0.579). Conclusion: The proposed ControlNet-guided diffusion framework effectively synthesizes orthodontic visualizations that show favorable adherence to post-treatment cephalometric contours and high perceptual realism. Clinical significance: This profile synthesis approach may serve as an adjunct for patient communication and expectation management by converting user-defined contours into realistic profile visualizations.</t>
  </si>
  <si>
    <t>Wang, Fengcong; Lyu, Yang; Yang, Yilan</t>
  </si>
  <si>
    <t>Wang, FC (corresponding author), 101 Jingliu Rd, Jinan, Shandong, Peoples R China.</t>
  </si>
  <si>
    <t>wfengcong@163.com; lvziming1228@outlook.com; 272412522@qq.com</t>
  </si>
  <si>
    <t>Science and Technology Development Plan Fund of the Jinan Health Commission [2024306015]</t>
  </si>
  <si>
    <t>Science and Technology Development Plan Fund of the Jinan Health Commission</t>
  </si>
  <si>
    <t>This work was supported by the Science and Technology Development Plan Fund of the Jinan Health Commission (Grant No. 2024306015) .</t>
  </si>
  <si>
    <t>[Wang, Fengcong] Jinan Stomatol Hosp, Dept Orthodont, Key Lab Oral Dis &amp; Tissue Regenerat, Shandong Prov Hlth Commiss, Jinan 250000, Shandong, Peoples R China; [Lyu, Yang] GreenOne Technol Consulting Co Ltd, Jinan 250000, Shandong, Peoples R China; [Yang, Yilan] HuiZhou Stomatol Hosp, Dept Orthodont, Huizhou 516000, Guangdong, Peoples R China</t>
  </si>
  <si>
    <t>Beyond geometric deformation: High-fidelity orthodontic profile synthesis via ControlNet-guided generative AI</t>
  </si>
  <si>
    <t>Visual treatment objective; Facial profile; Generative artificial intelligence; Diffusion models; Orthodontics; Soft tissue synthesis</t>
  </si>
  <si>
    <t>SOFT-TISSUE PROFILE; INFORMED-CONSENT; ACCURACY; EXTRACTION</t>
  </si>
  <si>
    <t>49</t>
  </si>
  <si>
    <t>174</t>
  </si>
  <si>
    <t>106916</t>
  </si>
  <si>
    <t>10.1016/j.jdent.2026.106916</t>
  </si>
  <si>
    <t>http://dx.doi.org/10.1016/j.jdent.2026.106916</t>
  </si>
  <si>
    <t>LW8LW</t>
  </si>
  <si>
    <t>42457116</t>
  </si>
  <si>
    <t>WOS:001835118800001</t>
  </si>
  <si>
    <t>Ramirez-Bautista, JA; Chaparro-Cárdenas, SL; Terven, J; Córdova-Esparza, DM; Olarte-Rueda, G; Villarreal-Pérez, R</t>
  </si>
  <si>
    <t>According to the World Health Organization (WHO), tropical and subtropical regions face a significant challenge with dengue, a viral infection transmitted by the Aedes aegypti mosquito. This disease places considerable pressure on healthcare systems due to the severe complications it can develop. In response to the increasing demand for hospital beds due to dengue cases, various strategies have been developed to optimize available healthcare resources. This optimization is especially critical in resource-constrained or remote clinical environments where rapid, accurate triage and predictive resource allocation are necessary. In this context, an advanced classification system is presented that integrates fuzzy reasoning (Fuzzy Cognitive Maps) with traditional machine learning techniques. The system incorporates various ensemble strategies, including weighted voting, stacking, and probability calibration, which provide interpretability by modeling causal relationships, significantly enhancing the robustness and accuracy of predictions. A key aspect has been overcoming the limitations of access to real clinical data by generating a synthetic database derived from variational autoencoder (VAE). The results are promising, as the model developed achieves 88% accuracy in predicting cases requiring hospitalization and an F1 score of 0.87. This implementation establishes a solid foundation for applying FCM to medical classification problems, combining interpretability with the predictive power of advanced machine learning techniques.</t>
  </si>
  <si>
    <t>Ramirez-Bautista, Julian Andres; Chaparro-Cardenas, Silvia L.; Terven, Juan; Cordova-Esparza, Diana-Margarita; Olarte-Rueda, Graciela; Villarreal-Perez, Rosa</t>
  </si>
  <si>
    <t>Ramirez-Bautista, JA (corresponding author), Fdn Univ San Gil Unisangil, Km 2 Via San Gil Charala, San Gil 684031, Colombia.</t>
  </si>
  <si>
    <t>jramirez@unisangil.edu.co; rvillarreal@unisangil.edu.co; schaparro2@udi.edu.co; jrtervens@ipn.mx; grueda@unisangil.edu.co; diana.cordova@uaq.mx</t>
  </si>
  <si>
    <t>[Ramirez-Bautista, Julian Andres; Olarte-Rueda, Graciela; Villarreal-Perez, Rosa] Fdn Univ San Gil Unisangil, Km 2 Via San Gil Charala, San Gil 684031, Colombia; [Chaparro-Cardenas, Silvia L.] Univ Invest &amp; Desarrollo UDI, San Gil 684031, Colombia; [Terven, Juan] Inst Politecn Nacl, CICATA Qro, Queretaro 76090, Mexico; [Cordova-Esparza, Diana-Margarita] Univ Autonoma Queretaro, Fac Informat, Queretaro 76230, Mexico</t>
  </si>
  <si>
    <t>Instituto Politecnico Nacional - Mexico; Universidad Autonoma de Queretaro</t>
  </si>
  <si>
    <t>DengueCare: A generative artificial intelligence and fuzzy reasoning approach to improving hospitalization predictions in dengue patients</t>
  </si>
  <si>
    <t>Data augmentation; Dengue disease; Fuzzy Cognitive Maps; Machine learning; Soft voting ensemble; And Electronic medical data</t>
  </si>
  <si>
    <t>CLASSIFICATION</t>
  </si>
  <si>
    <t>Terven, Juan Ramon/IAN-0006-2023; Cordova, Diana/GQZ-7591-2022</t>
  </si>
  <si>
    <t>116016</t>
  </si>
  <si>
    <t>10.1016/j.asoc.2026.116016</t>
  </si>
  <si>
    <t>http://dx.doi.org/10.1016/j.asoc.2026.116016</t>
  </si>
  <si>
    <t>LT3BM</t>
  </si>
  <si>
    <t>WOS:001832718000001</t>
  </si>
  <si>
    <t>Santangelo, G; Alessi, C; Nicora, G; Sacchi, N; Pe, S; Ferrara, A; Bellazzi, R; Dagliati, A</t>
  </si>
  <si>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</si>
  <si>
    <t>Santangelo, Gabriele; Alessi, Chiara; Nicora, Giovanna; Sacchi, Nikolas; Pe, Samuele; Ferrara, Antonella; Bellazzi, Riccardo; Dagliati, Arianna</t>
  </si>
  <si>
    <t>Santangelo, G (corresponding author), Univ Pavia, Dept Elect Comp &amp; Biomed Engn, I-27100 Pavia, Italy.</t>
  </si>
  <si>
    <t>gabriele.santangelo01@universitadipavia.it</t>
  </si>
  <si>
    <t>Italian Ministry of University and Research [PNC0000007]</t>
  </si>
  <si>
    <t>Italian Ministry of University and Research (Ministry of Education, Universities and Research (MIUR))</t>
  </si>
  <si>
    <t>This work was supported by the Italian Ministry of University and Research, under the complementary actions to the NRRP 'Fit4MedRob-Fit for Medical Robotics' Grant (#PNC0000007) .</t>
  </si>
  <si>
    <t>[Santangelo, Gabriele; Alessi, Chiara; Nicora, Giovanna; Sacchi, Nikolas; Pe, Samuele; Ferrara, Antonella; Bellazzi, Riccardo; Dagliati, Arianna] Univ Pavia, Dept Elect Comp &amp; Biomed Engn, I-27100 Pavia, Italy</t>
  </si>
  <si>
    <t>University of Pavia</t>
  </si>
  <si>
    <t>Rehabilitation movement simulation via joint angle-based generative AI</t>
  </si>
  <si>
    <t>Generative AI; Inverse kinematic; Human motion signals</t>
  </si>
  <si>
    <t>Bellazzi, Riccardo/J-6432-2018; Dagliati, Arianna/I-7119-2019; Ferrara, Antonella/O-8676-2018</t>
  </si>
  <si>
    <t>Alessi, Chiara/0009-0002-8008-0583</t>
  </si>
  <si>
    <t>51</t>
  </si>
  <si>
    <t>103488</t>
  </si>
  <si>
    <t>10.1016/j.artmed.2026.103488</t>
  </si>
  <si>
    <t>http://dx.doi.org/10.1016/j.artmed.2026.103488</t>
  </si>
  <si>
    <t>LT3DQ</t>
  </si>
  <si>
    <t>42492160</t>
  </si>
  <si>
    <t>WOS:001832723600001</t>
  </si>
  <si>
    <t>Nafie, S</t>
  </si>
  <si>
    <t>Artificial intelligence (AI) is increasingly being offered for use in cancer pathways, but clinicians still lack a practical method for judging whether a specific tool is ready for adoption in routine care. Existing standards such as DECIDE-AI, TRIPOD-AI, CONSORT-AI and evidence standards for digital health technologies are essential, but they are primarily directed at developers, trialists and regulators rather than clinical leads making procurement, governance or pathway decisions. This article proposes TRIAGE-AI, a clinician-facing implementation-readiness framework covering six domains: true clinical need, robust medical evidence, inter-site consistency, adoption fit, governance and effective decisions. The framework is intended to complement existing reporting and evaluation standards by translating their outputs into a structured clinical adoption decision. Using urological oncology as a worked example, TRIAGE-AI differentiates applications that are approaching clinical readiness, such as prostate magnetic resonance imaging AI and selected pathology biomarkers, from applications that remain premature or high risk, including renal mass characterisation tools and autonomous large language model decision support. The current evidence supports TRIAGE-AI as a framework developed and applied within urological oncology, with potential for broader application pending further testing. It is offered as a pragmatic method for clinical governance discussions, local validation planning and implementation-readiness assessment.</t>
  </si>
  <si>
    <t>Nafie, Shady</t>
  </si>
  <si>
    <t>Nafie, S (corresponding author), Kettering Gen Hosp NHS Fdn Trust, Dept Urol, Urol, Rothwell Rd, Kettering NN16 8UZ, England.</t>
  </si>
  <si>
    <t>shady.nafie@nhs.net</t>
  </si>
  <si>
    <t>[Nafie, Shady] Kettering Gen Hosp NHS Fdn Trust, Dept Urol, Urol, Rothwell Rd, Kettering NN16 8UZ, England</t>
  </si>
  <si>
    <t>TRIAGE-AI: A clinician-facing implementation-readiness framework for evaluating artificial intelligence in cancer pathways</t>
  </si>
  <si>
    <t>Artificial intelligence; Medical informatics; Implementation readiness; Clinical governance; Cancer pathways; Urological oncology</t>
  </si>
  <si>
    <t>106623</t>
  </si>
  <si>
    <t>10.1016/j.ijmedinf.2026.106623</t>
  </si>
  <si>
    <t>http://dx.doi.org/10.1016/j.ijmedinf.2026.106623</t>
  </si>
  <si>
    <t>LR3TD</t>
  </si>
  <si>
    <t>42485960</t>
  </si>
  <si>
    <t>WOS:001831408200001</t>
  </si>
  <si>
    <t>Yuan, TZ</t>
  </si>
  <si>
    <t>Background. Non-small cell lung cancer (NSCLC) trials often involve complex biomarker-driven and line-specific eligibility criteria, making pre-screening labor-intensive and error-prone. In this high-stakes setting, false inclusion-incorrectly judging an ineligible patient as eligible for downstream review-poses a greater clinical risk than other error types. Objective. To compare safety-aware AI configurations for NSCLC trial pre-screening, with explicit focus on reducing false inclusion rates and supporting uncertainty-aware abstention under evidence limitations. Methods. We performed a retrospective proof-of-concept evaluation using interventional NSCLC trial eligibility text and structured synthetic patient summaries covering variations in stage, biomarker status, prior therapy, ECOG performance status, and exclusion-relevant factors. A total of 120 patient-trial pairs were man ually reviewed and split into a development set (n = 30) and held-out test set (n = 90). Five configurations were compared: rule-based baseline, rule-based with conservative Safety Agent gating, single-agent LLM (GPT-4o-mini), and two lightweight multi-agent variants (M1, M2). The primary safety metric was false inclusion rate; secondary metrics were accuracy and uncertain rate. Secondary evaluations included a TCGA-derived stress test under incomplete evidence and a real-text external validation on 72 patient-trial pairs from PMC Open Access NSCLC case reports. Results. Safety Agent gating reduced the false inclusion rate from 11.63% to 1.16% in the combined 120-pair cohort (McNemar's test, p = 0.002) and from 12.12% to 1.52% in the held-out set, accom panied by an increase in uncertain rate. The single-agent LLM (GPT-4o-mini) achieved the highest observed accuracy (0.74, 95% CI 0.66-0.81), with no observed false inclusion among 86 gold-standard ineligible pairs (95% CI 0.0-4.3%) and an uncertain rate of 7.5%. Multi-agent M1 and M2 also achieved zero observed false inclusion on the structured cohort with distinct uncertainty profiles (25.8% and 1.7% uncertain, respectively); in the PMC real-text validation, M1 maintained zero false inclusion (0/44; 95% CI 0.0-8.0%) while M2 produced one false inclusion arising from an anomalous Safety Agent label upgrade on ambiguous unstructured text. A multi-provider evaluation across five LLM configurations spanning four providers found four of five achieving zero observed false inclusion on the full cohort. In the TCGA-derived stress test with missing biomarker and ECOG data, all evaluated systems showed zero observed false inclusion. Conclusions. In this proof-of-concept evalua tion under controlled synthetic-input conditions, conservative safety gating substantially reduced false inclusion in rule-based pre-screening, and all LLM-based configurations achieved zero or near-zero false inclusion on the structured synthetic cohort. These findings support explicit false inclusion monitoring, uncertainty-aware absten tion, and multi-dimensional evaluation as useful design principles for AI-assisted oncology trial pre-screening. However, results are limited to structured synthetic data, a single LLM family, and small manually reviewed cohorts; prospective multi-site validation on diverse unstructured EHR documentation is needed before safety or utility claims can be generalized.</t>
  </si>
  <si>
    <t>Yuan, Tianzuo</t>
  </si>
  <si>
    <t>Yuan, TZ (corresponding author), Univ Macau, Fac Hlth Sci, Fac Hlth Sci Bldg,E12 Ave da Univ, Taipa 999078, Macau, Peoples R China.</t>
  </si>
  <si>
    <t>cc31642@um.edu.mo</t>
  </si>
  <si>
    <t>[Yuan, Tianzuo] Univ Macau, Fac Hlth Sci, Fac Hlth Sci Bldg,E12 Ave da Univ, Taipa 999078, Macau, Peoples R China</t>
  </si>
  <si>
    <t>Safety-aware AI for NSCLC trial pre-screening: a comparative proof-of-concept study of rule-based, single-agent, and multi-agent approaches</t>
  </si>
  <si>
    <t>Oncology trial pre-screening; Clinical trial eligibility; Safety-aware AI; Large language models; Multi-agent systems; Medical informatics; NSCLC</t>
  </si>
  <si>
    <t>106628</t>
  </si>
  <si>
    <t>10.1016/j.ijmedinf.2026.106628</t>
  </si>
  <si>
    <t>http://dx.doi.org/10.1016/j.ijmedinf.2026.106628</t>
  </si>
  <si>
    <t>LR4FC</t>
  </si>
  <si>
    <t>42485959</t>
  </si>
  <si>
    <t>WOS:001831439300001</t>
  </si>
  <si>
    <t>Eren, NB; Terzi, B</t>
  </si>
  <si>
    <t>Background: Generative artificial intelligence (AI) is rapidly transforming nursing education and requires students to develop AI literacy alongside lifelong learning skills. Understanding how lifelong learning tendencies relate to generative AI usage and competence, and the potential mediating role of AI literacy, is essential for preparing digitally competent future nurses. Aim: To determine the lifelong learning tendency among nursing students, their levels of generative AI literacy, and their levels of generative AI usage and competence. Also, to examine the mediating role of generative AI literacy in the relationship between lifelong learning tendency and generative AI usage and competence. Design and setting: An analytical cross-sectional study was conducted at two state universities in the Mediterranean Region. Participants: The study was conducted with 533 nursing students between June and October 2025. Methods: Data were collected using a Personal Information Form, the Lifelong Learning Tendency Scale, the Generative Artificial Intelligence Literacy Scale, and the Generative Artificial Intelligence Usage and Competence Scale. Results: Students demonstrated high levels of generative AI literacy (36.66 +/- 7.30), lifelong learning tendency (120.61 +/- 22.73), and AI usage and competence (68.43 +/- 12.71). Lifelong learning tendency showed a moderate positive correlation with AI usage and competence (r = 0.300, p &lt; 0.001) and a weak positive correlation with AI literacy (r = 0.118, p = 0.007). A strong positive correlation was found between AI literacy and AI usage and competence (r = 0.605, p &lt; 0.001). The mediation analysis showed that generative AI literacy had a partial mediating effect on the relationship between lifelong learning tendency and generative AI usage and competence (indirect effect = 0.068; 95% CI: 0.045-0.092), based on bootstrapping with 20,000 samples. Conclusion: The findings suggest that lifelong learning tendency is positively associated with AI literacy and AI usage and competence, and that AI literacy plays a partial mediating role in this relationship. These findings suggest that supporting lifelong learning and developing generative AI literacy may be important for enhancing AI usage and competence; however, causal interpretations should be made with caution due to the cross-sectional design. Furthermore, these implications are limited to the educational context and should not be directly generalized to clinical practice&lt;bold&gt;.&lt;/bold&gt; Further longitudinal and experimental studies are needed to evaluate the real-world applicability of these findings in clinical settings.</t>
  </si>
  <si>
    <t>Eren, Nadiye Baris; Terzi, Banu</t>
  </si>
  <si>
    <t>Terzi, B (corresponding author), Akdeniz Univ, Fac Nursing, Fundamentals Nursing Dept, Akdeniz Univ Dumlupinar Bulvari,Akdeniz Univ Yerle, TR-07070 Antalya, Turkiye.</t>
  </si>
  <si>
    <t>banuterzi@akdeniz.edu.tr; nbariseren@tarsus.edu.tr</t>
  </si>
  <si>
    <t>[Eren, Nadiye Baris] Tarsus Univ, Fac Hlth Sci, Nursing Dept, TR-33400 Tarsus, Mersin, Turkiye; [Terzi, Banu] Akdeniz Univ, Fac Nursing, Fundamentals Nursing Dept, Akdeniz Univ Dumlupinar Bulvari,Akdeniz Univ Yerle, TR-07070 Antalya, Turkiye</t>
  </si>
  <si>
    <t>Akdeniz University</t>
  </si>
  <si>
    <t>Generative AI literacy as a mediator between lifelong learning and AI competence in nursing students: A regression-based cross-sectional study</t>
  </si>
  <si>
    <t>Artificial intelligence literacy; Generative AI; AI competence; Lifelong learning; Nursing students</t>
  </si>
  <si>
    <t>Terzi, Banu/ABE-8272-2020; BARIS EREN, NADIYE/JMQ-2021-2023</t>
  </si>
  <si>
    <t>166</t>
  </si>
  <si>
    <t>107280</t>
  </si>
  <si>
    <t>10.1016/j.nedt.2026.107280</t>
  </si>
  <si>
    <t>http://dx.doi.org/10.1016/j.nedt.2026.107280</t>
  </si>
  <si>
    <t>LP2WD</t>
  </si>
  <si>
    <t>42475913</t>
  </si>
  <si>
    <t>WOS:001829988700001</t>
  </si>
  <si>
    <t>Kor, PPK; Chan, KTY; Tsang, APL; Liu, JYW; Cheung, K; Lai, KH; Cheung, ESP; Tan, LHZ; He, HC</t>
  </si>
  <si>
    <t>Background: Immersive virtual reality (IVR) simulation is increasingly used in nursing education to support experiential learning and the development of non-technical skills. Debriefing is integral to simulation-based education; however, shortages of qualified facilitators and variability in delivery can constrain scalability and quality. Generative artificial intelligence (GenAI) may offer a standardised and scalable approach to post-simulation debriefing, yet comparative evidence in nursing education remains limited. Aim: To compare the effectiveness of GenAI-assisted versus facilitator-led debriefing on nursing students' knowledge acquisition and self-reported non-technical skills following an IVR nursing simulation. Design: Quasi-experimental, two-group pretest-posttest study. Setting: A higher education institution in Hong Kong. Participants: Undergraduate nursing students with less than four weeks of clinical internship experience. Methods: Participants were allocated by subject enrolment to either GenAI-assisted debriefing plus a 10-minute facilitator summary (experimental group) or facilitator-led debriefing (control group) after an IVR hospital simulation. Knowledge was measured using a multiple-choice questionnaire at baseline (T0) and post-intervention (T1), while self-reported non-technical skills were assessed at T1. Results: A total of 178 students participated (experimental n = 102; control n = 76). Baseline knowledge scores were comparable (experimental: M = 10.98, SD = 2.27; control: M = 11.03, SD = 2.56; p = .899). Knowledge increased significantly from T0 to T1 in both groups (experimental: M = 12.71, SD = 2.71, d = 0.79; control: M = 12.68, SD = 2.44, d = 0.72; both p &lt; .001). After adjustment for baseline knowledge, there was no significant between-group difference in post-intervention knowledge (F = 0.03, p = .871). Non-technical skill domain scores did not differ significantly between groups (all p = .272-0.876). Conclusions: GenAI-assisted debriefing produced outcomes comparable to facilitator-led debriefing for knowledge and self-reported non-technical skills. These findings warrant further investigation of GenAI-assisted debriefing as a complement to existing approaches.</t>
  </si>
  <si>
    <t>Kor, Patrick Pui Kin; Chan, Kitty; Tsang, Alex Pak Lik; Liu, Justina Yat Wa; Cheung, Kin; Lai, Kam Hung; Cheung, Elaine Shuk Ping; Tan, Lexi Han Zhi; He, Hao Chong</t>
  </si>
  <si>
    <t>Chan, KTY (corresponding author), Hong Kong Polytech Univ, Sch Nursing, Hong Kong, Peoples R China.</t>
  </si>
  <si>
    <t>kitty.yy.chan@polyu.edu.hk</t>
  </si>
  <si>
    <t>[Kor, Patrick Pui Kin; Chan, Kitty; Tsang, Alex Pak Lik; Liu, Justina Yat Wa; Cheung, Kin; Lai, Kam Hung; Cheung, Elaine Shuk Ping; Tan, Lexi Han Zhi; He, Hao Chong] Hong Kong Polytech Univ, Sch Nursing, Hong Kong, Peoples R China</t>
  </si>
  <si>
    <t>Hong Kong Polytechnic University</t>
  </si>
  <si>
    <t>Comparing the effects of GenAI-assisted and facilitator-led debriefing on knowledge and non-technical skills in immersive virtual reality simulation in nursing education: A quasi-experimental study</t>
  </si>
  <si>
    <t>GenAI; Debriefing; IVR; Knowledge acquisition; Simulation; Nursing education; Non-technical skills</t>
  </si>
  <si>
    <t>INTERVENTIONS</t>
  </si>
  <si>
    <t>Tsang, Alex/MSY-3763-2025</t>
  </si>
  <si>
    <t>107275</t>
  </si>
  <si>
    <t>10.1016/j.nedt.2026.107275</t>
  </si>
  <si>
    <t>http://dx.doi.org/10.1016/j.nedt.2026.107275</t>
  </si>
  <si>
    <t>LN4SR</t>
  </si>
  <si>
    <t>42470729</t>
  </si>
  <si>
    <t>WOS:001828759200001</t>
  </si>
  <si>
    <t>Lam, M; Lim, A; Wasim, F; Young, D; Pereira, M; Sherman, D; Pakbaz, S; Sobel, M; Sussman, D</t>
  </si>
  <si>
    <t>Background: Endometrial cancer is the 6th most common cancer affecting women worldwide, yet early detection remains challenging due to increasing diagnostic volumes, limited triaging workflows, and a shortage of specialized pathologists. Existing AI approaches are constrained by labor-intensive region-level annotations and single-stage models that do not reflect the hierarchical reasoning used by pathologists in clinical practice. Methodology: This research proposes a weakly supervised framework for classifying hematoxylin and eosin-stained endometrial biopsies using only slide-level labels. The dataset was retrospectively curated from archived biopsies and included 490 benign, 425 neoplasia, and 382 hyperplasia cases. The dataset supports multiple diagnostic tasks from broad classification (benign vs. neoplasia vs. hyperplasia and benign vs. non-benign) to fine-grained subtype identification (benign, neoplasia, and hyperplasia subclassifications). Multiple feature extractor-classifier combinations were systematically trained, tuned, and evaluated to determine optimal configurations. Novel data augmentation strategies were also explored to improve robustness. In addition, a web-based interactive platform was developed to deploy the models, enabling clinicians to upload slides, visualize model attention maps, and review case-level reports within a hierarchical diagnostic workflow. Results: The models achieved AUCs of 99.39% for three-class classification and 99.89% for binary classification. Subtype-level performance reached AUCs of 98.01% for benign, 95.25% for hyperplasia, and 93.19% for neoplasia. RankMix augmentation specifically improved performance across primary tasks and hyperplasia subclassification. Conclusions: This framework demonstrates strong performance for automated endometrial biopsy classification across multiple diagnostic tasks. These findings support its potential as a decision-support tool for future pathology triage workflows, subject to external validation and workflow-level evaluation.</t>
  </si>
  <si>
    <t>Lam, Matthew; Lim, Adam; Wasim, Farhan; Young, Dylan; Pereira, Michael; Sherman, Daniel; Pakbaz, Sara; Sobel, Mara; Sussman, Dafna</t>
  </si>
  <si>
    <t>Sussman, D (corresponding author), Toronto Metropolitan Univ, Fac Engn &amp; Architectural Sci, Dept Elect Comp &amp; Biomed Engn, Toronto, ON, Canada.</t>
  </si>
  <si>
    <t>dafna.sussman@torontomu.ca</t>
  </si>
  <si>
    <t>NSERC [RGPIN-2018-04155]; Ontario's Early Researcher Award [ER21-16-130]; MSH-UHN AMO Innovation Funds</t>
  </si>
  <si>
    <t>NSERC (Natural Sciences and Engineering Research Council of Canada (NSERC)); Ontario's Early Researcher Award; MSH-UHN AMO Innovation Funds</t>
  </si>
  <si>
    <t>This work was supported by NSERC-Discovery Grant #RGPIN-2018-04155 (Sussman), Ontario's Early Researcher Award #ER21-16-130 (Sussman), and MSH-UHN AMO Innovation Funds (Sobel, Sussman).</t>
  </si>
  <si>
    <t>[Lam, Matthew; Lim, Adam; Wasim, Farhan; Young, Dylan; Pereira, Michael; Sherman, Daniel; Sobel, Mara; Sussman, Dafna] Toronto Metropolitan Univ, Fac Engn &amp; Architectural Sci, Dept Elect Comp &amp; Biomed Engn, Toronto, ON, Canada; [Lam, Matthew; Lim, Adam; Wasim, Farhan; Young, Dylan; Sherman, Daniel; Sussman, Dafna] Toronto Metropolitan Univ, Inst Biomed Engn Sci &amp; Technol iBEST, Toronto, ON, Canada; [Lam, Matthew; Lim, Adam; Wasim, Farhan; Young, Dylan; Sherman, Daniel; Sussman, Dafna] St Michaels Hosp, Toronto, ON, Canada; [Sobel, Mara; Sussman, Dafna] Mt Sinai Hosp, Dept Obstet &amp; Gynaecol, Toronto, ON, Canada; [Sobel, Mara; Sussman, Dafna] Univ Toronto, Fac Med, Dept Obstet &amp; Gynecol, Toronto, ON, Canada; [Pakbaz, Sara] Mt Sinai Hosp, Dept Lab Med &amp; Pathol, Toronto, ON, Canada</t>
  </si>
  <si>
    <t>Toronto Metropolitan University; Toronto Metropolitan University; University of Toronto; Saint Michaels Hospital Toronto; University of Toronto; Sinai Health System Toronto; Lunenfeld Tanenbaum Research Institute; University of Toronto; University of Toronto; Sinai Health System Toronto; Lunenfeld Tanenbaum Research Institute</t>
  </si>
  <si>
    <t>Multiple instance learning for endometrial cancer diagnosis: optimization on weakly annotated whole-slide images and web visualization</t>
  </si>
  <si>
    <t>Endometrial cancer; Deep learning; Computational pathology; Computer-aided diagnosis; Whole slide image; Multiple instance learning</t>
  </si>
  <si>
    <t>Sussman, Dafna/AEU-3375-2022</t>
  </si>
  <si>
    <t>Wasim, Farhan Ahmed/0009-0004-4179-8554</t>
  </si>
  <si>
    <t>63</t>
  </si>
  <si>
    <t>110987</t>
  </si>
  <si>
    <t>10.1016/j.bspc.2026.110987</t>
  </si>
  <si>
    <t>http://dx.doi.org/10.1016/j.bspc.2026.110987</t>
  </si>
  <si>
    <t>LL1IB</t>
  </si>
  <si>
    <t>WOS:001827171400001</t>
  </si>
  <si>
    <t>Vo, T; Luu, ST; Nguyen, LM</t>
  </si>
  <si>
    <t>Biomedical question answering is increasingly vital for clinical decision support, medical education, and patient-facing systems, where accuracy and interpretability are essential. While large language models (LLMs) excel at language understanding, they remain constrained by static pre-training and limited interpretability. Knowledge graphs (KGs) enable explicit reasoning, yet existing retrieval-augmented generation (RAG) pipelines often include irrelevant or noisy facts, reducing accuracy and clarity. To overcome these limitations, we present UGAT-MedQA, a novel unsupervised graph-attention framework for medical question answering that integrates neural retrieval with an unsupervised graph attention network (GAT) for node selection to filter question-specific knowledge-graph subgraphs. Unlike current approaches, UGAT-MedQA eliminates the need for labeled supervision and uncovers compact reasoning paths. By selecting only the most salient entities, UGAT-MedQA constructs explicit multi-hop reasoning chains that capture essential evidence paths. These chains are then verbalized into concise, high-quality natural language passages for LLM-based answer generation. The approach follows a plug-and-play modular design, making it scalable and engineered for robust deployment in domain-specific intelligent systems. Experiments on MedQA, MedMCQA, and the medical subset of MMLU-Med achieve accuracies of 87.85%, 78.42%, and 91.84%, respectively, surpassing strong baselines by up to 3.72 points. Ablation studies confirm the impact of GAT-based selection - its removal reduces accuracy by up to 8.35 points - and analysis shows peak performance at a 3-hop graph expansion, underscoring the need to balance evidence coverage with noise control. These results demonstrate that explicit, attention-based graph reasoning significantly improves both accuracy and interpretability in biomedical question answering.</t>
  </si>
  <si>
    <t>Vo, Trung; Luu, Son T.; Nguyen, Le-Minh</t>
  </si>
  <si>
    <t>Vo, T (corresponding author), Japan Adv Inst Sci &amp; Technol, Ishikawa, Japan.</t>
  </si>
  <si>
    <t>sonlt@jaist.ac.jp; nguyenml@jaist.ac.jp; trungvo@jaist.ac.jp</t>
  </si>
  <si>
    <t>[Vo, Trung; Luu, Son T.; Nguyen, Le-Minh] Japan Adv Inst Sci &amp; Technol, Ishikawa, Japan; [Luu, Son T.] VNU Univ Informat Technol, Ho Chi Minh City, Vietnam</t>
  </si>
  <si>
    <t>Japan Advanced Institute of Science &amp; Technology (JAIST)</t>
  </si>
  <si>
    <t>An unsupervised graph attention network empowered by large language models for knowledge graph grounded medical question answering</t>
  </si>
  <si>
    <t>Question answering; Large language model; Knowledge graph; Knowledge reasoning; Graph attention network</t>
  </si>
  <si>
    <t>/AAY-5897-2020</t>
  </si>
  <si>
    <t>111365</t>
  </si>
  <si>
    <t>10.1016/j.compeleceng.2026.111365</t>
  </si>
  <si>
    <t>http://dx.doi.org/10.1016/j.compeleceng.2026.111365</t>
  </si>
  <si>
    <t>LL3BG</t>
  </si>
  <si>
    <t>WOS:001827288900001</t>
  </si>
  <si>
    <t>Lee, KHY</t>
  </si>
  <si>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epsilon(2)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</si>
  <si>
    <t>Lee, Kihyuk</t>
  </si>
  <si>
    <t>Lee, KHY (corresponding author), Seoul Natl Univ, Off Hosp Informat, Data Convergence Team, Bundang Hosp, 172 Dolma Ro, Seongnam 13605, South Korea.</t>
  </si>
  <si>
    <t>lkhlike@naver.com</t>
  </si>
  <si>
    <t>[Lee, Kihyuk] Seoul Natl Univ, Off Hosp Informat, Data Convergence Team, Bundang Hosp, 172 Dolma Ro, Seongnam 13605, South Korea</t>
  </si>
  <si>
    <t>Seoul National University (SNU); Seoul National University Hospital</t>
  </si>
  <si>
    <t>Cross-model consistency of AI-generated exercise prescriptions: A repeated generation study across three large language models</t>
  </si>
  <si>
    <t>Large language models; Exercise prescription; Repeated generation; Cross-model comparison; Output consistency; Output reliability</t>
  </si>
  <si>
    <t>106594</t>
  </si>
  <si>
    <t>10.1016/j.ijmedinf.2026.106594</t>
  </si>
  <si>
    <t>http://dx.doi.org/10.1016/j.ijmedinf.2026.106594</t>
  </si>
  <si>
    <t>LH9EE</t>
  </si>
  <si>
    <t>42435611</t>
  </si>
  <si>
    <t>WOS:001824993600001</t>
  </si>
  <si>
    <t>Ren, L; Fang, F; Zhang, Y; Ma, YB</t>
  </si>
  <si>
    <t>Background: Large language models (LLMs) are increasingly explored for clinical decision support, yet their role in medication recommendation remains uncertain. Prescribing requires not only selecting appropriate therapies, but also prioritizing essential treatments, avoiding unsafe medications, and specifying correct prescription details. Existing evaluations often emphasize benchmark reasoning rather than prescribing readiness in real-world settings. Objective: To compare four medication recommendation workflows using a clinically grounded framework focused on completeness, safety, ranking quality, and prescription-parameter accuracy. Methods: We conducted a retrospective real-world evaluation of 800 clinical cases from Shanghai East Hospital. A case-specific expert reference standard was constructed using three mutually exclusive categories: CORE, essential therapies; ALT, acceptable alternatives; and AVOID, unsafe or inappropriate medications. Four workflows were compared: Physician, Base LLM, Retrieval-augmented LLM, and Physician-RAG collaborative. Recommendations were normalized at the drug level and evaluated using recall, case-level AVOID-hit rate, extra-drug burden, precision, Jaccard index, hit@k, and prescription-parameter accuracy. Results: Performance differed across workflows. Physician-RAG collaborative showed the highest CORE recall (1.000; 95 % CI, 0.999-1.000), ALT recall (0.955; 95 % CI, 0.945-0.964), overall recall (0.978; 95 % CI, 0.973-0.982), precision (0.963; 95 % CI, 0.957-0.969), and Jaccard index (0.943; 95 % CI, 0.935-0.949). It also had the lowest case-level AVOID-hit rate (0.026; 95 % CI, 0.016-0.039) and the lowest ranked unsafe exposure (AVOID hit@1/3/5: 0.000/0.000/0.008). Prescription-parameter accuracy was highest in the Physician-RAG collaborative workflow (all-correct rate 0.951), compared with 0.948 for the Retrieval-augmented LLM workflow, 0.945 for the Physician workflow, and 0.494 for the Base LLM workflow. Conclusions: In this retrospective expert-reference-based evaluation, stand-alone LLM output showed lower agreement and weaker structured prescribing accuracy than supervised workflows. Retrieval augmentation improved coverage and prescribing accuracy, while Physician-RAG collaborative showed the highest agreement with the expert reference standard across completeness, safety screening, prioritization, and structured prescribing quality. These findings support physician-supervised collaboration as a promising direction for medication decision support, but prospective multicenter studies with patient-outcome endpoints are needed before routine clinical deployment.</t>
  </si>
  <si>
    <t>Ren, Long; Fang, Fang; Zhang, Yuan; Ma, Yabin</t>
  </si>
  <si>
    <t>Ma, YB (corresponding author), Tongji Univ, Sch Med, Shanghai East Hosp, Dept Pharm, Shanghai 200120, Peoples R China.</t>
  </si>
  <si>
    <t>yxbmayabin@163.com</t>
  </si>
  <si>
    <t>Shanghai Municipal Science and Technology Commission Project [24SF1901203]; Pudong New District Health Technology Project [PW2024A-16]</t>
  </si>
  <si>
    <t>Shanghai Municipal Science and Technology Commission Project; Pudong New District Health Technology Project</t>
  </si>
  <si>
    <t>This study was supported by the Shanghai Municipal Science and Technology Commission Project [Grant No. 24SF1901203] and the Pudong New District Health Technology Project [Grant No. PW2024A-16] .</t>
  </si>
  <si>
    <t>[Ren, Long; Fang, Fang; Zhang, Yuan; Ma, Yabin] Tongji Univ, Sch Med, Shanghai East Hosp, Dept Pharm, Shanghai 200120, Peoples R China</t>
  </si>
  <si>
    <t>Tongji University</t>
  </si>
  <si>
    <t>Real-world evaluation of medication recommendation workflows: Retrieval augmentation, physician-RAG collaborative workflow, and prescribing quality</t>
  </si>
  <si>
    <t>Large language models; Clinical decision support; Medication recommendation; Retrieval-augmented generation; Physician-RAG collaborative</t>
  </si>
  <si>
    <t>LARGE LANGUAGE MODELS</t>
  </si>
  <si>
    <t>106598</t>
  </si>
  <si>
    <t>10.1016/j.ijmedinf.2026.106598</t>
  </si>
  <si>
    <t>http://dx.doi.org/10.1016/j.ijmedinf.2026.106598</t>
  </si>
  <si>
    <t>LI1BB</t>
  </si>
  <si>
    <t>42456600</t>
  </si>
  <si>
    <t>WOS:001825120700001</t>
  </si>
  <si>
    <t>Santos, BD; Roza, TH; Passos, IC</t>
  </si>
  <si>
    <t>Approximately one billion people worldwide live with a mental disorder, yet access to minimally adequate treatment remains low. Against this backdrop, general-purpose generative artificial intelligence (GenAI) systems have rapidly expanded into informal mental health support. OpenAI disclosed that roughly 1.2 million ChatGPT users weekly display indicators of suicidal planning or intent, and meta-analytic evidence supports modest efficacy for AI chatbots in reducing common mental health symptoms. Nevertheless, these tools may pose substantial clinical risks for vulnerable individuals. Two interlocking mechanisms-algorithmic sycophancy and anthropomorphic projection-converge to produce self-reinforcing engagement-validation loops capable of reinforcing maladaptive beliefs and contributing to clinical risk. Structural investment in mental-health workforce capacity must remain the foundation of future responses to the global treatment gap, with GenAI deployed as a supervised adjunct to clinicians within hybrid stepped-care frameworks subject to independent safety evaluation, transparent disclosure obligations, and regulatory oversight proportional to clinical risk.</t>
  </si>
  <si>
    <t>Santos, Bruno da Silva; Roza, Thiago Henrique; Passos, Ives Cavalcante</t>
  </si>
  <si>
    <t>Santos, BD (corresponding author), Hosp Clin Porto Alegre, Lab Mol Psychiat, Ramiro Barcelos 2350, BR-90035903 Porto Alegre, RS, Brazil.</t>
  </si>
  <si>
    <t>ipassos@hcpa.edu.br; roza.h.thiago@gmail.com; euobrunosantos@gmail.com</t>
  </si>
  <si>
    <t>Coordenacao de Aperfeicoamento de Pessoal de Nivel Superior-Brazil (CAPES) [001]; National Council for Scientific and Technological Development-Brazil (CNPq) [408187/2022-0]; DTI-C fellowship [45/2022]; Ministry of Health of Brazil (Decit/SCTIE/MS) [45/2022]; National Institute of Science and Technology in Digital Mental Health (INCT-SMD) [409148/2024-5]; CNPq</t>
  </si>
  <si>
    <t>Coordenacao de Aperfeicoamento de Pessoal de Nivel Superior-Brazil (CAPES) (Coordenacao de Aperfeicoamento de Pessoal de Nivel Superior (CAPES)); National Council for Scientific and Technological Development-Brazil (CNPq) (Conselho Nacional de Desenvolvimento Cientifico e Tecnologico (CNPQ)); DTI-C fellowship; Ministry of Health of Brazil (Decit/SCTIE/MS); National Institute of Science and Technology in Digital Mental Health (INCT-SMD); CNPq (Conselho Nacional de Desenvolvimento Cientifico e Tecnologico (CNPQ))</t>
  </si>
  <si>
    <t>This study was financed, in part, by the Coordenacao de Aperfeicoamento de Pessoal de Nivel Superior-Brazil (CAPES) -Finance Code 001. It also received financial support from the National Council for Scientific and Technological Development-Brazil (CNPq) [Grant No. 408187/2022-0] , including a DTI-C fellowship awarded to BdSS, and from the Ministry of Health of Brazil (Decit/SCTIE/MS) under Public Call CNPq/MS/SCTIE/DECIT No. 45/2022. This research was further supported by the National Institute of Science and Technology in Digital Mental Health (INCT-SMD) [Grant No. 409148/2024-5] . ICP is a CNPq Research Fellow-Level A. None of the funders had any role in the design or conduct of this study, the analysis or interpretation of data, the writing of this manuscript, or the decision to submit it for publication.</t>
  </si>
  <si>
    <t>[Santos, Bruno da Silva; Roza, Thiago Henrique; Passos, Ives Cavalcante] Fed Univ Rio Grande do Sul UFRGS, Hosp Clin Porto Alegre, Postgrad Programme Psychiat &amp; Behav Sci, Lab Mol Psychiat, Porto Alegre, RS, Brazil; [Santos, Bruno da Silva; Roza, Thiago Henrique; Passos, Ives Cavalcante] Natl Inst Translat Sci &amp; Technol Digital Mental Hl, Porto Alegre, RS, Brazil; [Roza, Thiago Henrique] Univ Fed Parana, Dept Forens Med &amp; Psychiat, Curitiba, PR, Brazil</t>
  </si>
  <si>
    <t>Universidade Federal do Rio Grande do Sul; Hospital de Clinicas de Porto Alegre; Universidade Federal do Parana</t>
  </si>
  <si>
    <t>The engagement-validation loop: Sycophancy, anthropomorphic projection, and clinical risk in informal AI-based mental health support</t>
  </si>
  <si>
    <t>JOURNAL OF AFFECTIVE DISORDERS</t>
  </si>
  <si>
    <t>Artificial intelligence; Generative artificial intelligence; Natural language; Large language models; Mental health; Digital therapeutics; Psychiatry</t>
  </si>
  <si>
    <t>Roza, Thiago/AAA-8347-2021; Passos, Ives/U-7366-2019</t>
  </si>
  <si>
    <t>0165-0327</t>
  </si>
  <si>
    <t>1573-2517</t>
  </si>
  <si>
    <t>J AFFECT DISORDERS</t>
  </si>
  <si>
    <t>J. Affect. Disord.</t>
  </si>
  <si>
    <t>412</t>
  </si>
  <si>
    <t>122123</t>
  </si>
  <si>
    <t>10.1016/j.jad.2026.122123</t>
  </si>
  <si>
    <t>http://dx.doi.org/10.1016/j.jad.2026.122123</t>
  </si>
  <si>
    <t>Clinical Neurology; Psychiatry</t>
  </si>
  <si>
    <t>Neurosciences &amp; Neurology; Psychiatry</t>
  </si>
  <si>
    <t>JV6WJ</t>
  </si>
  <si>
    <t>42269974</t>
  </si>
  <si>
    <t>WOS:001799072500001</t>
  </si>
  <si>
    <t>Lee, W; Lee, H; Jang, Y; Lee, H; Shin, H; Yang, E</t>
  </si>
  <si>
    <t>Background: Generative artificial intelligence (generative AI) has emerged as an innovative tool in the healthcare and educational sectors and as an important tool for learning. Yet, limited empirical research has examined the related factors and associations of generative AI with self-directed learning ability among nursing students. Aim: This study investigated the association between generative AI-related factors and nursing students' self-directed learning ability, using the technology acceptance model (TAM). Design: A cross-sectional design. Setting: An online survey conducted in September 2024 in South Korea. Participants: A total of 219 nursing students completed the online survey. Methods: The key variables, based on the TAM, included perceived usefulness, perceived ease of use, readiness to use, and intention to continue using generative AI. Multiple regression analysis was conducted to examine which variables were associated with self-directed learning ability. Results: Most participants (96.8%) had prior experience using AI. Among the variables, readiness to use generative AI (beta = 0.345, p &lt; 0.001) showed the strongest association with self-directed learning ability, followed by perceived ease of use of generative AI (beta = 0.201, p = 0.003), and intention to continue to use generative AI (beta = 0.184, p = 0.004). Among the covariates included in the model, major satisfaction (beta = 0.216, p &lt; 0.001) was also significantly associated with self-directed learning ability. These variables explained 62.6% of the total variance. Conclusions: There was a significant relationship between generative AI-related factors and self-directed learning ability. Future educational strategies should prioritize improving nursing students' readiness, perceived ease of use, and intention to use generative AI. Major satisfaction, identified as a significant covariate, should also be considered in designing these strategies. Through these strategies, nursing students' self-directed learning ability may be more effectively fostered.</t>
  </si>
  <si>
    <t>Lee, Wheemoon; Lee, Huijeong; Jang, Yunjeong; Lee, Hanbyeol; Shin, Haeri; Yang, Eunjin</t>
  </si>
  <si>
    <t>Yang, E (corresponding author), Gachon Univ, Res Inst AI &amp; Nursing Sci, Coll Nursing, 191 Hambakmoero, Incheon 21936, South Korea.</t>
  </si>
  <si>
    <t>eunjinyang@gachon.ac.kr</t>
  </si>
  <si>
    <t>[Lee, Wheemoon; Lee, Huijeong; Jang, Yunjeong; Lee, Hanbyeol; Shin, Haeri] Gachon Univ, Coll Nursing, Seongnam, South Korea; [Yang, Eunjin] Gachon Univ, Res Inst AI &amp; Nursing Sci, Coll Nursing, 191 Hambakmoero, Incheon 21936, South Korea</t>
  </si>
  <si>
    <t>Gachon University; Gachon University</t>
  </si>
  <si>
    <t>Association between generative artificial intelligence-related factors and self-directed learning ability among nursing students: a cross-sectional study</t>
  </si>
  <si>
    <t>Generative artificial intelligence; Nursing students; Self-directed learning; Nursing education</t>
  </si>
  <si>
    <t>ACCEPTANCE</t>
  </si>
  <si>
    <t>Yang, Eunjin/OJS-7826-2025</t>
  </si>
  <si>
    <t>107214</t>
  </si>
  <si>
    <t>10.1016/j.nedt.2026.107214</t>
  </si>
  <si>
    <t>http://dx.doi.org/10.1016/j.nedt.2026.107214</t>
  </si>
  <si>
    <t>JM5FT</t>
  </si>
  <si>
    <t>42242110</t>
  </si>
  <si>
    <t>WOS:001792855500001</t>
  </si>
  <si>
    <t>Liu, CH; Zhang, WB; Lou, FL; Zhao, C; Chow, A; Yip, T</t>
  </si>
  <si>
    <t>Background: Generative AI tools are increasingly accessible to college students, yet little is known about who uses them for mental health support. This study examined predictors of AI use for mental health among college students at two U.S. institutions. Methods: Data were drawn from students (n = 896) who completed an AI module as part of the 2024-2025 Healthy Minds Study. The analytic sample comprised 675 students with complete data. Descriptive analyses compared three groups: never use AI, use AI but not for mental health, and use AI for mental health. Hierarchical logistic regression examined predictors of AI use for mental health using a binary outcome (AI use for mental health vs. no AI use for mental health), as the three-group structure could not accommodate general AI use as a predictor due to structural confounding. A supplementary multinomial logistic regression compared all three groups without general AI use. Results: Approximately 18% of students reported using AI for mental health. The never-use-AI group had higher proportions of non-binary/other gender and LGBQ+ students; the proportion of Asian students increased across groups in a stepwise pattern; and the AI-not-for-MH group showed better mental health profiles than both other groups. In regression models, frequent general AI use was the strongest predictor (OR = 11.42-12.87). Moderate depression (OR = 2.06), severe depression (OR = 2.49), severe anxiety (OR = 2.04), and suicidality (OR = 1.97) each predicted AI use for mental health. Asian students showed elevated odds (OR = 2.03-2.08). Lifetime therapy predicted AI use (OR = 2.21), but current therapy did not. Limitations: Data were from only two institutions. The cross-sectional design precludes causal inference. Prevalence estimates are time-sensitive given rapid AI adoption. Conclusions: Students with severe mental health symptoms and some marginalized groups are using unregulated AI tools at elevated rates. Findings underscore the need for research on AI safety for distressed individuals and policies accounting for heterogeneity in who uses these tools.</t>
  </si>
  <si>
    <t>Liu, Cindy H.; Zhang, Wenbo; Lou, Felix; Zhao, Chang; Chow, Angela; Yip, Tiffany</t>
  </si>
  <si>
    <t>Liu, CH (corresponding author), Brigham &amp; Womens Hosp, Dept Pediat, Boston, MA 02115 USA.</t>
  </si>
  <si>
    <t>chliu@bwh.harvard.edu</t>
  </si>
  <si>
    <t>[Liu, Cindy H.; Zhang, Wenbo; Lou, Felix; Zhao, Chang] Brigham &amp; Womens Hosp, Dept Pediat, Boston, MA 02115 USA; [Liu, Cindy H.] Brigham &amp; Womens Hosp, Dept Psychiat, Boston, MA USA; [Liu, Cindy H.; Zhao, Chang] Harvard Med Sch, Boston, MA USA; [Lou, Felix] Vanderbilt Univ, Nashville, TN USA; [Chow, Angela] Indiana Univ, Sch Publ Hlth Bloomington, Dept Appl Hlth Sci, Bloomington, IN USA; [Yip, Tiffany] Fordham Univ, Dept Psychol, Bronx, NY USA</t>
  </si>
  <si>
    <t>Harvard University; Harvard University Medical Affiliates; Brigham &amp; Women's Hospital; Harvard University; Harvard University Medical Affiliates; Brigham &amp; Women's Hospital; Harvard University; Harvard Medical School; Vanderbilt University; Indiana University System; Indiana University Bloomington; Fordham University</t>
  </si>
  <si>
    <t>Clinical and sociodemographic predictors of AI use for mental health among college students</t>
  </si>
  <si>
    <t>Generative AI; Mental health; College students; Help-seeking; Depression; Suicidality; Technology</t>
  </si>
  <si>
    <t>FUNCTIONAL IMPAIRMENT; DISORDER; SYMPTOMS</t>
  </si>
  <si>
    <t>Zhang, Wenbo/0009-0001-5362-0778</t>
  </si>
  <si>
    <t>122058</t>
  </si>
  <si>
    <t>10.1016/j.jad.2026.122058</t>
  </si>
  <si>
    <t>http://dx.doi.org/10.1016/j.jad.2026.122058</t>
  </si>
  <si>
    <t>JH6ZE</t>
  </si>
  <si>
    <t>42217639</t>
  </si>
  <si>
    <t>WOS:001789583900001</t>
  </si>
  <si>
    <t>Li, LH; Chen, X; Ma, SY; Yang, ZX; Wang, YY</t>
  </si>
  <si>
    <t>Background: Chatbots are receiving growing attention in nursing education, yet the term is often used imprecisely and is sometimes conflated with current large language model (LLM)-based systems. This lack of conceptual clarity weakens cumulative research, hinders comparison across studies, and complicates implementation in educational practice. Objective: To clarify the concept of chatbots in nursing education using Walker and Avant's concept analysis method. Methods: Walker and Avant's eight-step concept analysis method was applied. To examine both ordinary and disciplinary uses of the concept, dictionary sources and literature from PubMed, Scopus, Embase, CINAHL, Web of Science, ProQuest, ScienceDirect, China National Knowledge Infrastructure, Wanfang, and VIP were reviewed through June 2025. A structured extraction matrix captured how the term was used, the chatbot's interaction form, response architecture, educational purpose, and conceptual boundaries. Primary empirical studies were prioritized when deriving defining attributes, whereas reviews and discussion or conceptual papers were used to map broader terminology, technological heterogeneity, and contested boundary claims. Results: Twenty-four papers were included: 11 primary empirical studies, 7 reviews, and 6 discussion or conceptual sources. Comparison across the extraction matrix showed that three kinds of description recurred when authors clearly referred to a nursing education chatbot: iterative dialogue, automated system response, and explicit educational alignment with nursing. These features were retained because they were recurrent, necessary to recognize the concept, and distinguishing from adjacent technologies. By contrast, LLM-based design, personalized learning support, and clinical simulation were excluded from the defining set because they appeared mainly as technical variants, reported benefits, or role-specific applications rather than universal properties. Antecedents were retained only when they described pre-existing conditions that enabled development or adoption. Consequences were treated as reported or anticipated downstream effects rather than as evidence of effectiveness. The model, borderline, and contrary cases were used to test the conceptual boundary by illustrating full presence, partial presence, and absence of the defining attributes. Empirical referents were specified as observable indicators for each attribute rather than as a single perception instrument. Conclusions: A nursing education chatbot is best understood as a conversational digital agent intentionally designed or deployed for nursing education and able to provide automated responses through rule-based, retrieval-based, or AI-based mechanisms. This refined definition separates the core concept from any single generation of technology and provides a clearer conceptual basis for future reporting, instrument development, and outcome evaluation without implying that chatbots inherently improve educational effectiveness.</t>
  </si>
  <si>
    <t>Li, Lianhua; Chen, Xia; Ma, Shaoyong; Yang, Zhengxia; Wang, Yingying</t>
  </si>
  <si>
    <t>Yang, ZX; Wang, YY (corresponding author), 2 Zhe Shan West Rd, Wuhu, Anhui, Peoples R China.</t>
  </si>
  <si>
    <t>15753465023@163.com; xiayang9525@sina.com; 598154783@qq.com; 360972471@qq.com</t>
  </si>
  <si>
    <t>New Era Talent Cultivation Quality Project of the Anhui Provincial Department of Education [wnyxy-tb121]; Education and Teaching Reform Research Project of Wannan Medical University [2025jyxm007]; Surgical Nursing Virtual Simulation Experimental Teaching Project of Wannan Medical University [2024xnfzkc03]</t>
  </si>
  <si>
    <t>New Era Talent Cultivation Quality Project of the Anhui Provincial Department of Education; Education and Teaching Reform Research Project of Wannan Medical University; Surgical Nursing Virtual Simulation Experimental Teaching Project of Wannan Medical University</t>
  </si>
  <si>
    <t>This study was supported by the New Era Talent Cultivation Quality Project of the Anhui Provincial Department of Education (grant number: wnyxy-tb121) , the Education and Teaching Reform Research Project of Wannan Medical University (grant number:2025jyxm007) , and the Surgical Nursing Virtual Simulation Experimental Teaching Project of Wannan Medical University (grant number:2024xnfzkc03) . The funders were not involved in the study design, data collection, data analysis and interpretation, writing of the manuscript, or decision to submit this article for publication.</t>
  </si>
  <si>
    <t>[Li, Lianhua; Chen, Xia; Yang, Zhengxia; Wang, Yingying] Wannan Med Univ, Affiliated Hosp 1, Emergency Intens Care Unit, 2 Zheshan West Rd, Wuhu 241001, Anhui, Peoples R China; [Ma, Shaoyong] Wannan Med Univ, Sch Nursing, 189 Jiuhua South Rd, Wuhu 241002, Anhui, Peoples R China; [Yang, Zhengxia; Wang, Yingying] 2 Zhe Shan West Rd, Wuhu, Anhui, Peoples R China</t>
  </si>
  <si>
    <t>Wannan Medical University; Wannan Medical University</t>
  </si>
  <si>
    <t>Conceptual analysis of Chatbots in nursing education applications</t>
  </si>
  <si>
    <t>Chatbot; Concept analysis; Nursing education; Nursing students; Nurse educators</t>
  </si>
  <si>
    <t>Li, lianhua/0009-0008-6448-9788</t>
  </si>
  <si>
    <t>107188</t>
  </si>
  <si>
    <t>10.1016/j.nedt.2026.107188</t>
  </si>
  <si>
    <t>http://dx.doi.org/10.1016/j.nedt.2026.107188</t>
  </si>
  <si>
    <t>JE8CU</t>
  </si>
  <si>
    <t>42224794</t>
  </si>
  <si>
    <t>WOS:001787623100001</t>
  </si>
</sst>
</file>

<file path=xl/styles.xml><?xml version="1.0" encoding="utf-8"?>
<styleSheet xmlns="http://schemas.openxmlformats.org/spreadsheetml/2006/main">
  <numFmts count="0"/>
  <fonts count="201">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01">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80%2F00049530.2026.2710168" TargetMode="External" Type="http://schemas.openxmlformats.org/officeDocument/2006/relationships/hyperlink"/><Relationship Id="rId10" Target="https%3A%2F%2Fwww.webofscience.com%2Fwos%2Fwoscc%2Ffull-record%2FWOS%3A001815880400001" TargetMode="External" Type="http://schemas.openxmlformats.org/officeDocument/2006/relationships/hyperlink"/><Relationship Id="rId100" Target="https%3A%2F%2Fwww.webofscience.com%2Fwos%2Fwoscc%2Ffull-record%2FWOS%3A001793765100001" TargetMode="External" Type="http://schemas.openxmlformats.org/officeDocument/2006/relationships/hyperlink"/><Relationship Id="rId101" Target="http%3A%2F%2Fdx.doi.org%2F10.1016%2Fj.eswa.2026.133049" TargetMode="External" Type="http://schemas.openxmlformats.org/officeDocument/2006/relationships/hyperlink"/><Relationship Id="rId102" Target="https%3A%2F%2Fwww.webofscience.com%2Fwos%2Fwoscc%2Ffull-record%2FWOS%3A001791064300001" TargetMode="External" Type="http://schemas.openxmlformats.org/officeDocument/2006/relationships/hyperlink"/><Relationship Id="rId103" Target="http%3A%2F%2Fdx.doi.org%2F10.1016%2Fj.inffus.2026.104502" TargetMode="External" Type="http://schemas.openxmlformats.org/officeDocument/2006/relationships/hyperlink"/><Relationship Id="rId104" Target="https%3A%2F%2Fwww.webofscience.com%2Fwos%2Fwoscc%2Ffull-record%2FWOS%3A001788641700001" TargetMode="External" Type="http://schemas.openxmlformats.org/officeDocument/2006/relationships/hyperlink"/><Relationship Id="rId105" Target="http%3A%2F%2Fdx.doi.org%2F10.1016%2Fj.tsc.2026.102227" TargetMode="External" Type="http://schemas.openxmlformats.org/officeDocument/2006/relationships/hyperlink"/><Relationship Id="rId106" Target="https%3A%2F%2Fwww.webofscience.com%2Fwos%2Fwoscc%2Ffull-record%2FWOS%3A001756318900001" TargetMode="External" Type="http://schemas.openxmlformats.org/officeDocument/2006/relationships/hyperlink"/><Relationship Id="rId107" Target="http%3A%2F%2Fdx.doi.org%2F10.1016%2Fj.ijmedinf.2026.106645" TargetMode="External" Type="http://schemas.openxmlformats.org/officeDocument/2006/relationships/hyperlink"/><Relationship Id="rId108" Target="https%3A%2F%2Fwww.webofscience.com%2Fwos%2Fwoscc%2Ffull-record%2FWOS%3A001852384500002" TargetMode="External" Type="http://schemas.openxmlformats.org/officeDocument/2006/relationships/hyperlink"/><Relationship Id="rId109" Target="http%3A%2F%2Fdx.doi.org%2F10.1016%2Fj.neucom.2026.134680" TargetMode="External" Type="http://schemas.openxmlformats.org/officeDocument/2006/relationships/hyperlink"/><Relationship Id="rId11" Target="http%3A%2F%2Fdx.doi.org%2F10.1080%2F10872981.2026.2684837" TargetMode="External" Type="http://schemas.openxmlformats.org/officeDocument/2006/relationships/hyperlink"/><Relationship Id="rId110" Target="https%3A%2F%2Fwww.webofscience.com%2Fwos%2Fwoscc%2Ffull-record%2FWOS%3A001843519300001" TargetMode="External" Type="http://schemas.openxmlformats.org/officeDocument/2006/relationships/hyperlink"/><Relationship Id="rId111" Target="http%3A%2F%2Fdx.doi.org%2F10.1016%2Fj.neucom.2026.134543" TargetMode="External" Type="http://schemas.openxmlformats.org/officeDocument/2006/relationships/hyperlink"/><Relationship Id="rId112" Target="https%3A%2F%2Fwww.webofscience.com%2Fwos%2Fwoscc%2Ffull-record%2FWOS%3A001831180200001" TargetMode="External" Type="http://schemas.openxmlformats.org/officeDocument/2006/relationships/hyperlink"/><Relationship Id="rId113" Target="http%3A%2F%2Fdx.doi.org%2F10.1016%2Fj.ctro.2026.101257" TargetMode="External" Type="http://schemas.openxmlformats.org/officeDocument/2006/relationships/hyperlink"/><Relationship Id="rId114" Target="https%3A%2F%2Fwww.webofscience.com%2Fwos%2Fwoscc%2Ffull-record%2FWOS%3A001854617300001" TargetMode="External" Type="http://schemas.openxmlformats.org/officeDocument/2006/relationships/hyperlink"/><Relationship Id="rId115" Target="http%3A%2F%2Fdx.doi.org%2F10.1016%2Fj.pec.2026.109829" TargetMode="External" Type="http://schemas.openxmlformats.org/officeDocument/2006/relationships/hyperlink"/><Relationship Id="rId116" Target="https%3A%2F%2Fwww.webofscience.com%2Fwos%2Fwoscc%2Ffull-record%2FWOS%3A001852972200001" TargetMode="External" Type="http://schemas.openxmlformats.org/officeDocument/2006/relationships/hyperlink"/><Relationship Id="rId117" Target="http%3A%2F%2Fdx.doi.org%2F10.1016%2Fj.ejrad.2026.113166" TargetMode="External" Type="http://schemas.openxmlformats.org/officeDocument/2006/relationships/hyperlink"/><Relationship Id="rId118" Target="https%3A%2F%2Fwww.webofscience.com%2Fwos%2Fwoscc%2Ffull-record%2FWOS%3A001852294900001" TargetMode="External" Type="http://schemas.openxmlformats.org/officeDocument/2006/relationships/hyperlink"/><Relationship Id="rId119" Target="http%3A%2F%2Fdx.doi.org%2F10.1016%2Fj.psychres.2026.117371" TargetMode="External" Type="http://schemas.openxmlformats.org/officeDocument/2006/relationships/hyperlink"/><Relationship Id="rId12" Target="https%3A%2F%2Fwww.webofscience.com%2Fwos%2Fwoscc%2Ffull-record%2FWOS%3A001816065100001" TargetMode="External" Type="http://schemas.openxmlformats.org/officeDocument/2006/relationships/hyperlink"/><Relationship Id="rId120" Target="https%3A%2F%2Fwww.webofscience.com%2Fwos%2Fwoscc%2Ffull-record%2FWOS%3A001851861500001" TargetMode="External" Type="http://schemas.openxmlformats.org/officeDocument/2006/relationships/hyperlink"/><Relationship Id="rId121" Target="http%3A%2F%2Fdx.doi.org%2F10.1016%2Fj.trac.2026.119086" TargetMode="External" Type="http://schemas.openxmlformats.org/officeDocument/2006/relationships/hyperlink"/><Relationship Id="rId122" Target="https%3A%2F%2Fwww.webofscience.com%2Fwos%2Fwoscc%2Ffull-record%2FWOS%3A001851812900001" TargetMode="External" Type="http://schemas.openxmlformats.org/officeDocument/2006/relationships/hyperlink"/><Relationship Id="rId123" Target="http%3A%2F%2Fdx.doi.org%2F10.1016%2Fj.artmed.2026.103501" TargetMode="External" Type="http://schemas.openxmlformats.org/officeDocument/2006/relationships/hyperlink"/><Relationship Id="rId124" Target="https%3A%2F%2Fwww.webofscience.com%2Fwos%2Fwoscc%2Ffull-record%2FWOS%3A001850063200001" TargetMode="External" Type="http://schemas.openxmlformats.org/officeDocument/2006/relationships/hyperlink"/><Relationship Id="rId125" Target="http%3A%2F%2Fdx.doi.org%2F10.1016%2Fj.ctro.2026.101261" TargetMode="External" Type="http://schemas.openxmlformats.org/officeDocument/2006/relationships/hyperlink"/><Relationship Id="rId126" Target="https%3A%2F%2Fwww.webofscience.com%2Fwos%2Fwoscc%2Ffull-record%2FWOS%3A001850784600001" TargetMode="External" Type="http://schemas.openxmlformats.org/officeDocument/2006/relationships/hyperlink"/><Relationship Id="rId127" Target="http%3A%2F%2Fdx.doi.org%2F10.1016%2Fj.bspc.2026.111204" TargetMode="External" Type="http://schemas.openxmlformats.org/officeDocument/2006/relationships/hyperlink"/><Relationship Id="rId128" Target="https%3A%2F%2Fwww.webofscience.com%2Fwos%2Fwoscc%2Ffull-record%2FWOS%3A001845748200001" TargetMode="External" Type="http://schemas.openxmlformats.org/officeDocument/2006/relationships/hyperlink"/><Relationship Id="rId129" Target="http%3A%2F%2Fdx.doi.org%2F10.1016%2Fj.cptl.2026.102752" TargetMode="External" Type="http://schemas.openxmlformats.org/officeDocument/2006/relationships/hyperlink"/><Relationship Id="rId13" Target="http%3A%2F%2Fdx.doi.org%2F10.1080%2F17452759.2026.2671497" TargetMode="External" Type="http://schemas.openxmlformats.org/officeDocument/2006/relationships/hyperlink"/><Relationship Id="rId130" Target="https%3A%2F%2Fwww.webofscience.com%2Fwos%2Fwoscc%2Ffull-record%2FWOS%3A001847199600001" TargetMode="External" Type="http://schemas.openxmlformats.org/officeDocument/2006/relationships/hyperlink"/><Relationship Id="rId131" Target="http%3A%2F%2Fdx.doi.org%2F10.1016%2Fj.ijmedinf.2026.106650" TargetMode="External" Type="http://schemas.openxmlformats.org/officeDocument/2006/relationships/hyperlink"/><Relationship Id="rId132" Target="https%3A%2F%2Fwww.webofscience.com%2Fwos%2Fwoscc%2Ffull-record%2FWOS%3A001847106700001" TargetMode="External" Type="http://schemas.openxmlformats.org/officeDocument/2006/relationships/hyperlink"/><Relationship Id="rId133" Target="http%3A%2F%2Fdx.doi.org%2F10.1016%2Fj.ijmedinf.2026.106605" TargetMode="External" Type="http://schemas.openxmlformats.org/officeDocument/2006/relationships/hyperlink"/><Relationship Id="rId134" Target="https%3A%2F%2Fwww.webofscience.com%2Fwos%2Fwoscc%2Ffull-record%2FWOS%3A001845893500001" TargetMode="External" Type="http://schemas.openxmlformats.org/officeDocument/2006/relationships/hyperlink"/><Relationship Id="rId135" Target="http%3A%2F%2Fdx.doi.org%2F10.1016%2Fj.avsg.2026.07.004" TargetMode="External" Type="http://schemas.openxmlformats.org/officeDocument/2006/relationships/hyperlink"/><Relationship Id="rId136" Target="https%3A%2F%2Fwww.webofscience.com%2Fwos%2Fwoscc%2Ffull-record%2FWOS%3A001844710600001" TargetMode="External" Type="http://schemas.openxmlformats.org/officeDocument/2006/relationships/hyperlink"/><Relationship Id="rId137" Target="http%3A%2F%2Fdx.doi.org%2F10.1016%2Fj.asoc.2026.116129" TargetMode="External" Type="http://schemas.openxmlformats.org/officeDocument/2006/relationships/hyperlink"/><Relationship Id="rId138" Target="https%3A%2F%2Fwww.webofscience.com%2Fwos%2Fwoscc%2Ffull-record%2FWOS%3A001843588400001" TargetMode="External" Type="http://schemas.openxmlformats.org/officeDocument/2006/relationships/hyperlink"/><Relationship Id="rId139" Target="http%3A%2F%2Fdx.doi.org%2F10.1016%2Fj.bspc.2026.111197" TargetMode="External" Type="http://schemas.openxmlformats.org/officeDocument/2006/relationships/hyperlink"/><Relationship Id="rId14" Target="https%3A%2F%2Fwww.webofscience.com%2Fwos%2Fwoscc%2Ffull-record%2FWOS%3A001772823600001" TargetMode="External" Type="http://schemas.openxmlformats.org/officeDocument/2006/relationships/hyperlink"/><Relationship Id="rId140" Target="https%3A%2F%2Fwww.webofscience.com%2Fwos%2Fwoscc%2Ffull-record%2FWOS%3A001844952800001" TargetMode="External" Type="http://schemas.openxmlformats.org/officeDocument/2006/relationships/hyperlink"/><Relationship Id="rId141" Target="http%3A%2F%2Fdx.doi.org%2F10.1016%2Fj.ijmedinf.2026.106648" TargetMode="External" Type="http://schemas.openxmlformats.org/officeDocument/2006/relationships/hyperlink"/><Relationship Id="rId142" Target="https%3A%2F%2Fwww.webofscience.com%2Fwos%2Fwoscc%2Ffull-record%2FWOS%3A001844517800001" TargetMode="External" Type="http://schemas.openxmlformats.org/officeDocument/2006/relationships/hyperlink"/><Relationship Id="rId143" Target="http%3A%2F%2Fdx.doi.org%2F10.1016%2Fj.jposna.2026.100420" TargetMode="External" Type="http://schemas.openxmlformats.org/officeDocument/2006/relationships/hyperlink"/><Relationship Id="rId144" Target="https%3A%2F%2Fwww.webofscience.com%2Fwos%2Fwoscc%2Ffull-record%2FWOS%3A001844910500001" TargetMode="External" Type="http://schemas.openxmlformats.org/officeDocument/2006/relationships/hyperlink"/><Relationship Id="rId145" Target="http%3A%2F%2Fdx.doi.org%2F10.1016%2Fj.pec.2026.109808" TargetMode="External" Type="http://schemas.openxmlformats.org/officeDocument/2006/relationships/hyperlink"/><Relationship Id="rId146" Target="https%3A%2F%2Fwww.webofscience.com%2Fwos%2Fwoscc%2Ffull-record%2FWOS%3A001843373600001" TargetMode="External" Type="http://schemas.openxmlformats.org/officeDocument/2006/relationships/hyperlink"/><Relationship Id="rId147" Target="http%3A%2F%2Fdx.doi.org%2F10.1016%2Fj.ijmedinf.2026.106637" TargetMode="External" Type="http://schemas.openxmlformats.org/officeDocument/2006/relationships/hyperlink"/><Relationship Id="rId148" Target="https%3A%2F%2Fwww.webofscience.com%2Fwos%2Fwoscc%2Ffull-record%2FWOS%3A001842131300001" TargetMode="External" Type="http://schemas.openxmlformats.org/officeDocument/2006/relationships/hyperlink"/><Relationship Id="rId149" Target="http%3A%2F%2Fdx.doi.org%2F10.1016%2Fj.bspc.2026.111135" TargetMode="External" Type="http://schemas.openxmlformats.org/officeDocument/2006/relationships/hyperlink"/><Relationship Id="rId15" Target="http%3A%2F%2Fdx.doi.org%2F10.1080%2F07853890.2026.2664903" TargetMode="External" Type="http://schemas.openxmlformats.org/officeDocument/2006/relationships/hyperlink"/><Relationship Id="rId150" Target="https%3A%2F%2Fwww.webofscience.com%2Fwos%2Fwoscc%2Ffull-record%2FWOS%3A001840748000001" TargetMode="External" Type="http://schemas.openxmlformats.org/officeDocument/2006/relationships/hyperlink"/><Relationship Id="rId151" Target="http%3A%2F%2Fdx.doi.org%2F10.1016%2Fj.bspc.2026.111184" TargetMode="External" Type="http://schemas.openxmlformats.org/officeDocument/2006/relationships/hyperlink"/><Relationship Id="rId152" Target="https%3A%2F%2Fwww.webofscience.com%2Fwos%2Fwoscc%2Ffull-record%2FWOS%3A001840943000001" TargetMode="External" Type="http://schemas.openxmlformats.org/officeDocument/2006/relationships/hyperlink"/><Relationship Id="rId153" Target="http%3A%2F%2Fdx.doi.org%2F10.1016%2Fj.ijmedinf.2026.106636" TargetMode="External" Type="http://schemas.openxmlformats.org/officeDocument/2006/relationships/hyperlink"/><Relationship Id="rId154" Target="https%3A%2F%2Fwww.webofscience.com%2Fwos%2Fwoscc%2Ffull-record%2FWOS%3A001839908600001" TargetMode="External" Type="http://schemas.openxmlformats.org/officeDocument/2006/relationships/hyperlink"/><Relationship Id="rId155" Target="http%3A%2F%2Fdx.doi.org%2F10.1016%2Fj.ijmedinf.2026.106631" TargetMode="External" Type="http://schemas.openxmlformats.org/officeDocument/2006/relationships/hyperlink"/><Relationship Id="rId156" Target="https%3A%2F%2Fwww.webofscience.com%2Fwos%2Fwoscc%2Ffull-record%2FWOS%3A001839828200001" TargetMode="External" Type="http://schemas.openxmlformats.org/officeDocument/2006/relationships/hyperlink"/><Relationship Id="rId157" Target="http%3A%2F%2Fdx.doi.org%2F10.1016%2Fj.asoc.2026.116089" TargetMode="External" Type="http://schemas.openxmlformats.org/officeDocument/2006/relationships/hyperlink"/><Relationship Id="rId158" Target="https%3A%2F%2Fwww.webofscience.com%2Fwos%2Fwoscc%2Ffull-record%2FWOS%3A001838386100002" TargetMode="External" Type="http://schemas.openxmlformats.org/officeDocument/2006/relationships/hyperlink"/><Relationship Id="rId159" Target="http%3A%2F%2Fdx.doi.org%2F10.1016%2Fj.bspc.2026.111069" TargetMode="External" Type="http://schemas.openxmlformats.org/officeDocument/2006/relationships/hyperlink"/><Relationship Id="rId16" Target="https%3A%2F%2Fwww.webofscience.com%2Fwos%2Fwoscc%2Ffull-record%2FWOS%3A001762373500001" TargetMode="External" Type="http://schemas.openxmlformats.org/officeDocument/2006/relationships/hyperlink"/><Relationship Id="rId160" Target="https%3A%2F%2Fwww.webofscience.com%2Fwos%2Fwoscc%2Ffull-record%2FWOS%3A001837564800001" TargetMode="External" Type="http://schemas.openxmlformats.org/officeDocument/2006/relationships/hyperlink"/><Relationship Id="rId161" Target="http%3A%2F%2Fdx.doi.org%2F10.1016%2Fj.media.2026.104236" TargetMode="External" Type="http://schemas.openxmlformats.org/officeDocument/2006/relationships/hyperlink"/><Relationship Id="rId162" Target="https%3A%2F%2Fwww.webofscience.com%2Fwos%2Fwoscc%2Ffull-record%2FWOS%3A001836324800001" TargetMode="External" Type="http://schemas.openxmlformats.org/officeDocument/2006/relationships/hyperlink"/><Relationship Id="rId163" Target="http%3A%2F%2Fdx.doi.org%2F10.1016%2Fj.compeleceng.2026.111408" TargetMode="External" Type="http://schemas.openxmlformats.org/officeDocument/2006/relationships/hyperlink"/><Relationship Id="rId164" Target="https%3A%2F%2Fwww.webofscience.com%2Fwos%2Fwoscc%2Ffull-record%2FWOS%3A001835685500001" TargetMode="External" Type="http://schemas.openxmlformats.org/officeDocument/2006/relationships/hyperlink"/><Relationship Id="rId165" Target="http%3A%2F%2Fdx.doi.org%2F10.1016%2Fj.media.2026.104232" TargetMode="External" Type="http://schemas.openxmlformats.org/officeDocument/2006/relationships/hyperlink"/><Relationship Id="rId166" Target="https%3A%2F%2Fwww.webofscience.com%2Fwos%2Fwoscc%2Ffull-record%2FWOS%3A001835637900001" TargetMode="External" Type="http://schemas.openxmlformats.org/officeDocument/2006/relationships/hyperlink"/><Relationship Id="rId167" Target="http%3A%2F%2Fdx.doi.org%2F10.1016%2Fj.ejrad.2026.113092" TargetMode="External" Type="http://schemas.openxmlformats.org/officeDocument/2006/relationships/hyperlink"/><Relationship Id="rId168" Target="https%3A%2F%2Fwww.webofscience.com%2Fwos%2Fwoscc%2Ffull-record%2FWOS%3A001833745100001" TargetMode="External" Type="http://schemas.openxmlformats.org/officeDocument/2006/relationships/hyperlink"/><Relationship Id="rId169" Target="http%3A%2F%2Fdx.doi.org%2F10.1016%2Fj.ijmedinf.2026.106630" TargetMode="External" Type="http://schemas.openxmlformats.org/officeDocument/2006/relationships/hyperlink"/><Relationship Id="rId17" Target="http%3A%2F%2Fdx.doi.org%2F10.1080%2F10872981.2026.2671586" TargetMode="External" Type="http://schemas.openxmlformats.org/officeDocument/2006/relationships/hyperlink"/><Relationship Id="rId170" Target="https%3A%2F%2Fwww.webofscience.com%2Fwos%2Fwoscc%2Ffull-record%2FWOS%3A001833449200001" TargetMode="External" Type="http://schemas.openxmlformats.org/officeDocument/2006/relationships/hyperlink"/><Relationship Id="rId171" Target="http%3A%2F%2Fdx.doi.org%2F10.1016%2Fj.jdent.2026.106916" TargetMode="External" Type="http://schemas.openxmlformats.org/officeDocument/2006/relationships/hyperlink"/><Relationship Id="rId172" Target="https%3A%2F%2Fwww.webofscience.com%2Fwos%2Fwoscc%2Ffull-record%2FWOS%3A001835118800001" TargetMode="External" Type="http://schemas.openxmlformats.org/officeDocument/2006/relationships/hyperlink"/><Relationship Id="rId173" Target="http%3A%2F%2Fdx.doi.org%2F10.1016%2Fj.asoc.2026.116016" TargetMode="External" Type="http://schemas.openxmlformats.org/officeDocument/2006/relationships/hyperlink"/><Relationship Id="rId174" Target="https%3A%2F%2Fwww.webofscience.com%2Fwos%2Fwoscc%2Ffull-record%2FWOS%3A001832718000001" TargetMode="External" Type="http://schemas.openxmlformats.org/officeDocument/2006/relationships/hyperlink"/><Relationship Id="rId175" Target="http%3A%2F%2Fdx.doi.org%2F10.1016%2Fj.artmed.2026.103488" TargetMode="External" Type="http://schemas.openxmlformats.org/officeDocument/2006/relationships/hyperlink"/><Relationship Id="rId176" Target="https%3A%2F%2Fwww.webofscience.com%2Fwos%2Fwoscc%2Ffull-record%2FWOS%3A001832723600001" TargetMode="External" Type="http://schemas.openxmlformats.org/officeDocument/2006/relationships/hyperlink"/><Relationship Id="rId177" Target="http%3A%2F%2Fdx.doi.org%2F10.1016%2Fj.ijmedinf.2026.106623" TargetMode="External" Type="http://schemas.openxmlformats.org/officeDocument/2006/relationships/hyperlink"/><Relationship Id="rId178" Target="https%3A%2F%2Fwww.webofscience.com%2Fwos%2Fwoscc%2Ffull-record%2FWOS%3A001831408200001" TargetMode="External" Type="http://schemas.openxmlformats.org/officeDocument/2006/relationships/hyperlink"/><Relationship Id="rId179" Target="http%3A%2F%2Fdx.doi.org%2F10.1016%2Fj.ijmedinf.2026.106628" TargetMode="External" Type="http://schemas.openxmlformats.org/officeDocument/2006/relationships/hyperlink"/><Relationship Id="rId18" Target="https%3A%2F%2Fwww.webofscience.com%2Fwos%2Fwoscc%2Ffull-record%2FWOS%3A001762354400001" TargetMode="External" Type="http://schemas.openxmlformats.org/officeDocument/2006/relationships/hyperlink"/><Relationship Id="rId180" Target="https%3A%2F%2Fwww.webofscience.com%2Fwos%2Fwoscc%2Ffull-record%2FWOS%3A001831439300001" TargetMode="External" Type="http://schemas.openxmlformats.org/officeDocument/2006/relationships/hyperlink"/><Relationship Id="rId181" Target="http%3A%2F%2Fdx.doi.org%2F10.1016%2Fj.nedt.2026.107280" TargetMode="External" Type="http://schemas.openxmlformats.org/officeDocument/2006/relationships/hyperlink"/><Relationship Id="rId182" Target="https%3A%2F%2Fwww.webofscience.com%2Fwos%2Fwoscc%2Ffull-record%2FWOS%3A001829988700001" TargetMode="External" Type="http://schemas.openxmlformats.org/officeDocument/2006/relationships/hyperlink"/><Relationship Id="rId183" Target="http%3A%2F%2Fdx.doi.org%2F10.1016%2Fj.nedt.2026.107275" TargetMode="External" Type="http://schemas.openxmlformats.org/officeDocument/2006/relationships/hyperlink"/><Relationship Id="rId184" Target="https%3A%2F%2Fwww.webofscience.com%2Fwos%2Fwoscc%2Ffull-record%2FWOS%3A001828759200001" TargetMode="External" Type="http://schemas.openxmlformats.org/officeDocument/2006/relationships/hyperlink"/><Relationship Id="rId185" Target="http%3A%2F%2Fdx.doi.org%2F10.1016%2Fj.bspc.2026.110987" TargetMode="External" Type="http://schemas.openxmlformats.org/officeDocument/2006/relationships/hyperlink"/><Relationship Id="rId186" Target="https%3A%2F%2Fwww.webofscience.com%2Fwos%2Fwoscc%2Ffull-record%2FWOS%3A001827171400001" TargetMode="External" Type="http://schemas.openxmlformats.org/officeDocument/2006/relationships/hyperlink"/><Relationship Id="rId187" Target="http%3A%2F%2Fdx.doi.org%2F10.1016%2Fj.compeleceng.2026.111365" TargetMode="External" Type="http://schemas.openxmlformats.org/officeDocument/2006/relationships/hyperlink"/><Relationship Id="rId188" Target="https%3A%2F%2Fwww.webofscience.com%2Fwos%2Fwoscc%2Ffull-record%2FWOS%3A001827288900001" TargetMode="External" Type="http://schemas.openxmlformats.org/officeDocument/2006/relationships/hyperlink"/><Relationship Id="rId189" Target="http%3A%2F%2Fdx.doi.org%2F10.1016%2Fj.ijmedinf.2026.106594" TargetMode="External" Type="http://schemas.openxmlformats.org/officeDocument/2006/relationships/hyperlink"/><Relationship Id="rId19" Target="http%3A%2F%2Fdx.doi.org%2F10.1080%2F0886022X.2026.2658349" TargetMode="External" Type="http://schemas.openxmlformats.org/officeDocument/2006/relationships/hyperlink"/><Relationship Id="rId190" Target="https%3A%2F%2Fwww.webofscience.com%2Fwos%2Fwoscc%2Ffull-record%2FWOS%3A001824993600001" TargetMode="External" Type="http://schemas.openxmlformats.org/officeDocument/2006/relationships/hyperlink"/><Relationship Id="rId191" Target="http%3A%2F%2Fdx.doi.org%2F10.1016%2Fj.ijmedinf.2026.106598" TargetMode="External" Type="http://schemas.openxmlformats.org/officeDocument/2006/relationships/hyperlink"/><Relationship Id="rId192" Target="https%3A%2F%2Fwww.webofscience.com%2Fwos%2Fwoscc%2Ffull-record%2FWOS%3A001825120700001" TargetMode="External" Type="http://schemas.openxmlformats.org/officeDocument/2006/relationships/hyperlink"/><Relationship Id="rId193" Target="http%3A%2F%2Fdx.doi.org%2F10.1016%2Fj.jad.2026.122123" TargetMode="External" Type="http://schemas.openxmlformats.org/officeDocument/2006/relationships/hyperlink"/><Relationship Id="rId194" Target="https%3A%2F%2Fwww.webofscience.com%2Fwos%2Fwoscc%2Ffull-record%2FWOS%3A001799072500001" TargetMode="External" Type="http://schemas.openxmlformats.org/officeDocument/2006/relationships/hyperlink"/><Relationship Id="rId195" Target="http%3A%2F%2Fdx.doi.org%2F10.1016%2Fj.nedt.2026.107214" TargetMode="External" Type="http://schemas.openxmlformats.org/officeDocument/2006/relationships/hyperlink"/><Relationship Id="rId196" Target="https%3A%2F%2Fwww.webofscience.com%2Fwos%2Fwoscc%2Ffull-record%2FWOS%3A001792855500001" TargetMode="External" Type="http://schemas.openxmlformats.org/officeDocument/2006/relationships/hyperlink"/><Relationship Id="rId197" Target="http%3A%2F%2Fdx.doi.org%2F10.1016%2Fj.jad.2026.122058" TargetMode="External" Type="http://schemas.openxmlformats.org/officeDocument/2006/relationships/hyperlink"/><Relationship Id="rId198" Target="https%3A%2F%2Fwww.webofscience.com%2Fwos%2Fwoscc%2Ffull-record%2FWOS%3A001789583900001" TargetMode="External" Type="http://schemas.openxmlformats.org/officeDocument/2006/relationships/hyperlink"/><Relationship Id="rId199" Target="http%3A%2F%2Fdx.doi.org%2F10.1016%2Fj.nedt.2026.107188" TargetMode="External" Type="http://schemas.openxmlformats.org/officeDocument/2006/relationships/hyperlink"/><Relationship Id="rId2" Target="https%3A%2F%2Fwww.webofscience.com%2Fwos%2Fwoscc%2Ffull-record%2FWOS%3A001841353500001" TargetMode="External" Type="http://schemas.openxmlformats.org/officeDocument/2006/relationships/hyperlink"/><Relationship Id="rId20" Target="https%3A%2F%2Fwww.webofscience.com%2Fwos%2Fwoscc%2Ffull-record%2FWOS%3A001747006700001" TargetMode="External" Type="http://schemas.openxmlformats.org/officeDocument/2006/relationships/hyperlink"/><Relationship Id="rId200" Target="https%3A%2F%2Fwww.webofscience.com%2Fwos%2Fwoscc%2Ffull-record%2FWOS%3A001787623100001" TargetMode="External" Type="http://schemas.openxmlformats.org/officeDocument/2006/relationships/hyperlink"/><Relationship Id="rId21" Target="http%3A%2F%2Fdx.doi.org%2F10.1080%2F10872981.2026.2655562" TargetMode="External" Type="http://schemas.openxmlformats.org/officeDocument/2006/relationships/hyperlink"/><Relationship Id="rId22" Target="https%3A%2F%2Fwww.webofscience.com%2Fwos%2Fwoscc%2Ffull-record%2FWOS%3A001732904000001" TargetMode="External" Type="http://schemas.openxmlformats.org/officeDocument/2006/relationships/hyperlink"/><Relationship Id="rId23" Target="http%3A%2F%2Fdx.doi.org%2F10.1080%2F10872981.2026.2639203" TargetMode="External" Type="http://schemas.openxmlformats.org/officeDocument/2006/relationships/hyperlink"/><Relationship Id="rId24" Target="https%3A%2F%2Fwww.webofscience.com%2Fwos%2Fwoscc%2Ffull-record%2FWOS%3A001705281400001" TargetMode="External" Type="http://schemas.openxmlformats.org/officeDocument/2006/relationships/hyperlink"/><Relationship Id="rId25" Target="http%3A%2F%2Fdx.doi.org%2F10.1080%2F21693277.2026.2632468" TargetMode="External" Type="http://schemas.openxmlformats.org/officeDocument/2006/relationships/hyperlink"/><Relationship Id="rId26" Target="https%3A%2F%2Fwww.webofscience.com%2Fwos%2Fwoscc%2Ffull-record%2FWOS%3A001696570400001" TargetMode="External" Type="http://schemas.openxmlformats.org/officeDocument/2006/relationships/hyperlink"/><Relationship Id="rId27" Target="http%3A%2F%2Fdx.doi.org%2F10.1080%2F07853890.2026.2625580" TargetMode="External" Type="http://schemas.openxmlformats.org/officeDocument/2006/relationships/hyperlink"/><Relationship Id="rId28" Target="https%3A%2F%2Fwww.webofscience.com%2Fwos%2Fwoscc%2Ffull-record%2FWOS%3A001686733600001" TargetMode="External" Type="http://schemas.openxmlformats.org/officeDocument/2006/relationships/hyperlink"/><Relationship Id="rId29" Target="http%3A%2F%2Fdx.doi.org%2F10.1080%2F17482631.2026.2621802" TargetMode="External" Type="http://schemas.openxmlformats.org/officeDocument/2006/relationships/hyperlink"/><Relationship Id="rId3" Target="http%3A%2F%2Fdx.doi.org%2F10.1080%2F10872981.2026.2713347" TargetMode="External" Type="http://schemas.openxmlformats.org/officeDocument/2006/relationships/hyperlink"/><Relationship Id="rId30" Target="https%3A%2F%2Fwww.webofscience.com%2Fwos%2Fwoscc%2Ffull-record%2FWOS%3A001672054100001" TargetMode="External" Type="http://schemas.openxmlformats.org/officeDocument/2006/relationships/hyperlink"/><Relationship Id="rId31" Target="http%3A%2F%2Fdx.doi.org%2F10.1080%2F10872981.2025.2611632" TargetMode="External" Type="http://schemas.openxmlformats.org/officeDocument/2006/relationships/hyperlink"/><Relationship Id="rId32" Target="https%3A%2F%2Fwww.webofscience.com%2Fwos%2Fwoscc%2Ffull-record%2FWOS%3A001657917600001" TargetMode="External" Type="http://schemas.openxmlformats.org/officeDocument/2006/relationships/hyperlink"/><Relationship Id="rId33" Target="http%3A%2F%2Fdx.doi.org%2F10.1016%2Fj.eswa.2026.133320" TargetMode="External" Type="http://schemas.openxmlformats.org/officeDocument/2006/relationships/hyperlink"/><Relationship Id="rId34" Target="https%3A%2F%2Fwww.webofscience.com%2Fwos%2Fwoscc%2Ffull-record%2FWOS%3A001807840800003" TargetMode="External" Type="http://schemas.openxmlformats.org/officeDocument/2006/relationships/hyperlink"/><Relationship Id="rId35" Target="http%3A%2F%2Fdx.doi.org%2F10.1016%2Fj.eswa.2026.133226" TargetMode="External" Type="http://schemas.openxmlformats.org/officeDocument/2006/relationships/hyperlink"/><Relationship Id="rId36" Target="https%3A%2F%2Fwww.webofscience.com%2Fwos%2Fwoscc%2Ffull-record%2FWOS%3A001805856600001" TargetMode="External" Type="http://schemas.openxmlformats.org/officeDocument/2006/relationships/hyperlink"/><Relationship Id="rId37" Target="http%3A%2F%2Fdx.doi.org%2F10.1016%2Fj.eswa.2026.133192" TargetMode="External" Type="http://schemas.openxmlformats.org/officeDocument/2006/relationships/hyperlink"/><Relationship Id="rId38" Target="https%3A%2F%2Fwww.webofscience.com%2Fwos%2Fwoscc%2Ffull-record%2FWOS%3A001805856600002" TargetMode="External" Type="http://schemas.openxmlformats.org/officeDocument/2006/relationships/hyperlink"/><Relationship Id="rId39" Target="http%3A%2F%2Fdx.doi.org%2F10.1080%2F02813432.2026.2681143" TargetMode="External" Type="http://schemas.openxmlformats.org/officeDocument/2006/relationships/hyperlink"/><Relationship Id="rId4" Target="https%3A%2F%2Fwww.webofscience.com%2Fwos%2Fwoscc%2Ffull-record%2FWOS%3A001840384600001" TargetMode="External" Type="http://schemas.openxmlformats.org/officeDocument/2006/relationships/hyperlink"/><Relationship Id="rId40" Target="https%3A%2F%2Fwww.webofscience.com%2Fwos%2Fwoscc%2Ffull-record%2FWOS%3A001783727100001" TargetMode="External" Type="http://schemas.openxmlformats.org/officeDocument/2006/relationships/hyperlink"/><Relationship Id="rId41" Target="http%3A%2F%2Fdx.doi.org%2F10.1016%2Fj.ins.2026.123930" TargetMode="External" Type="http://schemas.openxmlformats.org/officeDocument/2006/relationships/hyperlink"/><Relationship Id="rId42" Target="https%3A%2F%2Fwww.webofscience.com%2Fwos%2Fwoscc%2Ffull-record%2FWOS%3A001836028500001" TargetMode="External" Type="http://schemas.openxmlformats.org/officeDocument/2006/relationships/hyperlink"/><Relationship Id="rId43" Target="http%3A%2F%2Fdx.doi.org%2F10.1016%2Fj.bspc.2026.111275" TargetMode="External" Type="http://schemas.openxmlformats.org/officeDocument/2006/relationships/hyperlink"/><Relationship Id="rId44" Target="https%3A%2F%2Fwww.webofscience.com%2Fwos%2Fwoscc%2Ffull-record%2FWOS%3A001853375300002" TargetMode="External" Type="http://schemas.openxmlformats.org/officeDocument/2006/relationships/hyperlink"/><Relationship Id="rId45" Target="http%3A%2F%2Fdx.doi.org%2F10.1016%2Fj.bspc.2026.111226" TargetMode="External" Type="http://schemas.openxmlformats.org/officeDocument/2006/relationships/hyperlink"/><Relationship Id="rId46" Target="https%3A%2F%2Fwww.webofscience.com%2Fwos%2Fwoscc%2Ffull-record%2FWOS%3A001852216600002" TargetMode="External" Type="http://schemas.openxmlformats.org/officeDocument/2006/relationships/hyperlink"/><Relationship Id="rId47" Target="http%3A%2F%2Fdx.doi.org%2F10.1016%2Fj.lpm.2026.104376" TargetMode="External" Type="http://schemas.openxmlformats.org/officeDocument/2006/relationships/hyperlink"/><Relationship Id="rId48" Target="https%3A%2F%2Fwww.webofscience.com%2Fwos%2Fwoscc%2Ffull-record%2FWOS%3A001847577500001" TargetMode="External" Type="http://schemas.openxmlformats.org/officeDocument/2006/relationships/hyperlink"/><Relationship Id="rId49" Target="http%3A%2F%2Fdx.doi.org%2F10.1016%2Fj.nedt.2026.107326" TargetMode="External" Type="http://schemas.openxmlformats.org/officeDocument/2006/relationships/hyperlink"/><Relationship Id="rId5" Target="http%3A%2F%2Fdx.doi.org%2F10.1080%2F01652176.2026.2705200" TargetMode="External" Type="http://schemas.openxmlformats.org/officeDocument/2006/relationships/hyperlink"/><Relationship Id="rId50" Target="https%3A%2F%2Fwww.webofscience.com%2Fwos%2Fwoscc%2Ffull-record%2FWOS%3A001850472300001" TargetMode="External" Type="http://schemas.openxmlformats.org/officeDocument/2006/relationships/hyperlink"/><Relationship Id="rId51" Target="http%3A%2F%2Fdx.doi.org%2F10.1016%2Fj.caeai.2026.100654" TargetMode="External" Type="http://schemas.openxmlformats.org/officeDocument/2006/relationships/hyperlink"/><Relationship Id="rId52" Target="https%3A%2F%2Fwww.webofscience.com%2Fwos%2Fwoscc%2Ffull-record%2FWOS%3A001846525600001" TargetMode="External" Type="http://schemas.openxmlformats.org/officeDocument/2006/relationships/hyperlink"/><Relationship Id="rId53" Target="http%3A%2F%2Fdx.doi.org%2F10.1016%2Fj.jdent.2026.106947" TargetMode="External" Type="http://schemas.openxmlformats.org/officeDocument/2006/relationships/hyperlink"/><Relationship Id="rId54" Target="https%3A%2F%2Fwww.webofscience.com%2Fwos%2Fwoscc%2Ffull-record%2FWOS%3A001846229300001" TargetMode="External" Type="http://schemas.openxmlformats.org/officeDocument/2006/relationships/hyperlink"/><Relationship Id="rId55" Target="http%3A%2F%2Fdx.doi.org%2F10.1016%2Fj.jdent.2026.106828" TargetMode="External" Type="http://schemas.openxmlformats.org/officeDocument/2006/relationships/hyperlink"/><Relationship Id="rId56" Target="https%3A%2F%2Fwww.webofscience.com%2Fwos%2Fwoscc%2Ffull-record%2FWOS%3A001843998200001" TargetMode="External" Type="http://schemas.openxmlformats.org/officeDocument/2006/relationships/hyperlink"/><Relationship Id="rId57" Target="http%3A%2F%2Fdx.doi.org%2F10.1016%2Fj.jdent.2026.106864" TargetMode="External" Type="http://schemas.openxmlformats.org/officeDocument/2006/relationships/hyperlink"/><Relationship Id="rId58" Target="https%3A%2F%2Fwww.webofscience.com%2Fwos%2Fwoscc%2Ffull-record%2FWOS%3A001843373500001" TargetMode="External" Type="http://schemas.openxmlformats.org/officeDocument/2006/relationships/hyperlink"/><Relationship Id="rId59" Target="http%3A%2F%2Fdx.doi.org%2F10.1016%2Fj.jdent.2026.106875" TargetMode="External" Type="http://schemas.openxmlformats.org/officeDocument/2006/relationships/hyperlink"/><Relationship Id="rId6" Target="https%3A%2F%2Fwww.webofscience.com%2Fwos%2Fwoscc%2Ffull-record%2FWOS%3A001840063400001" TargetMode="External" Type="http://schemas.openxmlformats.org/officeDocument/2006/relationships/hyperlink"/><Relationship Id="rId60" Target="https%3A%2F%2Fwww.webofscience.com%2Fwos%2Fwoscc%2Ffull-record%2FWOS%3A001843378900001" TargetMode="External" Type="http://schemas.openxmlformats.org/officeDocument/2006/relationships/hyperlink"/><Relationship Id="rId61" Target="http%3A%2F%2Fdx.doi.org%2F10.1016%2Fj.jdent.2026.106853" TargetMode="External" Type="http://schemas.openxmlformats.org/officeDocument/2006/relationships/hyperlink"/><Relationship Id="rId62" Target="https%3A%2F%2Fwww.webofscience.com%2Fwos%2Fwoscc%2Ffull-record%2FWOS%3A001843372300001" TargetMode="External" Type="http://schemas.openxmlformats.org/officeDocument/2006/relationships/hyperlink"/><Relationship Id="rId63" Target="http%3A%2F%2Fdx.doi.org%2F10.1016%2Fj.caeai.2026.100655" TargetMode="External" Type="http://schemas.openxmlformats.org/officeDocument/2006/relationships/hyperlink"/><Relationship Id="rId64" Target="https%3A%2F%2Fwww.webofscience.com%2Fwos%2Fwoscc%2Ffull-record%2FWOS%3A001842582600001" TargetMode="External" Type="http://schemas.openxmlformats.org/officeDocument/2006/relationships/hyperlink"/><Relationship Id="rId65" Target="http%3A%2F%2Fdx.doi.org%2F10.1016%2Fj.ejro.2026.100804" TargetMode="External" Type="http://schemas.openxmlformats.org/officeDocument/2006/relationships/hyperlink"/><Relationship Id="rId66" Target="https%3A%2F%2Fwww.webofscience.com%2Fwos%2Fwoscc%2Ffull-record%2FWOS%3A001842117200001" TargetMode="External" Type="http://schemas.openxmlformats.org/officeDocument/2006/relationships/hyperlink"/><Relationship Id="rId67" Target="http%3A%2F%2Fdx.doi.org%2F10.1016%2Fj.displa.2026.103650" TargetMode="External" Type="http://schemas.openxmlformats.org/officeDocument/2006/relationships/hyperlink"/><Relationship Id="rId68" Target="https%3A%2F%2Fwww.webofscience.com%2Fwos%2Fwoscc%2Ffull-record%2FWOS%3A001840800300001" TargetMode="External" Type="http://schemas.openxmlformats.org/officeDocument/2006/relationships/hyperlink"/><Relationship Id="rId69" Target="http%3A%2F%2Fdx.doi.org%2F10.1016%2Fj.mex.2026.104062" TargetMode="External" Type="http://schemas.openxmlformats.org/officeDocument/2006/relationships/hyperlink"/><Relationship Id="rId7" Target="http%3A%2F%2Fdx.doi.org%2F10.1080%2F08839514.2026.2700905" TargetMode="External" Type="http://schemas.openxmlformats.org/officeDocument/2006/relationships/hyperlink"/><Relationship Id="rId70" Target="https%3A%2F%2Fwww.webofscience.com%2Fwos%2Fwoscc%2Ffull-record%2FWOS%3A001840868100001" TargetMode="External" Type="http://schemas.openxmlformats.org/officeDocument/2006/relationships/hyperlink"/><Relationship Id="rId71" Target="http%3A%2F%2Fdx.doi.org%2F10.1016%2Fj.caeai.2026.100641" TargetMode="External" Type="http://schemas.openxmlformats.org/officeDocument/2006/relationships/hyperlink"/><Relationship Id="rId72" Target="https%3A%2F%2Fwww.webofscience.com%2Fwos%2Fwoscc%2Ffull-record%2FWOS%3A001839983700001" TargetMode="External" Type="http://schemas.openxmlformats.org/officeDocument/2006/relationships/hyperlink"/><Relationship Id="rId73" Target="http%3A%2F%2Fdx.doi.org%2F10.1016%2Fj.nedt.2026.107310" TargetMode="External" Type="http://schemas.openxmlformats.org/officeDocument/2006/relationships/hyperlink"/><Relationship Id="rId74" Target="https%3A%2F%2Fwww.webofscience.com%2Fwos%2Fwoscc%2Ffull-record%2FWOS%3A001839905200001" TargetMode="External" Type="http://schemas.openxmlformats.org/officeDocument/2006/relationships/hyperlink"/><Relationship Id="rId75" Target="http%3A%2F%2Fdx.doi.org%2F10.1016%2Fj.nedt.2026.107303" TargetMode="External" Type="http://schemas.openxmlformats.org/officeDocument/2006/relationships/hyperlink"/><Relationship Id="rId76" Target="https%3A%2F%2Fwww.webofscience.com%2Fwos%2Fwoscc%2Ffull-record%2FWOS%3A001837445100001" TargetMode="External" Type="http://schemas.openxmlformats.org/officeDocument/2006/relationships/hyperlink"/><Relationship Id="rId77" Target="http%3A%2F%2Fdx.doi.org%2F10.1016%2Fj.nedt.2026.107299" TargetMode="External" Type="http://schemas.openxmlformats.org/officeDocument/2006/relationships/hyperlink"/><Relationship Id="rId78" Target="https%3A%2F%2Fwww.webofscience.com%2Fwos%2Fwoscc%2Ffull-record%2FWOS%3A001837448100001" TargetMode="External" Type="http://schemas.openxmlformats.org/officeDocument/2006/relationships/hyperlink"/><Relationship Id="rId79" Target="http%3A%2F%2Fdx.doi.org%2F10.1016%2Fj.rineng.2026.112188" TargetMode="External" Type="http://schemas.openxmlformats.org/officeDocument/2006/relationships/hyperlink"/><Relationship Id="rId8" Target="https%3A%2F%2Fwww.webofscience.com%2Fwos%2Fwoscc%2Ffull-record%2FWOS%3A001823953600001" TargetMode="External" Type="http://schemas.openxmlformats.org/officeDocument/2006/relationships/hyperlink"/><Relationship Id="rId80" Target="https%3A%2F%2Fwww.webofscience.com%2Fwos%2Fwoscc%2Ffull-record%2FWOS%3A001838793900001" TargetMode="External" Type="http://schemas.openxmlformats.org/officeDocument/2006/relationships/hyperlink"/><Relationship Id="rId81" Target="http%3A%2F%2Fdx.doi.org%2F10.1016%2Fj.ortho.2026.101216" TargetMode="External" Type="http://schemas.openxmlformats.org/officeDocument/2006/relationships/hyperlink"/><Relationship Id="rId82" Target="https%3A%2F%2Fwww.webofscience.com%2Fwos%2Fwoscc%2Ffull-record%2FWOS%3A001837302000001" TargetMode="External" Type="http://schemas.openxmlformats.org/officeDocument/2006/relationships/hyperlink"/><Relationship Id="rId83" Target="http%3A%2F%2Fdx.doi.org%2F10.4114%2Fintartif.vol29iss78pp1-20" TargetMode="External" Type="http://schemas.openxmlformats.org/officeDocument/2006/relationships/hyperlink"/><Relationship Id="rId84" Target="https%3A%2F%2Fwww.webofscience.com%2Fwos%2Fwoscc%2Ffull-record%2FWOS%3A001834640900001" TargetMode="External" Type="http://schemas.openxmlformats.org/officeDocument/2006/relationships/hyperlink"/><Relationship Id="rId85" Target="http%3A%2F%2Fdx.doi.org%2F10.1016%2Fj.lpm.2026.104370" TargetMode="External" Type="http://schemas.openxmlformats.org/officeDocument/2006/relationships/hyperlink"/><Relationship Id="rId86" Target="https%3A%2F%2Fwww.webofscience.com%2Fwos%2Fwoscc%2Ffull-record%2FWOS%3A001834058900001" TargetMode="External" Type="http://schemas.openxmlformats.org/officeDocument/2006/relationships/hyperlink"/><Relationship Id="rId87" Target="http%3A%2F%2Fdx.doi.org%2F10.1016%2Fj.lpm.2026.104371" TargetMode="External" Type="http://schemas.openxmlformats.org/officeDocument/2006/relationships/hyperlink"/><Relationship Id="rId88" Target="https%3A%2F%2Fwww.webofscience.com%2Fwos%2Fwoscc%2Ffull-record%2FWOS%3A001825331000001" TargetMode="External" Type="http://schemas.openxmlformats.org/officeDocument/2006/relationships/hyperlink"/><Relationship Id="rId89" Target="http%3A%2F%2Fdx.doi.org%2F10.1016%2Fj.inffus.2026.104558" TargetMode="External" Type="http://schemas.openxmlformats.org/officeDocument/2006/relationships/hyperlink"/><Relationship Id="rId9" Target="http%3A%2F%2Fdx.doi.org%2F10.1080%2F01443615.2026.2695784" TargetMode="External" Type="http://schemas.openxmlformats.org/officeDocument/2006/relationships/hyperlink"/><Relationship Id="rId90" Target="https%3A%2F%2Fwww.webofscience.com%2Fwos%2Fwoscc%2Ffull-record%2FWOS%3A001808955500001" TargetMode="External" Type="http://schemas.openxmlformats.org/officeDocument/2006/relationships/hyperlink"/><Relationship Id="rId91" Target="http%3A%2F%2Fdx.doi.org%2F10.1016%2Fj.patcog.2026.114198" TargetMode="External" Type="http://schemas.openxmlformats.org/officeDocument/2006/relationships/hyperlink"/><Relationship Id="rId92" Target="https%3A%2F%2Fwww.webofscience.com%2Fwos%2Fwoscc%2Ffull-record%2FWOS%3A001801549600001" TargetMode="External" Type="http://schemas.openxmlformats.org/officeDocument/2006/relationships/hyperlink"/><Relationship Id="rId93" Target="http%3A%2F%2Fdx.doi.org%2F10.1016%2Fj.inffus.2026.104507" TargetMode="External" Type="http://schemas.openxmlformats.org/officeDocument/2006/relationships/hyperlink"/><Relationship Id="rId94" Target="https%3A%2F%2Fwww.webofscience.com%2Fwos%2Fwoscc%2Ffull-record%2FWOS%3A001798397000001" TargetMode="External" Type="http://schemas.openxmlformats.org/officeDocument/2006/relationships/hyperlink"/><Relationship Id="rId95" Target="http%3A%2F%2Fdx.doi.org%2F10.1016%2Fj.patcog.2026.114170" TargetMode="External" Type="http://schemas.openxmlformats.org/officeDocument/2006/relationships/hyperlink"/><Relationship Id="rId96" Target="https%3A%2F%2Fwww.webofscience.com%2Fwos%2Fwoscc%2Ffull-record%2FWOS%3A001798989900001" TargetMode="External" Type="http://schemas.openxmlformats.org/officeDocument/2006/relationships/hyperlink"/><Relationship Id="rId97" Target="http%3A%2F%2Fdx.doi.org%2F10.1016%2Fj.inffus.2026.104530" TargetMode="External" Type="http://schemas.openxmlformats.org/officeDocument/2006/relationships/hyperlink"/><Relationship Id="rId98" Target="https%3A%2F%2Fwww.webofscience.com%2Fwos%2Fwoscc%2Ffull-record%2FWOS%3A001797067500001" TargetMode="External" Type="http://schemas.openxmlformats.org/officeDocument/2006/relationships/hyperlink"/><Relationship Id="rId99" Target="http%3A%2F%2Fdx.doi.org%2F10.1016%2Fj.patcog.2026.11413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102"/>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85</v>
      </c>
      <c r="M2" t="s" s="0">
        <v>86</v>
      </c>
      <c r="N2" t="s" s="0">
        <v>87</v>
      </c>
      <c r="O2" t="s" s="0">
        <v>88</v>
      </c>
      <c r="P2" t="s" s="0">
        <v>89</v>
      </c>
      <c r="Q2" t="s" s="0">
        <v>90</v>
      </c>
      <c r="R2" t="s" s="0">
        <v>81</v>
      </c>
      <c r="S2" t="s" s="0">
        <v>81</v>
      </c>
      <c r="T2" t="s" s="0">
        <v>81</v>
      </c>
      <c r="U2" t="s" s="0">
        <v>81</v>
      </c>
      <c r="V2" t="s" s="0">
        <v>91</v>
      </c>
      <c r="W2" t="s" s="0">
        <v>92</v>
      </c>
      <c r="X2" t="s" s="0">
        <v>81</v>
      </c>
      <c r="Y2" t="s" s="0">
        <v>81</v>
      </c>
      <c r="Z2" t="s" s="0">
        <v>93</v>
      </c>
      <c r="AA2" t="s" s="0">
        <v>94</v>
      </c>
      <c r="AB2" t="s" s="0">
        <v>81</v>
      </c>
      <c r="AC2" t="s" s="0">
        <v>81</v>
      </c>
      <c r="AD2" t="s" s="0">
        <v>81</v>
      </c>
      <c r="AE2" t="s" s="0">
        <v>81</v>
      </c>
      <c r="AF2" t="s" s="0">
        <v>81</v>
      </c>
      <c r="AG2" t="s" s="0">
        <v>95</v>
      </c>
      <c r="AH2" t="s" s="0">
        <v>81</v>
      </c>
      <c r="AI2" t="s" s="0">
        <v>81</v>
      </c>
      <c r="AJ2" t="s" s="0">
        <v>81</v>
      </c>
      <c r="AK2" t="s" s="0">
        <v>81</v>
      </c>
      <c r="AL2" t="s" s="0">
        <v>96</v>
      </c>
      <c r="AM2" t="s" s="0">
        <v>77</v>
      </c>
      <c r="AN2" t="s" s="0">
        <v>77</v>
      </c>
      <c r="AO2" t="s" s="0">
        <v>77</v>
      </c>
      <c r="AP2" t="s" s="0">
        <v>77</v>
      </c>
      <c r="AQ2" t="s" s="0">
        <v>97</v>
      </c>
      <c r="AR2" t="s" s="0">
        <v>98</v>
      </c>
      <c r="AS2" t="s" s="0">
        <v>99</v>
      </c>
      <c r="AT2" t="s" s="0">
        <v>100</v>
      </c>
      <c r="AU2" t="s" s="0">
        <v>101</v>
      </c>
      <c r="AV2" t="s" s="0">
        <v>81</v>
      </c>
      <c r="AW2" t="s" s="0">
        <v>102</v>
      </c>
      <c r="AX2" t="s" s="0">
        <v>103</v>
      </c>
      <c r="AY2" t="s" s="0">
        <v>104</v>
      </c>
      <c r="AZ2" t="s" s="0">
        <v>105</v>
      </c>
      <c r="BA2" t="s" s="0">
        <v>106</v>
      </c>
      <c r="BB2" t="s" s="0">
        <v>107</v>
      </c>
      <c r="BC2" t="s" s="0">
        <v>81</v>
      </c>
      <c r="BD2" t="s" s="0">
        <v>81</v>
      </c>
      <c r="BE2" t="s" s="0">
        <v>81</v>
      </c>
      <c r="BF2" t="s" s="0">
        <v>81</v>
      </c>
      <c r="BG2" t="s" s="0">
        <v>81</v>
      </c>
      <c r="BH2" t="s" s="0">
        <v>81</v>
      </c>
      <c r="BI2" t="s" s="0">
        <v>108</v>
      </c>
      <c r="BJ2" t="s" s="0">
        <v>109</v>
      </c>
      <c r="BK2" t="s" s="1">
        <f>HYPERLINK("http://dx.doi.org/10.1080/00049530.2026.2710168","http://dx.doi.org/10.1080/00049530.2026.2710168")</f>
        <v>110</v>
      </c>
      <c r="BL2" t="s" s="0">
        <v>81</v>
      </c>
      <c r="BM2" t="s" s="0">
        <v>81</v>
      </c>
      <c r="BN2" t="s" s="0">
        <v>111</v>
      </c>
      <c r="BO2" t="s" s="0">
        <v>112</v>
      </c>
      <c r="BP2" t="s" s="0">
        <v>113</v>
      </c>
      <c r="BQ2" t="s" s="0">
        <v>114</v>
      </c>
      <c r="BR2" t="s" s="0">
        <v>81</v>
      </c>
      <c r="BS2" t="s" s="0">
        <v>115</v>
      </c>
      <c r="BT2" t="s" s="2">
        <f>HYPERLINK("https://www.webofscience.com/wos/woscc/full-record/WOS:001841353500001","View Record in Web of Science")</f>
        <v>116</v>
      </c>
      <c r="BU2" t="s" s="0">
        <v>117</v>
      </c>
      <c r="BV2" t="s" s="0">
        <v>81</v>
      </c>
      <c r="BW2" t="s" s="0">
        <v>81</v>
      </c>
      <c r="BX2" t="s" s="0">
        <v>118</v>
      </c>
    </row>
    <row r="3">
      <c r="A3" t="s" s="0">
        <v>77</v>
      </c>
      <c r="B3" t="s" s="0">
        <v>77</v>
      </c>
      <c r="C3" t="s" s="0">
        <v>77</v>
      </c>
      <c r="D3" t="s" s="0">
        <v>77</v>
      </c>
      <c r="E3" t="s" s="0">
        <v>119</v>
      </c>
      <c r="F3" t="s" s="0">
        <v>120</v>
      </c>
      <c r="G3" t="s" s="0">
        <v>121</v>
      </c>
      <c r="H3" t="s" s="0">
        <v>81</v>
      </c>
      <c r="I3" t="s" s="0">
        <v>82</v>
      </c>
      <c r="J3" t="s" s="0">
        <v>122</v>
      </c>
      <c r="K3" t="s" s="0">
        <v>123</v>
      </c>
      <c r="L3" t="s" s="0">
        <v>81</v>
      </c>
      <c r="M3" t="s" s="0">
        <v>81</v>
      </c>
      <c r="N3" t="s" s="0">
        <v>81</v>
      </c>
      <c r="O3" t="s" s="0">
        <v>124</v>
      </c>
      <c r="P3" t="s" s="0">
        <v>125</v>
      </c>
      <c r="Q3" t="s" s="0">
        <v>90</v>
      </c>
      <c r="R3" t="s" s="0">
        <v>81</v>
      </c>
      <c r="S3" t="s" s="0">
        <v>81</v>
      </c>
      <c r="T3" t="s" s="0">
        <v>81</v>
      </c>
      <c r="U3" t="s" s="0">
        <v>81</v>
      </c>
      <c r="V3" t="s" s="0">
        <v>126</v>
      </c>
      <c r="W3" t="s" s="0">
        <v>127</v>
      </c>
      <c r="X3" t="s" s="0">
        <v>81</v>
      </c>
      <c r="Y3" t="s" s="0">
        <v>81</v>
      </c>
      <c r="Z3" t="s" s="0">
        <v>93</v>
      </c>
      <c r="AA3" t="s" s="0">
        <v>128</v>
      </c>
      <c r="AB3" t="s" s="0">
        <v>81</v>
      </c>
      <c r="AC3" t="s" s="0">
        <v>81</v>
      </c>
      <c r="AD3" t="s" s="0">
        <v>81</v>
      </c>
      <c r="AE3" t="s" s="0">
        <v>81</v>
      </c>
      <c r="AF3" t="s" s="0">
        <v>81</v>
      </c>
      <c r="AG3" t="s" s="0">
        <v>129</v>
      </c>
      <c r="AH3" t="s" s="0">
        <v>130</v>
      </c>
      <c r="AI3" t="s" s="0">
        <v>81</v>
      </c>
      <c r="AJ3" t="s" s="0">
        <v>81</v>
      </c>
      <c r="AK3" t="s" s="0">
        <v>81</v>
      </c>
      <c r="AL3" t="s" s="0">
        <v>131</v>
      </c>
      <c r="AM3" t="s" s="0">
        <v>77</v>
      </c>
      <c r="AN3" t="s" s="0">
        <v>77</v>
      </c>
      <c r="AO3" t="s" s="0">
        <v>107</v>
      </c>
      <c r="AP3" t="s" s="0">
        <v>107</v>
      </c>
      <c r="AQ3" t="s" s="0">
        <v>97</v>
      </c>
      <c r="AR3" t="s" s="0">
        <v>98</v>
      </c>
      <c r="AS3" t="s" s="0">
        <v>99</v>
      </c>
      <c r="AT3" t="s" s="0">
        <v>132</v>
      </c>
      <c r="AU3" t="s" s="0">
        <v>81</v>
      </c>
      <c r="AV3" t="s" s="0">
        <v>81</v>
      </c>
      <c r="AW3" t="s" s="0">
        <v>133</v>
      </c>
      <c r="AX3" t="s" s="0">
        <v>134</v>
      </c>
      <c r="AY3" t="s" s="0">
        <v>104</v>
      </c>
      <c r="AZ3" t="s" s="0">
        <v>105</v>
      </c>
      <c r="BA3" t="s" s="0">
        <v>135</v>
      </c>
      <c r="BB3" t="s" s="0">
        <v>107</v>
      </c>
      <c r="BC3" t="s" s="0">
        <v>81</v>
      </c>
      <c r="BD3" t="s" s="0">
        <v>81</v>
      </c>
      <c r="BE3" t="s" s="0">
        <v>81</v>
      </c>
      <c r="BF3" t="s" s="0">
        <v>81</v>
      </c>
      <c r="BG3" t="s" s="0">
        <v>81</v>
      </c>
      <c r="BH3" t="s" s="0">
        <v>81</v>
      </c>
      <c r="BI3" t="s" s="0">
        <v>136</v>
      </c>
      <c r="BJ3" t="s" s="0">
        <v>137</v>
      </c>
      <c r="BK3" t="s" s="3">
        <f>HYPERLINK("http://dx.doi.org/10.1080/10872981.2026.2713347","http://dx.doi.org/10.1080/10872981.2026.2713347")</f>
        <v>138</v>
      </c>
      <c r="BL3" t="s" s="0">
        <v>81</v>
      </c>
      <c r="BM3" t="s" s="0">
        <v>81</v>
      </c>
      <c r="BN3" t="s" s="0">
        <v>139</v>
      </c>
      <c r="BO3" t="s" s="0">
        <v>140</v>
      </c>
      <c r="BP3" t="s" s="0">
        <v>140</v>
      </c>
      <c r="BQ3" t="s" s="0">
        <v>141</v>
      </c>
      <c r="BR3" t="s" s="0">
        <v>142</v>
      </c>
      <c r="BS3" t="s" s="0">
        <v>143</v>
      </c>
      <c r="BT3" t="s" s="4">
        <f>HYPERLINK("https://www.webofscience.com/wos/woscc/full-record/WOS:001840384600001","View Record in Web of Science")</f>
        <v>116</v>
      </c>
      <c r="BU3" t="s" s="0">
        <v>117</v>
      </c>
      <c r="BV3" t="s" s="0">
        <v>81</v>
      </c>
      <c r="BW3" t="s" s="0">
        <v>81</v>
      </c>
      <c r="BX3" t="s" s="0">
        <v>118</v>
      </c>
    </row>
    <row r="4">
      <c r="A4" t="s" s="0">
        <v>77</v>
      </c>
      <c r="B4" t="s" s="0">
        <v>77</v>
      </c>
      <c r="C4" t="s" s="0">
        <v>77</v>
      </c>
      <c r="D4" t="s" s="0">
        <v>77</v>
      </c>
      <c r="E4" t="s" s="0">
        <v>144</v>
      </c>
      <c r="F4" t="s" s="0">
        <v>145</v>
      </c>
      <c r="G4" t="s" s="0">
        <v>146</v>
      </c>
      <c r="H4" t="s" s="0">
        <v>81</v>
      </c>
      <c r="I4" t="s" s="0">
        <v>147</v>
      </c>
      <c r="J4" t="s" s="0">
        <v>148</v>
      </c>
      <c r="K4" t="s" s="0">
        <v>149</v>
      </c>
      <c r="L4" t="s" s="0">
        <v>150</v>
      </c>
      <c r="M4" t="s" s="0">
        <v>151</v>
      </c>
      <c r="N4" t="s" s="0">
        <v>152</v>
      </c>
      <c r="O4" t="s" s="0">
        <v>153</v>
      </c>
      <c r="P4" t="s" s="0">
        <v>154</v>
      </c>
      <c r="Q4" t="s" s="0">
        <v>90</v>
      </c>
      <c r="R4" t="s" s="0">
        <v>81</v>
      </c>
      <c r="S4" t="s" s="0">
        <v>81</v>
      </c>
      <c r="T4" t="s" s="0">
        <v>81</v>
      </c>
      <c r="U4" t="s" s="0">
        <v>81</v>
      </c>
      <c r="V4" t="s" s="0">
        <v>155</v>
      </c>
      <c r="W4" t="s" s="0">
        <v>156</v>
      </c>
      <c r="X4" t="s" s="0">
        <v>81</v>
      </c>
      <c r="Y4" t="s" s="0">
        <v>81</v>
      </c>
      <c r="Z4" t="s" s="0">
        <v>93</v>
      </c>
      <c r="AA4" t="s" s="0">
        <v>128</v>
      </c>
      <c r="AB4" t="s" s="0">
        <v>81</v>
      </c>
      <c r="AC4" t="s" s="0">
        <v>81</v>
      </c>
      <c r="AD4" t="s" s="0">
        <v>81</v>
      </c>
      <c r="AE4" t="s" s="0">
        <v>81</v>
      </c>
      <c r="AF4" t="s" s="0">
        <v>81</v>
      </c>
      <c r="AG4" t="s" s="0">
        <v>157</v>
      </c>
      <c r="AH4" t="s" s="0">
        <v>158</v>
      </c>
      <c r="AI4" t="s" s="0">
        <v>81</v>
      </c>
      <c r="AJ4" t="s" s="0">
        <v>81</v>
      </c>
      <c r="AK4" t="s" s="0">
        <v>81</v>
      </c>
      <c r="AL4" t="s" s="0">
        <v>131</v>
      </c>
      <c r="AM4" t="s" s="0">
        <v>77</v>
      </c>
      <c r="AN4" t="s" s="0">
        <v>77</v>
      </c>
      <c r="AO4" t="s" s="0">
        <v>77</v>
      </c>
      <c r="AP4" t="s" s="0">
        <v>77</v>
      </c>
      <c r="AQ4" t="s" s="0">
        <v>97</v>
      </c>
      <c r="AR4" t="s" s="0">
        <v>98</v>
      </c>
      <c r="AS4" t="s" s="0">
        <v>99</v>
      </c>
      <c r="AT4" t="s" s="0">
        <v>159</v>
      </c>
      <c r="AU4" t="s" s="0">
        <v>160</v>
      </c>
      <c r="AV4" t="s" s="0">
        <v>81</v>
      </c>
      <c r="AW4" t="s" s="0">
        <v>161</v>
      </c>
      <c r="AX4" t="s" s="0">
        <v>162</v>
      </c>
      <c r="AY4" t="s" s="0">
        <v>104</v>
      </c>
      <c r="AZ4" t="s" s="0">
        <v>105</v>
      </c>
      <c r="BA4" t="s" s="0">
        <v>163</v>
      </c>
      <c r="BB4" t="s" s="0">
        <v>107</v>
      </c>
      <c r="BC4" t="s" s="0">
        <v>81</v>
      </c>
      <c r="BD4" t="s" s="0">
        <v>81</v>
      </c>
      <c r="BE4" t="s" s="0">
        <v>81</v>
      </c>
      <c r="BF4" t="s" s="0">
        <v>81</v>
      </c>
      <c r="BG4" t="s" s="0">
        <v>81</v>
      </c>
      <c r="BH4" t="s" s="0">
        <v>81</v>
      </c>
      <c r="BI4" t="s" s="0">
        <v>164</v>
      </c>
      <c r="BJ4" t="s" s="0">
        <v>165</v>
      </c>
      <c r="BK4" t="s" s="5">
        <f>HYPERLINK("http://dx.doi.org/10.1080/01652176.2026.2705200","http://dx.doi.org/10.1080/01652176.2026.2705200")</f>
        <v>166</v>
      </c>
      <c r="BL4" t="s" s="0">
        <v>81</v>
      </c>
      <c r="BM4" t="s" s="0">
        <v>81</v>
      </c>
      <c r="BN4" t="s" s="0">
        <v>167</v>
      </c>
      <c r="BO4" t="s" s="0">
        <v>168</v>
      </c>
      <c r="BP4" t="s" s="0">
        <v>168</v>
      </c>
      <c r="BQ4" t="s" s="0">
        <v>169</v>
      </c>
      <c r="BR4" t="s" s="0">
        <v>170</v>
      </c>
      <c r="BS4" t="s" s="0">
        <v>171</v>
      </c>
      <c r="BT4" t="s" s="6">
        <f>HYPERLINK("https://www.webofscience.com/wos/woscc/full-record/WOS:001840063400001","View Record in Web of Science")</f>
        <v>116</v>
      </c>
      <c r="BU4" t="s" s="0">
        <v>172</v>
      </c>
      <c r="BV4" t="s" s="0">
        <v>81</v>
      </c>
      <c r="BW4" t="s" s="0">
        <v>81</v>
      </c>
      <c r="BX4" t="s" s="0">
        <v>118</v>
      </c>
    </row>
    <row r="5">
      <c r="A5" t="s" s="0">
        <v>77</v>
      </c>
      <c r="B5" t="s" s="0">
        <v>77</v>
      </c>
      <c r="C5" t="s" s="0">
        <v>77</v>
      </c>
      <c r="D5" t="s" s="0">
        <v>77</v>
      </c>
      <c r="E5" t="s" s="0">
        <v>173</v>
      </c>
      <c r="F5" t="s" s="0">
        <v>174</v>
      </c>
      <c r="G5" t="s" s="0">
        <v>175</v>
      </c>
      <c r="H5" t="s" s="0">
        <v>81</v>
      </c>
      <c r="I5" t="s" s="0">
        <v>147</v>
      </c>
      <c r="J5" t="s" s="0">
        <v>176</v>
      </c>
      <c r="K5" t="s" s="0">
        <v>177</v>
      </c>
      <c r="L5" t="s" s="0">
        <v>178</v>
      </c>
      <c r="M5" t="s" s="0">
        <v>179</v>
      </c>
      <c r="N5" t="s" s="0">
        <v>180</v>
      </c>
      <c r="O5" t="s" s="0">
        <v>181</v>
      </c>
      <c r="P5" t="s" s="0">
        <v>182</v>
      </c>
      <c r="Q5" t="s" s="0">
        <v>90</v>
      </c>
      <c r="R5" t="s" s="0">
        <v>81</v>
      </c>
      <c r="S5" t="s" s="0">
        <v>183</v>
      </c>
      <c r="T5" t="s" s="0">
        <v>81</v>
      </c>
      <c r="U5" t="s" s="0">
        <v>81</v>
      </c>
      <c r="V5" t="s" s="0">
        <v>184</v>
      </c>
      <c r="W5" t="s" s="0">
        <v>185</v>
      </c>
      <c r="X5" t="s" s="0">
        <v>81</v>
      </c>
      <c r="Y5" t="s" s="0">
        <v>81</v>
      </c>
      <c r="Z5" t="s" s="0">
        <v>93</v>
      </c>
      <c r="AA5" t="s" s="0">
        <v>128</v>
      </c>
      <c r="AB5" t="s" s="0">
        <v>81</v>
      </c>
      <c r="AC5" t="s" s="0">
        <v>81</v>
      </c>
      <c r="AD5" t="s" s="0">
        <v>81</v>
      </c>
      <c r="AE5" t="s" s="0">
        <v>81</v>
      </c>
      <c r="AF5" t="s" s="0">
        <v>81</v>
      </c>
      <c r="AG5" t="s" s="0">
        <v>81</v>
      </c>
      <c r="AH5" t="s" s="0">
        <v>186</v>
      </c>
      <c r="AI5" t="s" s="0">
        <v>187</v>
      </c>
      <c r="AJ5" t="s" s="0">
        <v>81</v>
      </c>
      <c r="AK5" t="s" s="0">
        <v>81</v>
      </c>
      <c r="AL5" t="s" s="0">
        <v>135</v>
      </c>
      <c r="AM5" t="s" s="0">
        <v>77</v>
      </c>
      <c r="AN5" t="s" s="0">
        <v>77</v>
      </c>
      <c r="AO5" t="s" s="0">
        <v>77</v>
      </c>
      <c r="AP5" t="s" s="0">
        <v>77</v>
      </c>
      <c r="AQ5" t="s" s="0">
        <v>188</v>
      </c>
      <c r="AR5" t="s" s="0">
        <v>189</v>
      </c>
      <c r="AS5" t="s" s="0">
        <v>190</v>
      </c>
      <c r="AT5" t="s" s="0">
        <v>191</v>
      </c>
      <c r="AU5" t="s" s="0">
        <v>192</v>
      </c>
      <c r="AV5" t="s" s="0">
        <v>81</v>
      </c>
      <c r="AW5" t="s" s="0">
        <v>193</v>
      </c>
      <c r="AX5" t="s" s="0">
        <v>194</v>
      </c>
      <c r="AY5" t="s" s="0">
        <v>104</v>
      </c>
      <c r="AZ5" t="s" s="0">
        <v>105</v>
      </c>
      <c r="BA5" t="s" s="0">
        <v>195</v>
      </c>
      <c r="BB5" t="s" s="0">
        <v>107</v>
      </c>
      <c r="BC5" t="s" s="0">
        <v>81</v>
      </c>
      <c r="BD5" t="s" s="0">
        <v>81</v>
      </c>
      <c r="BE5" t="s" s="0">
        <v>81</v>
      </c>
      <c r="BF5" t="s" s="0">
        <v>81</v>
      </c>
      <c r="BG5" t="s" s="0">
        <v>81</v>
      </c>
      <c r="BH5" t="s" s="0">
        <v>81</v>
      </c>
      <c r="BI5" t="s" s="0">
        <v>196</v>
      </c>
      <c r="BJ5" t="s" s="0">
        <v>197</v>
      </c>
      <c r="BK5" t="s" s="7">
        <f>HYPERLINK("http://dx.doi.org/10.1080/08839514.2026.2700905","http://dx.doi.org/10.1080/08839514.2026.2700905")</f>
        <v>198</v>
      </c>
      <c r="BL5" t="s" s="0">
        <v>81</v>
      </c>
      <c r="BM5" t="s" s="0">
        <v>81</v>
      </c>
      <c r="BN5" t="s" s="0">
        <v>111</v>
      </c>
      <c r="BO5" t="s" s="0">
        <v>199</v>
      </c>
      <c r="BP5" t="s" s="0">
        <v>200</v>
      </c>
      <c r="BQ5" t="s" s="0">
        <v>201</v>
      </c>
      <c r="BR5" t="s" s="0">
        <v>81</v>
      </c>
      <c r="BS5" t="s" s="0">
        <v>202</v>
      </c>
      <c r="BT5" t="s" s="8">
        <f>HYPERLINK("https://www.webofscience.com/wos/woscc/full-record/WOS:001823953600001","View Record in Web of Science")</f>
        <v>116</v>
      </c>
      <c r="BU5" t="s" s="0">
        <v>203</v>
      </c>
      <c r="BV5" t="s" s="0">
        <v>81</v>
      </c>
      <c r="BW5" t="s" s="0">
        <v>81</v>
      </c>
      <c r="BX5" t="s" s="0">
        <v>118</v>
      </c>
    </row>
    <row r="6">
      <c r="A6" t="s" s="0">
        <v>77</v>
      </c>
      <c r="B6" t="s" s="0">
        <v>77</v>
      </c>
      <c r="C6" t="s" s="0">
        <v>77</v>
      </c>
      <c r="D6" t="s" s="0">
        <v>77</v>
      </c>
      <c r="E6" t="s" s="0">
        <v>204</v>
      </c>
      <c r="F6" t="s" s="0">
        <v>205</v>
      </c>
      <c r="G6" t="s" s="0">
        <v>206</v>
      </c>
      <c r="H6" t="s" s="0">
        <v>81</v>
      </c>
      <c r="I6" t="s" s="0">
        <v>147</v>
      </c>
      <c r="J6" t="s" s="0">
        <v>207</v>
      </c>
      <c r="K6" t="s" s="0">
        <v>208</v>
      </c>
      <c r="L6" t="s" s="0">
        <v>81</v>
      </c>
      <c r="M6" t="s" s="0">
        <v>81</v>
      </c>
      <c r="N6" t="s" s="0">
        <v>209</v>
      </c>
      <c r="O6" t="s" s="0">
        <v>210</v>
      </c>
      <c r="P6" t="s" s="0">
        <v>211</v>
      </c>
      <c r="Q6" t="s" s="0">
        <v>90</v>
      </c>
      <c r="R6" t="s" s="0">
        <v>81</v>
      </c>
      <c r="S6" t="s" s="0">
        <v>81</v>
      </c>
      <c r="T6" t="s" s="0">
        <v>81</v>
      </c>
      <c r="U6" t="s" s="0">
        <v>81</v>
      </c>
      <c r="V6" t="s" s="0">
        <v>212</v>
      </c>
      <c r="W6" t="s" s="0">
        <v>213</v>
      </c>
      <c r="X6" t="s" s="0">
        <v>81</v>
      </c>
      <c r="Y6" t="s" s="0">
        <v>81</v>
      </c>
      <c r="Z6" t="s" s="0">
        <v>93</v>
      </c>
      <c r="AA6" t="s" s="0">
        <v>128</v>
      </c>
      <c r="AB6" t="s" s="0">
        <v>81</v>
      </c>
      <c r="AC6" t="s" s="0">
        <v>81</v>
      </c>
      <c r="AD6" t="s" s="0">
        <v>81</v>
      </c>
      <c r="AE6" t="s" s="0">
        <v>81</v>
      </c>
      <c r="AF6" t="s" s="0">
        <v>81</v>
      </c>
      <c r="AG6" t="s" s="0">
        <v>214</v>
      </c>
      <c r="AH6" t="s" s="0">
        <v>215</v>
      </c>
      <c r="AI6" t="s" s="0">
        <v>81</v>
      </c>
      <c r="AJ6" t="s" s="0">
        <v>81</v>
      </c>
      <c r="AK6" t="s" s="0">
        <v>81</v>
      </c>
      <c r="AL6" t="s" s="0">
        <v>216</v>
      </c>
      <c r="AM6" t="s" s="0">
        <v>77</v>
      </c>
      <c r="AN6" t="s" s="0">
        <v>77</v>
      </c>
      <c r="AO6" t="s" s="0">
        <v>107</v>
      </c>
      <c r="AP6" t="s" s="0">
        <v>107</v>
      </c>
      <c r="AQ6" t="s" s="0">
        <v>188</v>
      </c>
      <c r="AR6" t="s" s="0">
        <v>189</v>
      </c>
      <c r="AS6" t="s" s="0">
        <v>190</v>
      </c>
      <c r="AT6" t="s" s="0">
        <v>217</v>
      </c>
      <c r="AU6" t="s" s="0">
        <v>218</v>
      </c>
      <c r="AV6" t="s" s="0">
        <v>81</v>
      </c>
      <c r="AW6" t="s" s="0">
        <v>219</v>
      </c>
      <c r="AX6" t="s" s="0">
        <v>220</v>
      </c>
      <c r="AY6" t="s" s="0">
        <v>104</v>
      </c>
      <c r="AZ6" t="s" s="0">
        <v>105</v>
      </c>
      <c r="BA6" t="s" s="0">
        <v>163</v>
      </c>
      <c r="BB6" t="s" s="0">
        <v>107</v>
      </c>
      <c r="BC6" t="s" s="0">
        <v>81</v>
      </c>
      <c r="BD6" t="s" s="0">
        <v>81</v>
      </c>
      <c r="BE6" t="s" s="0">
        <v>81</v>
      </c>
      <c r="BF6" t="s" s="0">
        <v>81</v>
      </c>
      <c r="BG6" t="s" s="0">
        <v>81</v>
      </c>
      <c r="BH6" t="s" s="0">
        <v>81</v>
      </c>
      <c r="BI6" t="s" s="0">
        <v>221</v>
      </c>
      <c r="BJ6" t="s" s="0">
        <v>222</v>
      </c>
      <c r="BK6" t="s" s="9">
        <f>HYPERLINK("http://dx.doi.org/10.1080/01443615.2026.2695784","http://dx.doi.org/10.1080/01443615.2026.2695784")</f>
        <v>223</v>
      </c>
      <c r="BL6" t="s" s="0">
        <v>81</v>
      </c>
      <c r="BM6" t="s" s="0">
        <v>81</v>
      </c>
      <c r="BN6" t="s" s="0">
        <v>224</v>
      </c>
      <c r="BO6" t="s" s="0">
        <v>225</v>
      </c>
      <c r="BP6" t="s" s="0">
        <v>225</v>
      </c>
      <c r="BQ6" t="s" s="0">
        <v>226</v>
      </c>
      <c r="BR6" t="s" s="0">
        <v>227</v>
      </c>
      <c r="BS6" t="s" s="0">
        <v>228</v>
      </c>
      <c r="BT6" t="s" s="10">
        <f>HYPERLINK("https://www.webofscience.com/wos/woscc/full-record/WOS:001815880400001","View Record in Web of Science")</f>
        <v>116</v>
      </c>
      <c r="BU6" t="s" s="0">
        <v>203</v>
      </c>
      <c r="BV6" t="s" s="0">
        <v>81</v>
      </c>
      <c r="BW6" t="s" s="0">
        <v>81</v>
      </c>
      <c r="BX6" t="s" s="0">
        <v>118</v>
      </c>
    </row>
    <row r="7">
      <c r="A7" t="s" s="0">
        <v>77</v>
      </c>
      <c r="B7" t="s" s="0">
        <v>77</v>
      </c>
      <c r="C7" t="s" s="0">
        <v>77</v>
      </c>
      <c r="D7" t="s" s="0">
        <v>77</v>
      </c>
      <c r="E7" t="s" s="0">
        <v>229</v>
      </c>
      <c r="F7" t="s" s="0">
        <v>230</v>
      </c>
      <c r="G7" t="s" s="0">
        <v>231</v>
      </c>
      <c r="H7" t="s" s="0">
        <v>81</v>
      </c>
      <c r="I7" t="s" s="0">
        <v>82</v>
      </c>
      <c r="J7" t="s" s="0">
        <v>232</v>
      </c>
      <c r="K7" t="s" s="0">
        <v>233</v>
      </c>
      <c r="L7" t="s" s="0">
        <v>234</v>
      </c>
      <c r="M7" t="s" s="0">
        <v>235</v>
      </c>
      <c r="N7" t="s" s="0">
        <v>236</v>
      </c>
      <c r="O7" t="s" s="0">
        <v>237</v>
      </c>
      <c r="P7" t="s" s="0">
        <v>238</v>
      </c>
      <c r="Q7" t="s" s="0">
        <v>90</v>
      </c>
      <c r="R7" t="s" s="0">
        <v>81</v>
      </c>
      <c r="S7" t="s" s="0">
        <v>81</v>
      </c>
      <c r="T7" t="s" s="0">
        <v>81</v>
      </c>
      <c r="U7" t="s" s="0">
        <v>81</v>
      </c>
      <c r="V7" t="s" s="0">
        <v>239</v>
      </c>
      <c r="W7" t="s" s="0">
        <v>127</v>
      </c>
      <c r="X7" t="s" s="0">
        <v>81</v>
      </c>
      <c r="Y7" t="s" s="0">
        <v>81</v>
      </c>
      <c r="Z7" t="s" s="0">
        <v>93</v>
      </c>
      <c r="AA7" t="s" s="0">
        <v>128</v>
      </c>
      <c r="AB7" t="s" s="0">
        <v>81</v>
      </c>
      <c r="AC7" t="s" s="0">
        <v>81</v>
      </c>
      <c r="AD7" t="s" s="0">
        <v>81</v>
      </c>
      <c r="AE7" t="s" s="0">
        <v>81</v>
      </c>
      <c r="AF7" t="s" s="0">
        <v>81</v>
      </c>
      <c r="AG7" t="s" s="0">
        <v>240</v>
      </c>
      <c r="AH7" t="s" s="0">
        <v>241</v>
      </c>
      <c r="AI7" t="s" s="0">
        <v>242</v>
      </c>
      <c r="AJ7" t="s" s="0">
        <v>243</v>
      </c>
      <c r="AK7" t="s" s="0">
        <v>81</v>
      </c>
      <c r="AL7" t="s" s="0">
        <v>244</v>
      </c>
      <c r="AM7" t="s" s="0">
        <v>77</v>
      </c>
      <c r="AN7" t="s" s="0">
        <v>77</v>
      </c>
      <c r="AO7" t="s" s="0">
        <v>245</v>
      </c>
      <c r="AP7" t="s" s="0">
        <v>245</v>
      </c>
      <c r="AQ7" t="s" s="0">
        <v>97</v>
      </c>
      <c r="AR7" t="s" s="0">
        <v>98</v>
      </c>
      <c r="AS7" t="s" s="0">
        <v>99</v>
      </c>
      <c r="AT7" t="s" s="0">
        <v>132</v>
      </c>
      <c r="AU7" t="s" s="0">
        <v>81</v>
      </c>
      <c r="AV7" t="s" s="0">
        <v>81</v>
      </c>
      <c r="AW7" t="s" s="0">
        <v>133</v>
      </c>
      <c r="AX7" t="s" s="0">
        <v>134</v>
      </c>
      <c r="AY7" t="s" s="0">
        <v>104</v>
      </c>
      <c r="AZ7" t="s" s="0">
        <v>105</v>
      </c>
      <c r="BA7" t="s" s="0">
        <v>135</v>
      </c>
      <c r="BB7" t="s" s="0">
        <v>107</v>
      </c>
      <c r="BC7" t="s" s="0">
        <v>81</v>
      </c>
      <c r="BD7" t="s" s="0">
        <v>81</v>
      </c>
      <c r="BE7" t="s" s="0">
        <v>81</v>
      </c>
      <c r="BF7" t="s" s="0">
        <v>81</v>
      </c>
      <c r="BG7" t="s" s="0">
        <v>81</v>
      </c>
      <c r="BH7" t="s" s="0">
        <v>81</v>
      </c>
      <c r="BI7" t="s" s="0">
        <v>246</v>
      </c>
      <c r="BJ7" t="s" s="0">
        <v>247</v>
      </c>
      <c r="BK7" t="s" s="11">
        <f>HYPERLINK("http://dx.doi.org/10.1080/10872981.2026.2684837","http://dx.doi.org/10.1080/10872981.2026.2684837")</f>
        <v>248</v>
      </c>
      <c r="BL7" t="s" s="0">
        <v>81</v>
      </c>
      <c r="BM7" t="s" s="0">
        <v>81</v>
      </c>
      <c r="BN7" t="s" s="0">
        <v>249</v>
      </c>
      <c r="BO7" t="s" s="0">
        <v>140</v>
      </c>
      <c r="BP7" t="s" s="0">
        <v>140</v>
      </c>
      <c r="BQ7" t="s" s="0">
        <v>250</v>
      </c>
      <c r="BR7" t="s" s="0">
        <v>251</v>
      </c>
      <c r="BS7" t="s" s="0">
        <v>252</v>
      </c>
      <c r="BT7" t="s" s="12">
        <f>HYPERLINK("https://www.webofscience.com/wos/woscc/full-record/WOS:001816065100001","View Record in Web of Science")</f>
        <v>116</v>
      </c>
      <c r="BU7" t="s" s="0">
        <v>172</v>
      </c>
      <c r="BV7" t="s" s="0">
        <v>81</v>
      </c>
      <c r="BW7" t="s" s="0">
        <v>81</v>
      </c>
      <c r="BX7" t="s" s="0">
        <v>118</v>
      </c>
    </row>
    <row r="8">
      <c r="A8" t="s" s="0">
        <v>77</v>
      </c>
      <c r="B8" t="s" s="0">
        <v>77</v>
      </c>
      <c r="C8" t="s" s="0">
        <v>77</v>
      </c>
      <c r="D8" t="s" s="0">
        <v>77</v>
      </c>
      <c r="E8" t="s" s="0">
        <v>253</v>
      </c>
      <c r="F8" t="s" s="0">
        <v>254</v>
      </c>
      <c r="G8" t="s" s="0">
        <v>255</v>
      </c>
      <c r="H8" t="s" s="0">
        <v>81</v>
      </c>
      <c r="I8" t="s" s="0">
        <v>147</v>
      </c>
      <c r="J8" t="s" s="0">
        <v>256</v>
      </c>
      <c r="K8" t="s" s="0">
        <v>257</v>
      </c>
      <c r="L8" t="s" s="0">
        <v>258</v>
      </c>
      <c r="M8" t="s" s="0">
        <v>259</v>
      </c>
      <c r="N8" t="s" s="0">
        <v>260</v>
      </c>
      <c r="O8" t="s" s="0">
        <v>261</v>
      </c>
      <c r="P8" t="s" s="0">
        <v>262</v>
      </c>
      <c r="Q8" t="s" s="0">
        <v>90</v>
      </c>
      <c r="R8" t="s" s="0">
        <v>81</v>
      </c>
      <c r="S8" t="s" s="0">
        <v>81</v>
      </c>
      <c r="T8" t="s" s="0">
        <v>81</v>
      </c>
      <c r="U8" t="s" s="0">
        <v>81</v>
      </c>
      <c r="V8" t="s" s="0">
        <v>263</v>
      </c>
      <c r="W8" t="s" s="0">
        <v>264</v>
      </c>
      <c r="X8" t="s" s="0">
        <v>81</v>
      </c>
      <c r="Y8" t="s" s="0">
        <v>81</v>
      </c>
      <c r="Z8" t="s" s="0">
        <v>93</v>
      </c>
      <c r="AA8" t="s" s="0">
        <v>128</v>
      </c>
      <c r="AB8" t="s" s="0">
        <v>81</v>
      </c>
      <c r="AC8" t="s" s="0">
        <v>81</v>
      </c>
      <c r="AD8" t="s" s="0">
        <v>81</v>
      </c>
      <c r="AE8" t="s" s="0">
        <v>81</v>
      </c>
      <c r="AF8" t="s" s="0">
        <v>81</v>
      </c>
      <c r="AG8" t="s" s="0">
        <v>265</v>
      </c>
      <c r="AH8" t="s" s="0">
        <v>81</v>
      </c>
      <c r="AI8" t="s" s="0">
        <v>266</v>
      </c>
      <c r="AJ8" t="s" s="0">
        <v>81</v>
      </c>
      <c r="AK8" t="s" s="0">
        <v>81</v>
      </c>
      <c r="AL8" t="s" s="0">
        <v>267</v>
      </c>
      <c r="AM8" t="s" s="0">
        <v>77</v>
      </c>
      <c r="AN8" t="s" s="0">
        <v>77</v>
      </c>
      <c r="AO8" t="s" s="0">
        <v>139</v>
      </c>
      <c r="AP8" t="s" s="0">
        <v>139</v>
      </c>
      <c r="AQ8" t="s" s="0">
        <v>97</v>
      </c>
      <c r="AR8" t="s" s="0">
        <v>98</v>
      </c>
      <c r="AS8" t="s" s="0">
        <v>99</v>
      </c>
      <c r="AT8" t="s" s="0">
        <v>268</v>
      </c>
      <c r="AU8" t="s" s="0">
        <v>269</v>
      </c>
      <c r="AV8" t="s" s="0">
        <v>81</v>
      </c>
      <c r="AW8" t="s" s="0">
        <v>270</v>
      </c>
      <c r="AX8" t="s" s="0">
        <v>271</v>
      </c>
      <c r="AY8" t="s" s="0">
        <v>104</v>
      </c>
      <c r="AZ8" t="s" s="0">
        <v>105</v>
      </c>
      <c r="BA8" t="s" s="0">
        <v>272</v>
      </c>
      <c r="BB8" t="s" s="0">
        <v>107</v>
      </c>
      <c r="BC8" t="s" s="0">
        <v>81</v>
      </c>
      <c r="BD8" t="s" s="0">
        <v>81</v>
      </c>
      <c r="BE8" t="s" s="0">
        <v>81</v>
      </c>
      <c r="BF8" t="s" s="0">
        <v>81</v>
      </c>
      <c r="BG8" t="s" s="0">
        <v>81</v>
      </c>
      <c r="BH8" t="s" s="0">
        <v>81</v>
      </c>
      <c r="BI8" t="s" s="0">
        <v>273</v>
      </c>
      <c r="BJ8" t="s" s="0">
        <v>274</v>
      </c>
      <c r="BK8" t="s" s="13">
        <f>HYPERLINK("http://dx.doi.org/10.1080/17452759.2026.2671497","http://dx.doi.org/10.1080/17452759.2026.2671497")</f>
        <v>275</v>
      </c>
      <c r="BL8" t="s" s="0">
        <v>81</v>
      </c>
      <c r="BM8" t="s" s="0">
        <v>81</v>
      </c>
      <c r="BN8" t="s" s="0">
        <v>249</v>
      </c>
      <c r="BO8" t="s" s="0">
        <v>276</v>
      </c>
      <c r="BP8" t="s" s="0">
        <v>277</v>
      </c>
      <c r="BQ8" t="s" s="0">
        <v>278</v>
      </c>
      <c r="BR8" t="s" s="0">
        <v>81</v>
      </c>
      <c r="BS8" t="s" s="0">
        <v>279</v>
      </c>
      <c r="BT8" t="s" s="14">
        <f>HYPERLINK("https://www.webofscience.com/wos/woscc/full-record/WOS:001772823600001","View Record in Web of Science")</f>
        <v>116</v>
      </c>
      <c r="BU8" t="s" s="0">
        <v>117</v>
      </c>
      <c r="BV8" t="s" s="0">
        <v>81</v>
      </c>
      <c r="BW8" t="s" s="0">
        <v>81</v>
      </c>
      <c r="BX8" t="s" s="0">
        <v>118</v>
      </c>
    </row>
    <row r="9">
      <c r="A9" t="s" s="0">
        <v>77</v>
      </c>
      <c r="B9" t="s" s="0">
        <v>77</v>
      </c>
      <c r="C9" t="s" s="0">
        <v>77</v>
      </c>
      <c r="D9" t="s" s="0">
        <v>77</v>
      </c>
      <c r="E9" t="s" s="0">
        <v>280</v>
      </c>
      <c r="F9" t="s" s="0">
        <v>281</v>
      </c>
      <c r="G9" t="s" s="0">
        <v>282</v>
      </c>
      <c r="H9" t="s" s="0">
        <v>81</v>
      </c>
      <c r="I9" t="s" s="0">
        <v>147</v>
      </c>
      <c r="J9" t="s" s="0">
        <v>283</v>
      </c>
      <c r="K9" t="s" s="0">
        <v>284</v>
      </c>
      <c r="L9" t="s" s="0">
        <v>81</v>
      </c>
      <c r="M9" t="s" s="0">
        <v>81</v>
      </c>
      <c r="N9" t="s" s="0">
        <v>81</v>
      </c>
      <c r="O9" t="s" s="0">
        <v>285</v>
      </c>
      <c r="P9" t="s" s="0">
        <v>286</v>
      </c>
      <c r="Q9" t="s" s="0">
        <v>90</v>
      </c>
      <c r="R9" t="s" s="0">
        <v>81</v>
      </c>
      <c r="S9" t="s" s="0">
        <v>81</v>
      </c>
      <c r="T9" t="s" s="0">
        <v>81</v>
      </c>
      <c r="U9" t="s" s="0">
        <v>81</v>
      </c>
      <c r="V9" t="s" s="0">
        <v>287</v>
      </c>
      <c r="W9" t="s" s="0">
        <v>288</v>
      </c>
      <c r="X9" t="s" s="0">
        <v>81</v>
      </c>
      <c r="Y9" t="s" s="0">
        <v>81</v>
      </c>
      <c r="Z9" t="s" s="0">
        <v>93</v>
      </c>
      <c r="AA9" t="s" s="0">
        <v>128</v>
      </c>
      <c r="AB9" t="s" s="0">
        <v>81</v>
      </c>
      <c r="AC9" t="s" s="0">
        <v>81</v>
      </c>
      <c r="AD9" t="s" s="0">
        <v>81</v>
      </c>
      <c r="AE9" t="s" s="0">
        <v>81</v>
      </c>
      <c r="AF9" t="s" s="0">
        <v>81</v>
      </c>
      <c r="AG9" t="s" s="0">
        <v>289</v>
      </c>
      <c r="AH9" t="s" s="0">
        <v>290</v>
      </c>
      <c r="AI9" t="s" s="0">
        <v>291</v>
      </c>
      <c r="AJ9" t="s" s="0">
        <v>292</v>
      </c>
      <c r="AK9" t="s" s="0">
        <v>81</v>
      </c>
      <c r="AL9" t="s" s="0">
        <v>293</v>
      </c>
      <c r="AM9" t="s" s="0">
        <v>77</v>
      </c>
      <c r="AN9" t="s" s="0">
        <v>77</v>
      </c>
      <c r="AO9" t="s" s="0">
        <v>294</v>
      </c>
      <c r="AP9" t="s" s="0">
        <v>294</v>
      </c>
      <c r="AQ9" t="s" s="0">
        <v>97</v>
      </c>
      <c r="AR9" t="s" s="0">
        <v>98</v>
      </c>
      <c r="AS9" t="s" s="0">
        <v>99</v>
      </c>
      <c r="AT9" t="s" s="0">
        <v>295</v>
      </c>
      <c r="AU9" t="s" s="0">
        <v>296</v>
      </c>
      <c r="AV9" t="s" s="0">
        <v>81</v>
      </c>
      <c r="AW9" t="s" s="0">
        <v>297</v>
      </c>
      <c r="AX9" t="s" s="0">
        <v>298</v>
      </c>
      <c r="AY9" t="s" s="0">
        <v>104</v>
      </c>
      <c r="AZ9" t="s" s="0">
        <v>105</v>
      </c>
      <c r="BA9" t="s" s="0">
        <v>299</v>
      </c>
      <c r="BB9" t="s" s="0">
        <v>107</v>
      </c>
      <c r="BC9" t="s" s="0">
        <v>81</v>
      </c>
      <c r="BD9" t="s" s="0">
        <v>81</v>
      </c>
      <c r="BE9" t="s" s="0">
        <v>81</v>
      </c>
      <c r="BF9" t="s" s="0">
        <v>81</v>
      </c>
      <c r="BG9" t="s" s="0">
        <v>81</v>
      </c>
      <c r="BH9" t="s" s="0">
        <v>81</v>
      </c>
      <c r="BI9" t="s" s="0">
        <v>300</v>
      </c>
      <c r="BJ9" t="s" s="0">
        <v>301</v>
      </c>
      <c r="BK9" t="s" s="15">
        <f>HYPERLINK("http://dx.doi.org/10.1080/07853890.2026.2664903","http://dx.doi.org/10.1080/07853890.2026.2664903")</f>
        <v>302</v>
      </c>
      <c r="BL9" t="s" s="0">
        <v>81</v>
      </c>
      <c r="BM9" t="s" s="0">
        <v>81</v>
      </c>
      <c r="BN9" t="s" s="0">
        <v>303</v>
      </c>
      <c r="BO9" t="s" s="0">
        <v>304</v>
      </c>
      <c r="BP9" t="s" s="0">
        <v>305</v>
      </c>
      <c r="BQ9" t="s" s="0">
        <v>306</v>
      </c>
      <c r="BR9" t="s" s="0">
        <v>307</v>
      </c>
      <c r="BS9" t="s" s="0">
        <v>308</v>
      </c>
      <c r="BT9" t="s" s="16">
        <f>HYPERLINK("https://www.webofscience.com/wos/woscc/full-record/WOS:001762373500001","View Record in Web of Science")</f>
        <v>116</v>
      </c>
      <c r="BU9" t="s" s="0">
        <v>117</v>
      </c>
      <c r="BV9" t="s" s="0">
        <v>81</v>
      </c>
      <c r="BW9" t="s" s="0">
        <v>81</v>
      </c>
      <c r="BX9" t="s" s="0">
        <v>118</v>
      </c>
    </row>
    <row r="10">
      <c r="A10" t="s" s="0">
        <v>77</v>
      </c>
      <c r="B10" t="s" s="0">
        <v>77</v>
      </c>
      <c r="C10" t="s" s="0">
        <v>77</v>
      </c>
      <c r="D10" t="s" s="0">
        <v>77</v>
      </c>
      <c r="E10" t="s" s="0">
        <v>309</v>
      </c>
      <c r="F10" t="s" s="0">
        <v>310</v>
      </c>
      <c r="G10" t="s" s="0">
        <v>311</v>
      </c>
      <c r="H10" t="s" s="0">
        <v>81</v>
      </c>
      <c r="I10" t="s" s="0">
        <v>82</v>
      </c>
      <c r="J10" t="s" s="0">
        <v>312</v>
      </c>
      <c r="K10" t="s" s="0">
        <v>313</v>
      </c>
      <c r="L10" t="s" s="0">
        <v>81</v>
      </c>
      <c r="M10" t="s" s="0">
        <v>81</v>
      </c>
      <c r="N10" t="s" s="0">
        <v>81</v>
      </c>
      <c r="O10" t="s" s="0">
        <v>314</v>
      </c>
      <c r="P10" t="s" s="0">
        <v>315</v>
      </c>
      <c r="Q10" t="s" s="0">
        <v>90</v>
      </c>
      <c r="R10" t="s" s="0">
        <v>81</v>
      </c>
      <c r="S10" t="s" s="0">
        <v>81</v>
      </c>
      <c r="T10" t="s" s="0">
        <v>81</v>
      </c>
      <c r="U10" t="s" s="0">
        <v>81</v>
      </c>
      <c r="V10" t="s" s="0">
        <v>316</v>
      </c>
      <c r="W10" t="s" s="0">
        <v>127</v>
      </c>
      <c r="X10" t="s" s="0">
        <v>81</v>
      </c>
      <c r="Y10" t="s" s="0">
        <v>81</v>
      </c>
      <c r="Z10" t="s" s="0">
        <v>93</v>
      </c>
      <c r="AA10" t="s" s="0">
        <v>128</v>
      </c>
      <c r="AB10" t="s" s="0">
        <v>81</v>
      </c>
      <c r="AC10" t="s" s="0">
        <v>81</v>
      </c>
      <c r="AD10" t="s" s="0">
        <v>81</v>
      </c>
      <c r="AE10" t="s" s="0">
        <v>81</v>
      </c>
      <c r="AF10" t="s" s="0">
        <v>81</v>
      </c>
      <c r="AG10" t="s" s="0">
        <v>317</v>
      </c>
      <c r="AH10" t="s" s="0">
        <v>81</v>
      </c>
      <c r="AI10" t="s" s="0">
        <v>81</v>
      </c>
      <c r="AJ10" t="s" s="0">
        <v>81</v>
      </c>
      <c r="AK10" t="s" s="0">
        <v>81</v>
      </c>
      <c r="AL10" t="s" s="0">
        <v>318</v>
      </c>
      <c r="AM10" t="s" s="0">
        <v>77</v>
      </c>
      <c r="AN10" t="s" s="0">
        <v>77</v>
      </c>
      <c r="AO10" t="s" s="0">
        <v>319</v>
      </c>
      <c r="AP10" t="s" s="0">
        <v>319</v>
      </c>
      <c r="AQ10" t="s" s="0">
        <v>97</v>
      </c>
      <c r="AR10" t="s" s="0">
        <v>98</v>
      </c>
      <c r="AS10" t="s" s="0">
        <v>99</v>
      </c>
      <c r="AT10" t="s" s="0">
        <v>132</v>
      </c>
      <c r="AU10" t="s" s="0">
        <v>81</v>
      </c>
      <c r="AV10" t="s" s="0">
        <v>81</v>
      </c>
      <c r="AW10" t="s" s="0">
        <v>133</v>
      </c>
      <c r="AX10" t="s" s="0">
        <v>134</v>
      </c>
      <c r="AY10" t="s" s="0">
        <v>104</v>
      </c>
      <c r="AZ10" t="s" s="0">
        <v>105</v>
      </c>
      <c r="BA10" t="s" s="0">
        <v>135</v>
      </c>
      <c r="BB10" t="s" s="0">
        <v>107</v>
      </c>
      <c r="BC10" t="s" s="0">
        <v>81</v>
      </c>
      <c r="BD10" t="s" s="0">
        <v>81</v>
      </c>
      <c r="BE10" t="s" s="0">
        <v>81</v>
      </c>
      <c r="BF10" t="s" s="0">
        <v>81</v>
      </c>
      <c r="BG10" t="s" s="0">
        <v>81</v>
      </c>
      <c r="BH10" t="s" s="0">
        <v>81</v>
      </c>
      <c r="BI10" t="s" s="0">
        <v>320</v>
      </c>
      <c r="BJ10" t="s" s="0">
        <v>321</v>
      </c>
      <c r="BK10" t="s" s="17">
        <f>HYPERLINK("http://dx.doi.org/10.1080/10872981.2026.2671586","http://dx.doi.org/10.1080/10872981.2026.2671586")</f>
        <v>322</v>
      </c>
      <c r="BL10" t="s" s="0">
        <v>81</v>
      </c>
      <c r="BM10" t="s" s="0">
        <v>81</v>
      </c>
      <c r="BN10" t="s" s="0">
        <v>323</v>
      </c>
      <c r="BO10" t="s" s="0">
        <v>140</v>
      </c>
      <c r="BP10" t="s" s="0">
        <v>140</v>
      </c>
      <c r="BQ10" t="s" s="0">
        <v>324</v>
      </c>
      <c r="BR10" t="s" s="0">
        <v>325</v>
      </c>
      <c r="BS10" t="s" s="0">
        <v>326</v>
      </c>
      <c r="BT10" t="s" s="18">
        <f>HYPERLINK("https://www.webofscience.com/wos/woscc/full-record/WOS:001762354400001","View Record in Web of Science")</f>
        <v>116</v>
      </c>
      <c r="BU10" t="s" s="0">
        <v>172</v>
      </c>
      <c r="BV10" t="s" s="0">
        <v>81</v>
      </c>
      <c r="BW10" t="s" s="0">
        <v>81</v>
      </c>
      <c r="BX10" t="s" s="0">
        <v>118</v>
      </c>
    </row>
    <row r="11">
      <c r="A11" t="s" s="0">
        <v>77</v>
      </c>
      <c r="B11" t="s" s="0">
        <v>77</v>
      </c>
      <c r="C11" t="s" s="0">
        <v>77</v>
      </c>
      <c r="D11" t="s" s="0">
        <v>77</v>
      </c>
      <c r="E11" t="s" s="0">
        <v>327</v>
      </c>
      <c r="F11" t="s" s="0">
        <v>81</v>
      </c>
      <c r="G11" t="s" s="0">
        <v>328</v>
      </c>
      <c r="H11" t="s" s="0">
        <v>81</v>
      </c>
      <c r="I11" t="s" s="0">
        <v>147</v>
      </c>
      <c r="J11" t="s" s="0">
        <v>329</v>
      </c>
      <c r="K11" t="s" s="0">
        <v>330</v>
      </c>
      <c r="L11" t="s" s="0">
        <v>81</v>
      </c>
      <c r="M11" t="s" s="0">
        <v>81</v>
      </c>
      <c r="N11" t="s" s="0">
        <v>81</v>
      </c>
      <c r="O11" t="s" s="0">
        <v>331</v>
      </c>
      <c r="P11" t="s" s="0">
        <v>332</v>
      </c>
      <c r="Q11" t="s" s="0">
        <v>90</v>
      </c>
      <c r="R11" t="s" s="0">
        <v>81</v>
      </c>
      <c r="S11" t="s" s="0">
        <v>81</v>
      </c>
      <c r="T11" t="s" s="0">
        <v>81</v>
      </c>
      <c r="U11" t="s" s="0">
        <v>81</v>
      </c>
      <c r="V11" t="s" s="0">
        <v>333</v>
      </c>
      <c r="W11" t="s" s="0">
        <v>334</v>
      </c>
      <c r="X11" t="s" s="0">
        <v>81</v>
      </c>
      <c r="Y11" t="s" s="0">
        <v>81</v>
      </c>
      <c r="Z11" t="s" s="0">
        <v>93</v>
      </c>
      <c r="AA11" t="s" s="0">
        <v>335</v>
      </c>
      <c r="AB11" t="s" s="0">
        <v>81</v>
      </c>
      <c r="AC11" t="s" s="0">
        <v>81</v>
      </c>
      <c r="AD11" t="s" s="0">
        <v>81</v>
      </c>
      <c r="AE11" t="s" s="0">
        <v>81</v>
      </c>
      <c r="AF11" t="s" s="0">
        <v>81</v>
      </c>
      <c r="AG11" t="s" s="0">
        <v>336</v>
      </c>
      <c r="AH11" t="s" s="0">
        <v>337</v>
      </c>
      <c r="AI11" t="s" s="0">
        <v>338</v>
      </c>
      <c r="AJ11" t="s" s="0">
        <v>339</v>
      </c>
      <c r="AK11" t="s" s="0">
        <v>81</v>
      </c>
      <c r="AL11" t="s" s="0">
        <v>340</v>
      </c>
      <c r="AM11" t="s" s="0">
        <v>77</v>
      </c>
      <c r="AN11" t="s" s="0">
        <v>77</v>
      </c>
      <c r="AO11" t="s" s="0">
        <v>341</v>
      </c>
      <c r="AP11" t="s" s="0">
        <v>341</v>
      </c>
      <c r="AQ11" t="s" s="0">
        <v>97</v>
      </c>
      <c r="AR11" t="s" s="0">
        <v>98</v>
      </c>
      <c r="AS11" t="s" s="0">
        <v>99</v>
      </c>
      <c r="AT11" t="s" s="0">
        <v>342</v>
      </c>
      <c r="AU11" t="s" s="0">
        <v>343</v>
      </c>
      <c r="AV11" t="s" s="0">
        <v>81</v>
      </c>
      <c r="AW11" t="s" s="0">
        <v>334</v>
      </c>
      <c r="AX11" t="s" s="0">
        <v>344</v>
      </c>
      <c r="AY11" t="s" s="0">
        <v>104</v>
      </c>
      <c r="AZ11" t="s" s="0">
        <v>105</v>
      </c>
      <c r="BA11" t="s" s="0">
        <v>345</v>
      </c>
      <c r="BB11" t="s" s="0">
        <v>107</v>
      </c>
      <c r="BC11" t="s" s="0">
        <v>81</v>
      </c>
      <c r="BD11" t="s" s="0">
        <v>81</v>
      </c>
      <c r="BE11" t="s" s="0">
        <v>81</v>
      </c>
      <c r="BF11" t="s" s="0">
        <v>81</v>
      </c>
      <c r="BG11" t="s" s="0">
        <v>81</v>
      </c>
      <c r="BH11" t="s" s="0">
        <v>81</v>
      </c>
      <c r="BI11" t="s" s="0">
        <v>346</v>
      </c>
      <c r="BJ11" t="s" s="0">
        <v>347</v>
      </c>
      <c r="BK11" t="s" s="19">
        <f>HYPERLINK("http://dx.doi.org/10.1080/0886022X.2026.2658349","http://dx.doi.org/10.1080/0886022X.2026.2658349")</f>
        <v>348</v>
      </c>
      <c r="BL11" t="s" s="0">
        <v>81</v>
      </c>
      <c r="BM11" t="s" s="0">
        <v>81</v>
      </c>
      <c r="BN11" t="s" s="0">
        <v>216</v>
      </c>
      <c r="BO11" t="s" s="0">
        <v>349</v>
      </c>
      <c r="BP11" t="s" s="0">
        <v>349</v>
      </c>
      <c r="BQ11" t="s" s="0">
        <v>350</v>
      </c>
      <c r="BR11" t="s" s="0">
        <v>351</v>
      </c>
      <c r="BS11" t="s" s="0">
        <v>352</v>
      </c>
      <c r="BT11" t="s" s="20">
        <f>HYPERLINK("https://www.webofscience.com/wos/woscc/full-record/WOS:001747006700001","View Record in Web of Science")</f>
        <v>116</v>
      </c>
      <c r="BU11" t="s" s="0">
        <v>353</v>
      </c>
      <c r="BV11" t="s" s="0">
        <v>81</v>
      </c>
      <c r="BW11" t="s" s="0">
        <v>81</v>
      </c>
      <c r="BX11" t="s" s="0">
        <v>118</v>
      </c>
    </row>
    <row r="12">
      <c r="A12" t="s" s="0">
        <v>77</v>
      </c>
      <c r="B12" t="s" s="0">
        <v>77</v>
      </c>
      <c r="C12" t="s" s="0">
        <v>77</v>
      </c>
      <c r="D12" t="s" s="0">
        <v>77</v>
      </c>
      <c r="E12" t="s" s="0">
        <v>354</v>
      </c>
      <c r="F12" t="s" s="0">
        <v>355</v>
      </c>
      <c r="G12" t="s" s="0">
        <v>356</v>
      </c>
      <c r="H12" t="s" s="0">
        <v>81</v>
      </c>
      <c r="I12" t="s" s="0">
        <v>82</v>
      </c>
      <c r="J12" t="s" s="0">
        <v>357</v>
      </c>
      <c r="K12" t="s" s="0">
        <v>358</v>
      </c>
      <c r="L12" t="s" s="0">
        <v>359</v>
      </c>
      <c r="M12" t="s" s="0">
        <v>359</v>
      </c>
      <c r="N12" t="s" s="0">
        <v>360</v>
      </c>
      <c r="O12" t="s" s="0">
        <v>361</v>
      </c>
      <c r="P12" t="s" s="0">
        <v>362</v>
      </c>
      <c r="Q12" t="s" s="0">
        <v>90</v>
      </c>
      <c r="R12" t="s" s="0">
        <v>81</v>
      </c>
      <c r="S12" t="s" s="0">
        <v>81</v>
      </c>
      <c r="T12" t="s" s="0">
        <v>81</v>
      </c>
      <c r="U12" t="s" s="0">
        <v>81</v>
      </c>
      <c r="V12" t="s" s="0">
        <v>363</v>
      </c>
      <c r="W12" t="s" s="0">
        <v>127</v>
      </c>
      <c r="X12" t="s" s="0">
        <v>81</v>
      </c>
      <c r="Y12" t="s" s="0">
        <v>81</v>
      </c>
      <c r="Z12" t="s" s="0">
        <v>93</v>
      </c>
      <c r="AA12" t="s" s="0">
        <v>128</v>
      </c>
      <c r="AB12" t="s" s="0">
        <v>81</v>
      </c>
      <c r="AC12" t="s" s="0">
        <v>81</v>
      </c>
      <c r="AD12" t="s" s="0">
        <v>81</v>
      </c>
      <c r="AE12" t="s" s="0">
        <v>81</v>
      </c>
      <c r="AF12" t="s" s="0">
        <v>81</v>
      </c>
      <c r="AG12" t="s" s="0">
        <v>364</v>
      </c>
      <c r="AH12" t="s" s="0">
        <v>365</v>
      </c>
      <c r="AI12" t="s" s="0">
        <v>366</v>
      </c>
      <c r="AJ12" t="s" s="0">
        <v>367</v>
      </c>
      <c r="AK12" t="s" s="0">
        <v>81</v>
      </c>
      <c r="AL12" t="s" s="0">
        <v>163</v>
      </c>
      <c r="AM12" t="s" s="0">
        <v>77</v>
      </c>
      <c r="AN12" t="s" s="0">
        <v>77</v>
      </c>
      <c r="AO12" t="s" s="0">
        <v>368</v>
      </c>
      <c r="AP12" t="s" s="0">
        <v>368</v>
      </c>
      <c r="AQ12" t="s" s="0">
        <v>97</v>
      </c>
      <c r="AR12" t="s" s="0">
        <v>98</v>
      </c>
      <c r="AS12" t="s" s="0">
        <v>99</v>
      </c>
      <c r="AT12" t="s" s="0">
        <v>132</v>
      </c>
      <c r="AU12" t="s" s="0">
        <v>81</v>
      </c>
      <c r="AV12" t="s" s="0">
        <v>81</v>
      </c>
      <c r="AW12" t="s" s="0">
        <v>133</v>
      </c>
      <c r="AX12" t="s" s="0">
        <v>134</v>
      </c>
      <c r="AY12" t="s" s="0">
        <v>104</v>
      </c>
      <c r="AZ12" t="s" s="0">
        <v>105</v>
      </c>
      <c r="BA12" t="s" s="0">
        <v>135</v>
      </c>
      <c r="BB12" t="s" s="0">
        <v>107</v>
      </c>
      <c r="BC12" t="s" s="0">
        <v>81</v>
      </c>
      <c r="BD12" t="s" s="0">
        <v>81</v>
      </c>
      <c r="BE12" t="s" s="0">
        <v>81</v>
      </c>
      <c r="BF12" t="s" s="0">
        <v>81</v>
      </c>
      <c r="BG12" t="s" s="0">
        <v>81</v>
      </c>
      <c r="BH12" t="s" s="0">
        <v>81</v>
      </c>
      <c r="BI12" t="s" s="0">
        <v>369</v>
      </c>
      <c r="BJ12" t="s" s="0">
        <v>370</v>
      </c>
      <c r="BK12" t="s" s="21">
        <f>HYPERLINK("http://dx.doi.org/10.1080/10872981.2026.2655562","http://dx.doi.org/10.1080/10872981.2026.2655562")</f>
        <v>371</v>
      </c>
      <c r="BL12" t="s" s="0">
        <v>81</v>
      </c>
      <c r="BM12" t="s" s="0">
        <v>81</v>
      </c>
      <c r="BN12" t="s" s="0">
        <v>372</v>
      </c>
      <c r="BO12" t="s" s="0">
        <v>140</v>
      </c>
      <c r="BP12" t="s" s="0">
        <v>140</v>
      </c>
      <c r="BQ12" t="s" s="0">
        <v>373</v>
      </c>
      <c r="BR12" t="s" s="0">
        <v>374</v>
      </c>
      <c r="BS12" t="s" s="0">
        <v>375</v>
      </c>
      <c r="BT12" t="s" s="22">
        <f>HYPERLINK("https://www.webofscience.com/wos/woscc/full-record/WOS:001732904000001","View Record in Web of Science")</f>
        <v>116</v>
      </c>
      <c r="BU12" t="s" s="0">
        <v>172</v>
      </c>
      <c r="BV12" t="s" s="0">
        <v>81</v>
      </c>
      <c r="BW12" t="s" s="0">
        <v>81</v>
      </c>
      <c r="BX12" t="s" s="0">
        <v>118</v>
      </c>
    </row>
    <row r="13">
      <c r="A13" t="s" s="0">
        <v>77</v>
      </c>
      <c r="B13" t="s" s="0">
        <v>77</v>
      </c>
      <c r="C13" t="s" s="0">
        <v>77</v>
      </c>
      <c r="D13" t="s" s="0">
        <v>77</v>
      </c>
      <c r="E13" t="s" s="0">
        <v>376</v>
      </c>
      <c r="F13" t="s" s="0">
        <v>377</v>
      </c>
      <c r="G13" t="s" s="0">
        <v>378</v>
      </c>
      <c r="H13" t="s" s="0">
        <v>81</v>
      </c>
      <c r="I13" t="s" s="0">
        <v>82</v>
      </c>
      <c r="J13" t="s" s="0">
        <v>379</v>
      </c>
      <c r="K13" t="s" s="0">
        <v>380</v>
      </c>
      <c r="L13" t="s" s="0">
        <v>81</v>
      </c>
      <c r="M13" t="s" s="0">
        <v>81</v>
      </c>
      <c r="N13" t="s" s="0">
        <v>81</v>
      </c>
      <c r="O13" t="s" s="0">
        <v>381</v>
      </c>
      <c r="P13" t="s" s="0">
        <v>382</v>
      </c>
      <c r="Q13" t="s" s="0">
        <v>90</v>
      </c>
      <c r="R13" t="s" s="0">
        <v>81</v>
      </c>
      <c r="S13" t="s" s="0">
        <v>81</v>
      </c>
      <c r="T13" t="s" s="0">
        <v>81</v>
      </c>
      <c r="U13" t="s" s="0">
        <v>81</v>
      </c>
      <c r="V13" t="s" s="0">
        <v>383</v>
      </c>
      <c r="W13" t="s" s="0">
        <v>127</v>
      </c>
      <c r="X13" t="s" s="0">
        <v>81</v>
      </c>
      <c r="Y13" t="s" s="0">
        <v>81</v>
      </c>
      <c r="Z13" t="s" s="0">
        <v>93</v>
      </c>
      <c r="AA13" t="s" s="0">
        <v>128</v>
      </c>
      <c r="AB13" t="s" s="0">
        <v>81</v>
      </c>
      <c r="AC13" t="s" s="0">
        <v>81</v>
      </c>
      <c r="AD13" t="s" s="0">
        <v>81</v>
      </c>
      <c r="AE13" t="s" s="0">
        <v>81</v>
      </c>
      <c r="AF13" t="s" s="0">
        <v>81</v>
      </c>
      <c r="AG13" t="s" s="0">
        <v>384</v>
      </c>
      <c r="AH13" t="s" s="0">
        <v>385</v>
      </c>
      <c r="AI13" t="s" s="0">
        <v>386</v>
      </c>
      <c r="AJ13" t="s" s="0">
        <v>387</v>
      </c>
      <c r="AK13" t="s" s="0">
        <v>81</v>
      </c>
      <c r="AL13" t="s" s="0">
        <v>388</v>
      </c>
      <c r="AM13" t="s" s="0">
        <v>77</v>
      </c>
      <c r="AN13" t="s" s="0">
        <v>77</v>
      </c>
      <c r="AO13" t="s" s="0">
        <v>389</v>
      </c>
      <c r="AP13" t="s" s="0">
        <v>389</v>
      </c>
      <c r="AQ13" t="s" s="0">
        <v>97</v>
      </c>
      <c r="AR13" t="s" s="0">
        <v>98</v>
      </c>
      <c r="AS13" t="s" s="0">
        <v>99</v>
      </c>
      <c r="AT13" t="s" s="0">
        <v>132</v>
      </c>
      <c r="AU13" t="s" s="0">
        <v>81</v>
      </c>
      <c r="AV13" t="s" s="0">
        <v>81</v>
      </c>
      <c r="AW13" t="s" s="0">
        <v>133</v>
      </c>
      <c r="AX13" t="s" s="0">
        <v>134</v>
      </c>
      <c r="AY13" t="s" s="0">
        <v>104</v>
      </c>
      <c r="AZ13" t="s" s="0">
        <v>105</v>
      </c>
      <c r="BA13" t="s" s="0">
        <v>135</v>
      </c>
      <c r="BB13" t="s" s="0">
        <v>107</v>
      </c>
      <c r="BC13" t="s" s="0">
        <v>81</v>
      </c>
      <c r="BD13" t="s" s="0">
        <v>81</v>
      </c>
      <c r="BE13" t="s" s="0">
        <v>81</v>
      </c>
      <c r="BF13" t="s" s="0">
        <v>81</v>
      </c>
      <c r="BG13" t="s" s="0">
        <v>81</v>
      </c>
      <c r="BH13" t="s" s="0">
        <v>81</v>
      </c>
      <c r="BI13" t="s" s="0">
        <v>390</v>
      </c>
      <c r="BJ13" t="s" s="0">
        <v>391</v>
      </c>
      <c r="BK13" t="s" s="23">
        <f>HYPERLINK("http://dx.doi.org/10.1080/10872981.2026.2639203","http://dx.doi.org/10.1080/10872981.2026.2639203")</f>
        <v>392</v>
      </c>
      <c r="BL13" t="s" s="0">
        <v>81</v>
      </c>
      <c r="BM13" t="s" s="0">
        <v>81</v>
      </c>
      <c r="BN13" t="s" s="0">
        <v>393</v>
      </c>
      <c r="BO13" t="s" s="0">
        <v>140</v>
      </c>
      <c r="BP13" t="s" s="0">
        <v>140</v>
      </c>
      <c r="BQ13" t="s" s="0">
        <v>394</v>
      </c>
      <c r="BR13" t="s" s="0">
        <v>395</v>
      </c>
      <c r="BS13" t="s" s="0">
        <v>396</v>
      </c>
      <c r="BT13" t="s" s="24">
        <f>HYPERLINK("https://www.webofscience.com/wos/woscc/full-record/WOS:001705281400001","View Record in Web of Science")</f>
        <v>116</v>
      </c>
      <c r="BU13" t="s" s="0">
        <v>353</v>
      </c>
      <c r="BV13" t="s" s="0">
        <v>81</v>
      </c>
      <c r="BW13" t="s" s="0">
        <v>81</v>
      </c>
      <c r="BX13" t="s" s="0">
        <v>118</v>
      </c>
    </row>
    <row r="14">
      <c r="A14" t="s" s="0">
        <v>77</v>
      </c>
      <c r="B14" t="s" s="0">
        <v>77</v>
      </c>
      <c r="C14" t="s" s="0">
        <v>77</v>
      </c>
      <c r="D14" t="s" s="0">
        <v>77</v>
      </c>
      <c r="E14" t="s" s="0">
        <v>397</v>
      </c>
      <c r="F14" t="s" s="0">
        <v>398</v>
      </c>
      <c r="G14" t="s" s="0">
        <v>399</v>
      </c>
      <c r="H14" t="s" s="0">
        <v>81</v>
      </c>
      <c r="I14" t="s" s="0">
        <v>400</v>
      </c>
      <c r="J14" t="s" s="0">
        <v>401</v>
      </c>
      <c r="K14" t="s" s="0">
        <v>402</v>
      </c>
      <c r="L14" t="s" s="0">
        <v>403</v>
      </c>
      <c r="M14" t="s" s="0">
        <v>403</v>
      </c>
      <c r="N14" t="s" s="0">
        <v>404</v>
      </c>
      <c r="O14" t="s" s="0">
        <v>405</v>
      </c>
      <c r="P14" t="s" s="0">
        <v>406</v>
      </c>
      <c r="Q14" t="s" s="0">
        <v>90</v>
      </c>
      <c r="R14" t="s" s="0">
        <v>81</v>
      </c>
      <c r="S14" t="s" s="0">
        <v>81</v>
      </c>
      <c r="T14" t="s" s="0">
        <v>81</v>
      </c>
      <c r="U14" t="s" s="0">
        <v>81</v>
      </c>
      <c r="V14" t="s" s="0">
        <v>407</v>
      </c>
      <c r="W14" t="s" s="0">
        <v>408</v>
      </c>
      <c r="X14" t="s" s="0">
        <v>81</v>
      </c>
      <c r="Y14" t="s" s="0">
        <v>81</v>
      </c>
      <c r="Z14" t="s" s="0">
        <v>93</v>
      </c>
      <c r="AA14" t="s" s="0">
        <v>94</v>
      </c>
      <c r="AB14" t="s" s="0">
        <v>81</v>
      </c>
      <c r="AC14" t="s" s="0">
        <v>81</v>
      </c>
      <c r="AD14" t="s" s="0">
        <v>81</v>
      </c>
      <c r="AE14" t="s" s="0">
        <v>81</v>
      </c>
      <c r="AF14" t="s" s="0">
        <v>81</v>
      </c>
      <c r="AG14" t="s" s="0">
        <v>409</v>
      </c>
      <c r="AH14" t="s" s="0">
        <v>81</v>
      </c>
      <c r="AI14" t="s" s="0">
        <v>410</v>
      </c>
      <c r="AJ14" t="s" s="0">
        <v>411</v>
      </c>
      <c r="AK14" t="s" s="0">
        <v>81</v>
      </c>
      <c r="AL14" t="s" s="0">
        <v>412</v>
      </c>
      <c r="AM14" t="s" s="0">
        <v>77</v>
      </c>
      <c r="AN14" t="s" s="0">
        <v>77</v>
      </c>
      <c r="AO14" t="s" s="0">
        <v>224</v>
      </c>
      <c r="AP14" t="s" s="0">
        <v>224</v>
      </c>
      <c r="AQ14" t="s" s="0">
        <v>97</v>
      </c>
      <c r="AR14" t="s" s="0">
        <v>98</v>
      </c>
      <c r="AS14" t="s" s="0">
        <v>99</v>
      </c>
      <c r="AT14" t="s" s="0">
        <v>81</v>
      </c>
      <c r="AU14" t="s" s="0">
        <v>413</v>
      </c>
      <c r="AV14" t="s" s="0">
        <v>81</v>
      </c>
      <c r="AW14" t="s" s="0">
        <v>414</v>
      </c>
      <c r="AX14" t="s" s="0">
        <v>415</v>
      </c>
      <c r="AY14" t="s" s="0">
        <v>104</v>
      </c>
      <c r="AZ14" t="s" s="0">
        <v>105</v>
      </c>
      <c r="BA14" t="s" s="0">
        <v>167</v>
      </c>
      <c r="BB14" t="s" s="0">
        <v>107</v>
      </c>
      <c r="BC14" t="s" s="0">
        <v>81</v>
      </c>
      <c r="BD14" t="s" s="0">
        <v>81</v>
      </c>
      <c r="BE14" t="s" s="0">
        <v>81</v>
      </c>
      <c r="BF14" t="s" s="0">
        <v>81</v>
      </c>
      <c r="BG14" t="s" s="0">
        <v>81</v>
      </c>
      <c r="BH14" t="s" s="0">
        <v>81</v>
      </c>
      <c r="BI14" t="s" s="0">
        <v>416</v>
      </c>
      <c r="BJ14" t="s" s="0">
        <v>417</v>
      </c>
      <c r="BK14" t="s" s="25">
        <f>HYPERLINK("http://dx.doi.org/10.1080/21693277.2026.2632468","http://dx.doi.org/10.1080/21693277.2026.2632468")</f>
        <v>418</v>
      </c>
      <c r="BL14" t="s" s="0">
        <v>81</v>
      </c>
      <c r="BM14" t="s" s="0">
        <v>81</v>
      </c>
      <c r="BN14" t="s" s="0">
        <v>368</v>
      </c>
      <c r="BO14" t="s" s="0">
        <v>419</v>
      </c>
      <c r="BP14" t="s" s="0">
        <v>420</v>
      </c>
      <c r="BQ14" t="s" s="0">
        <v>421</v>
      </c>
      <c r="BR14" t="s" s="0">
        <v>81</v>
      </c>
      <c r="BS14" t="s" s="0">
        <v>422</v>
      </c>
      <c r="BT14" t="s" s="26">
        <f>HYPERLINK("https://www.webofscience.com/wos/woscc/full-record/WOS:001696570400001","View Record in Web of Science")</f>
        <v>116</v>
      </c>
      <c r="BU14" t="s" s="0">
        <v>203</v>
      </c>
      <c r="BV14" t="s" s="0">
        <v>81</v>
      </c>
      <c r="BW14" t="s" s="0">
        <v>81</v>
      </c>
      <c r="BX14" t="s" s="0">
        <v>118</v>
      </c>
    </row>
    <row r="15">
      <c r="A15" t="s" s="0">
        <v>77</v>
      </c>
      <c r="B15" t="s" s="0">
        <v>77</v>
      </c>
      <c r="C15" t="s" s="0">
        <v>77</v>
      </c>
      <c r="D15" t="s" s="0">
        <v>77</v>
      </c>
      <c r="E15" t="s" s="0">
        <v>423</v>
      </c>
      <c r="F15" t="s" s="0">
        <v>424</v>
      </c>
      <c r="G15" t="s" s="0">
        <v>425</v>
      </c>
      <c r="H15" t="s" s="0">
        <v>81</v>
      </c>
      <c r="I15" t="s" s="0">
        <v>147</v>
      </c>
      <c r="J15" t="s" s="0">
        <v>426</v>
      </c>
      <c r="K15" t="s" s="0">
        <v>427</v>
      </c>
      <c r="L15" t="s" s="0">
        <v>428</v>
      </c>
      <c r="M15" t="s" s="0">
        <v>429</v>
      </c>
      <c r="N15" t="s" s="0">
        <v>430</v>
      </c>
      <c r="O15" t="s" s="0">
        <v>431</v>
      </c>
      <c r="P15" t="s" s="0">
        <v>432</v>
      </c>
      <c r="Q15" t="s" s="0">
        <v>90</v>
      </c>
      <c r="R15" t="s" s="0">
        <v>81</v>
      </c>
      <c r="S15" t="s" s="0">
        <v>81</v>
      </c>
      <c r="T15" t="s" s="0">
        <v>81</v>
      </c>
      <c r="U15" t="s" s="0">
        <v>81</v>
      </c>
      <c r="V15" t="s" s="0">
        <v>433</v>
      </c>
      <c r="W15" t="s" s="0">
        <v>288</v>
      </c>
      <c r="X15" t="s" s="0">
        <v>81</v>
      </c>
      <c r="Y15" t="s" s="0">
        <v>81</v>
      </c>
      <c r="Z15" t="s" s="0">
        <v>93</v>
      </c>
      <c r="AA15" t="s" s="0">
        <v>128</v>
      </c>
      <c r="AB15" t="s" s="0">
        <v>81</v>
      </c>
      <c r="AC15" t="s" s="0">
        <v>81</v>
      </c>
      <c r="AD15" t="s" s="0">
        <v>81</v>
      </c>
      <c r="AE15" t="s" s="0">
        <v>81</v>
      </c>
      <c r="AF15" t="s" s="0">
        <v>81</v>
      </c>
      <c r="AG15" t="s" s="0">
        <v>434</v>
      </c>
      <c r="AH15" t="s" s="0">
        <v>435</v>
      </c>
      <c r="AI15" t="s" s="0">
        <v>436</v>
      </c>
      <c r="AJ15" t="s" s="0">
        <v>437</v>
      </c>
      <c r="AK15" t="s" s="0">
        <v>81</v>
      </c>
      <c r="AL15" t="s" s="0">
        <v>438</v>
      </c>
      <c r="AM15" t="s" s="0">
        <v>77</v>
      </c>
      <c r="AN15" t="s" s="0">
        <v>77</v>
      </c>
      <c r="AO15" t="s" s="0">
        <v>341</v>
      </c>
      <c r="AP15" t="s" s="0">
        <v>341</v>
      </c>
      <c r="AQ15" t="s" s="0">
        <v>97</v>
      </c>
      <c r="AR15" t="s" s="0">
        <v>98</v>
      </c>
      <c r="AS15" t="s" s="0">
        <v>99</v>
      </c>
      <c r="AT15" t="s" s="0">
        <v>295</v>
      </c>
      <c r="AU15" t="s" s="0">
        <v>296</v>
      </c>
      <c r="AV15" t="s" s="0">
        <v>81</v>
      </c>
      <c r="AW15" t="s" s="0">
        <v>297</v>
      </c>
      <c r="AX15" t="s" s="0">
        <v>298</v>
      </c>
      <c r="AY15" t="s" s="0">
        <v>104</v>
      </c>
      <c r="AZ15" t="s" s="0">
        <v>105</v>
      </c>
      <c r="BA15" t="s" s="0">
        <v>299</v>
      </c>
      <c r="BB15" t="s" s="0">
        <v>107</v>
      </c>
      <c r="BC15" t="s" s="0">
        <v>81</v>
      </c>
      <c r="BD15" t="s" s="0">
        <v>81</v>
      </c>
      <c r="BE15" t="s" s="0">
        <v>81</v>
      </c>
      <c r="BF15" t="s" s="0">
        <v>81</v>
      </c>
      <c r="BG15" t="s" s="0">
        <v>81</v>
      </c>
      <c r="BH15" t="s" s="0">
        <v>81</v>
      </c>
      <c r="BI15" t="s" s="0">
        <v>439</v>
      </c>
      <c r="BJ15" t="s" s="0">
        <v>440</v>
      </c>
      <c r="BK15" t="s" s="27">
        <f>HYPERLINK("http://dx.doi.org/10.1080/07853890.2026.2625580","http://dx.doi.org/10.1080/07853890.2026.2625580")</f>
        <v>441</v>
      </c>
      <c r="BL15" t="s" s="0">
        <v>81</v>
      </c>
      <c r="BM15" t="s" s="0">
        <v>81</v>
      </c>
      <c r="BN15" t="s" s="0">
        <v>442</v>
      </c>
      <c r="BO15" t="s" s="0">
        <v>304</v>
      </c>
      <c r="BP15" t="s" s="0">
        <v>305</v>
      </c>
      <c r="BQ15" t="s" s="0">
        <v>443</v>
      </c>
      <c r="BR15" t="s" s="0">
        <v>444</v>
      </c>
      <c r="BS15" t="s" s="0">
        <v>445</v>
      </c>
      <c r="BT15" t="s" s="28">
        <f>HYPERLINK("https://www.webofscience.com/wos/woscc/full-record/WOS:001686733600001","View Record in Web of Science")</f>
        <v>116</v>
      </c>
      <c r="BU15" t="s" s="0">
        <v>117</v>
      </c>
      <c r="BV15" t="s" s="0">
        <v>81</v>
      </c>
      <c r="BW15" t="s" s="0">
        <v>81</v>
      </c>
      <c r="BX15" t="s" s="0">
        <v>118</v>
      </c>
    </row>
    <row r="16">
      <c r="A16" t="s" s="0">
        <v>77</v>
      </c>
      <c r="B16" t="s" s="0">
        <v>77</v>
      </c>
      <c r="C16" t="s" s="0">
        <v>77</v>
      </c>
      <c r="D16" t="s" s="0">
        <v>77</v>
      </c>
      <c r="E16" t="s" s="0">
        <v>446</v>
      </c>
      <c r="F16" t="s" s="0">
        <v>447</v>
      </c>
      <c r="G16" t="s" s="0">
        <v>448</v>
      </c>
      <c r="H16" t="s" s="0">
        <v>81</v>
      </c>
      <c r="I16" t="s" s="0">
        <v>82</v>
      </c>
      <c r="J16" t="s" s="0">
        <v>449</v>
      </c>
      <c r="K16" t="s" s="0">
        <v>450</v>
      </c>
      <c r="L16" t="s" s="0">
        <v>81</v>
      </c>
      <c r="M16" t="s" s="0">
        <v>81</v>
      </c>
      <c r="N16" t="s" s="0">
        <v>81</v>
      </c>
      <c r="O16" t="s" s="0">
        <v>451</v>
      </c>
      <c r="P16" t="s" s="0">
        <v>452</v>
      </c>
      <c r="Q16" t="s" s="0">
        <v>90</v>
      </c>
      <c r="R16" t="s" s="0">
        <v>81</v>
      </c>
      <c r="S16" t="s" s="0">
        <v>81</v>
      </c>
      <c r="T16" t="s" s="0">
        <v>81</v>
      </c>
      <c r="U16" t="s" s="0">
        <v>81</v>
      </c>
      <c r="V16" t="s" s="0">
        <v>453</v>
      </c>
      <c r="W16" t="s" s="0">
        <v>454</v>
      </c>
      <c r="X16" t="s" s="0">
        <v>81</v>
      </c>
      <c r="Y16" t="s" s="0">
        <v>81</v>
      </c>
      <c r="Z16" t="s" s="0">
        <v>93</v>
      </c>
      <c r="AA16" t="s" s="0">
        <v>128</v>
      </c>
      <c r="AB16" t="s" s="0">
        <v>81</v>
      </c>
      <c r="AC16" t="s" s="0">
        <v>81</v>
      </c>
      <c r="AD16" t="s" s="0">
        <v>81</v>
      </c>
      <c r="AE16" t="s" s="0">
        <v>81</v>
      </c>
      <c r="AF16" t="s" s="0">
        <v>81</v>
      </c>
      <c r="AG16" t="s" s="0">
        <v>455</v>
      </c>
      <c r="AH16" t="s" s="0">
        <v>81</v>
      </c>
      <c r="AI16" t="s" s="0">
        <v>456</v>
      </c>
      <c r="AJ16" t="s" s="0">
        <v>457</v>
      </c>
      <c r="AK16" t="s" s="0">
        <v>81</v>
      </c>
      <c r="AL16" t="s" s="0">
        <v>458</v>
      </c>
      <c r="AM16" t="s" s="0">
        <v>245</v>
      </c>
      <c r="AN16" t="s" s="0">
        <v>294</v>
      </c>
      <c r="AO16" t="s" s="0">
        <v>388</v>
      </c>
      <c r="AP16" t="s" s="0">
        <v>459</v>
      </c>
      <c r="AQ16" t="s" s="0">
        <v>97</v>
      </c>
      <c r="AR16" t="s" s="0">
        <v>98</v>
      </c>
      <c r="AS16" t="s" s="0">
        <v>99</v>
      </c>
      <c r="AT16" t="s" s="0">
        <v>460</v>
      </c>
      <c r="AU16" t="s" s="0">
        <v>461</v>
      </c>
      <c r="AV16" t="s" s="0">
        <v>81</v>
      </c>
      <c r="AW16" t="s" s="0">
        <v>462</v>
      </c>
      <c r="AX16" t="s" s="0">
        <v>463</v>
      </c>
      <c r="AY16" t="s" s="0">
        <v>104</v>
      </c>
      <c r="AZ16" t="s" s="0">
        <v>105</v>
      </c>
      <c r="BA16" t="s" s="0">
        <v>272</v>
      </c>
      <c r="BB16" t="s" s="0">
        <v>107</v>
      </c>
      <c r="BC16" t="s" s="0">
        <v>81</v>
      </c>
      <c r="BD16" t="s" s="0">
        <v>81</v>
      </c>
      <c r="BE16" t="s" s="0">
        <v>81</v>
      </c>
      <c r="BF16" t="s" s="0">
        <v>81</v>
      </c>
      <c r="BG16" t="s" s="0">
        <v>81</v>
      </c>
      <c r="BH16" t="s" s="0">
        <v>81</v>
      </c>
      <c r="BI16" t="s" s="0">
        <v>464</v>
      </c>
      <c r="BJ16" t="s" s="0">
        <v>465</v>
      </c>
      <c r="BK16" t="s" s="29">
        <f>HYPERLINK("http://dx.doi.org/10.1080/17482631.2026.2621802","http://dx.doi.org/10.1080/17482631.2026.2621802")</f>
        <v>466</v>
      </c>
      <c r="BL16" t="s" s="0">
        <v>81</v>
      </c>
      <c r="BM16" t="s" s="0">
        <v>81</v>
      </c>
      <c r="BN16" t="s" s="0">
        <v>442</v>
      </c>
      <c r="BO16" t="s" s="0">
        <v>467</v>
      </c>
      <c r="BP16" t="s" s="0">
        <v>468</v>
      </c>
      <c r="BQ16" t="s" s="0">
        <v>469</v>
      </c>
      <c r="BR16" t="s" s="0">
        <v>470</v>
      </c>
      <c r="BS16" t="s" s="0">
        <v>471</v>
      </c>
      <c r="BT16" t="s" s="30">
        <f>HYPERLINK("https://www.webofscience.com/wos/woscc/full-record/WOS:001672054100001","View Record in Web of Science")</f>
        <v>116</v>
      </c>
      <c r="BU16" t="s" s="0">
        <v>353</v>
      </c>
      <c r="BV16" t="s" s="0">
        <v>81</v>
      </c>
      <c r="BW16" t="s" s="0">
        <v>81</v>
      </c>
      <c r="BX16" t="s" s="0">
        <v>118</v>
      </c>
    </row>
    <row r="17">
      <c r="A17" t="s" s="0">
        <v>77</v>
      </c>
      <c r="B17" t="s" s="0">
        <v>77</v>
      </c>
      <c r="C17" t="s" s="0">
        <v>77</v>
      </c>
      <c r="D17" t="s" s="0">
        <v>77</v>
      </c>
      <c r="E17" t="s" s="0">
        <v>472</v>
      </c>
      <c r="F17" t="s" s="0">
        <v>473</v>
      </c>
      <c r="G17" t="s" s="0">
        <v>474</v>
      </c>
      <c r="H17" t="s" s="0">
        <v>81</v>
      </c>
      <c r="I17" t="s" s="0">
        <v>82</v>
      </c>
      <c r="J17" t="s" s="0">
        <v>475</v>
      </c>
      <c r="K17" t="s" s="0">
        <v>476</v>
      </c>
      <c r="L17" t="s" s="0">
        <v>477</v>
      </c>
      <c r="M17" t="s" s="0">
        <v>478</v>
      </c>
      <c r="N17" t="s" s="0">
        <v>479</v>
      </c>
      <c r="O17" t="s" s="0">
        <v>480</v>
      </c>
      <c r="P17" t="s" s="0">
        <v>481</v>
      </c>
      <c r="Q17" t="s" s="0">
        <v>90</v>
      </c>
      <c r="R17" t="s" s="0">
        <v>81</v>
      </c>
      <c r="S17" t="s" s="0">
        <v>81</v>
      </c>
      <c r="T17" t="s" s="0">
        <v>81</v>
      </c>
      <c r="U17" t="s" s="0">
        <v>81</v>
      </c>
      <c r="V17" t="s" s="0">
        <v>482</v>
      </c>
      <c r="W17" t="s" s="0">
        <v>127</v>
      </c>
      <c r="X17" t="s" s="0">
        <v>81</v>
      </c>
      <c r="Y17" t="s" s="0">
        <v>81</v>
      </c>
      <c r="Z17" t="s" s="0">
        <v>93</v>
      </c>
      <c r="AA17" t="s" s="0">
        <v>128</v>
      </c>
      <c r="AB17" t="s" s="0">
        <v>81</v>
      </c>
      <c r="AC17" t="s" s="0">
        <v>81</v>
      </c>
      <c r="AD17" t="s" s="0">
        <v>81</v>
      </c>
      <c r="AE17" t="s" s="0">
        <v>81</v>
      </c>
      <c r="AF17" t="s" s="0">
        <v>81</v>
      </c>
      <c r="AG17" t="s" s="0">
        <v>483</v>
      </c>
      <c r="AH17" t="s" s="0">
        <v>81</v>
      </c>
      <c r="AI17" t="s" s="0">
        <v>484</v>
      </c>
      <c r="AJ17" t="s" s="0">
        <v>485</v>
      </c>
      <c r="AK17" t="s" s="0">
        <v>81</v>
      </c>
      <c r="AL17" t="s" s="0">
        <v>486</v>
      </c>
      <c r="AM17" t="s" s="0">
        <v>107</v>
      </c>
      <c r="AN17" t="s" s="0">
        <v>107</v>
      </c>
      <c r="AO17" t="s" s="0">
        <v>107</v>
      </c>
      <c r="AP17" t="s" s="0">
        <v>245</v>
      </c>
      <c r="AQ17" t="s" s="0">
        <v>97</v>
      </c>
      <c r="AR17" t="s" s="0">
        <v>98</v>
      </c>
      <c r="AS17" t="s" s="0">
        <v>99</v>
      </c>
      <c r="AT17" t="s" s="0">
        <v>132</v>
      </c>
      <c r="AU17" t="s" s="0">
        <v>81</v>
      </c>
      <c r="AV17" t="s" s="0">
        <v>81</v>
      </c>
      <c r="AW17" t="s" s="0">
        <v>133</v>
      </c>
      <c r="AX17" t="s" s="0">
        <v>134</v>
      </c>
      <c r="AY17" t="s" s="0">
        <v>104</v>
      </c>
      <c r="AZ17" t="s" s="0">
        <v>105</v>
      </c>
      <c r="BA17" t="s" s="0">
        <v>135</v>
      </c>
      <c r="BB17" t="s" s="0">
        <v>107</v>
      </c>
      <c r="BC17" t="s" s="0">
        <v>81</v>
      </c>
      <c r="BD17" t="s" s="0">
        <v>81</v>
      </c>
      <c r="BE17" t="s" s="0">
        <v>81</v>
      </c>
      <c r="BF17" t="s" s="0">
        <v>81</v>
      </c>
      <c r="BG17" t="s" s="0">
        <v>81</v>
      </c>
      <c r="BH17" t="s" s="0">
        <v>81</v>
      </c>
      <c r="BI17" t="s" s="0">
        <v>487</v>
      </c>
      <c r="BJ17" t="s" s="0">
        <v>488</v>
      </c>
      <c r="BK17" t="s" s="31">
        <f>HYPERLINK("http://dx.doi.org/10.1080/10872981.2025.2611632","http://dx.doi.org/10.1080/10872981.2025.2611632")</f>
        <v>489</v>
      </c>
      <c r="BL17" t="s" s="0">
        <v>81</v>
      </c>
      <c r="BM17" t="s" s="0">
        <v>81</v>
      </c>
      <c r="BN17" t="s" s="0">
        <v>389</v>
      </c>
      <c r="BO17" t="s" s="0">
        <v>140</v>
      </c>
      <c r="BP17" t="s" s="0">
        <v>140</v>
      </c>
      <c r="BQ17" t="s" s="0">
        <v>490</v>
      </c>
      <c r="BR17" t="s" s="0">
        <v>491</v>
      </c>
      <c r="BS17" t="s" s="0">
        <v>492</v>
      </c>
      <c r="BT17" t="s" s="32">
        <f>HYPERLINK("https://www.webofscience.com/wos/woscc/full-record/WOS:001657917600001","View Record in Web of Science")</f>
        <v>116</v>
      </c>
      <c r="BU17" t="s" s="0">
        <v>353</v>
      </c>
      <c r="BV17" t="s" s="0">
        <v>81</v>
      </c>
      <c r="BW17" t="s" s="0">
        <v>81</v>
      </c>
      <c r="BX17" t="s" s="0">
        <v>118</v>
      </c>
    </row>
    <row r="18">
      <c r="A18" t="s" s="0">
        <v>77</v>
      </c>
      <c r="B18" t="s" s="0">
        <v>77</v>
      </c>
      <c r="C18" t="s" s="0">
        <v>77</v>
      </c>
      <c r="D18" t="s" s="0">
        <v>77</v>
      </c>
      <c r="E18" t="s" s="0">
        <v>493</v>
      </c>
      <c r="F18" t="s" s="0">
        <v>494</v>
      </c>
      <c r="G18" t="s" s="0">
        <v>495</v>
      </c>
      <c r="H18" t="s" s="0">
        <v>81</v>
      </c>
      <c r="I18" t="s" s="0">
        <v>147</v>
      </c>
      <c r="J18" t="s" s="0">
        <v>496</v>
      </c>
      <c r="K18" t="s" s="0">
        <v>497</v>
      </c>
      <c r="L18" t="s" s="0">
        <v>81</v>
      </c>
      <c r="M18" t="s" s="0">
        <v>81</v>
      </c>
      <c r="N18" t="s" s="0">
        <v>81</v>
      </c>
      <c r="O18" t="s" s="0">
        <v>498</v>
      </c>
      <c r="P18" t="s" s="0">
        <v>499</v>
      </c>
      <c r="Q18" t="s" s="0">
        <v>90</v>
      </c>
      <c r="R18" t="s" s="0">
        <v>81</v>
      </c>
      <c r="S18" t="s" s="0">
        <v>81</v>
      </c>
      <c r="T18" t="s" s="0">
        <v>81</v>
      </c>
      <c r="U18" t="s" s="0">
        <v>81</v>
      </c>
      <c r="V18" t="s" s="0">
        <v>500</v>
      </c>
      <c r="W18" t="s" s="0">
        <v>501</v>
      </c>
      <c r="X18" t="s" s="0">
        <v>81</v>
      </c>
      <c r="Y18" t="s" s="0">
        <v>81</v>
      </c>
      <c r="Z18" t="s" s="0">
        <v>93</v>
      </c>
      <c r="AA18" t="s" s="0">
        <v>94</v>
      </c>
      <c r="AB18" t="s" s="0">
        <v>81</v>
      </c>
      <c r="AC18" t="s" s="0">
        <v>81</v>
      </c>
      <c r="AD18" t="s" s="0">
        <v>81</v>
      </c>
      <c r="AE18" t="s" s="0">
        <v>81</v>
      </c>
      <c r="AF18" t="s" s="0">
        <v>81</v>
      </c>
      <c r="AG18" t="s" s="0">
        <v>502</v>
      </c>
      <c r="AH18" t="s" s="0">
        <v>503</v>
      </c>
      <c r="AI18" t="s" s="0">
        <v>81</v>
      </c>
      <c r="AJ18" t="s" s="0">
        <v>81</v>
      </c>
      <c r="AK18" t="s" s="0">
        <v>81</v>
      </c>
      <c r="AL18" t="s" s="0">
        <v>504</v>
      </c>
      <c r="AM18" t="s" s="0">
        <v>77</v>
      </c>
      <c r="AN18" t="s" s="0">
        <v>77</v>
      </c>
      <c r="AO18" t="s" s="0">
        <v>107</v>
      </c>
      <c r="AP18" t="s" s="0">
        <v>107</v>
      </c>
      <c r="AQ18" t="s" s="0">
        <v>505</v>
      </c>
      <c r="AR18" t="s" s="0">
        <v>506</v>
      </c>
      <c r="AS18" t="s" s="0">
        <v>507</v>
      </c>
      <c r="AT18" t="s" s="0">
        <v>508</v>
      </c>
      <c r="AU18" t="s" s="0">
        <v>509</v>
      </c>
      <c r="AV18" t="s" s="0">
        <v>81</v>
      </c>
      <c r="AW18" t="s" s="0">
        <v>510</v>
      </c>
      <c r="AX18" t="s" s="0">
        <v>511</v>
      </c>
      <c r="AY18" t="s" s="0">
        <v>512</v>
      </c>
      <c r="AZ18" t="s" s="0">
        <v>105</v>
      </c>
      <c r="BA18" t="s" s="0">
        <v>513</v>
      </c>
      <c r="BB18" t="s" s="0">
        <v>81</v>
      </c>
      <c r="BC18" t="s" s="0">
        <v>81</v>
      </c>
      <c r="BD18" t="s" s="0">
        <v>514</v>
      </c>
      <c r="BE18" t="s" s="0">
        <v>81</v>
      </c>
      <c r="BF18" t="s" s="0">
        <v>81</v>
      </c>
      <c r="BG18" t="s" s="0">
        <v>81</v>
      </c>
      <c r="BH18" t="s" s="0">
        <v>81</v>
      </c>
      <c r="BI18" t="s" s="0">
        <v>515</v>
      </c>
      <c r="BJ18" t="s" s="0">
        <v>516</v>
      </c>
      <c r="BK18" t="s" s="33">
        <f>HYPERLINK("http://dx.doi.org/10.1016/j.eswa.2026.133320","http://dx.doi.org/10.1016/j.eswa.2026.133320")</f>
        <v>517</v>
      </c>
      <c r="BL18" t="s" s="0">
        <v>81</v>
      </c>
      <c r="BM18" t="s" s="0">
        <v>81</v>
      </c>
      <c r="BN18" t="s" s="0">
        <v>518</v>
      </c>
      <c r="BO18" t="s" s="0">
        <v>519</v>
      </c>
      <c r="BP18" t="s" s="0">
        <v>520</v>
      </c>
      <c r="BQ18" t="s" s="0">
        <v>521</v>
      </c>
      <c r="BR18" t="s" s="0">
        <v>81</v>
      </c>
      <c r="BS18" t="s" s="0">
        <v>522</v>
      </c>
      <c r="BT18" t="s" s="34">
        <f>HYPERLINK("https://www.webofscience.com/wos/woscc/full-record/WOS:001807840800003","View Record in Web of Science")</f>
        <v>116</v>
      </c>
      <c r="BU18" t="s" s="0">
        <v>523</v>
      </c>
      <c r="BV18" t="s" s="0">
        <v>81</v>
      </c>
      <c r="BW18" t="s" s="0">
        <v>81</v>
      </c>
      <c r="BX18" t="s" s="0">
        <v>118</v>
      </c>
    </row>
    <row r="19">
      <c r="A19" t="s" s="0">
        <v>77</v>
      </c>
      <c r="B19" t="s" s="0">
        <v>77</v>
      </c>
      <c r="C19" t="s" s="0">
        <v>77</v>
      </c>
      <c r="D19" t="s" s="0">
        <v>77</v>
      </c>
      <c r="E19" t="s" s="0">
        <v>524</v>
      </c>
      <c r="F19" t="s" s="0">
        <v>525</v>
      </c>
      <c r="G19" t="s" s="0">
        <v>526</v>
      </c>
      <c r="H19" t="s" s="0">
        <v>81</v>
      </c>
      <c r="I19" t="s" s="0">
        <v>147</v>
      </c>
      <c r="J19" t="s" s="0">
        <v>527</v>
      </c>
      <c r="K19" t="s" s="0">
        <v>528</v>
      </c>
      <c r="L19" t="s" s="0">
        <v>529</v>
      </c>
      <c r="M19" t="s" s="0">
        <v>530</v>
      </c>
      <c r="N19" t="s" s="0">
        <v>531</v>
      </c>
      <c r="O19" t="s" s="0">
        <v>532</v>
      </c>
      <c r="P19" t="s" s="0">
        <v>533</v>
      </c>
      <c r="Q19" t="s" s="0">
        <v>90</v>
      </c>
      <c r="R19" t="s" s="0">
        <v>81</v>
      </c>
      <c r="S19" t="s" s="0">
        <v>81</v>
      </c>
      <c r="T19" t="s" s="0">
        <v>81</v>
      </c>
      <c r="U19" t="s" s="0">
        <v>81</v>
      </c>
      <c r="V19" t="s" s="0">
        <v>534</v>
      </c>
      <c r="W19" t="s" s="0">
        <v>501</v>
      </c>
      <c r="X19" t="s" s="0">
        <v>81</v>
      </c>
      <c r="Y19" t="s" s="0">
        <v>81</v>
      </c>
      <c r="Z19" t="s" s="0">
        <v>93</v>
      </c>
      <c r="AA19" t="s" s="0">
        <v>128</v>
      </c>
      <c r="AB19" t="s" s="0">
        <v>81</v>
      </c>
      <c r="AC19" t="s" s="0">
        <v>81</v>
      </c>
      <c r="AD19" t="s" s="0">
        <v>81</v>
      </c>
      <c r="AE19" t="s" s="0">
        <v>81</v>
      </c>
      <c r="AF19" t="s" s="0">
        <v>81</v>
      </c>
      <c r="AG19" t="s" s="0">
        <v>535</v>
      </c>
      <c r="AH19" t="s" s="0">
        <v>536</v>
      </c>
      <c r="AI19" t="s" s="0">
        <v>81</v>
      </c>
      <c r="AJ19" t="s" s="0">
        <v>81</v>
      </c>
      <c r="AK19" t="s" s="0">
        <v>81</v>
      </c>
      <c r="AL19" t="s" s="0">
        <v>537</v>
      </c>
      <c r="AM19" t="s" s="0">
        <v>77</v>
      </c>
      <c r="AN19" t="s" s="0">
        <v>77</v>
      </c>
      <c r="AO19" t="s" s="0">
        <v>167</v>
      </c>
      <c r="AP19" t="s" s="0">
        <v>167</v>
      </c>
      <c r="AQ19" t="s" s="0">
        <v>505</v>
      </c>
      <c r="AR19" t="s" s="0">
        <v>506</v>
      </c>
      <c r="AS19" t="s" s="0">
        <v>507</v>
      </c>
      <c r="AT19" t="s" s="0">
        <v>508</v>
      </c>
      <c r="AU19" t="s" s="0">
        <v>509</v>
      </c>
      <c r="AV19" t="s" s="0">
        <v>81</v>
      </c>
      <c r="AW19" t="s" s="0">
        <v>510</v>
      </c>
      <c r="AX19" t="s" s="0">
        <v>511</v>
      </c>
      <c r="AY19" t="s" s="0">
        <v>512</v>
      </c>
      <c r="AZ19" t="s" s="0">
        <v>105</v>
      </c>
      <c r="BA19" t="s" s="0">
        <v>513</v>
      </c>
      <c r="BB19" t="s" s="0">
        <v>81</v>
      </c>
      <c r="BC19" t="s" s="0">
        <v>81</v>
      </c>
      <c r="BD19" t="s" s="0">
        <v>538</v>
      </c>
      <c r="BE19" t="s" s="0">
        <v>81</v>
      </c>
      <c r="BF19" t="s" s="0">
        <v>81</v>
      </c>
      <c r="BG19" t="s" s="0">
        <v>81</v>
      </c>
      <c r="BH19" t="s" s="0">
        <v>81</v>
      </c>
      <c r="BI19" t="s" s="0">
        <v>539</v>
      </c>
      <c r="BJ19" t="s" s="0">
        <v>540</v>
      </c>
      <c r="BK19" t="s" s="35">
        <f>HYPERLINK("http://dx.doi.org/10.1016/j.eswa.2026.133226","http://dx.doi.org/10.1016/j.eswa.2026.133226")</f>
        <v>541</v>
      </c>
      <c r="BL19" t="s" s="0">
        <v>81</v>
      </c>
      <c r="BM19" t="s" s="0">
        <v>81</v>
      </c>
      <c r="BN19" t="s" s="0">
        <v>167</v>
      </c>
      <c r="BO19" t="s" s="0">
        <v>519</v>
      </c>
      <c r="BP19" t="s" s="0">
        <v>520</v>
      </c>
      <c r="BQ19" t="s" s="0">
        <v>542</v>
      </c>
      <c r="BR19" t="s" s="0">
        <v>81</v>
      </c>
      <c r="BS19" t="s" s="0">
        <v>543</v>
      </c>
      <c r="BT19" t="s" s="36">
        <f>HYPERLINK("https://www.webofscience.com/wos/woscc/full-record/WOS:001805856600001","View Record in Web of Science")</f>
        <v>116</v>
      </c>
      <c r="BU19" t="s" s="0">
        <v>81</v>
      </c>
      <c r="BV19" t="s" s="0">
        <v>81</v>
      </c>
      <c r="BW19" t="s" s="0">
        <v>81</v>
      </c>
      <c r="BX19" t="s" s="0">
        <v>118</v>
      </c>
    </row>
    <row r="20">
      <c r="A20" t="s" s="0">
        <v>77</v>
      </c>
      <c r="B20" t="s" s="0">
        <v>77</v>
      </c>
      <c r="C20" t="s" s="0">
        <v>77</v>
      </c>
      <c r="D20" t="s" s="0">
        <v>77</v>
      </c>
      <c r="E20" t="s" s="0">
        <v>544</v>
      </c>
      <c r="F20" t="s" s="0">
        <v>545</v>
      </c>
      <c r="G20" t="s" s="0">
        <v>546</v>
      </c>
      <c r="H20" t="s" s="0">
        <v>81</v>
      </c>
      <c r="I20" t="s" s="0">
        <v>147</v>
      </c>
      <c r="J20" t="s" s="0">
        <v>547</v>
      </c>
      <c r="K20" t="s" s="0">
        <v>548</v>
      </c>
      <c r="L20" t="s" s="0">
        <v>549</v>
      </c>
      <c r="M20" t="s" s="0">
        <v>550</v>
      </c>
      <c r="N20" t="s" s="0">
        <v>551</v>
      </c>
      <c r="O20" t="s" s="0">
        <v>552</v>
      </c>
      <c r="P20" t="s" s="0">
        <v>553</v>
      </c>
      <c r="Q20" t="s" s="0">
        <v>90</v>
      </c>
      <c r="R20" t="s" s="0">
        <v>81</v>
      </c>
      <c r="S20" t="s" s="0">
        <v>81</v>
      </c>
      <c r="T20" t="s" s="0">
        <v>81</v>
      </c>
      <c r="U20" t="s" s="0">
        <v>81</v>
      </c>
      <c r="V20" t="s" s="0">
        <v>554</v>
      </c>
      <c r="W20" t="s" s="0">
        <v>501</v>
      </c>
      <c r="X20" t="s" s="0">
        <v>81</v>
      </c>
      <c r="Y20" t="s" s="0">
        <v>81</v>
      </c>
      <c r="Z20" t="s" s="0">
        <v>93</v>
      </c>
      <c r="AA20" t="s" s="0">
        <v>128</v>
      </c>
      <c r="AB20" t="s" s="0">
        <v>81</v>
      </c>
      <c r="AC20" t="s" s="0">
        <v>81</v>
      </c>
      <c r="AD20" t="s" s="0">
        <v>81</v>
      </c>
      <c r="AE20" t="s" s="0">
        <v>81</v>
      </c>
      <c r="AF20" t="s" s="0">
        <v>81</v>
      </c>
      <c r="AG20" t="s" s="0">
        <v>555</v>
      </c>
      <c r="AH20" t="s" s="0">
        <v>81</v>
      </c>
      <c r="AI20" t="s" s="0">
        <v>81</v>
      </c>
      <c r="AJ20" t="s" s="0">
        <v>81</v>
      </c>
      <c r="AK20" t="s" s="0">
        <v>81</v>
      </c>
      <c r="AL20" t="s" s="0">
        <v>556</v>
      </c>
      <c r="AM20" t="s" s="0">
        <v>77</v>
      </c>
      <c r="AN20" t="s" s="0">
        <v>77</v>
      </c>
      <c r="AO20" t="s" s="0">
        <v>107</v>
      </c>
      <c r="AP20" t="s" s="0">
        <v>107</v>
      </c>
      <c r="AQ20" t="s" s="0">
        <v>505</v>
      </c>
      <c r="AR20" t="s" s="0">
        <v>506</v>
      </c>
      <c r="AS20" t="s" s="0">
        <v>507</v>
      </c>
      <c r="AT20" t="s" s="0">
        <v>508</v>
      </c>
      <c r="AU20" t="s" s="0">
        <v>509</v>
      </c>
      <c r="AV20" t="s" s="0">
        <v>81</v>
      </c>
      <c r="AW20" t="s" s="0">
        <v>510</v>
      </c>
      <c r="AX20" t="s" s="0">
        <v>511</v>
      </c>
      <c r="AY20" t="s" s="0">
        <v>512</v>
      </c>
      <c r="AZ20" t="s" s="0">
        <v>105</v>
      </c>
      <c r="BA20" t="s" s="0">
        <v>513</v>
      </c>
      <c r="BB20" t="s" s="0">
        <v>81</v>
      </c>
      <c r="BC20" t="s" s="0">
        <v>81</v>
      </c>
      <c r="BD20" t="s" s="0">
        <v>538</v>
      </c>
      <c r="BE20" t="s" s="0">
        <v>81</v>
      </c>
      <c r="BF20" t="s" s="0">
        <v>81</v>
      </c>
      <c r="BG20" t="s" s="0">
        <v>81</v>
      </c>
      <c r="BH20" t="s" s="0">
        <v>81</v>
      </c>
      <c r="BI20" t="s" s="0">
        <v>557</v>
      </c>
      <c r="BJ20" t="s" s="0">
        <v>558</v>
      </c>
      <c r="BK20" t="s" s="37">
        <f>HYPERLINK("http://dx.doi.org/10.1016/j.eswa.2026.133192","http://dx.doi.org/10.1016/j.eswa.2026.133192")</f>
        <v>559</v>
      </c>
      <c r="BL20" t="s" s="0">
        <v>81</v>
      </c>
      <c r="BM20" t="s" s="0">
        <v>81</v>
      </c>
      <c r="BN20" t="s" s="0">
        <v>393</v>
      </c>
      <c r="BO20" t="s" s="0">
        <v>519</v>
      </c>
      <c r="BP20" t="s" s="0">
        <v>520</v>
      </c>
      <c r="BQ20" t="s" s="0">
        <v>542</v>
      </c>
      <c r="BR20" t="s" s="0">
        <v>81</v>
      </c>
      <c r="BS20" t="s" s="0">
        <v>560</v>
      </c>
      <c r="BT20" t="s" s="38">
        <f>HYPERLINK("https://www.webofscience.com/wos/woscc/full-record/WOS:001805856600002","View Record in Web of Science")</f>
        <v>116</v>
      </c>
      <c r="BU20" t="s" s="0">
        <v>81</v>
      </c>
      <c r="BV20" t="s" s="0">
        <v>81</v>
      </c>
      <c r="BW20" t="s" s="0">
        <v>81</v>
      </c>
      <c r="BX20" t="s" s="0">
        <v>118</v>
      </c>
    </row>
    <row r="21">
      <c r="A21" t="s" s="0">
        <v>77</v>
      </c>
      <c r="B21" t="s" s="0">
        <v>77</v>
      </c>
      <c r="C21" t="s" s="0">
        <v>77</v>
      </c>
      <c r="D21" t="s" s="0">
        <v>77</v>
      </c>
      <c r="E21" t="s" s="0">
        <v>561</v>
      </c>
      <c r="F21" t="s" s="0">
        <v>562</v>
      </c>
      <c r="G21" t="s" s="0">
        <v>563</v>
      </c>
      <c r="H21" t="s" s="0">
        <v>81</v>
      </c>
      <c r="I21" t="s" s="0">
        <v>147</v>
      </c>
      <c r="J21" t="s" s="0">
        <v>564</v>
      </c>
      <c r="K21" t="s" s="0">
        <v>565</v>
      </c>
      <c r="L21" t="s" s="0">
        <v>566</v>
      </c>
      <c r="M21" t="s" s="0">
        <v>567</v>
      </c>
      <c r="N21" t="s" s="0">
        <v>568</v>
      </c>
      <c r="O21" t="s" s="0">
        <v>569</v>
      </c>
      <c r="P21" t="s" s="0">
        <v>566</v>
      </c>
      <c r="Q21" t="s" s="0">
        <v>90</v>
      </c>
      <c r="R21" t="s" s="0">
        <v>81</v>
      </c>
      <c r="S21" t="s" s="0">
        <v>81</v>
      </c>
      <c r="T21" t="s" s="0">
        <v>81</v>
      </c>
      <c r="U21" t="s" s="0">
        <v>81</v>
      </c>
      <c r="V21" t="s" s="0">
        <v>570</v>
      </c>
      <c r="W21" t="s" s="0">
        <v>571</v>
      </c>
      <c r="X21" t="s" s="0">
        <v>81</v>
      </c>
      <c r="Y21" t="s" s="0">
        <v>81</v>
      </c>
      <c r="Z21" t="s" s="0">
        <v>93</v>
      </c>
      <c r="AA21" t="s" s="0">
        <v>128</v>
      </c>
      <c r="AB21" t="s" s="0">
        <v>81</v>
      </c>
      <c r="AC21" t="s" s="0">
        <v>81</v>
      </c>
      <c r="AD21" t="s" s="0">
        <v>81</v>
      </c>
      <c r="AE21" t="s" s="0">
        <v>81</v>
      </c>
      <c r="AF21" t="s" s="0">
        <v>81</v>
      </c>
      <c r="AG21" t="s" s="0">
        <v>572</v>
      </c>
      <c r="AH21" t="s" s="0">
        <v>81</v>
      </c>
      <c r="AI21" t="s" s="0">
        <v>573</v>
      </c>
      <c r="AJ21" t="s" s="0">
        <v>81</v>
      </c>
      <c r="AK21" t="s" s="0">
        <v>81</v>
      </c>
      <c r="AL21" t="s" s="0">
        <v>574</v>
      </c>
      <c r="AM21" t="s" s="0">
        <v>77</v>
      </c>
      <c r="AN21" t="s" s="0">
        <v>77</v>
      </c>
      <c r="AO21" t="s" s="0">
        <v>107</v>
      </c>
      <c r="AP21" t="s" s="0">
        <v>107</v>
      </c>
      <c r="AQ21" t="s" s="0">
        <v>97</v>
      </c>
      <c r="AR21" t="s" s="0">
        <v>98</v>
      </c>
      <c r="AS21" t="s" s="0">
        <v>99</v>
      </c>
      <c r="AT21" t="s" s="0">
        <v>575</v>
      </c>
      <c r="AU21" t="s" s="0">
        <v>576</v>
      </c>
      <c r="AV21" t="s" s="0">
        <v>81</v>
      </c>
      <c r="AW21" t="s" s="0">
        <v>577</v>
      </c>
      <c r="AX21" t="s" s="0">
        <v>578</v>
      </c>
      <c r="AY21" t="s" s="0">
        <v>512</v>
      </c>
      <c r="AZ21" t="s" s="0">
        <v>105</v>
      </c>
      <c r="BA21" t="s" s="0">
        <v>579</v>
      </c>
      <c r="BB21" t="s" s="0">
        <v>107</v>
      </c>
      <c r="BC21" t="s" s="0">
        <v>81</v>
      </c>
      <c r="BD21" t="s" s="0">
        <v>81</v>
      </c>
      <c r="BE21" t="s" s="0">
        <v>81</v>
      </c>
      <c r="BF21" t="s" s="0">
        <v>81</v>
      </c>
      <c r="BG21" t="s" s="0">
        <v>81</v>
      </c>
      <c r="BH21" t="s" s="0">
        <v>81</v>
      </c>
      <c r="BI21" t="s" s="0">
        <v>580</v>
      </c>
      <c r="BJ21" t="s" s="0">
        <v>581</v>
      </c>
      <c r="BK21" t="s" s="39">
        <f>HYPERLINK("http://dx.doi.org/10.1080/02813432.2026.2681143","http://dx.doi.org/10.1080/02813432.2026.2681143")</f>
        <v>582</v>
      </c>
      <c r="BL21" t="s" s="0">
        <v>81</v>
      </c>
      <c r="BM21" t="s" s="0">
        <v>81</v>
      </c>
      <c r="BN21" t="s" s="0">
        <v>216</v>
      </c>
      <c r="BO21" t="s" s="0">
        <v>583</v>
      </c>
      <c r="BP21" t="s" s="0">
        <v>584</v>
      </c>
      <c r="BQ21" t="s" s="0">
        <v>585</v>
      </c>
      <c r="BR21" t="s" s="0">
        <v>586</v>
      </c>
      <c r="BS21" t="s" s="0">
        <v>587</v>
      </c>
      <c r="BT21" t="s" s="40">
        <f>HYPERLINK("https://www.webofscience.com/wos/woscc/full-record/WOS:001783727100001","View Record in Web of Science")</f>
        <v>116</v>
      </c>
      <c r="BU21" t="s" s="0">
        <v>117</v>
      </c>
      <c r="BV21" t="s" s="0">
        <v>81</v>
      </c>
      <c r="BW21" t="s" s="0">
        <v>81</v>
      </c>
      <c r="BX21" t="s" s="0">
        <v>118</v>
      </c>
    </row>
    <row r="22">
      <c r="A22" t="s" s="0">
        <v>77</v>
      </c>
      <c r="B22" t="s" s="0">
        <v>77</v>
      </c>
      <c r="C22" t="s" s="0">
        <v>77</v>
      </c>
      <c r="D22" t="s" s="0">
        <v>77</v>
      </c>
      <c r="E22" t="s" s="0">
        <v>588</v>
      </c>
      <c r="F22" t="s" s="0">
        <v>589</v>
      </c>
      <c r="G22" t="s" s="0">
        <v>590</v>
      </c>
      <c r="H22" t="s" s="0">
        <v>81</v>
      </c>
      <c r="I22" t="s" s="0">
        <v>147</v>
      </c>
      <c r="J22" t="s" s="0">
        <v>591</v>
      </c>
      <c r="K22" t="s" s="0">
        <v>592</v>
      </c>
      <c r="L22" t="s" s="0">
        <v>593</v>
      </c>
      <c r="M22" t="s" s="0">
        <v>594</v>
      </c>
      <c r="N22" t="s" s="0">
        <v>595</v>
      </c>
      <c r="O22" t="s" s="0">
        <v>596</v>
      </c>
      <c r="P22" t="s" s="0">
        <v>597</v>
      </c>
      <c r="Q22" t="s" s="0">
        <v>90</v>
      </c>
      <c r="R22" t="s" s="0">
        <v>81</v>
      </c>
      <c r="S22" t="s" s="0">
        <v>81</v>
      </c>
      <c r="T22" t="s" s="0">
        <v>81</v>
      </c>
      <c r="U22" t="s" s="0">
        <v>81</v>
      </c>
      <c r="V22" t="s" s="0">
        <v>598</v>
      </c>
      <c r="W22" t="s" s="0">
        <v>599</v>
      </c>
      <c r="X22" t="s" s="0">
        <v>81</v>
      </c>
      <c r="Y22" t="s" s="0">
        <v>81</v>
      </c>
      <c r="Z22" t="s" s="0">
        <v>93</v>
      </c>
      <c r="AA22" t="s" s="0">
        <v>128</v>
      </c>
      <c r="AB22" t="s" s="0">
        <v>81</v>
      </c>
      <c r="AC22" t="s" s="0">
        <v>81</v>
      </c>
      <c r="AD22" t="s" s="0">
        <v>81</v>
      </c>
      <c r="AE22" t="s" s="0">
        <v>81</v>
      </c>
      <c r="AF22" t="s" s="0">
        <v>81</v>
      </c>
      <c r="AG22" t="s" s="0">
        <v>600</v>
      </c>
      <c r="AH22" t="s" s="0">
        <v>81</v>
      </c>
      <c r="AI22" t="s" s="0">
        <v>81</v>
      </c>
      <c r="AJ22" t="s" s="0">
        <v>81</v>
      </c>
      <c r="AK22" t="s" s="0">
        <v>81</v>
      </c>
      <c r="AL22" t="s" s="0">
        <v>601</v>
      </c>
      <c r="AM22" t="s" s="0">
        <v>77</v>
      </c>
      <c r="AN22" t="s" s="0">
        <v>77</v>
      </c>
      <c r="AO22" t="s" s="0">
        <v>77</v>
      </c>
      <c r="AP22" t="s" s="0">
        <v>77</v>
      </c>
      <c r="AQ22" t="s" s="0">
        <v>602</v>
      </c>
      <c r="AR22" t="s" s="0">
        <v>603</v>
      </c>
      <c r="AS22" t="s" s="0">
        <v>604</v>
      </c>
      <c r="AT22" t="s" s="0">
        <v>605</v>
      </c>
      <c r="AU22" t="s" s="0">
        <v>606</v>
      </c>
      <c r="AV22" t="s" s="0">
        <v>81</v>
      </c>
      <c r="AW22" t="s" s="0">
        <v>607</v>
      </c>
      <c r="AX22" t="s" s="0">
        <v>608</v>
      </c>
      <c r="AY22" t="s" s="0">
        <v>609</v>
      </c>
      <c r="AZ22" t="s" s="0">
        <v>105</v>
      </c>
      <c r="BA22" t="s" s="0">
        <v>610</v>
      </c>
      <c r="BB22" t="s" s="0">
        <v>81</v>
      </c>
      <c r="BC22" t="s" s="0">
        <v>81</v>
      </c>
      <c r="BD22" t="s" s="0">
        <v>81</v>
      </c>
      <c r="BE22" t="s" s="0">
        <v>81</v>
      </c>
      <c r="BF22" t="s" s="0">
        <v>81</v>
      </c>
      <c r="BG22" t="s" s="0">
        <v>81</v>
      </c>
      <c r="BH22" t="s" s="0">
        <v>81</v>
      </c>
      <c r="BI22" t="s" s="0">
        <v>611</v>
      </c>
      <c r="BJ22" t="s" s="0">
        <v>612</v>
      </c>
      <c r="BK22" t="s" s="41">
        <f>HYPERLINK("http://dx.doi.org/10.1016/j.ins.2026.123930","http://dx.doi.org/10.1016/j.ins.2026.123930")</f>
        <v>613</v>
      </c>
      <c r="BL22" t="s" s="0">
        <v>81</v>
      </c>
      <c r="BM22" t="s" s="0">
        <v>81</v>
      </c>
      <c r="BN22" t="s" s="0">
        <v>614</v>
      </c>
      <c r="BO22" t="s" s="0">
        <v>615</v>
      </c>
      <c r="BP22" t="s" s="0">
        <v>616</v>
      </c>
      <c r="BQ22" t="s" s="0">
        <v>617</v>
      </c>
      <c r="BR22" t="s" s="0">
        <v>81</v>
      </c>
      <c r="BS22" t="s" s="0">
        <v>618</v>
      </c>
      <c r="BT22" t="s" s="42">
        <f>HYPERLINK("https://www.webofscience.com/wos/woscc/full-record/WOS:001836028500001","View Record in Web of Science")</f>
        <v>116</v>
      </c>
      <c r="BU22" t="s" s="0">
        <v>81</v>
      </c>
      <c r="BV22" t="s" s="0">
        <v>81</v>
      </c>
      <c r="BW22" t="s" s="0">
        <v>81</v>
      </c>
      <c r="BX22" t="s" s="0">
        <v>118</v>
      </c>
    </row>
    <row r="23">
      <c r="A23" t="s" s="0">
        <v>77</v>
      </c>
      <c r="B23" t="s" s="0">
        <v>77</v>
      </c>
      <c r="C23" t="s" s="0">
        <v>77</v>
      </c>
      <c r="D23" t="s" s="0">
        <v>77</v>
      </c>
      <c r="E23" t="s" s="0">
        <v>619</v>
      </c>
      <c r="F23" t="s" s="0">
        <v>620</v>
      </c>
      <c r="G23" t="s" s="0">
        <v>621</v>
      </c>
      <c r="H23" t="s" s="0">
        <v>81</v>
      </c>
      <c r="I23" t="s" s="0">
        <v>147</v>
      </c>
      <c r="J23" t="s" s="0">
        <v>622</v>
      </c>
      <c r="K23" t="s" s="0">
        <v>623</v>
      </c>
      <c r="L23" t="s" s="0">
        <v>624</v>
      </c>
      <c r="M23" t="s" s="0">
        <v>625</v>
      </c>
      <c r="N23" t="s" s="0">
        <v>626</v>
      </c>
      <c r="O23" t="s" s="0">
        <v>627</v>
      </c>
      <c r="P23" t="s" s="0">
        <v>628</v>
      </c>
      <c r="Q23" t="s" s="0">
        <v>90</v>
      </c>
      <c r="R23" t="s" s="0">
        <v>81</v>
      </c>
      <c r="S23" t="s" s="0">
        <v>81</v>
      </c>
      <c r="T23" t="s" s="0">
        <v>81</v>
      </c>
      <c r="U23" t="s" s="0">
        <v>81</v>
      </c>
      <c r="V23" t="s" s="0">
        <v>629</v>
      </c>
      <c r="W23" t="s" s="0">
        <v>630</v>
      </c>
      <c r="X23" t="s" s="0">
        <v>81</v>
      </c>
      <c r="Y23" t="s" s="0">
        <v>81</v>
      </c>
      <c r="Z23" t="s" s="0">
        <v>93</v>
      </c>
      <c r="AA23" t="s" s="0">
        <v>128</v>
      </c>
      <c r="AB23" t="s" s="0">
        <v>81</v>
      </c>
      <c r="AC23" t="s" s="0">
        <v>81</v>
      </c>
      <c r="AD23" t="s" s="0">
        <v>81</v>
      </c>
      <c r="AE23" t="s" s="0">
        <v>81</v>
      </c>
      <c r="AF23" t="s" s="0">
        <v>81</v>
      </c>
      <c r="AG23" t="s" s="0">
        <v>631</v>
      </c>
      <c r="AH23" t="s" s="0">
        <v>81</v>
      </c>
      <c r="AI23" t="s" s="0">
        <v>81</v>
      </c>
      <c r="AJ23" t="s" s="0">
        <v>81</v>
      </c>
      <c r="AK23" t="s" s="0">
        <v>81</v>
      </c>
      <c r="AL23" t="s" s="0">
        <v>632</v>
      </c>
      <c r="AM23" t="s" s="0">
        <v>77</v>
      </c>
      <c r="AN23" t="s" s="0">
        <v>77</v>
      </c>
      <c r="AO23" t="s" s="0">
        <v>77</v>
      </c>
      <c r="AP23" t="s" s="0">
        <v>77</v>
      </c>
      <c r="AQ23" t="s" s="0">
        <v>633</v>
      </c>
      <c r="AR23" t="s" s="0">
        <v>634</v>
      </c>
      <c r="AS23" t="s" s="0">
        <v>635</v>
      </c>
      <c r="AT23" t="s" s="0">
        <v>636</v>
      </c>
      <c r="AU23" t="s" s="0">
        <v>637</v>
      </c>
      <c r="AV23" t="s" s="0">
        <v>81</v>
      </c>
      <c r="AW23" t="s" s="0">
        <v>638</v>
      </c>
      <c r="AX23" t="s" s="0">
        <v>639</v>
      </c>
      <c r="AY23" t="s" s="0">
        <v>640</v>
      </c>
      <c r="AZ23" t="s" s="0">
        <v>105</v>
      </c>
      <c r="BA23" t="s" s="0">
        <v>641</v>
      </c>
      <c r="BB23" t="s" s="0">
        <v>81</v>
      </c>
      <c r="BC23" t="s" s="0">
        <v>81</v>
      </c>
      <c r="BD23" t="s" s="0">
        <v>81</v>
      </c>
      <c r="BE23" t="s" s="0">
        <v>81</v>
      </c>
      <c r="BF23" t="s" s="0">
        <v>81</v>
      </c>
      <c r="BG23" t="s" s="0">
        <v>81</v>
      </c>
      <c r="BH23" t="s" s="0">
        <v>81</v>
      </c>
      <c r="BI23" t="s" s="0">
        <v>642</v>
      </c>
      <c r="BJ23" t="s" s="0">
        <v>643</v>
      </c>
      <c r="BK23" t="s" s="43">
        <f>HYPERLINK("http://dx.doi.org/10.1016/j.bspc.2026.111275","http://dx.doi.org/10.1016/j.bspc.2026.111275")</f>
        <v>644</v>
      </c>
      <c r="BL23" t="s" s="0">
        <v>81</v>
      </c>
      <c r="BM23" t="s" s="0">
        <v>81</v>
      </c>
      <c r="BN23" t="s" s="0">
        <v>216</v>
      </c>
      <c r="BO23" t="s" s="0">
        <v>645</v>
      </c>
      <c r="BP23" t="s" s="0">
        <v>420</v>
      </c>
      <c r="BQ23" t="s" s="0">
        <v>646</v>
      </c>
      <c r="BR23" t="s" s="0">
        <v>81</v>
      </c>
      <c r="BS23" t="s" s="0">
        <v>647</v>
      </c>
      <c r="BT23" t="s" s="44">
        <f>HYPERLINK("https://www.webofscience.com/wos/woscc/full-record/WOS:001853375300002","View Record in Web of Science")</f>
        <v>116</v>
      </c>
      <c r="BU23" t="s" s="0">
        <v>81</v>
      </c>
      <c r="BV23" t="s" s="0">
        <v>81</v>
      </c>
      <c r="BW23" t="s" s="0">
        <v>81</v>
      </c>
      <c r="BX23" t="s" s="0">
        <v>118</v>
      </c>
    </row>
    <row r="24">
      <c r="A24" t="s" s="0">
        <v>77</v>
      </c>
      <c r="B24" t="s" s="0">
        <v>77</v>
      </c>
      <c r="C24" t="s" s="0">
        <v>77</v>
      </c>
      <c r="D24" t="s" s="0">
        <v>77</v>
      </c>
      <c r="E24" t="s" s="0">
        <v>648</v>
      </c>
      <c r="F24" t="s" s="0">
        <v>649</v>
      </c>
      <c r="G24" t="s" s="0">
        <v>650</v>
      </c>
      <c r="H24" t="s" s="0">
        <v>81</v>
      </c>
      <c r="I24" t="s" s="0">
        <v>147</v>
      </c>
      <c r="J24" t="s" s="0">
        <v>651</v>
      </c>
      <c r="K24" t="s" s="0">
        <v>652</v>
      </c>
      <c r="L24" t="s" s="0">
        <v>653</v>
      </c>
      <c r="M24" t="s" s="0">
        <v>654</v>
      </c>
      <c r="N24" t="s" s="0">
        <v>655</v>
      </c>
      <c r="O24" t="s" s="0">
        <v>656</v>
      </c>
      <c r="P24" t="s" s="0">
        <v>657</v>
      </c>
      <c r="Q24" t="s" s="0">
        <v>90</v>
      </c>
      <c r="R24" t="s" s="0">
        <v>81</v>
      </c>
      <c r="S24" t="s" s="0">
        <v>81</v>
      </c>
      <c r="T24" t="s" s="0">
        <v>81</v>
      </c>
      <c r="U24" t="s" s="0">
        <v>81</v>
      </c>
      <c r="V24" t="s" s="0">
        <v>658</v>
      </c>
      <c r="W24" t="s" s="0">
        <v>630</v>
      </c>
      <c r="X24" t="s" s="0">
        <v>81</v>
      </c>
      <c r="Y24" t="s" s="0">
        <v>81</v>
      </c>
      <c r="Z24" t="s" s="0">
        <v>93</v>
      </c>
      <c r="AA24" t="s" s="0">
        <v>128</v>
      </c>
      <c r="AB24" t="s" s="0">
        <v>81</v>
      </c>
      <c r="AC24" t="s" s="0">
        <v>81</v>
      </c>
      <c r="AD24" t="s" s="0">
        <v>81</v>
      </c>
      <c r="AE24" t="s" s="0">
        <v>81</v>
      </c>
      <c r="AF24" t="s" s="0">
        <v>81</v>
      </c>
      <c r="AG24" t="s" s="0">
        <v>659</v>
      </c>
      <c r="AH24" t="s" s="0">
        <v>81</v>
      </c>
      <c r="AI24" t="s" s="0">
        <v>81</v>
      </c>
      <c r="AJ24" t="s" s="0">
        <v>81</v>
      </c>
      <c r="AK24" t="s" s="0">
        <v>81</v>
      </c>
      <c r="AL24" t="s" s="0">
        <v>660</v>
      </c>
      <c r="AM24" t="s" s="0">
        <v>77</v>
      </c>
      <c r="AN24" t="s" s="0">
        <v>77</v>
      </c>
      <c r="AO24" t="s" s="0">
        <v>77</v>
      </c>
      <c r="AP24" t="s" s="0">
        <v>77</v>
      </c>
      <c r="AQ24" t="s" s="0">
        <v>633</v>
      </c>
      <c r="AR24" t="s" s="0">
        <v>634</v>
      </c>
      <c r="AS24" t="s" s="0">
        <v>635</v>
      </c>
      <c r="AT24" t="s" s="0">
        <v>636</v>
      </c>
      <c r="AU24" t="s" s="0">
        <v>637</v>
      </c>
      <c r="AV24" t="s" s="0">
        <v>81</v>
      </c>
      <c r="AW24" t="s" s="0">
        <v>638</v>
      </c>
      <c r="AX24" t="s" s="0">
        <v>639</v>
      </c>
      <c r="AY24" t="s" s="0">
        <v>640</v>
      </c>
      <c r="AZ24" t="s" s="0">
        <v>105</v>
      </c>
      <c r="BA24" t="s" s="0">
        <v>641</v>
      </c>
      <c r="BB24" t="s" s="0">
        <v>81</v>
      </c>
      <c r="BC24" t="s" s="0">
        <v>81</v>
      </c>
      <c r="BD24" t="s" s="0">
        <v>81</v>
      </c>
      <c r="BE24" t="s" s="0">
        <v>81</v>
      </c>
      <c r="BF24" t="s" s="0">
        <v>81</v>
      </c>
      <c r="BG24" t="s" s="0">
        <v>81</v>
      </c>
      <c r="BH24" t="s" s="0">
        <v>81</v>
      </c>
      <c r="BI24" t="s" s="0">
        <v>661</v>
      </c>
      <c r="BJ24" t="s" s="0">
        <v>662</v>
      </c>
      <c r="BK24" t="s" s="45">
        <f>HYPERLINK("http://dx.doi.org/10.1016/j.bspc.2026.111226","http://dx.doi.org/10.1016/j.bspc.2026.111226")</f>
        <v>663</v>
      </c>
      <c r="BL24" t="s" s="0">
        <v>81</v>
      </c>
      <c r="BM24" t="s" s="0">
        <v>81</v>
      </c>
      <c r="BN24" t="s" s="0">
        <v>111</v>
      </c>
      <c r="BO24" t="s" s="0">
        <v>645</v>
      </c>
      <c r="BP24" t="s" s="0">
        <v>420</v>
      </c>
      <c r="BQ24" t="s" s="0">
        <v>664</v>
      </c>
      <c r="BR24" t="s" s="0">
        <v>81</v>
      </c>
      <c r="BS24" t="s" s="0">
        <v>665</v>
      </c>
      <c r="BT24" t="s" s="46">
        <f>HYPERLINK("https://www.webofscience.com/wos/woscc/full-record/WOS:001852216600002","View Record in Web of Science")</f>
        <v>116</v>
      </c>
      <c r="BU24" t="s" s="0">
        <v>523</v>
      </c>
      <c r="BV24" t="s" s="0">
        <v>81</v>
      </c>
      <c r="BW24" t="s" s="0">
        <v>81</v>
      </c>
      <c r="BX24" t="s" s="0">
        <v>118</v>
      </c>
    </row>
    <row r="25">
      <c r="A25" t="s" s="0">
        <v>77</v>
      </c>
      <c r="B25" t="s" s="0">
        <v>77</v>
      </c>
      <c r="C25" t="s" s="0">
        <v>77</v>
      </c>
      <c r="D25" t="s" s="0">
        <v>77</v>
      </c>
      <c r="E25" t="s" s="0">
        <v>666</v>
      </c>
      <c r="F25" t="s" s="0">
        <v>667</v>
      </c>
      <c r="G25" t="s" s="0">
        <v>668</v>
      </c>
      <c r="H25" t="s" s="0">
        <v>81</v>
      </c>
      <c r="I25" t="s" s="0">
        <v>147</v>
      </c>
      <c r="J25" t="s" s="0">
        <v>669</v>
      </c>
      <c r="K25" t="s" s="0">
        <v>670</v>
      </c>
      <c r="L25" t="s" s="0">
        <v>81</v>
      </c>
      <c r="M25" t="s" s="0">
        <v>81</v>
      </c>
      <c r="N25" t="s" s="0">
        <v>81</v>
      </c>
      <c r="O25" t="s" s="0">
        <v>671</v>
      </c>
      <c r="P25" t="s" s="0">
        <v>672</v>
      </c>
      <c r="Q25" t="s" s="0">
        <v>90</v>
      </c>
      <c r="R25" t="s" s="0">
        <v>81</v>
      </c>
      <c r="S25" t="s" s="0">
        <v>81</v>
      </c>
      <c r="T25" t="s" s="0">
        <v>81</v>
      </c>
      <c r="U25" t="s" s="0">
        <v>81</v>
      </c>
      <c r="V25" t="s" s="0">
        <v>673</v>
      </c>
      <c r="W25" t="s" s="0">
        <v>674</v>
      </c>
      <c r="X25" t="s" s="0">
        <v>81</v>
      </c>
      <c r="Y25" t="s" s="0">
        <v>81</v>
      </c>
      <c r="Z25" t="s" s="0">
        <v>93</v>
      </c>
      <c r="AA25" t="s" s="0">
        <v>94</v>
      </c>
      <c r="AB25" t="s" s="0">
        <v>81</v>
      </c>
      <c r="AC25" t="s" s="0">
        <v>81</v>
      </c>
      <c r="AD25" t="s" s="0">
        <v>81</v>
      </c>
      <c r="AE25" t="s" s="0">
        <v>81</v>
      </c>
      <c r="AF25" t="s" s="0">
        <v>81</v>
      </c>
      <c r="AG25" t="s" s="0">
        <v>675</v>
      </c>
      <c r="AH25" t="s" s="0">
        <v>676</v>
      </c>
      <c r="AI25" t="s" s="0">
        <v>81</v>
      </c>
      <c r="AJ25" t="s" s="0">
        <v>81</v>
      </c>
      <c r="AK25" t="s" s="0">
        <v>81</v>
      </c>
      <c r="AL25" t="s" s="0">
        <v>677</v>
      </c>
      <c r="AM25" t="s" s="0">
        <v>77</v>
      </c>
      <c r="AN25" t="s" s="0">
        <v>77</v>
      </c>
      <c r="AO25" t="s" s="0">
        <v>77</v>
      </c>
      <c r="AP25" t="s" s="0">
        <v>77</v>
      </c>
      <c r="AQ25" t="s" s="0">
        <v>678</v>
      </c>
      <c r="AR25" t="s" s="0">
        <v>679</v>
      </c>
      <c r="AS25" t="s" s="0">
        <v>680</v>
      </c>
      <c r="AT25" t="s" s="0">
        <v>681</v>
      </c>
      <c r="AU25" t="s" s="0">
        <v>682</v>
      </c>
      <c r="AV25" t="s" s="0">
        <v>81</v>
      </c>
      <c r="AW25" t="s" s="0">
        <v>683</v>
      </c>
      <c r="AX25" t="s" s="0">
        <v>684</v>
      </c>
      <c r="AY25" t="s" s="0">
        <v>685</v>
      </c>
      <c r="AZ25" t="s" s="0">
        <v>105</v>
      </c>
      <c r="BA25" t="s" s="0">
        <v>686</v>
      </c>
      <c r="BB25" t="s" s="0">
        <v>687</v>
      </c>
      <c r="BC25" t="s" s="0">
        <v>81</v>
      </c>
      <c r="BD25" t="s" s="0">
        <v>81</v>
      </c>
      <c r="BE25" t="s" s="0">
        <v>81</v>
      </c>
      <c r="BF25" t="s" s="0">
        <v>81</v>
      </c>
      <c r="BG25" t="s" s="0">
        <v>81</v>
      </c>
      <c r="BH25" t="s" s="0">
        <v>81</v>
      </c>
      <c r="BI25" t="s" s="0">
        <v>688</v>
      </c>
      <c r="BJ25" t="s" s="0">
        <v>689</v>
      </c>
      <c r="BK25" t="s" s="47">
        <f>HYPERLINK("http://dx.doi.org/10.1016/j.lpm.2026.104376","http://dx.doi.org/10.1016/j.lpm.2026.104376")</f>
        <v>690</v>
      </c>
      <c r="BL25" t="s" s="0">
        <v>81</v>
      </c>
      <c r="BM25" t="s" s="0">
        <v>81</v>
      </c>
      <c r="BN25" t="s" s="0">
        <v>224</v>
      </c>
      <c r="BO25" t="s" s="0">
        <v>304</v>
      </c>
      <c r="BP25" t="s" s="0">
        <v>305</v>
      </c>
      <c r="BQ25" t="s" s="0">
        <v>691</v>
      </c>
      <c r="BR25" t="s" s="0">
        <v>692</v>
      </c>
      <c r="BS25" t="s" s="0">
        <v>693</v>
      </c>
      <c r="BT25" t="s" s="48">
        <f>HYPERLINK("https://www.webofscience.com/wos/woscc/full-record/WOS:001847577500001","View Record in Web of Science")</f>
        <v>116</v>
      </c>
      <c r="BU25" t="s" s="0">
        <v>694</v>
      </c>
      <c r="BV25" t="s" s="0">
        <v>81</v>
      </c>
      <c r="BW25" t="s" s="0">
        <v>81</v>
      </c>
      <c r="BX25" t="s" s="0">
        <v>118</v>
      </c>
    </row>
    <row r="26">
      <c r="A26" t="s" s="0">
        <v>77</v>
      </c>
      <c r="B26" t="s" s="0">
        <v>77</v>
      </c>
      <c r="C26" t="s" s="0">
        <v>77</v>
      </c>
      <c r="D26" t="s" s="0">
        <v>77</v>
      </c>
      <c r="E26" t="s" s="0">
        <v>695</v>
      </c>
      <c r="F26" t="s" s="0">
        <v>696</v>
      </c>
      <c r="G26" t="s" s="0">
        <v>697</v>
      </c>
      <c r="H26" t="s" s="0">
        <v>81</v>
      </c>
      <c r="I26" t="s" s="0">
        <v>698</v>
      </c>
      <c r="J26" t="s" s="0">
        <v>699</v>
      </c>
      <c r="K26" t="s" s="0">
        <v>700</v>
      </c>
      <c r="L26" t="s" s="0">
        <v>81</v>
      </c>
      <c r="M26" t="s" s="0">
        <v>81</v>
      </c>
      <c r="N26" t="s" s="0">
        <v>81</v>
      </c>
      <c r="O26" t="s" s="0">
        <v>701</v>
      </c>
      <c r="P26" t="s" s="0">
        <v>702</v>
      </c>
      <c r="Q26" t="s" s="0">
        <v>90</v>
      </c>
      <c r="R26" t="s" s="0">
        <v>81</v>
      </c>
      <c r="S26" t="s" s="0">
        <v>81</v>
      </c>
      <c r="T26" t="s" s="0">
        <v>81</v>
      </c>
      <c r="U26" t="s" s="0">
        <v>81</v>
      </c>
      <c r="V26" t="s" s="0">
        <v>703</v>
      </c>
      <c r="W26" t="s" s="0">
        <v>704</v>
      </c>
      <c r="X26" t="s" s="0">
        <v>81</v>
      </c>
      <c r="Y26" t="s" s="0">
        <v>81</v>
      </c>
      <c r="Z26" t="s" s="0">
        <v>93</v>
      </c>
      <c r="AA26" t="s" s="0">
        <v>128</v>
      </c>
      <c r="AB26" t="s" s="0">
        <v>81</v>
      </c>
      <c r="AC26" t="s" s="0">
        <v>81</v>
      </c>
      <c r="AD26" t="s" s="0">
        <v>81</v>
      </c>
      <c r="AE26" t="s" s="0">
        <v>81</v>
      </c>
      <c r="AF26" t="s" s="0">
        <v>81</v>
      </c>
      <c r="AG26" t="s" s="0">
        <v>705</v>
      </c>
      <c r="AH26" t="s" s="0">
        <v>81</v>
      </c>
      <c r="AI26" t="s" s="0">
        <v>81</v>
      </c>
      <c r="AJ26" t="s" s="0">
        <v>81</v>
      </c>
      <c r="AK26" t="s" s="0">
        <v>81</v>
      </c>
      <c r="AL26" t="s" s="0">
        <v>272</v>
      </c>
      <c r="AM26" t="s" s="0">
        <v>77</v>
      </c>
      <c r="AN26" t="s" s="0">
        <v>77</v>
      </c>
      <c r="AO26" t="s" s="0">
        <v>77</v>
      </c>
      <c r="AP26" t="s" s="0">
        <v>77</v>
      </c>
      <c r="AQ26" t="s" s="0">
        <v>706</v>
      </c>
      <c r="AR26" t="s" s="0">
        <v>707</v>
      </c>
      <c r="AS26" t="s" s="0">
        <v>708</v>
      </c>
      <c r="AT26" t="s" s="0">
        <v>709</v>
      </c>
      <c r="AU26" t="s" s="0">
        <v>710</v>
      </c>
      <c r="AV26" t="s" s="0">
        <v>81</v>
      </c>
      <c r="AW26" t="s" s="0">
        <v>711</v>
      </c>
      <c r="AX26" t="s" s="0">
        <v>712</v>
      </c>
      <c r="AY26" t="s" s="0">
        <v>685</v>
      </c>
      <c r="AZ26" t="s" s="0">
        <v>105</v>
      </c>
      <c r="BA26" t="s" s="0">
        <v>713</v>
      </c>
      <c r="BB26" t="s" s="0">
        <v>81</v>
      </c>
      <c r="BC26" t="s" s="0">
        <v>81</v>
      </c>
      <c r="BD26" t="s" s="0">
        <v>81</v>
      </c>
      <c r="BE26" t="s" s="0">
        <v>81</v>
      </c>
      <c r="BF26" t="s" s="0">
        <v>81</v>
      </c>
      <c r="BG26" t="s" s="0">
        <v>81</v>
      </c>
      <c r="BH26" t="s" s="0">
        <v>81</v>
      </c>
      <c r="BI26" t="s" s="0">
        <v>714</v>
      </c>
      <c r="BJ26" t="s" s="0">
        <v>715</v>
      </c>
      <c r="BK26" t="s" s="49">
        <f>HYPERLINK("http://dx.doi.org/10.1016/j.nedt.2026.107326","http://dx.doi.org/10.1016/j.nedt.2026.107326")</f>
        <v>716</v>
      </c>
      <c r="BL26" t="s" s="0">
        <v>81</v>
      </c>
      <c r="BM26" t="s" s="0">
        <v>81</v>
      </c>
      <c r="BN26" t="s" s="0">
        <v>341</v>
      </c>
      <c r="BO26" t="s" s="0">
        <v>717</v>
      </c>
      <c r="BP26" t="s" s="0">
        <v>718</v>
      </c>
      <c r="BQ26" t="s" s="0">
        <v>719</v>
      </c>
      <c r="BR26" t="s" s="0">
        <v>720</v>
      </c>
      <c r="BS26" t="s" s="0">
        <v>721</v>
      </c>
      <c r="BT26" t="s" s="50">
        <f>HYPERLINK("https://www.webofscience.com/wos/woscc/full-record/WOS:001850472300001","View Record in Web of Science")</f>
        <v>116</v>
      </c>
      <c r="BU26" t="s" s="0">
        <v>81</v>
      </c>
      <c r="BV26" t="s" s="0">
        <v>81</v>
      </c>
      <c r="BW26" t="s" s="0">
        <v>81</v>
      </c>
      <c r="BX26" t="s" s="0">
        <v>118</v>
      </c>
    </row>
    <row r="27">
      <c r="A27" t="s" s="0">
        <v>77</v>
      </c>
      <c r="B27" t="s" s="0">
        <v>77</v>
      </c>
      <c r="C27" t="s" s="0">
        <v>77</v>
      </c>
      <c r="D27" t="s" s="0">
        <v>77</v>
      </c>
      <c r="E27" t="s" s="0">
        <v>722</v>
      </c>
      <c r="F27" t="s" s="0">
        <v>723</v>
      </c>
      <c r="G27" t="s" s="0">
        <v>724</v>
      </c>
      <c r="H27" t="s" s="0">
        <v>81</v>
      </c>
      <c r="I27" t="s" s="0">
        <v>400</v>
      </c>
      <c r="J27" t="s" s="0">
        <v>725</v>
      </c>
      <c r="K27" t="s" s="0">
        <v>726</v>
      </c>
      <c r="L27" t="s" s="0">
        <v>727</v>
      </c>
      <c r="M27" t="s" s="0">
        <v>728</v>
      </c>
      <c r="N27" t="s" s="0">
        <v>729</v>
      </c>
      <c r="O27" t="s" s="0">
        <v>730</v>
      </c>
      <c r="P27" t="s" s="0">
        <v>731</v>
      </c>
      <c r="Q27" t="s" s="0">
        <v>90</v>
      </c>
      <c r="R27" t="s" s="0">
        <v>81</v>
      </c>
      <c r="S27" t="s" s="0">
        <v>81</v>
      </c>
      <c r="T27" t="s" s="0">
        <v>81</v>
      </c>
      <c r="U27" t="s" s="0">
        <v>81</v>
      </c>
      <c r="V27" t="s" s="0">
        <v>732</v>
      </c>
      <c r="W27" t="s" s="0">
        <v>733</v>
      </c>
      <c r="X27" t="s" s="0">
        <v>81</v>
      </c>
      <c r="Y27" t="s" s="0">
        <v>81</v>
      </c>
      <c r="Z27" t="s" s="0">
        <v>93</v>
      </c>
      <c r="AA27" t="s" s="0">
        <v>94</v>
      </c>
      <c r="AB27" t="s" s="0">
        <v>81</v>
      </c>
      <c r="AC27" t="s" s="0">
        <v>81</v>
      </c>
      <c r="AD27" t="s" s="0">
        <v>81</v>
      </c>
      <c r="AE27" t="s" s="0">
        <v>81</v>
      </c>
      <c r="AF27" t="s" s="0">
        <v>81</v>
      </c>
      <c r="AG27" t="s" s="0">
        <v>734</v>
      </c>
      <c r="AH27" t="s" s="0">
        <v>735</v>
      </c>
      <c r="AI27" t="s" s="0">
        <v>81</v>
      </c>
      <c r="AJ27" t="s" s="0">
        <v>81</v>
      </c>
      <c r="AK27" t="s" s="0">
        <v>81</v>
      </c>
      <c r="AL27" t="s" s="0">
        <v>736</v>
      </c>
      <c r="AM27" t="s" s="0">
        <v>77</v>
      </c>
      <c r="AN27" t="s" s="0">
        <v>77</v>
      </c>
      <c r="AO27" t="s" s="0">
        <v>77</v>
      </c>
      <c r="AP27" t="s" s="0">
        <v>77</v>
      </c>
      <c r="AQ27" t="s" s="0">
        <v>737</v>
      </c>
      <c r="AR27" t="s" s="0">
        <v>738</v>
      </c>
      <c r="AS27" t="s" s="0">
        <v>739</v>
      </c>
      <c r="AT27" t="s" s="0">
        <v>740</v>
      </c>
      <c r="AU27" t="s" s="0">
        <v>81</v>
      </c>
      <c r="AV27" t="s" s="0">
        <v>81</v>
      </c>
      <c r="AW27" t="s" s="0">
        <v>741</v>
      </c>
      <c r="AX27" t="s" s="0">
        <v>742</v>
      </c>
      <c r="AY27" t="s" s="0">
        <v>685</v>
      </c>
      <c r="AZ27" t="s" s="0">
        <v>105</v>
      </c>
      <c r="BA27" t="s" s="0">
        <v>303</v>
      </c>
      <c r="BB27" t="s" s="0">
        <v>81</v>
      </c>
      <c r="BC27" t="s" s="0">
        <v>81</v>
      </c>
      <c r="BD27" t="s" s="0">
        <v>81</v>
      </c>
      <c r="BE27" t="s" s="0">
        <v>81</v>
      </c>
      <c r="BF27" t="s" s="0">
        <v>81</v>
      </c>
      <c r="BG27" t="s" s="0">
        <v>81</v>
      </c>
      <c r="BH27" t="s" s="0">
        <v>81</v>
      </c>
      <c r="BI27" t="s" s="0">
        <v>743</v>
      </c>
      <c r="BJ27" t="s" s="0">
        <v>744</v>
      </c>
      <c r="BK27" t="s" s="51">
        <f>HYPERLINK("http://dx.doi.org/10.1016/j.caeai.2026.100654","http://dx.doi.org/10.1016/j.caeai.2026.100654")</f>
        <v>745</v>
      </c>
      <c r="BL27" t="s" s="0">
        <v>81</v>
      </c>
      <c r="BM27" t="s" s="0">
        <v>81</v>
      </c>
      <c r="BN27" t="s" s="0">
        <v>389</v>
      </c>
      <c r="BO27" t="s" s="0">
        <v>746</v>
      </c>
      <c r="BP27" t="s" s="0">
        <v>747</v>
      </c>
      <c r="BQ27" t="s" s="0">
        <v>748</v>
      </c>
      <c r="BR27" t="s" s="0">
        <v>81</v>
      </c>
      <c r="BS27" t="s" s="0">
        <v>749</v>
      </c>
      <c r="BT27" t="s" s="52">
        <f>HYPERLINK("https://www.webofscience.com/wos/woscc/full-record/WOS:001846525600001","View Record in Web of Science")</f>
        <v>116</v>
      </c>
      <c r="BU27" t="s" s="0">
        <v>203</v>
      </c>
      <c r="BV27" t="s" s="0">
        <v>81</v>
      </c>
      <c r="BW27" t="s" s="0">
        <v>81</v>
      </c>
      <c r="BX27" t="s" s="0">
        <v>118</v>
      </c>
    </row>
    <row r="28">
      <c r="A28" t="s" s="0">
        <v>77</v>
      </c>
      <c r="B28" t="s" s="0">
        <v>77</v>
      </c>
      <c r="C28" t="s" s="0">
        <v>77</v>
      </c>
      <c r="D28" t="s" s="0">
        <v>77</v>
      </c>
      <c r="E28" t="s" s="0">
        <v>750</v>
      </c>
      <c r="F28" t="s" s="0">
        <v>751</v>
      </c>
      <c r="G28" t="s" s="0">
        <v>752</v>
      </c>
      <c r="H28" t="s" s="0">
        <v>81</v>
      </c>
      <c r="I28" t="s" s="0">
        <v>147</v>
      </c>
      <c r="J28" t="s" s="0">
        <v>753</v>
      </c>
      <c r="K28" t="s" s="0">
        <v>754</v>
      </c>
      <c r="L28" t="s" s="0">
        <v>81</v>
      </c>
      <c r="M28" t="s" s="0">
        <v>81</v>
      </c>
      <c r="N28" t="s" s="0">
        <v>81</v>
      </c>
      <c r="O28" t="s" s="0">
        <v>755</v>
      </c>
      <c r="P28" t="s" s="0">
        <v>756</v>
      </c>
      <c r="Q28" t="s" s="0">
        <v>90</v>
      </c>
      <c r="R28" t="s" s="0">
        <v>81</v>
      </c>
      <c r="S28" t="s" s="0">
        <v>81</v>
      </c>
      <c r="T28" t="s" s="0">
        <v>81</v>
      </c>
      <c r="U28" t="s" s="0">
        <v>81</v>
      </c>
      <c r="V28" t="s" s="0">
        <v>757</v>
      </c>
      <c r="W28" t="s" s="0">
        <v>758</v>
      </c>
      <c r="X28" t="s" s="0">
        <v>81</v>
      </c>
      <c r="Y28" t="s" s="0">
        <v>81</v>
      </c>
      <c r="Z28" t="s" s="0">
        <v>93</v>
      </c>
      <c r="AA28" t="s" s="0">
        <v>128</v>
      </c>
      <c r="AB28" t="s" s="0">
        <v>81</v>
      </c>
      <c r="AC28" t="s" s="0">
        <v>81</v>
      </c>
      <c r="AD28" t="s" s="0">
        <v>81</v>
      </c>
      <c r="AE28" t="s" s="0">
        <v>81</v>
      </c>
      <c r="AF28" t="s" s="0">
        <v>81</v>
      </c>
      <c r="AG28" t="s" s="0">
        <v>759</v>
      </c>
      <c r="AH28" t="s" s="0">
        <v>81</v>
      </c>
      <c r="AI28" t="s" s="0">
        <v>81</v>
      </c>
      <c r="AJ28" t="s" s="0">
        <v>760</v>
      </c>
      <c r="AK28" t="s" s="0">
        <v>81</v>
      </c>
      <c r="AL28" t="s" s="0">
        <v>574</v>
      </c>
      <c r="AM28" t="s" s="0">
        <v>77</v>
      </c>
      <c r="AN28" t="s" s="0">
        <v>77</v>
      </c>
      <c r="AO28" t="s" s="0">
        <v>77</v>
      </c>
      <c r="AP28" t="s" s="0">
        <v>77</v>
      </c>
      <c r="AQ28" t="s" s="0">
        <v>633</v>
      </c>
      <c r="AR28" t="s" s="0">
        <v>634</v>
      </c>
      <c r="AS28" t="s" s="0">
        <v>635</v>
      </c>
      <c r="AT28" t="s" s="0">
        <v>761</v>
      </c>
      <c r="AU28" t="s" s="0">
        <v>762</v>
      </c>
      <c r="AV28" t="s" s="0">
        <v>81</v>
      </c>
      <c r="AW28" t="s" s="0">
        <v>763</v>
      </c>
      <c r="AX28" t="s" s="0">
        <v>764</v>
      </c>
      <c r="AY28" t="s" s="0">
        <v>685</v>
      </c>
      <c r="AZ28" t="s" s="0">
        <v>105</v>
      </c>
      <c r="BA28" t="s" s="0">
        <v>765</v>
      </c>
      <c r="BB28" t="s" s="0">
        <v>81</v>
      </c>
      <c r="BC28" t="s" s="0">
        <v>81</v>
      </c>
      <c r="BD28" t="s" s="0">
        <v>81</v>
      </c>
      <c r="BE28" t="s" s="0">
        <v>81</v>
      </c>
      <c r="BF28" t="s" s="0">
        <v>81</v>
      </c>
      <c r="BG28" t="s" s="0">
        <v>81</v>
      </c>
      <c r="BH28" t="s" s="0">
        <v>81</v>
      </c>
      <c r="BI28" t="s" s="0">
        <v>766</v>
      </c>
      <c r="BJ28" t="s" s="0">
        <v>767</v>
      </c>
      <c r="BK28" t="s" s="53">
        <f>HYPERLINK("http://dx.doi.org/10.1016/j.jdent.2026.106947","http://dx.doi.org/10.1016/j.jdent.2026.106947")</f>
        <v>768</v>
      </c>
      <c r="BL28" t="s" s="0">
        <v>81</v>
      </c>
      <c r="BM28" t="s" s="0">
        <v>81</v>
      </c>
      <c r="BN28" t="s" s="0">
        <v>769</v>
      </c>
      <c r="BO28" t="s" s="0">
        <v>770</v>
      </c>
      <c r="BP28" t="s" s="0">
        <v>770</v>
      </c>
      <c r="BQ28" t="s" s="0">
        <v>771</v>
      </c>
      <c r="BR28" t="s" s="0">
        <v>772</v>
      </c>
      <c r="BS28" t="s" s="0">
        <v>773</v>
      </c>
      <c r="BT28" t="s" s="54">
        <f>HYPERLINK("https://www.webofscience.com/wos/woscc/full-record/WOS:001846229300001","View Record in Web of Science")</f>
        <v>116</v>
      </c>
      <c r="BU28" t="s" s="0">
        <v>694</v>
      </c>
      <c r="BV28" t="s" s="0">
        <v>81</v>
      </c>
      <c r="BW28" t="s" s="0">
        <v>81</v>
      </c>
      <c r="BX28" t="s" s="0">
        <v>118</v>
      </c>
    </row>
    <row r="29">
      <c r="A29" t="s" s="0">
        <v>77</v>
      </c>
      <c r="B29" t="s" s="0">
        <v>77</v>
      </c>
      <c r="C29" t="s" s="0">
        <v>77</v>
      </c>
      <c r="D29" t="s" s="0">
        <v>77</v>
      </c>
      <c r="E29" t="s" s="0">
        <v>774</v>
      </c>
      <c r="F29" t="s" s="0">
        <v>775</v>
      </c>
      <c r="G29" t="s" s="0">
        <v>776</v>
      </c>
      <c r="H29" t="s" s="0">
        <v>81</v>
      </c>
      <c r="I29" t="s" s="0">
        <v>147</v>
      </c>
      <c r="J29" t="s" s="0">
        <v>777</v>
      </c>
      <c r="K29" t="s" s="0">
        <v>81</v>
      </c>
      <c r="L29" t="s" s="0">
        <v>81</v>
      </c>
      <c r="M29" t="s" s="0">
        <v>81</v>
      </c>
      <c r="N29" t="s" s="0">
        <v>81</v>
      </c>
      <c r="O29" t="s" s="0">
        <v>778</v>
      </c>
      <c r="P29" t="s" s="0">
        <v>779</v>
      </c>
      <c r="Q29" t="s" s="0">
        <v>90</v>
      </c>
      <c r="R29" t="s" s="0">
        <v>81</v>
      </c>
      <c r="S29" t="s" s="0">
        <v>81</v>
      </c>
      <c r="T29" t="s" s="0">
        <v>81</v>
      </c>
      <c r="U29" t="s" s="0">
        <v>81</v>
      </c>
      <c r="V29" t="s" s="0">
        <v>780</v>
      </c>
      <c r="W29" t="s" s="0">
        <v>758</v>
      </c>
      <c r="X29" t="s" s="0">
        <v>81</v>
      </c>
      <c r="Y29" t="s" s="0">
        <v>81</v>
      </c>
      <c r="Z29" t="s" s="0">
        <v>93</v>
      </c>
      <c r="AA29" t="s" s="0">
        <v>128</v>
      </c>
      <c r="AB29" t="s" s="0">
        <v>81</v>
      </c>
      <c r="AC29" t="s" s="0">
        <v>81</v>
      </c>
      <c r="AD29" t="s" s="0">
        <v>81</v>
      </c>
      <c r="AE29" t="s" s="0">
        <v>81</v>
      </c>
      <c r="AF29" t="s" s="0">
        <v>81</v>
      </c>
      <c r="AG29" t="s" s="0">
        <v>781</v>
      </c>
      <c r="AH29" t="s" s="0">
        <v>782</v>
      </c>
      <c r="AI29" t="s" s="0">
        <v>81</v>
      </c>
      <c r="AJ29" t="s" s="0">
        <v>81</v>
      </c>
      <c r="AK29" t="s" s="0">
        <v>81</v>
      </c>
      <c r="AL29" t="s" s="0">
        <v>783</v>
      </c>
      <c r="AM29" t="s" s="0">
        <v>77</v>
      </c>
      <c r="AN29" t="s" s="0">
        <v>77</v>
      </c>
      <c r="AO29" t="s" s="0">
        <v>77</v>
      </c>
      <c r="AP29" t="s" s="0">
        <v>77</v>
      </c>
      <c r="AQ29" t="s" s="0">
        <v>633</v>
      </c>
      <c r="AR29" t="s" s="0">
        <v>634</v>
      </c>
      <c r="AS29" t="s" s="0">
        <v>635</v>
      </c>
      <c r="AT29" t="s" s="0">
        <v>761</v>
      </c>
      <c r="AU29" t="s" s="0">
        <v>762</v>
      </c>
      <c r="AV29" t="s" s="0">
        <v>81</v>
      </c>
      <c r="AW29" t="s" s="0">
        <v>763</v>
      </c>
      <c r="AX29" t="s" s="0">
        <v>764</v>
      </c>
      <c r="AY29" t="s" s="0">
        <v>685</v>
      </c>
      <c r="AZ29" t="s" s="0">
        <v>105</v>
      </c>
      <c r="BA29" t="s" s="0">
        <v>765</v>
      </c>
      <c r="BB29" t="s" s="0">
        <v>81</v>
      </c>
      <c r="BC29" t="s" s="0">
        <v>81</v>
      </c>
      <c r="BD29" t="s" s="0">
        <v>81</v>
      </c>
      <c r="BE29" t="s" s="0">
        <v>81</v>
      </c>
      <c r="BF29" t="s" s="0">
        <v>81</v>
      </c>
      <c r="BG29" t="s" s="0">
        <v>81</v>
      </c>
      <c r="BH29" t="s" s="0">
        <v>81</v>
      </c>
      <c r="BI29" t="s" s="0">
        <v>784</v>
      </c>
      <c r="BJ29" t="s" s="0">
        <v>785</v>
      </c>
      <c r="BK29" t="s" s="55">
        <f>HYPERLINK("http://dx.doi.org/10.1016/j.jdent.2026.106828","http://dx.doi.org/10.1016/j.jdent.2026.106828")</f>
        <v>786</v>
      </c>
      <c r="BL29" t="s" s="0">
        <v>81</v>
      </c>
      <c r="BM29" t="s" s="0">
        <v>81</v>
      </c>
      <c r="BN29" t="s" s="0">
        <v>224</v>
      </c>
      <c r="BO29" t="s" s="0">
        <v>770</v>
      </c>
      <c r="BP29" t="s" s="0">
        <v>770</v>
      </c>
      <c r="BQ29" t="s" s="0">
        <v>787</v>
      </c>
      <c r="BR29" t="s" s="0">
        <v>788</v>
      </c>
      <c r="BS29" t="s" s="0">
        <v>789</v>
      </c>
      <c r="BT29" t="s" s="56">
        <f>HYPERLINK("https://www.webofscience.com/wos/woscc/full-record/WOS:001843998200001","View Record in Web of Science")</f>
        <v>116</v>
      </c>
      <c r="BU29" t="s" s="0">
        <v>694</v>
      </c>
      <c r="BV29" t="s" s="0">
        <v>81</v>
      </c>
      <c r="BW29" t="s" s="0">
        <v>81</v>
      </c>
      <c r="BX29" t="s" s="0">
        <v>118</v>
      </c>
    </row>
    <row r="30">
      <c r="A30" t="s" s="0">
        <v>77</v>
      </c>
      <c r="B30" t="s" s="0">
        <v>77</v>
      </c>
      <c r="C30" t="s" s="0">
        <v>77</v>
      </c>
      <c r="D30" t="s" s="0">
        <v>77</v>
      </c>
      <c r="E30" t="s" s="0">
        <v>790</v>
      </c>
      <c r="F30" t="s" s="0">
        <v>791</v>
      </c>
      <c r="G30" t="s" s="0">
        <v>792</v>
      </c>
      <c r="H30" t="s" s="0">
        <v>81</v>
      </c>
      <c r="I30" t="s" s="0">
        <v>147</v>
      </c>
      <c r="J30" t="s" s="0">
        <v>793</v>
      </c>
      <c r="K30" t="s" s="0">
        <v>794</v>
      </c>
      <c r="L30" t="s" s="0">
        <v>81</v>
      </c>
      <c r="M30" t="s" s="0">
        <v>81</v>
      </c>
      <c r="N30" t="s" s="0">
        <v>81</v>
      </c>
      <c r="O30" t="s" s="0">
        <v>795</v>
      </c>
      <c r="P30" t="s" s="0">
        <v>796</v>
      </c>
      <c r="Q30" t="s" s="0">
        <v>90</v>
      </c>
      <c r="R30" t="s" s="0">
        <v>81</v>
      </c>
      <c r="S30" t="s" s="0">
        <v>81</v>
      </c>
      <c r="T30" t="s" s="0">
        <v>81</v>
      </c>
      <c r="U30" t="s" s="0">
        <v>81</v>
      </c>
      <c r="V30" t="s" s="0">
        <v>797</v>
      </c>
      <c r="W30" t="s" s="0">
        <v>758</v>
      </c>
      <c r="X30" t="s" s="0">
        <v>81</v>
      </c>
      <c r="Y30" t="s" s="0">
        <v>81</v>
      </c>
      <c r="Z30" t="s" s="0">
        <v>93</v>
      </c>
      <c r="AA30" t="s" s="0">
        <v>128</v>
      </c>
      <c r="AB30" t="s" s="0">
        <v>81</v>
      </c>
      <c r="AC30" t="s" s="0">
        <v>81</v>
      </c>
      <c r="AD30" t="s" s="0">
        <v>81</v>
      </c>
      <c r="AE30" t="s" s="0">
        <v>81</v>
      </c>
      <c r="AF30" t="s" s="0">
        <v>81</v>
      </c>
      <c r="AG30" t="s" s="0">
        <v>798</v>
      </c>
      <c r="AH30" t="s" s="0">
        <v>81</v>
      </c>
      <c r="AI30" t="s" s="0">
        <v>81</v>
      </c>
      <c r="AJ30" t="s" s="0">
        <v>81</v>
      </c>
      <c r="AK30" t="s" s="0">
        <v>81</v>
      </c>
      <c r="AL30" t="s" s="0">
        <v>388</v>
      </c>
      <c r="AM30" t="s" s="0">
        <v>77</v>
      </c>
      <c r="AN30" t="s" s="0">
        <v>77</v>
      </c>
      <c r="AO30" t="s" s="0">
        <v>77</v>
      </c>
      <c r="AP30" t="s" s="0">
        <v>77</v>
      </c>
      <c r="AQ30" t="s" s="0">
        <v>633</v>
      </c>
      <c r="AR30" t="s" s="0">
        <v>634</v>
      </c>
      <c r="AS30" t="s" s="0">
        <v>635</v>
      </c>
      <c r="AT30" t="s" s="0">
        <v>761</v>
      </c>
      <c r="AU30" t="s" s="0">
        <v>762</v>
      </c>
      <c r="AV30" t="s" s="0">
        <v>81</v>
      </c>
      <c r="AW30" t="s" s="0">
        <v>763</v>
      </c>
      <c r="AX30" t="s" s="0">
        <v>764</v>
      </c>
      <c r="AY30" t="s" s="0">
        <v>685</v>
      </c>
      <c r="AZ30" t="s" s="0">
        <v>105</v>
      </c>
      <c r="BA30" t="s" s="0">
        <v>765</v>
      </c>
      <c r="BB30" t="s" s="0">
        <v>81</v>
      </c>
      <c r="BC30" t="s" s="0">
        <v>81</v>
      </c>
      <c r="BD30" t="s" s="0">
        <v>81</v>
      </c>
      <c r="BE30" t="s" s="0">
        <v>81</v>
      </c>
      <c r="BF30" t="s" s="0">
        <v>81</v>
      </c>
      <c r="BG30" t="s" s="0">
        <v>81</v>
      </c>
      <c r="BH30" t="s" s="0">
        <v>81</v>
      </c>
      <c r="BI30" t="s" s="0">
        <v>799</v>
      </c>
      <c r="BJ30" t="s" s="0">
        <v>800</v>
      </c>
      <c r="BK30" t="s" s="57">
        <f>HYPERLINK("http://dx.doi.org/10.1016/j.jdent.2026.106864","http://dx.doi.org/10.1016/j.jdent.2026.106864")</f>
        <v>801</v>
      </c>
      <c r="BL30" t="s" s="0">
        <v>81</v>
      </c>
      <c r="BM30" t="s" s="0">
        <v>81</v>
      </c>
      <c r="BN30" t="s" s="0">
        <v>319</v>
      </c>
      <c r="BO30" t="s" s="0">
        <v>770</v>
      </c>
      <c r="BP30" t="s" s="0">
        <v>770</v>
      </c>
      <c r="BQ30" t="s" s="0">
        <v>802</v>
      </c>
      <c r="BR30" t="s" s="0">
        <v>803</v>
      </c>
      <c r="BS30" t="s" s="0">
        <v>804</v>
      </c>
      <c r="BT30" t="s" s="58">
        <f>HYPERLINK("https://www.webofscience.com/wos/woscc/full-record/WOS:001843373500001","View Record in Web of Science")</f>
        <v>116</v>
      </c>
      <c r="BU30" t="s" s="0">
        <v>694</v>
      </c>
      <c r="BV30" t="s" s="0">
        <v>81</v>
      </c>
      <c r="BW30" t="s" s="0">
        <v>81</v>
      </c>
      <c r="BX30" t="s" s="0">
        <v>118</v>
      </c>
    </row>
    <row r="31">
      <c r="A31" t="s" s="0">
        <v>77</v>
      </c>
      <c r="B31" t="s" s="0">
        <v>77</v>
      </c>
      <c r="C31" t="s" s="0">
        <v>77</v>
      </c>
      <c r="D31" t="s" s="0">
        <v>77</v>
      </c>
      <c r="E31" t="s" s="0">
        <v>805</v>
      </c>
      <c r="F31" t="s" s="0">
        <v>806</v>
      </c>
      <c r="G31" t="s" s="0">
        <v>807</v>
      </c>
      <c r="H31" t="s" s="0">
        <v>81</v>
      </c>
      <c r="I31" t="s" s="0">
        <v>147</v>
      </c>
      <c r="J31" t="s" s="0">
        <v>808</v>
      </c>
      <c r="K31" t="s" s="0">
        <v>809</v>
      </c>
      <c r="L31" t="s" s="0">
        <v>810</v>
      </c>
      <c r="M31" t="s" s="0">
        <v>811</v>
      </c>
      <c r="N31" t="s" s="0">
        <v>812</v>
      </c>
      <c r="O31" t="s" s="0">
        <v>813</v>
      </c>
      <c r="P31" t="s" s="0">
        <v>814</v>
      </c>
      <c r="Q31" t="s" s="0">
        <v>90</v>
      </c>
      <c r="R31" t="s" s="0">
        <v>81</v>
      </c>
      <c r="S31" t="s" s="0">
        <v>81</v>
      </c>
      <c r="T31" t="s" s="0">
        <v>81</v>
      </c>
      <c r="U31" t="s" s="0">
        <v>81</v>
      </c>
      <c r="V31" t="s" s="0">
        <v>815</v>
      </c>
      <c r="W31" t="s" s="0">
        <v>758</v>
      </c>
      <c r="X31" t="s" s="0">
        <v>81</v>
      </c>
      <c r="Y31" t="s" s="0">
        <v>81</v>
      </c>
      <c r="Z31" t="s" s="0">
        <v>93</v>
      </c>
      <c r="AA31" t="s" s="0">
        <v>128</v>
      </c>
      <c r="AB31" t="s" s="0">
        <v>81</v>
      </c>
      <c r="AC31" t="s" s="0">
        <v>81</v>
      </c>
      <c r="AD31" t="s" s="0">
        <v>81</v>
      </c>
      <c r="AE31" t="s" s="0">
        <v>81</v>
      </c>
      <c r="AF31" t="s" s="0">
        <v>81</v>
      </c>
      <c r="AG31" t="s" s="0">
        <v>816</v>
      </c>
      <c r="AH31" t="s" s="0">
        <v>81</v>
      </c>
      <c r="AI31" t="s" s="0">
        <v>81</v>
      </c>
      <c r="AJ31" t="s" s="0">
        <v>81</v>
      </c>
      <c r="AK31" t="s" s="0">
        <v>81</v>
      </c>
      <c r="AL31" t="s" s="0">
        <v>195</v>
      </c>
      <c r="AM31" t="s" s="0">
        <v>77</v>
      </c>
      <c r="AN31" t="s" s="0">
        <v>77</v>
      </c>
      <c r="AO31" t="s" s="0">
        <v>245</v>
      </c>
      <c r="AP31" t="s" s="0">
        <v>245</v>
      </c>
      <c r="AQ31" t="s" s="0">
        <v>633</v>
      </c>
      <c r="AR31" t="s" s="0">
        <v>634</v>
      </c>
      <c r="AS31" t="s" s="0">
        <v>635</v>
      </c>
      <c r="AT31" t="s" s="0">
        <v>761</v>
      </c>
      <c r="AU31" t="s" s="0">
        <v>762</v>
      </c>
      <c r="AV31" t="s" s="0">
        <v>81</v>
      </c>
      <c r="AW31" t="s" s="0">
        <v>763</v>
      </c>
      <c r="AX31" t="s" s="0">
        <v>764</v>
      </c>
      <c r="AY31" t="s" s="0">
        <v>685</v>
      </c>
      <c r="AZ31" t="s" s="0">
        <v>105</v>
      </c>
      <c r="BA31" t="s" s="0">
        <v>765</v>
      </c>
      <c r="BB31" t="s" s="0">
        <v>81</v>
      </c>
      <c r="BC31" t="s" s="0">
        <v>81</v>
      </c>
      <c r="BD31" t="s" s="0">
        <v>81</v>
      </c>
      <c r="BE31" t="s" s="0">
        <v>81</v>
      </c>
      <c r="BF31" t="s" s="0">
        <v>81</v>
      </c>
      <c r="BG31" t="s" s="0">
        <v>81</v>
      </c>
      <c r="BH31" t="s" s="0">
        <v>81</v>
      </c>
      <c r="BI31" t="s" s="0">
        <v>817</v>
      </c>
      <c r="BJ31" t="s" s="0">
        <v>818</v>
      </c>
      <c r="BK31" t="s" s="59">
        <f>HYPERLINK("http://dx.doi.org/10.1016/j.jdent.2026.106875","http://dx.doi.org/10.1016/j.jdent.2026.106875")</f>
        <v>819</v>
      </c>
      <c r="BL31" t="s" s="0">
        <v>81</v>
      </c>
      <c r="BM31" t="s" s="0">
        <v>81</v>
      </c>
      <c r="BN31" t="s" s="0">
        <v>224</v>
      </c>
      <c r="BO31" t="s" s="0">
        <v>770</v>
      </c>
      <c r="BP31" t="s" s="0">
        <v>770</v>
      </c>
      <c r="BQ31" t="s" s="0">
        <v>820</v>
      </c>
      <c r="BR31" t="s" s="0">
        <v>821</v>
      </c>
      <c r="BS31" t="s" s="0">
        <v>822</v>
      </c>
      <c r="BT31" t="s" s="60">
        <f>HYPERLINK("https://www.webofscience.com/wos/woscc/full-record/WOS:001843378900001","View Record in Web of Science")</f>
        <v>116</v>
      </c>
      <c r="BU31" t="s" s="0">
        <v>81</v>
      </c>
      <c r="BV31" t="s" s="0">
        <v>81</v>
      </c>
      <c r="BW31" t="s" s="0">
        <v>81</v>
      </c>
      <c r="BX31" t="s" s="0">
        <v>118</v>
      </c>
    </row>
    <row r="32">
      <c r="A32" t="s" s="0">
        <v>77</v>
      </c>
      <c r="B32" t="s" s="0">
        <v>77</v>
      </c>
      <c r="C32" t="s" s="0">
        <v>77</v>
      </c>
      <c r="D32" t="s" s="0">
        <v>77</v>
      </c>
      <c r="E32" t="s" s="0">
        <v>823</v>
      </c>
      <c r="F32" t="s" s="0">
        <v>824</v>
      </c>
      <c r="G32" t="s" s="0">
        <v>825</v>
      </c>
      <c r="H32" t="s" s="0">
        <v>81</v>
      </c>
      <c r="I32" t="s" s="0">
        <v>147</v>
      </c>
      <c r="J32" t="s" s="0">
        <v>826</v>
      </c>
      <c r="K32" t="s" s="0">
        <v>827</v>
      </c>
      <c r="L32" t="s" s="0">
        <v>828</v>
      </c>
      <c r="M32" t="s" s="0">
        <v>829</v>
      </c>
      <c r="N32" t="s" s="0">
        <v>830</v>
      </c>
      <c r="O32" t="s" s="0">
        <v>831</v>
      </c>
      <c r="P32" t="s" s="0">
        <v>832</v>
      </c>
      <c r="Q32" t="s" s="0">
        <v>90</v>
      </c>
      <c r="R32" t="s" s="0">
        <v>81</v>
      </c>
      <c r="S32" t="s" s="0">
        <v>81</v>
      </c>
      <c r="T32" t="s" s="0">
        <v>81</v>
      </c>
      <c r="U32" t="s" s="0">
        <v>81</v>
      </c>
      <c r="V32" t="s" s="0">
        <v>833</v>
      </c>
      <c r="W32" t="s" s="0">
        <v>758</v>
      </c>
      <c r="X32" t="s" s="0">
        <v>81</v>
      </c>
      <c r="Y32" t="s" s="0">
        <v>81</v>
      </c>
      <c r="Z32" t="s" s="0">
        <v>93</v>
      </c>
      <c r="AA32" t="s" s="0">
        <v>128</v>
      </c>
      <c r="AB32" t="s" s="0">
        <v>81</v>
      </c>
      <c r="AC32" t="s" s="0">
        <v>81</v>
      </c>
      <c r="AD32" t="s" s="0">
        <v>81</v>
      </c>
      <c r="AE32" t="s" s="0">
        <v>81</v>
      </c>
      <c r="AF32" t="s" s="0">
        <v>81</v>
      </c>
      <c r="AG32" t="s" s="0">
        <v>834</v>
      </c>
      <c r="AH32" t="s" s="0">
        <v>81</v>
      </c>
      <c r="AI32" t="s" s="0">
        <v>81</v>
      </c>
      <c r="AJ32" t="s" s="0">
        <v>81</v>
      </c>
      <c r="AK32" t="s" s="0">
        <v>81</v>
      </c>
      <c r="AL32" t="s" s="0">
        <v>835</v>
      </c>
      <c r="AM32" t="s" s="0">
        <v>77</v>
      </c>
      <c r="AN32" t="s" s="0">
        <v>77</v>
      </c>
      <c r="AO32" t="s" s="0">
        <v>77</v>
      </c>
      <c r="AP32" t="s" s="0">
        <v>77</v>
      </c>
      <c r="AQ32" t="s" s="0">
        <v>633</v>
      </c>
      <c r="AR32" t="s" s="0">
        <v>634</v>
      </c>
      <c r="AS32" t="s" s="0">
        <v>635</v>
      </c>
      <c r="AT32" t="s" s="0">
        <v>761</v>
      </c>
      <c r="AU32" t="s" s="0">
        <v>762</v>
      </c>
      <c r="AV32" t="s" s="0">
        <v>81</v>
      </c>
      <c r="AW32" t="s" s="0">
        <v>763</v>
      </c>
      <c r="AX32" t="s" s="0">
        <v>764</v>
      </c>
      <c r="AY32" t="s" s="0">
        <v>685</v>
      </c>
      <c r="AZ32" t="s" s="0">
        <v>105</v>
      </c>
      <c r="BA32" t="s" s="0">
        <v>765</v>
      </c>
      <c r="BB32" t="s" s="0">
        <v>81</v>
      </c>
      <c r="BC32" t="s" s="0">
        <v>81</v>
      </c>
      <c r="BD32" t="s" s="0">
        <v>81</v>
      </c>
      <c r="BE32" t="s" s="0">
        <v>81</v>
      </c>
      <c r="BF32" t="s" s="0">
        <v>81</v>
      </c>
      <c r="BG32" t="s" s="0">
        <v>81</v>
      </c>
      <c r="BH32" t="s" s="0">
        <v>81</v>
      </c>
      <c r="BI32" t="s" s="0">
        <v>836</v>
      </c>
      <c r="BJ32" t="s" s="0">
        <v>837</v>
      </c>
      <c r="BK32" t="s" s="61">
        <f>HYPERLINK("http://dx.doi.org/10.1016/j.jdent.2026.106853","http://dx.doi.org/10.1016/j.jdent.2026.106853")</f>
        <v>838</v>
      </c>
      <c r="BL32" t="s" s="0">
        <v>81</v>
      </c>
      <c r="BM32" t="s" s="0">
        <v>81</v>
      </c>
      <c r="BN32" t="s" s="0">
        <v>318</v>
      </c>
      <c r="BO32" t="s" s="0">
        <v>770</v>
      </c>
      <c r="BP32" t="s" s="0">
        <v>770</v>
      </c>
      <c r="BQ32" t="s" s="0">
        <v>839</v>
      </c>
      <c r="BR32" t="s" s="0">
        <v>840</v>
      </c>
      <c r="BS32" t="s" s="0">
        <v>841</v>
      </c>
      <c r="BT32" t="s" s="62">
        <f>HYPERLINK("https://www.webofscience.com/wos/woscc/full-record/WOS:001843372300001","View Record in Web of Science")</f>
        <v>116</v>
      </c>
      <c r="BU32" t="s" s="0">
        <v>694</v>
      </c>
      <c r="BV32" t="s" s="0">
        <v>81</v>
      </c>
      <c r="BW32" t="s" s="0">
        <v>81</v>
      </c>
      <c r="BX32" t="s" s="0">
        <v>118</v>
      </c>
    </row>
    <row r="33">
      <c r="A33" t="s" s="0">
        <v>77</v>
      </c>
      <c r="B33" t="s" s="0">
        <v>77</v>
      </c>
      <c r="C33" t="s" s="0">
        <v>77</v>
      </c>
      <c r="D33" t="s" s="0">
        <v>77</v>
      </c>
      <c r="E33" t="s" s="0">
        <v>842</v>
      </c>
      <c r="F33" t="s" s="0">
        <v>843</v>
      </c>
      <c r="G33" t="s" s="0">
        <v>844</v>
      </c>
      <c r="H33" t="s" s="0">
        <v>81</v>
      </c>
      <c r="I33" t="s" s="0">
        <v>400</v>
      </c>
      <c r="J33" t="s" s="0">
        <v>845</v>
      </c>
      <c r="K33" t="s" s="0">
        <v>846</v>
      </c>
      <c r="L33" t="s" s="0">
        <v>81</v>
      </c>
      <c r="M33" t="s" s="0">
        <v>81</v>
      </c>
      <c r="N33" t="s" s="0">
        <v>81</v>
      </c>
      <c r="O33" t="s" s="0">
        <v>847</v>
      </c>
      <c r="P33" t="s" s="0">
        <v>848</v>
      </c>
      <c r="Q33" t="s" s="0">
        <v>90</v>
      </c>
      <c r="R33" t="s" s="0">
        <v>81</v>
      </c>
      <c r="S33" t="s" s="0">
        <v>81</v>
      </c>
      <c r="T33" t="s" s="0">
        <v>81</v>
      </c>
      <c r="U33" t="s" s="0">
        <v>81</v>
      </c>
      <c r="V33" t="s" s="0">
        <v>849</v>
      </c>
      <c r="W33" t="s" s="0">
        <v>733</v>
      </c>
      <c r="X33" t="s" s="0">
        <v>81</v>
      </c>
      <c r="Y33" t="s" s="0">
        <v>81</v>
      </c>
      <c r="Z33" t="s" s="0">
        <v>93</v>
      </c>
      <c r="AA33" t="s" s="0">
        <v>128</v>
      </c>
      <c r="AB33" t="s" s="0">
        <v>81</v>
      </c>
      <c r="AC33" t="s" s="0">
        <v>81</v>
      </c>
      <c r="AD33" t="s" s="0">
        <v>81</v>
      </c>
      <c r="AE33" t="s" s="0">
        <v>81</v>
      </c>
      <c r="AF33" t="s" s="0">
        <v>81</v>
      </c>
      <c r="AG33" t="s" s="0">
        <v>850</v>
      </c>
      <c r="AH33" t="s" s="0">
        <v>851</v>
      </c>
      <c r="AI33" t="s" s="0">
        <v>81</v>
      </c>
      <c r="AJ33" t="s" s="0">
        <v>81</v>
      </c>
      <c r="AK33" t="s" s="0">
        <v>81</v>
      </c>
      <c r="AL33" t="s" s="0">
        <v>852</v>
      </c>
      <c r="AM33" t="s" s="0">
        <v>77</v>
      </c>
      <c r="AN33" t="s" s="0">
        <v>77</v>
      </c>
      <c r="AO33" t="s" s="0">
        <v>77</v>
      </c>
      <c r="AP33" t="s" s="0">
        <v>77</v>
      </c>
      <c r="AQ33" t="s" s="0">
        <v>737</v>
      </c>
      <c r="AR33" t="s" s="0">
        <v>738</v>
      </c>
      <c r="AS33" t="s" s="0">
        <v>739</v>
      </c>
      <c r="AT33" t="s" s="0">
        <v>740</v>
      </c>
      <c r="AU33" t="s" s="0">
        <v>81</v>
      </c>
      <c r="AV33" t="s" s="0">
        <v>81</v>
      </c>
      <c r="AW33" t="s" s="0">
        <v>741</v>
      </c>
      <c r="AX33" t="s" s="0">
        <v>742</v>
      </c>
      <c r="AY33" t="s" s="0">
        <v>685</v>
      </c>
      <c r="AZ33" t="s" s="0">
        <v>105</v>
      </c>
      <c r="BA33" t="s" s="0">
        <v>303</v>
      </c>
      <c r="BB33" t="s" s="0">
        <v>81</v>
      </c>
      <c r="BC33" t="s" s="0">
        <v>81</v>
      </c>
      <c r="BD33" t="s" s="0">
        <v>81</v>
      </c>
      <c r="BE33" t="s" s="0">
        <v>81</v>
      </c>
      <c r="BF33" t="s" s="0">
        <v>81</v>
      </c>
      <c r="BG33" t="s" s="0">
        <v>81</v>
      </c>
      <c r="BH33" t="s" s="0">
        <v>81</v>
      </c>
      <c r="BI33" t="s" s="0">
        <v>853</v>
      </c>
      <c r="BJ33" t="s" s="0">
        <v>854</v>
      </c>
      <c r="BK33" t="s" s="63">
        <f>HYPERLINK("http://dx.doi.org/10.1016/j.caeai.2026.100655","http://dx.doi.org/10.1016/j.caeai.2026.100655")</f>
        <v>855</v>
      </c>
      <c r="BL33" t="s" s="0">
        <v>81</v>
      </c>
      <c r="BM33" t="s" s="0">
        <v>81</v>
      </c>
      <c r="BN33" t="s" s="0">
        <v>574</v>
      </c>
      <c r="BO33" t="s" s="0">
        <v>746</v>
      </c>
      <c r="BP33" t="s" s="0">
        <v>747</v>
      </c>
      <c r="BQ33" t="s" s="0">
        <v>856</v>
      </c>
      <c r="BR33" t="s" s="0">
        <v>81</v>
      </c>
      <c r="BS33" t="s" s="0">
        <v>857</v>
      </c>
      <c r="BT33" t="s" s="64">
        <f>HYPERLINK("https://www.webofscience.com/wos/woscc/full-record/WOS:001842582600001","View Record in Web of Science")</f>
        <v>116</v>
      </c>
      <c r="BU33" t="s" s="0">
        <v>203</v>
      </c>
      <c r="BV33" t="s" s="0">
        <v>81</v>
      </c>
      <c r="BW33" t="s" s="0">
        <v>81</v>
      </c>
      <c r="BX33" t="s" s="0">
        <v>118</v>
      </c>
    </row>
    <row r="34">
      <c r="A34" t="s" s="0">
        <v>77</v>
      </c>
      <c r="B34" t="s" s="0">
        <v>77</v>
      </c>
      <c r="C34" t="s" s="0">
        <v>77</v>
      </c>
      <c r="D34" t="s" s="0">
        <v>77</v>
      </c>
      <c r="E34" t="s" s="0">
        <v>858</v>
      </c>
      <c r="F34" t="s" s="0">
        <v>859</v>
      </c>
      <c r="G34" t="s" s="0">
        <v>860</v>
      </c>
      <c r="H34" t="s" s="0">
        <v>81</v>
      </c>
      <c r="I34" t="s" s="0">
        <v>400</v>
      </c>
      <c r="J34" t="s" s="0">
        <v>861</v>
      </c>
      <c r="K34" t="s" s="0">
        <v>862</v>
      </c>
      <c r="L34" t="s" s="0">
        <v>81</v>
      </c>
      <c r="M34" t="s" s="0">
        <v>81</v>
      </c>
      <c r="N34" t="s" s="0">
        <v>81</v>
      </c>
      <c r="O34" t="s" s="0">
        <v>863</v>
      </c>
      <c r="P34" t="s" s="0">
        <v>864</v>
      </c>
      <c r="Q34" t="s" s="0">
        <v>90</v>
      </c>
      <c r="R34" t="s" s="0">
        <v>81</v>
      </c>
      <c r="S34" t="s" s="0">
        <v>81</v>
      </c>
      <c r="T34" t="s" s="0">
        <v>81</v>
      </c>
      <c r="U34" t="s" s="0">
        <v>81</v>
      </c>
      <c r="V34" t="s" s="0">
        <v>865</v>
      </c>
      <c r="W34" t="s" s="0">
        <v>866</v>
      </c>
      <c r="X34" t="s" s="0">
        <v>81</v>
      </c>
      <c r="Y34" t="s" s="0">
        <v>81</v>
      </c>
      <c r="Z34" t="s" s="0">
        <v>93</v>
      </c>
      <c r="AA34" t="s" s="0">
        <v>128</v>
      </c>
      <c r="AB34" t="s" s="0">
        <v>81</v>
      </c>
      <c r="AC34" t="s" s="0">
        <v>81</v>
      </c>
      <c r="AD34" t="s" s="0">
        <v>81</v>
      </c>
      <c r="AE34" t="s" s="0">
        <v>81</v>
      </c>
      <c r="AF34" t="s" s="0">
        <v>81</v>
      </c>
      <c r="AG34" t="s" s="0">
        <v>867</v>
      </c>
      <c r="AH34" t="s" s="0">
        <v>868</v>
      </c>
      <c r="AI34" t="s" s="0">
        <v>81</v>
      </c>
      <c r="AJ34" t="s" s="0">
        <v>81</v>
      </c>
      <c r="AK34" t="s" s="0">
        <v>81</v>
      </c>
      <c r="AL34" t="s" s="0">
        <v>388</v>
      </c>
      <c r="AM34" t="s" s="0">
        <v>77</v>
      </c>
      <c r="AN34" t="s" s="0">
        <v>77</v>
      </c>
      <c r="AO34" t="s" s="0">
        <v>77</v>
      </c>
      <c r="AP34" t="s" s="0">
        <v>77</v>
      </c>
      <c r="AQ34" t="s" s="0">
        <v>737</v>
      </c>
      <c r="AR34" t="s" s="0">
        <v>738</v>
      </c>
      <c r="AS34" t="s" s="0">
        <v>739</v>
      </c>
      <c r="AT34" t="s" s="0">
        <v>81</v>
      </c>
      <c r="AU34" t="s" s="0">
        <v>869</v>
      </c>
      <c r="AV34" t="s" s="0">
        <v>81</v>
      </c>
      <c r="AW34" t="s" s="0">
        <v>870</v>
      </c>
      <c r="AX34" t="s" s="0">
        <v>871</v>
      </c>
      <c r="AY34" t="s" s="0">
        <v>685</v>
      </c>
      <c r="AZ34" t="s" s="0">
        <v>105</v>
      </c>
      <c r="BA34" t="s" s="0">
        <v>442</v>
      </c>
      <c r="BB34" t="s" s="0">
        <v>81</v>
      </c>
      <c r="BC34" t="s" s="0">
        <v>81</v>
      </c>
      <c r="BD34" t="s" s="0">
        <v>81</v>
      </c>
      <c r="BE34" t="s" s="0">
        <v>81</v>
      </c>
      <c r="BF34" t="s" s="0">
        <v>81</v>
      </c>
      <c r="BG34" t="s" s="0">
        <v>81</v>
      </c>
      <c r="BH34" t="s" s="0">
        <v>81</v>
      </c>
      <c r="BI34" t="s" s="0">
        <v>872</v>
      </c>
      <c r="BJ34" t="s" s="0">
        <v>873</v>
      </c>
      <c r="BK34" t="s" s="65">
        <f>HYPERLINK("http://dx.doi.org/10.1016/j.ejro.2026.100804","http://dx.doi.org/10.1016/j.ejro.2026.100804")</f>
        <v>874</v>
      </c>
      <c r="BL34" t="s" s="0">
        <v>81</v>
      </c>
      <c r="BM34" t="s" s="0">
        <v>81</v>
      </c>
      <c r="BN34" t="s" s="0">
        <v>769</v>
      </c>
      <c r="BO34" t="s" s="0">
        <v>875</v>
      </c>
      <c r="BP34" t="s" s="0">
        <v>875</v>
      </c>
      <c r="BQ34" t="s" s="0">
        <v>876</v>
      </c>
      <c r="BR34" t="s" s="0">
        <v>81</v>
      </c>
      <c r="BS34" t="s" s="0">
        <v>877</v>
      </c>
      <c r="BT34" t="s" s="66">
        <f>HYPERLINK("https://www.webofscience.com/wos/woscc/full-record/WOS:001842117200001","View Record in Web of Science")</f>
        <v>116</v>
      </c>
      <c r="BU34" t="s" s="0">
        <v>203</v>
      </c>
      <c r="BV34" t="s" s="0">
        <v>81</v>
      </c>
      <c r="BW34" t="s" s="0">
        <v>81</v>
      </c>
      <c r="BX34" t="s" s="0">
        <v>118</v>
      </c>
    </row>
    <row r="35">
      <c r="A35" t="s" s="0">
        <v>77</v>
      </c>
      <c r="B35" t="s" s="0">
        <v>77</v>
      </c>
      <c r="C35" t="s" s="0">
        <v>77</v>
      </c>
      <c r="D35" t="s" s="0">
        <v>77</v>
      </c>
      <c r="E35" t="s" s="0">
        <v>878</v>
      </c>
      <c r="F35" t="s" s="0">
        <v>879</v>
      </c>
      <c r="G35" t="s" s="0">
        <v>880</v>
      </c>
      <c r="H35" t="s" s="0">
        <v>81</v>
      </c>
      <c r="I35" t="s" s="0">
        <v>147</v>
      </c>
      <c r="J35" t="s" s="0">
        <v>881</v>
      </c>
      <c r="K35" t="s" s="0">
        <v>882</v>
      </c>
      <c r="L35" t="s" s="0">
        <v>883</v>
      </c>
      <c r="M35" t="s" s="0">
        <v>884</v>
      </c>
      <c r="N35" t="s" s="0">
        <v>885</v>
      </c>
      <c r="O35" t="s" s="0">
        <v>886</v>
      </c>
      <c r="P35" t="s" s="0">
        <v>887</v>
      </c>
      <c r="Q35" t="s" s="0">
        <v>90</v>
      </c>
      <c r="R35" t="s" s="0">
        <v>81</v>
      </c>
      <c r="S35" t="s" s="0">
        <v>81</v>
      </c>
      <c r="T35" t="s" s="0">
        <v>81</v>
      </c>
      <c r="U35" t="s" s="0">
        <v>81</v>
      </c>
      <c r="V35" t="s" s="0">
        <v>888</v>
      </c>
      <c r="W35" t="s" s="0">
        <v>889</v>
      </c>
      <c r="X35" t="s" s="0">
        <v>81</v>
      </c>
      <c r="Y35" t="s" s="0">
        <v>81</v>
      </c>
      <c r="Z35" t="s" s="0">
        <v>93</v>
      </c>
      <c r="AA35" t="s" s="0">
        <v>128</v>
      </c>
      <c r="AB35" t="s" s="0">
        <v>81</v>
      </c>
      <c r="AC35" t="s" s="0">
        <v>81</v>
      </c>
      <c r="AD35" t="s" s="0">
        <v>81</v>
      </c>
      <c r="AE35" t="s" s="0">
        <v>81</v>
      </c>
      <c r="AF35" t="s" s="0">
        <v>81</v>
      </c>
      <c r="AG35" t="s" s="0">
        <v>890</v>
      </c>
      <c r="AH35" t="s" s="0">
        <v>81</v>
      </c>
      <c r="AI35" t="s" s="0">
        <v>81</v>
      </c>
      <c r="AJ35" t="s" s="0">
        <v>81</v>
      </c>
      <c r="AK35" t="s" s="0">
        <v>81</v>
      </c>
      <c r="AL35" t="s" s="0">
        <v>835</v>
      </c>
      <c r="AM35" t="s" s="0">
        <v>77</v>
      </c>
      <c r="AN35" t="s" s="0">
        <v>77</v>
      </c>
      <c r="AO35" t="s" s="0">
        <v>77</v>
      </c>
      <c r="AP35" t="s" s="0">
        <v>77</v>
      </c>
      <c r="AQ35" t="s" s="0">
        <v>737</v>
      </c>
      <c r="AR35" t="s" s="0">
        <v>738</v>
      </c>
      <c r="AS35" t="s" s="0">
        <v>739</v>
      </c>
      <c r="AT35" t="s" s="0">
        <v>891</v>
      </c>
      <c r="AU35" t="s" s="0">
        <v>892</v>
      </c>
      <c r="AV35" t="s" s="0">
        <v>81</v>
      </c>
      <c r="AW35" t="s" s="0">
        <v>889</v>
      </c>
      <c r="AX35" t="s" s="0">
        <v>893</v>
      </c>
      <c r="AY35" t="s" s="0">
        <v>685</v>
      </c>
      <c r="AZ35" t="s" s="0">
        <v>105</v>
      </c>
      <c r="BA35" t="s" s="0">
        <v>894</v>
      </c>
      <c r="BB35" t="s" s="0">
        <v>81</v>
      </c>
      <c r="BC35" t="s" s="0">
        <v>81</v>
      </c>
      <c r="BD35" t="s" s="0">
        <v>81</v>
      </c>
      <c r="BE35" t="s" s="0">
        <v>81</v>
      </c>
      <c r="BF35" t="s" s="0">
        <v>81</v>
      </c>
      <c r="BG35" t="s" s="0">
        <v>81</v>
      </c>
      <c r="BH35" t="s" s="0">
        <v>81</v>
      </c>
      <c r="BI35" t="s" s="0">
        <v>895</v>
      </c>
      <c r="BJ35" t="s" s="0">
        <v>896</v>
      </c>
      <c r="BK35" t="s" s="67">
        <f>HYPERLINK("http://dx.doi.org/10.1016/j.displa.2026.103650","http://dx.doi.org/10.1016/j.displa.2026.103650")</f>
        <v>897</v>
      </c>
      <c r="BL35" t="s" s="0">
        <v>81</v>
      </c>
      <c r="BM35" t="s" s="0">
        <v>81</v>
      </c>
      <c r="BN35" t="s" s="0">
        <v>167</v>
      </c>
      <c r="BO35" t="s" s="0">
        <v>898</v>
      </c>
      <c r="BP35" t="s" s="0">
        <v>899</v>
      </c>
      <c r="BQ35" t="s" s="0">
        <v>900</v>
      </c>
      <c r="BR35" t="s" s="0">
        <v>81</v>
      </c>
      <c r="BS35" t="s" s="0">
        <v>901</v>
      </c>
      <c r="BT35" t="s" s="68">
        <f>HYPERLINK("https://www.webofscience.com/wos/woscc/full-record/WOS:001840800300001","View Record in Web of Science")</f>
        <v>116</v>
      </c>
      <c r="BU35" t="s" s="0">
        <v>81</v>
      </c>
      <c r="BV35" t="s" s="0">
        <v>81</v>
      </c>
      <c r="BW35" t="s" s="0">
        <v>81</v>
      </c>
      <c r="BX35" t="s" s="0">
        <v>118</v>
      </c>
    </row>
    <row r="36">
      <c r="A36" t="s" s="0">
        <v>77</v>
      </c>
      <c r="B36" t="s" s="0">
        <v>77</v>
      </c>
      <c r="C36" t="s" s="0">
        <v>77</v>
      </c>
      <c r="D36" t="s" s="0">
        <v>77</v>
      </c>
      <c r="E36" t="s" s="0">
        <v>902</v>
      </c>
      <c r="F36" t="s" s="0">
        <v>903</v>
      </c>
      <c r="G36" t="s" s="0">
        <v>904</v>
      </c>
      <c r="H36" t="s" s="0">
        <v>81</v>
      </c>
      <c r="I36" t="s" s="0">
        <v>400</v>
      </c>
      <c r="J36" t="s" s="0">
        <v>905</v>
      </c>
      <c r="K36" t="s" s="0">
        <v>906</v>
      </c>
      <c r="L36" t="s" s="0">
        <v>81</v>
      </c>
      <c r="M36" t="s" s="0">
        <v>81</v>
      </c>
      <c r="N36" t="s" s="0">
        <v>81</v>
      </c>
      <c r="O36" t="s" s="0">
        <v>907</v>
      </c>
      <c r="P36" t="s" s="0">
        <v>81</v>
      </c>
      <c r="Q36" t="s" s="0">
        <v>90</v>
      </c>
      <c r="R36" t="s" s="0">
        <v>81</v>
      </c>
      <c r="S36" t="s" s="0">
        <v>81</v>
      </c>
      <c r="T36" t="s" s="0">
        <v>81</v>
      </c>
      <c r="U36" t="s" s="0">
        <v>81</v>
      </c>
      <c r="V36" t="s" s="0">
        <v>908</v>
      </c>
      <c r="W36" t="s" s="0">
        <v>909</v>
      </c>
      <c r="X36" t="s" s="0">
        <v>81</v>
      </c>
      <c r="Y36" t="s" s="0">
        <v>81</v>
      </c>
      <c r="Z36" t="s" s="0">
        <v>93</v>
      </c>
      <c r="AA36" t="s" s="0">
        <v>128</v>
      </c>
      <c r="AB36" t="s" s="0">
        <v>81</v>
      </c>
      <c r="AC36" t="s" s="0">
        <v>81</v>
      </c>
      <c r="AD36" t="s" s="0">
        <v>81</v>
      </c>
      <c r="AE36" t="s" s="0">
        <v>81</v>
      </c>
      <c r="AF36" t="s" s="0">
        <v>81</v>
      </c>
      <c r="AG36" t="s" s="0">
        <v>81</v>
      </c>
      <c r="AH36" t="s" s="0">
        <v>81</v>
      </c>
      <c r="AI36" t="s" s="0">
        <v>81</v>
      </c>
      <c r="AJ36" t="s" s="0">
        <v>81</v>
      </c>
      <c r="AK36" t="s" s="0">
        <v>81</v>
      </c>
      <c r="AL36" t="s" s="0">
        <v>368</v>
      </c>
      <c r="AM36" t="s" s="0">
        <v>77</v>
      </c>
      <c r="AN36" t="s" s="0">
        <v>77</v>
      </c>
      <c r="AO36" t="s" s="0">
        <v>77</v>
      </c>
      <c r="AP36" t="s" s="0">
        <v>77</v>
      </c>
      <c r="AQ36" t="s" s="0">
        <v>737</v>
      </c>
      <c r="AR36" t="s" s="0">
        <v>738</v>
      </c>
      <c r="AS36" t="s" s="0">
        <v>739</v>
      </c>
      <c r="AT36" t="s" s="0">
        <v>81</v>
      </c>
      <c r="AU36" t="s" s="0">
        <v>910</v>
      </c>
      <c r="AV36" t="s" s="0">
        <v>81</v>
      </c>
      <c r="AW36" t="s" s="0">
        <v>909</v>
      </c>
      <c r="AX36" t="s" s="0">
        <v>911</v>
      </c>
      <c r="AY36" t="s" s="0">
        <v>685</v>
      </c>
      <c r="AZ36" t="s" s="0">
        <v>105</v>
      </c>
      <c r="BA36" t="s" s="0">
        <v>442</v>
      </c>
      <c r="BB36" t="s" s="0">
        <v>81</v>
      </c>
      <c r="BC36" t="s" s="0">
        <v>81</v>
      </c>
      <c r="BD36" t="s" s="0">
        <v>81</v>
      </c>
      <c r="BE36" t="s" s="0">
        <v>81</v>
      </c>
      <c r="BF36" t="s" s="0">
        <v>81</v>
      </c>
      <c r="BG36" t="s" s="0">
        <v>81</v>
      </c>
      <c r="BH36" t="s" s="0">
        <v>81</v>
      </c>
      <c r="BI36" t="s" s="0">
        <v>912</v>
      </c>
      <c r="BJ36" t="s" s="0">
        <v>913</v>
      </c>
      <c r="BK36" t="s" s="69">
        <f>HYPERLINK("http://dx.doi.org/10.1016/j.mex.2026.104062","http://dx.doi.org/10.1016/j.mex.2026.104062")</f>
        <v>914</v>
      </c>
      <c r="BL36" t="s" s="0">
        <v>81</v>
      </c>
      <c r="BM36" t="s" s="0">
        <v>81</v>
      </c>
      <c r="BN36" t="s" s="0">
        <v>303</v>
      </c>
      <c r="BO36" t="s" s="0">
        <v>915</v>
      </c>
      <c r="BP36" t="s" s="0">
        <v>916</v>
      </c>
      <c r="BQ36" t="s" s="0">
        <v>917</v>
      </c>
      <c r="BR36" t="s" s="0">
        <v>81</v>
      </c>
      <c r="BS36" t="s" s="0">
        <v>918</v>
      </c>
      <c r="BT36" t="s" s="70">
        <f>HYPERLINK("https://www.webofscience.com/wos/woscc/full-record/WOS:001840868100001","View Record in Web of Science")</f>
        <v>116</v>
      </c>
      <c r="BU36" t="s" s="0">
        <v>203</v>
      </c>
      <c r="BV36" t="s" s="0">
        <v>81</v>
      </c>
      <c r="BW36" t="s" s="0">
        <v>81</v>
      </c>
      <c r="BX36" t="s" s="0">
        <v>118</v>
      </c>
    </row>
    <row r="37">
      <c r="A37" t="s" s="0">
        <v>77</v>
      </c>
      <c r="B37" t="s" s="0">
        <v>77</v>
      </c>
      <c r="C37" t="s" s="0">
        <v>77</v>
      </c>
      <c r="D37" t="s" s="0">
        <v>77</v>
      </c>
      <c r="E37" t="s" s="0">
        <v>919</v>
      </c>
      <c r="F37" t="s" s="0">
        <v>920</v>
      </c>
      <c r="G37" t="s" s="0">
        <v>921</v>
      </c>
      <c r="H37" t="s" s="0">
        <v>81</v>
      </c>
      <c r="I37" t="s" s="0">
        <v>400</v>
      </c>
      <c r="J37" t="s" s="0">
        <v>922</v>
      </c>
      <c r="K37" t="s" s="0">
        <v>923</v>
      </c>
      <c r="L37" t="s" s="0">
        <v>924</v>
      </c>
      <c r="M37" t="s" s="0">
        <v>925</v>
      </c>
      <c r="N37" t="s" s="0">
        <v>926</v>
      </c>
      <c r="O37" t="s" s="0">
        <v>927</v>
      </c>
      <c r="P37" t="s" s="0">
        <v>928</v>
      </c>
      <c r="Q37" t="s" s="0">
        <v>90</v>
      </c>
      <c r="R37" t="s" s="0">
        <v>81</v>
      </c>
      <c r="S37" t="s" s="0">
        <v>81</v>
      </c>
      <c r="T37" t="s" s="0">
        <v>81</v>
      </c>
      <c r="U37" t="s" s="0">
        <v>81</v>
      </c>
      <c r="V37" t="s" s="0">
        <v>929</v>
      </c>
      <c r="W37" t="s" s="0">
        <v>733</v>
      </c>
      <c r="X37" t="s" s="0">
        <v>81</v>
      </c>
      <c r="Y37" t="s" s="0">
        <v>81</v>
      </c>
      <c r="Z37" t="s" s="0">
        <v>93</v>
      </c>
      <c r="AA37" t="s" s="0">
        <v>128</v>
      </c>
      <c r="AB37" t="s" s="0">
        <v>81</v>
      </c>
      <c r="AC37" t="s" s="0">
        <v>81</v>
      </c>
      <c r="AD37" t="s" s="0">
        <v>81</v>
      </c>
      <c r="AE37" t="s" s="0">
        <v>81</v>
      </c>
      <c r="AF37" t="s" s="0">
        <v>81</v>
      </c>
      <c r="AG37" t="s" s="0">
        <v>930</v>
      </c>
      <c r="AH37" t="s" s="0">
        <v>81</v>
      </c>
      <c r="AI37" t="s" s="0">
        <v>81</v>
      </c>
      <c r="AJ37" t="s" s="0">
        <v>81</v>
      </c>
      <c r="AK37" t="s" s="0">
        <v>81</v>
      </c>
      <c r="AL37" t="s" s="0">
        <v>579</v>
      </c>
      <c r="AM37" t="s" s="0">
        <v>77</v>
      </c>
      <c r="AN37" t="s" s="0">
        <v>77</v>
      </c>
      <c r="AO37" t="s" s="0">
        <v>77</v>
      </c>
      <c r="AP37" t="s" s="0">
        <v>77</v>
      </c>
      <c r="AQ37" t="s" s="0">
        <v>737</v>
      </c>
      <c r="AR37" t="s" s="0">
        <v>738</v>
      </c>
      <c r="AS37" t="s" s="0">
        <v>739</v>
      </c>
      <c r="AT37" t="s" s="0">
        <v>740</v>
      </c>
      <c r="AU37" t="s" s="0">
        <v>81</v>
      </c>
      <c r="AV37" t="s" s="0">
        <v>81</v>
      </c>
      <c r="AW37" t="s" s="0">
        <v>741</v>
      </c>
      <c r="AX37" t="s" s="0">
        <v>742</v>
      </c>
      <c r="AY37" t="s" s="0">
        <v>685</v>
      </c>
      <c r="AZ37" t="s" s="0">
        <v>105</v>
      </c>
      <c r="BA37" t="s" s="0">
        <v>303</v>
      </c>
      <c r="BB37" t="s" s="0">
        <v>81</v>
      </c>
      <c r="BC37" t="s" s="0">
        <v>81</v>
      </c>
      <c r="BD37" t="s" s="0">
        <v>81</v>
      </c>
      <c r="BE37" t="s" s="0">
        <v>81</v>
      </c>
      <c r="BF37" t="s" s="0">
        <v>81</v>
      </c>
      <c r="BG37" t="s" s="0">
        <v>81</v>
      </c>
      <c r="BH37" t="s" s="0">
        <v>81</v>
      </c>
      <c r="BI37" t="s" s="0">
        <v>931</v>
      </c>
      <c r="BJ37" t="s" s="0">
        <v>932</v>
      </c>
      <c r="BK37" t="s" s="71">
        <f>HYPERLINK("http://dx.doi.org/10.1016/j.caeai.2026.100641","http://dx.doi.org/10.1016/j.caeai.2026.100641")</f>
        <v>933</v>
      </c>
      <c r="BL37" t="s" s="0">
        <v>81</v>
      </c>
      <c r="BM37" t="s" s="0">
        <v>81</v>
      </c>
      <c r="BN37" t="s" s="0">
        <v>167</v>
      </c>
      <c r="BO37" t="s" s="0">
        <v>746</v>
      </c>
      <c r="BP37" t="s" s="0">
        <v>747</v>
      </c>
      <c r="BQ37" t="s" s="0">
        <v>934</v>
      </c>
      <c r="BR37" t="s" s="0">
        <v>81</v>
      </c>
      <c r="BS37" t="s" s="0">
        <v>935</v>
      </c>
      <c r="BT37" t="s" s="72">
        <f>HYPERLINK("https://www.webofscience.com/wos/woscc/full-record/WOS:001839983700001","View Record in Web of Science")</f>
        <v>116</v>
      </c>
      <c r="BU37" t="s" s="0">
        <v>203</v>
      </c>
      <c r="BV37" t="s" s="0">
        <v>81</v>
      </c>
      <c r="BW37" t="s" s="0">
        <v>81</v>
      </c>
      <c r="BX37" t="s" s="0">
        <v>118</v>
      </c>
    </row>
    <row r="38">
      <c r="A38" t="s" s="0">
        <v>77</v>
      </c>
      <c r="B38" t="s" s="0">
        <v>77</v>
      </c>
      <c r="C38" t="s" s="0">
        <v>77</v>
      </c>
      <c r="D38" t="s" s="0">
        <v>77</v>
      </c>
      <c r="E38" t="s" s="0">
        <v>936</v>
      </c>
      <c r="F38" t="s" s="0">
        <v>937</v>
      </c>
      <c r="G38" t="s" s="0">
        <v>938</v>
      </c>
      <c r="H38" t="s" s="0">
        <v>81</v>
      </c>
      <c r="I38" t="s" s="0">
        <v>698</v>
      </c>
      <c r="J38" t="s" s="0">
        <v>939</v>
      </c>
      <c r="K38" t="s" s="0">
        <v>940</v>
      </c>
      <c r="L38" t="s" s="0">
        <v>81</v>
      </c>
      <c r="M38" t="s" s="0">
        <v>81</v>
      </c>
      <c r="N38" t="s" s="0">
        <v>81</v>
      </c>
      <c r="O38" t="s" s="0">
        <v>941</v>
      </c>
      <c r="P38" t="s" s="0">
        <v>942</v>
      </c>
      <c r="Q38" t="s" s="0">
        <v>90</v>
      </c>
      <c r="R38" t="s" s="0">
        <v>81</v>
      </c>
      <c r="S38" t="s" s="0">
        <v>81</v>
      </c>
      <c r="T38" t="s" s="0">
        <v>81</v>
      </c>
      <c r="U38" t="s" s="0">
        <v>81</v>
      </c>
      <c r="V38" t="s" s="0">
        <v>943</v>
      </c>
      <c r="W38" t="s" s="0">
        <v>704</v>
      </c>
      <c r="X38" t="s" s="0">
        <v>81</v>
      </c>
      <c r="Y38" t="s" s="0">
        <v>81</v>
      </c>
      <c r="Z38" t="s" s="0">
        <v>93</v>
      </c>
      <c r="AA38" t="s" s="0">
        <v>128</v>
      </c>
      <c r="AB38" t="s" s="0">
        <v>81</v>
      </c>
      <c r="AC38" t="s" s="0">
        <v>81</v>
      </c>
      <c r="AD38" t="s" s="0">
        <v>81</v>
      </c>
      <c r="AE38" t="s" s="0">
        <v>81</v>
      </c>
      <c r="AF38" t="s" s="0">
        <v>81</v>
      </c>
      <c r="AG38" t="s" s="0">
        <v>944</v>
      </c>
      <c r="AH38" t="s" s="0">
        <v>81</v>
      </c>
      <c r="AI38" t="s" s="0">
        <v>81</v>
      </c>
      <c r="AJ38" t="s" s="0">
        <v>81</v>
      </c>
      <c r="AK38" t="s" s="0">
        <v>81</v>
      </c>
      <c r="AL38" t="s" s="0">
        <v>249</v>
      </c>
      <c r="AM38" t="s" s="0">
        <v>77</v>
      </c>
      <c r="AN38" t="s" s="0">
        <v>77</v>
      </c>
      <c r="AO38" t="s" s="0">
        <v>107</v>
      </c>
      <c r="AP38" t="s" s="0">
        <v>107</v>
      </c>
      <c r="AQ38" t="s" s="0">
        <v>706</v>
      </c>
      <c r="AR38" t="s" s="0">
        <v>707</v>
      </c>
      <c r="AS38" t="s" s="0">
        <v>708</v>
      </c>
      <c r="AT38" t="s" s="0">
        <v>709</v>
      </c>
      <c r="AU38" t="s" s="0">
        <v>710</v>
      </c>
      <c r="AV38" t="s" s="0">
        <v>81</v>
      </c>
      <c r="AW38" t="s" s="0">
        <v>711</v>
      </c>
      <c r="AX38" t="s" s="0">
        <v>712</v>
      </c>
      <c r="AY38" t="s" s="0">
        <v>685</v>
      </c>
      <c r="AZ38" t="s" s="0">
        <v>105</v>
      </c>
      <c r="BA38" t="s" s="0">
        <v>713</v>
      </c>
      <c r="BB38" t="s" s="0">
        <v>81</v>
      </c>
      <c r="BC38" t="s" s="0">
        <v>81</v>
      </c>
      <c r="BD38" t="s" s="0">
        <v>81</v>
      </c>
      <c r="BE38" t="s" s="0">
        <v>81</v>
      </c>
      <c r="BF38" t="s" s="0">
        <v>81</v>
      </c>
      <c r="BG38" t="s" s="0">
        <v>81</v>
      </c>
      <c r="BH38" t="s" s="0">
        <v>81</v>
      </c>
      <c r="BI38" t="s" s="0">
        <v>945</v>
      </c>
      <c r="BJ38" t="s" s="0">
        <v>946</v>
      </c>
      <c r="BK38" t="s" s="73">
        <f>HYPERLINK("http://dx.doi.org/10.1016/j.nedt.2026.107310","http://dx.doi.org/10.1016/j.nedt.2026.107310")</f>
        <v>947</v>
      </c>
      <c r="BL38" t="s" s="0">
        <v>81</v>
      </c>
      <c r="BM38" t="s" s="0">
        <v>81</v>
      </c>
      <c r="BN38" t="s" s="0">
        <v>323</v>
      </c>
      <c r="BO38" t="s" s="0">
        <v>717</v>
      </c>
      <c r="BP38" t="s" s="0">
        <v>718</v>
      </c>
      <c r="BQ38" t="s" s="0">
        <v>948</v>
      </c>
      <c r="BR38" t="s" s="0">
        <v>949</v>
      </c>
      <c r="BS38" t="s" s="0">
        <v>950</v>
      </c>
      <c r="BT38" t="s" s="74">
        <f>HYPERLINK("https://www.webofscience.com/wos/woscc/full-record/WOS:001839905200001","View Record in Web of Science")</f>
        <v>116</v>
      </c>
      <c r="BU38" t="s" s="0">
        <v>81</v>
      </c>
      <c r="BV38" t="s" s="0">
        <v>81</v>
      </c>
      <c r="BW38" t="s" s="0">
        <v>81</v>
      </c>
      <c r="BX38" t="s" s="0">
        <v>118</v>
      </c>
    </row>
    <row r="39">
      <c r="A39" t="s" s="0">
        <v>77</v>
      </c>
      <c r="B39" t="s" s="0">
        <v>77</v>
      </c>
      <c r="C39" t="s" s="0">
        <v>77</v>
      </c>
      <c r="D39" t="s" s="0">
        <v>77</v>
      </c>
      <c r="E39" t="s" s="0">
        <v>951</v>
      </c>
      <c r="F39" t="s" s="0">
        <v>952</v>
      </c>
      <c r="G39" t="s" s="0">
        <v>953</v>
      </c>
      <c r="H39" t="s" s="0">
        <v>81</v>
      </c>
      <c r="I39" t="s" s="0">
        <v>698</v>
      </c>
      <c r="J39" t="s" s="0">
        <v>954</v>
      </c>
      <c r="K39" t="s" s="0">
        <v>955</v>
      </c>
      <c r="L39" t="s" s="0">
        <v>81</v>
      </c>
      <c r="M39" t="s" s="0">
        <v>81</v>
      </c>
      <c r="N39" t="s" s="0">
        <v>81</v>
      </c>
      <c r="O39" t="s" s="0">
        <v>956</v>
      </c>
      <c r="P39" t="s" s="0">
        <v>957</v>
      </c>
      <c r="Q39" t="s" s="0">
        <v>90</v>
      </c>
      <c r="R39" t="s" s="0">
        <v>81</v>
      </c>
      <c r="S39" t="s" s="0">
        <v>81</v>
      </c>
      <c r="T39" t="s" s="0">
        <v>81</v>
      </c>
      <c r="U39" t="s" s="0">
        <v>81</v>
      </c>
      <c r="V39" t="s" s="0">
        <v>958</v>
      </c>
      <c r="W39" t="s" s="0">
        <v>704</v>
      </c>
      <c r="X39" t="s" s="0">
        <v>81</v>
      </c>
      <c r="Y39" t="s" s="0">
        <v>81</v>
      </c>
      <c r="Z39" t="s" s="0">
        <v>93</v>
      </c>
      <c r="AA39" t="s" s="0">
        <v>128</v>
      </c>
      <c r="AB39" t="s" s="0">
        <v>81</v>
      </c>
      <c r="AC39" t="s" s="0">
        <v>81</v>
      </c>
      <c r="AD39" t="s" s="0">
        <v>81</v>
      </c>
      <c r="AE39" t="s" s="0">
        <v>81</v>
      </c>
      <c r="AF39" t="s" s="0">
        <v>81</v>
      </c>
      <c r="AG39" t="s" s="0">
        <v>959</v>
      </c>
      <c r="AH39" t="s" s="0">
        <v>960</v>
      </c>
      <c r="AI39" t="s" s="0">
        <v>81</v>
      </c>
      <c r="AJ39" t="s" s="0">
        <v>81</v>
      </c>
      <c r="AK39" t="s" s="0">
        <v>81</v>
      </c>
      <c r="AL39" t="s" s="0">
        <v>614</v>
      </c>
      <c r="AM39" t="s" s="0">
        <v>77</v>
      </c>
      <c r="AN39" t="s" s="0">
        <v>77</v>
      </c>
      <c r="AO39" t="s" s="0">
        <v>77</v>
      </c>
      <c r="AP39" t="s" s="0">
        <v>77</v>
      </c>
      <c r="AQ39" t="s" s="0">
        <v>706</v>
      </c>
      <c r="AR39" t="s" s="0">
        <v>707</v>
      </c>
      <c r="AS39" t="s" s="0">
        <v>708</v>
      </c>
      <c r="AT39" t="s" s="0">
        <v>709</v>
      </c>
      <c r="AU39" t="s" s="0">
        <v>710</v>
      </c>
      <c r="AV39" t="s" s="0">
        <v>81</v>
      </c>
      <c r="AW39" t="s" s="0">
        <v>711</v>
      </c>
      <c r="AX39" t="s" s="0">
        <v>712</v>
      </c>
      <c r="AY39" t="s" s="0">
        <v>685</v>
      </c>
      <c r="AZ39" t="s" s="0">
        <v>105</v>
      </c>
      <c r="BA39" t="s" s="0">
        <v>713</v>
      </c>
      <c r="BB39" t="s" s="0">
        <v>81</v>
      </c>
      <c r="BC39" t="s" s="0">
        <v>81</v>
      </c>
      <c r="BD39" t="s" s="0">
        <v>81</v>
      </c>
      <c r="BE39" t="s" s="0">
        <v>81</v>
      </c>
      <c r="BF39" t="s" s="0">
        <v>81</v>
      </c>
      <c r="BG39" t="s" s="0">
        <v>81</v>
      </c>
      <c r="BH39" t="s" s="0">
        <v>81</v>
      </c>
      <c r="BI39" t="s" s="0">
        <v>961</v>
      </c>
      <c r="BJ39" t="s" s="0">
        <v>962</v>
      </c>
      <c r="BK39" t="s" s="75">
        <f>HYPERLINK("http://dx.doi.org/10.1016/j.nedt.2026.107303","http://dx.doi.org/10.1016/j.nedt.2026.107303")</f>
        <v>963</v>
      </c>
      <c r="BL39" t="s" s="0">
        <v>81</v>
      </c>
      <c r="BM39" t="s" s="0">
        <v>81</v>
      </c>
      <c r="BN39" t="s" s="0">
        <v>319</v>
      </c>
      <c r="BO39" t="s" s="0">
        <v>717</v>
      </c>
      <c r="BP39" t="s" s="0">
        <v>718</v>
      </c>
      <c r="BQ39" t="s" s="0">
        <v>964</v>
      </c>
      <c r="BR39" t="s" s="0">
        <v>965</v>
      </c>
      <c r="BS39" t="s" s="0">
        <v>966</v>
      </c>
      <c r="BT39" t="s" s="76">
        <f>HYPERLINK("https://www.webofscience.com/wos/woscc/full-record/WOS:001837445100001","View Record in Web of Science")</f>
        <v>116</v>
      </c>
      <c r="BU39" t="s" s="0">
        <v>694</v>
      </c>
      <c r="BV39" t="s" s="0">
        <v>81</v>
      </c>
      <c r="BW39" t="s" s="0">
        <v>81</v>
      </c>
      <c r="BX39" t="s" s="0">
        <v>118</v>
      </c>
    </row>
    <row r="40">
      <c r="A40" t="s" s="0">
        <v>77</v>
      </c>
      <c r="B40" t="s" s="0">
        <v>77</v>
      </c>
      <c r="C40" t="s" s="0">
        <v>77</v>
      </c>
      <c r="D40" t="s" s="0">
        <v>77</v>
      </c>
      <c r="E40" t="s" s="0">
        <v>967</v>
      </c>
      <c r="F40" t="s" s="0">
        <v>968</v>
      </c>
      <c r="G40" t="s" s="0">
        <v>969</v>
      </c>
      <c r="H40" t="s" s="0">
        <v>81</v>
      </c>
      <c r="I40" t="s" s="0">
        <v>698</v>
      </c>
      <c r="J40" t="s" s="0">
        <v>970</v>
      </c>
      <c r="K40" t="s" s="0">
        <v>971</v>
      </c>
      <c r="L40" t="s" s="0">
        <v>972</v>
      </c>
      <c r="M40" t="s" s="0">
        <v>973</v>
      </c>
      <c r="N40" t="s" s="0">
        <v>974</v>
      </c>
      <c r="O40" t="s" s="0">
        <v>975</v>
      </c>
      <c r="P40" t="s" s="0">
        <v>976</v>
      </c>
      <c r="Q40" t="s" s="0">
        <v>90</v>
      </c>
      <c r="R40" t="s" s="0">
        <v>81</v>
      </c>
      <c r="S40" t="s" s="0">
        <v>81</v>
      </c>
      <c r="T40" t="s" s="0">
        <v>81</v>
      </c>
      <c r="U40" t="s" s="0">
        <v>81</v>
      </c>
      <c r="V40" t="s" s="0">
        <v>977</v>
      </c>
      <c r="W40" t="s" s="0">
        <v>704</v>
      </c>
      <c r="X40" t="s" s="0">
        <v>81</v>
      </c>
      <c r="Y40" t="s" s="0">
        <v>81</v>
      </c>
      <c r="Z40" t="s" s="0">
        <v>93</v>
      </c>
      <c r="AA40" t="s" s="0">
        <v>94</v>
      </c>
      <c r="AB40" t="s" s="0">
        <v>81</v>
      </c>
      <c r="AC40" t="s" s="0">
        <v>81</v>
      </c>
      <c r="AD40" t="s" s="0">
        <v>81</v>
      </c>
      <c r="AE40" t="s" s="0">
        <v>81</v>
      </c>
      <c r="AF40" t="s" s="0">
        <v>81</v>
      </c>
      <c r="AG40" t="s" s="0">
        <v>978</v>
      </c>
      <c r="AH40" t="s" s="0">
        <v>979</v>
      </c>
      <c r="AI40" t="s" s="0">
        <v>81</v>
      </c>
      <c r="AJ40" t="s" s="0">
        <v>81</v>
      </c>
      <c r="AK40" t="s" s="0">
        <v>81</v>
      </c>
      <c r="AL40" t="s" s="0">
        <v>980</v>
      </c>
      <c r="AM40" t="s" s="0">
        <v>77</v>
      </c>
      <c r="AN40" t="s" s="0">
        <v>77</v>
      </c>
      <c r="AO40" t="s" s="0">
        <v>77</v>
      </c>
      <c r="AP40" t="s" s="0">
        <v>77</v>
      </c>
      <c r="AQ40" t="s" s="0">
        <v>706</v>
      </c>
      <c r="AR40" t="s" s="0">
        <v>707</v>
      </c>
      <c r="AS40" t="s" s="0">
        <v>708</v>
      </c>
      <c r="AT40" t="s" s="0">
        <v>709</v>
      </c>
      <c r="AU40" t="s" s="0">
        <v>710</v>
      </c>
      <c r="AV40" t="s" s="0">
        <v>81</v>
      </c>
      <c r="AW40" t="s" s="0">
        <v>711</v>
      </c>
      <c r="AX40" t="s" s="0">
        <v>712</v>
      </c>
      <c r="AY40" t="s" s="0">
        <v>685</v>
      </c>
      <c r="AZ40" t="s" s="0">
        <v>105</v>
      </c>
      <c r="BA40" t="s" s="0">
        <v>713</v>
      </c>
      <c r="BB40" t="s" s="0">
        <v>81</v>
      </c>
      <c r="BC40" t="s" s="0">
        <v>81</v>
      </c>
      <c r="BD40" t="s" s="0">
        <v>81</v>
      </c>
      <c r="BE40" t="s" s="0">
        <v>81</v>
      </c>
      <c r="BF40" t="s" s="0">
        <v>81</v>
      </c>
      <c r="BG40" t="s" s="0">
        <v>81</v>
      </c>
      <c r="BH40" t="s" s="0">
        <v>81</v>
      </c>
      <c r="BI40" t="s" s="0">
        <v>981</v>
      </c>
      <c r="BJ40" t="s" s="0">
        <v>982</v>
      </c>
      <c r="BK40" t="s" s="77">
        <f>HYPERLINK("http://dx.doi.org/10.1016/j.nedt.2026.107299","http://dx.doi.org/10.1016/j.nedt.2026.107299")</f>
        <v>983</v>
      </c>
      <c r="BL40" t="s" s="0">
        <v>81</v>
      </c>
      <c r="BM40" t="s" s="0">
        <v>81</v>
      </c>
      <c r="BN40" t="s" s="0">
        <v>389</v>
      </c>
      <c r="BO40" t="s" s="0">
        <v>717</v>
      </c>
      <c r="BP40" t="s" s="0">
        <v>718</v>
      </c>
      <c r="BQ40" t="s" s="0">
        <v>984</v>
      </c>
      <c r="BR40" t="s" s="0">
        <v>985</v>
      </c>
      <c r="BS40" t="s" s="0">
        <v>986</v>
      </c>
      <c r="BT40" t="s" s="78">
        <f>HYPERLINK("https://www.webofscience.com/wos/woscc/full-record/WOS:001837448100001","View Record in Web of Science")</f>
        <v>116</v>
      </c>
      <c r="BU40" t="s" s="0">
        <v>694</v>
      </c>
      <c r="BV40" t="s" s="0">
        <v>81</v>
      </c>
      <c r="BW40" t="s" s="0">
        <v>81</v>
      </c>
      <c r="BX40" t="s" s="0">
        <v>118</v>
      </c>
    </row>
    <row r="41">
      <c r="A41" t="s" s="0">
        <v>77</v>
      </c>
      <c r="B41" t="s" s="0">
        <v>77</v>
      </c>
      <c r="C41" t="s" s="0">
        <v>77</v>
      </c>
      <c r="D41" t="s" s="0">
        <v>77</v>
      </c>
      <c r="E41" t="s" s="0">
        <v>987</v>
      </c>
      <c r="F41" t="s" s="0">
        <v>988</v>
      </c>
      <c r="G41" t="s" s="0">
        <v>989</v>
      </c>
      <c r="H41" t="s" s="0">
        <v>81</v>
      </c>
      <c r="I41" t="s" s="0">
        <v>400</v>
      </c>
      <c r="J41" t="s" s="0">
        <v>990</v>
      </c>
      <c r="K41" t="s" s="0">
        <v>991</v>
      </c>
      <c r="L41" t="s" s="0">
        <v>81</v>
      </c>
      <c r="M41" t="s" s="0">
        <v>81</v>
      </c>
      <c r="N41" t="s" s="0">
        <v>81</v>
      </c>
      <c r="O41" t="s" s="0">
        <v>992</v>
      </c>
      <c r="P41" t="s" s="0">
        <v>993</v>
      </c>
      <c r="Q41" t="s" s="0">
        <v>90</v>
      </c>
      <c r="R41" t="s" s="0">
        <v>81</v>
      </c>
      <c r="S41" t="s" s="0">
        <v>81</v>
      </c>
      <c r="T41" t="s" s="0">
        <v>81</v>
      </c>
      <c r="U41" t="s" s="0">
        <v>81</v>
      </c>
      <c r="V41" t="s" s="0">
        <v>994</v>
      </c>
      <c r="W41" t="s" s="0">
        <v>995</v>
      </c>
      <c r="X41" t="s" s="0">
        <v>81</v>
      </c>
      <c r="Y41" t="s" s="0">
        <v>81</v>
      </c>
      <c r="Z41" t="s" s="0">
        <v>93</v>
      </c>
      <c r="AA41" t="s" s="0">
        <v>128</v>
      </c>
      <c r="AB41" t="s" s="0">
        <v>81</v>
      </c>
      <c r="AC41" t="s" s="0">
        <v>81</v>
      </c>
      <c r="AD41" t="s" s="0">
        <v>81</v>
      </c>
      <c r="AE41" t="s" s="0">
        <v>81</v>
      </c>
      <c r="AF41" t="s" s="0">
        <v>81</v>
      </c>
      <c r="AG41" t="s" s="0">
        <v>996</v>
      </c>
      <c r="AH41" t="s" s="0">
        <v>997</v>
      </c>
      <c r="AI41" t="s" s="0">
        <v>81</v>
      </c>
      <c r="AJ41" t="s" s="0">
        <v>81</v>
      </c>
      <c r="AK41" t="s" s="0">
        <v>81</v>
      </c>
      <c r="AL41" t="s" s="0">
        <v>163</v>
      </c>
      <c r="AM41" t="s" s="0">
        <v>77</v>
      </c>
      <c r="AN41" t="s" s="0">
        <v>77</v>
      </c>
      <c r="AO41" t="s" s="0">
        <v>77</v>
      </c>
      <c r="AP41" t="s" s="0">
        <v>77</v>
      </c>
      <c r="AQ41" t="s" s="0">
        <v>737</v>
      </c>
      <c r="AR41" t="s" s="0">
        <v>738</v>
      </c>
      <c r="AS41" t="s" s="0">
        <v>739</v>
      </c>
      <c r="AT41" t="s" s="0">
        <v>81</v>
      </c>
      <c r="AU41" t="s" s="0">
        <v>998</v>
      </c>
      <c r="AV41" t="s" s="0">
        <v>81</v>
      </c>
      <c r="AW41" t="s" s="0">
        <v>999</v>
      </c>
      <c r="AX41" t="s" s="0">
        <v>1000</v>
      </c>
      <c r="AY41" t="s" s="0">
        <v>685</v>
      </c>
      <c r="AZ41" t="s" s="0">
        <v>105</v>
      </c>
      <c r="BA41" t="s" s="0">
        <v>1001</v>
      </c>
      <c r="BB41" t="s" s="0">
        <v>81</v>
      </c>
      <c r="BC41" t="s" s="0">
        <v>81</v>
      </c>
      <c r="BD41" t="s" s="0">
        <v>81</v>
      </c>
      <c r="BE41" t="s" s="0">
        <v>81</v>
      </c>
      <c r="BF41" t="s" s="0">
        <v>81</v>
      </c>
      <c r="BG41" t="s" s="0">
        <v>81</v>
      </c>
      <c r="BH41" t="s" s="0">
        <v>81</v>
      </c>
      <c r="BI41" t="s" s="0">
        <v>1002</v>
      </c>
      <c r="BJ41" t="s" s="0">
        <v>1003</v>
      </c>
      <c r="BK41" t="s" s="79">
        <f>HYPERLINK("http://dx.doi.org/10.1016/j.rineng.2026.112188","http://dx.doi.org/10.1016/j.rineng.2026.112188")</f>
        <v>1004</v>
      </c>
      <c r="BL41" t="s" s="0">
        <v>81</v>
      </c>
      <c r="BM41" t="s" s="0">
        <v>81</v>
      </c>
      <c r="BN41" t="s" s="0">
        <v>139</v>
      </c>
      <c r="BO41" t="s" s="0">
        <v>1005</v>
      </c>
      <c r="BP41" t="s" s="0">
        <v>420</v>
      </c>
      <c r="BQ41" t="s" s="0">
        <v>1006</v>
      </c>
      <c r="BR41" t="s" s="0">
        <v>81</v>
      </c>
      <c r="BS41" t="s" s="0">
        <v>1007</v>
      </c>
      <c r="BT41" t="s" s="80">
        <f>HYPERLINK("https://www.webofscience.com/wos/woscc/full-record/WOS:001838793900001","View Record in Web of Science")</f>
        <v>116</v>
      </c>
      <c r="BU41" t="s" s="0">
        <v>203</v>
      </c>
      <c r="BV41" t="s" s="0">
        <v>81</v>
      </c>
      <c r="BW41" t="s" s="0">
        <v>81</v>
      </c>
      <c r="BX41" t="s" s="0">
        <v>118</v>
      </c>
    </row>
    <row r="42">
      <c r="A42" t="s" s="0">
        <v>77</v>
      </c>
      <c r="B42" t="s" s="0">
        <v>77</v>
      </c>
      <c r="C42" t="s" s="0">
        <v>77</v>
      </c>
      <c r="D42" t="s" s="0">
        <v>77</v>
      </c>
      <c r="E42" t="s" s="0">
        <v>1008</v>
      </c>
      <c r="F42" t="s" s="0">
        <v>1009</v>
      </c>
      <c r="G42" t="s" s="0">
        <v>1010</v>
      </c>
      <c r="H42" t="s" s="0">
        <v>81</v>
      </c>
      <c r="I42" t="s" s="0">
        <v>400</v>
      </c>
      <c r="J42" t="s" s="0">
        <v>1011</v>
      </c>
      <c r="K42" t="s" s="0">
        <v>1012</v>
      </c>
      <c r="L42" t="s" s="0">
        <v>81</v>
      </c>
      <c r="M42" t="s" s="0">
        <v>81</v>
      </c>
      <c r="N42" t="s" s="0">
        <v>81</v>
      </c>
      <c r="O42" t="s" s="0">
        <v>1013</v>
      </c>
      <c r="P42" t="s" s="0">
        <v>1014</v>
      </c>
      <c r="Q42" t="s" s="0">
        <v>90</v>
      </c>
      <c r="R42" t="s" s="0">
        <v>81</v>
      </c>
      <c r="S42" t="s" s="0">
        <v>81</v>
      </c>
      <c r="T42" t="s" s="0">
        <v>81</v>
      </c>
      <c r="U42" t="s" s="0">
        <v>81</v>
      </c>
      <c r="V42" t="s" s="0">
        <v>1015</v>
      </c>
      <c r="W42" t="s" s="0">
        <v>1016</v>
      </c>
      <c r="X42" t="s" s="0">
        <v>81</v>
      </c>
      <c r="Y42" t="s" s="0">
        <v>81</v>
      </c>
      <c r="Z42" t="s" s="0">
        <v>93</v>
      </c>
      <c r="AA42" t="s" s="0">
        <v>128</v>
      </c>
      <c r="AB42" t="s" s="0">
        <v>81</v>
      </c>
      <c r="AC42" t="s" s="0">
        <v>81</v>
      </c>
      <c r="AD42" t="s" s="0">
        <v>81</v>
      </c>
      <c r="AE42" t="s" s="0">
        <v>81</v>
      </c>
      <c r="AF42" t="s" s="0">
        <v>81</v>
      </c>
      <c r="AG42" t="s" s="0">
        <v>1017</v>
      </c>
      <c r="AH42" t="s" s="0">
        <v>81</v>
      </c>
      <c r="AI42" t="s" s="0">
        <v>81</v>
      </c>
      <c r="AJ42" t="s" s="0">
        <v>81</v>
      </c>
      <c r="AK42" t="s" s="0">
        <v>81</v>
      </c>
      <c r="AL42" t="s" s="0">
        <v>574</v>
      </c>
      <c r="AM42" t="s" s="0">
        <v>77</v>
      </c>
      <c r="AN42" t="s" s="0">
        <v>77</v>
      </c>
      <c r="AO42" t="s" s="0">
        <v>77</v>
      </c>
      <c r="AP42" t="s" s="0">
        <v>77</v>
      </c>
      <c r="AQ42" t="s" s="0">
        <v>1018</v>
      </c>
      <c r="AR42" t="s" s="0">
        <v>1019</v>
      </c>
      <c r="AS42" t="s" s="0">
        <v>1020</v>
      </c>
      <c r="AT42" t="s" s="0">
        <v>1021</v>
      </c>
      <c r="AU42" t="s" s="0">
        <v>1022</v>
      </c>
      <c r="AV42" t="s" s="0">
        <v>81</v>
      </c>
      <c r="AW42" t="s" s="0">
        <v>1023</v>
      </c>
      <c r="AX42" t="s" s="0">
        <v>1024</v>
      </c>
      <c r="AY42" t="s" s="0">
        <v>685</v>
      </c>
      <c r="AZ42" t="s" s="0">
        <v>105</v>
      </c>
      <c r="BA42" t="s" s="0">
        <v>1025</v>
      </c>
      <c r="BB42" t="s" s="0">
        <v>687</v>
      </c>
      <c r="BC42" t="s" s="0">
        <v>81</v>
      </c>
      <c r="BD42" t="s" s="0">
        <v>81</v>
      </c>
      <c r="BE42" t="s" s="0">
        <v>81</v>
      </c>
      <c r="BF42" t="s" s="0">
        <v>81</v>
      </c>
      <c r="BG42" t="s" s="0">
        <v>81</v>
      </c>
      <c r="BH42" t="s" s="0">
        <v>81</v>
      </c>
      <c r="BI42" t="s" s="0">
        <v>1026</v>
      </c>
      <c r="BJ42" t="s" s="0">
        <v>1027</v>
      </c>
      <c r="BK42" t="s" s="81">
        <f>HYPERLINK("http://dx.doi.org/10.1016/j.ortho.2026.101216","http://dx.doi.org/10.1016/j.ortho.2026.101216")</f>
        <v>1028</v>
      </c>
      <c r="BL42" t="s" s="0">
        <v>81</v>
      </c>
      <c r="BM42" t="s" s="0">
        <v>81</v>
      </c>
      <c r="BN42" t="s" s="0">
        <v>318</v>
      </c>
      <c r="BO42" t="s" s="0">
        <v>770</v>
      </c>
      <c r="BP42" t="s" s="0">
        <v>770</v>
      </c>
      <c r="BQ42" t="s" s="0">
        <v>1029</v>
      </c>
      <c r="BR42" t="s" s="0">
        <v>1030</v>
      </c>
      <c r="BS42" t="s" s="0">
        <v>1031</v>
      </c>
      <c r="BT42" t="s" s="82">
        <f>HYPERLINK("https://www.webofscience.com/wos/woscc/full-record/WOS:001837302000001","View Record in Web of Science")</f>
        <v>116</v>
      </c>
      <c r="BU42" t="s" s="0">
        <v>81</v>
      </c>
      <c r="BV42" t="s" s="0">
        <v>81</v>
      </c>
      <c r="BW42" t="s" s="0">
        <v>81</v>
      </c>
      <c r="BX42" t="s" s="0">
        <v>118</v>
      </c>
    </row>
    <row r="43">
      <c r="A43" t="s" s="0">
        <v>77</v>
      </c>
      <c r="B43" t="s" s="0">
        <v>77</v>
      </c>
      <c r="C43" t="s" s="0">
        <v>77</v>
      </c>
      <c r="D43" t="s" s="0">
        <v>77</v>
      </c>
      <c r="E43" t="s" s="0">
        <v>1032</v>
      </c>
      <c r="F43" t="s" s="0">
        <v>1033</v>
      </c>
      <c r="G43" t="s" s="0">
        <v>1034</v>
      </c>
      <c r="H43" t="s" s="0">
        <v>81</v>
      </c>
      <c r="I43" t="s" s="0">
        <v>400</v>
      </c>
      <c r="J43" t="s" s="0">
        <v>1035</v>
      </c>
      <c r="K43" t="s" s="0">
        <v>1036</v>
      </c>
      <c r="L43" t="s" s="0">
        <v>81</v>
      </c>
      <c r="M43" t="s" s="0">
        <v>81</v>
      </c>
      <c r="N43" t="s" s="0">
        <v>81</v>
      </c>
      <c r="O43" t="s" s="0">
        <v>1037</v>
      </c>
      <c r="P43" t="s" s="0">
        <v>1038</v>
      </c>
      <c r="Q43" t="s" s="0">
        <v>90</v>
      </c>
      <c r="R43" t="s" s="0">
        <v>81</v>
      </c>
      <c r="S43" t="s" s="0">
        <v>81</v>
      </c>
      <c r="T43" t="s" s="0">
        <v>81</v>
      </c>
      <c r="U43" t="s" s="0">
        <v>81</v>
      </c>
      <c r="V43" t="s" s="0">
        <v>1039</v>
      </c>
      <c r="W43" t="s" s="0">
        <v>1040</v>
      </c>
      <c r="X43" t="s" s="0">
        <v>81</v>
      </c>
      <c r="Y43" t="s" s="0">
        <v>81</v>
      </c>
      <c r="Z43" t="s" s="0">
        <v>93</v>
      </c>
      <c r="AA43" t="s" s="0">
        <v>128</v>
      </c>
      <c r="AB43" t="s" s="0">
        <v>81</v>
      </c>
      <c r="AC43" t="s" s="0">
        <v>81</v>
      </c>
      <c r="AD43" t="s" s="0">
        <v>81</v>
      </c>
      <c r="AE43" t="s" s="0">
        <v>81</v>
      </c>
      <c r="AF43" t="s" s="0">
        <v>81</v>
      </c>
      <c r="AG43" t="s" s="0">
        <v>1041</v>
      </c>
      <c r="AH43" t="s" s="0">
        <v>81</v>
      </c>
      <c r="AI43" t="s" s="0">
        <v>1042</v>
      </c>
      <c r="AJ43" t="s" s="0">
        <v>81</v>
      </c>
      <c r="AK43" t="s" s="0">
        <v>81</v>
      </c>
      <c r="AL43" t="s" s="0">
        <v>1043</v>
      </c>
      <c r="AM43" t="s" s="0">
        <v>77</v>
      </c>
      <c r="AN43" t="s" s="0">
        <v>77</v>
      </c>
      <c r="AO43" t="s" s="0">
        <v>77</v>
      </c>
      <c r="AP43" t="s" s="0">
        <v>77</v>
      </c>
      <c r="AQ43" t="s" s="0">
        <v>1044</v>
      </c>
      <c r="AR43" t="s" s="0">
        <v>1045</v>
      </c>
      <c r="AS43" t="s" s="0">
        <v>1046</v>
      </c>
      <c r="AT43" t="s" s="0">
        <v>1047</v>
      </c>
      <c r="AU43" t="s" s="0">
        <v>1048</v>
      </c>
      <c r="AV43" t="s" s="0">
        <v>81</v>
      </c>
      <c r="AW43" t="s" s="0">
        <v>1049</v>
      </c>
      <c r="AX43" t="s" s="0">
        <v>1050</v>
      </c>
      <c r="AY43" t="s" s="0">
        <v>685</v>
      </c>
      <c r="AZ43" t="s" s="0">
        <v>105</v>
      </c>
      <c r="BA43" t="s" s="0">
        <v>1051</v>
      </c>
      <c r="BB43" t="s" s="0">
        <v>106</v>
      </c>
      <c r="BC43" t="s" s="0">
        <v>81</v>
      </c>
      <c r="BD43" t="s" s="0">
        <v>81</v>
      </c>
      <c r="BE43" t="s" s="0">
        <v>81</v>
      </c>
      <c r="BF43" t="s" s="0">
        <v>81</v>
      </c>
      <c r="BG43" t="s" s="0">
        <v>107</v>
      </c>
      <c r="BH43" t="s" s="0">
        <v>574</v>
      </c>
      <c r="BI43" t="s" s="0">
        <v>81</v>
      </c>
      <c r="BJ43" t="s" s="0">
        <v>1052</v>
      </c>
      <c r="BK43" t="s" s="83">
        <f>HYPERLINK("http://dx.doi.org/10.4114/intartif.vol29iss78pp1-20","http://dx.doi.org/10.4114/intartif.vol29iss78pp1-20")</f>
        <v>1053</v>
      </c>
      <c r="BL43" t="s" s="0">
        <v>81</v>
      </c>
      <c r="BM43" t="s" s="0">
        <v>81</v>
      </c>
      <c r="BN43" t="s" s="0">
        <v>574</v>
      </c>
      <c r="BO43" t="s" s="0">
        <v>1054</v>
      </c>
      <c r="BP43" t="s" s="0">
        <v>616</v>
      </c>
      <c r="BQ43" t="s" s="0">
        <v>1055</v>
      </c>
      <c r="BR43" t="s" s="0">
        <v>81</v>
      </c>
      <c r="BS43" t="s" s="0">
        <v>1056</v>
      </c>
      <c r="BT43" t="s" s="84">
        <f>HYPERLINK("https://www.webofscience.com/wos/woscc/full-record/WOS:001834640900001","View Record in Web of Science")</f>
        <v>116</v>
      </c>
      <c r="BU43" t="s" s="0">
        <v>81</v>
      </c>
      <c r="BV43" t="s" s="0">
        <v>81</v>
      </c>
      <c r="BW43" t="s" s="0">
        <v>81</v>
      </c>
      <c r="BX43" t="s" s="0">
        <v>118</v>
      </c>
    </row>
    <row r="44">
      <c r="A44" t="s" s="0">
        <v>77</v>
      </c>
      <c r="B44" t="s" s="0">
        <v>77</v>
      </c>
      <c r="C44" t="s" s="0">
        <v>77</v>
      </c>
      <c r="D44" t="s" s="0">
        <v>77</v>
      </c>
      <c r="E44" t="s" s="0">
        <v>1057</v>
      </c>
      <c r="F44" t="s" s="0">
        <v>1058</v>
      </c>
      <c r="G44" t="s" s="0">
        <v>1059</v>
      </c>
      <c r="H44" t="s" s="0">
        <v>81</v>
      </c>
      <c r="I44" t="s" s="0">
        <v>147</v>
      </c>
      <c r="J44" t="s" s="0">
        <v>1060</v>
      </c>
      <c r="K44" t="s" s="0">
        <v>1061</v>
      </c>
      <c r="L44" t="s" s="0">
        <v>1062</v>
      </c>
      <c r="M44" t="s" s="0">
        <v>1063</v>
      </c>
      <c r="N44" t="s" s="0">
        <v>1064</v>
      </c>
      <c r="O44" t="s" s="0">
        <v>1065</v>
      </c>
      <c r="P44" t="s" s="0">
        <v>1066</v>
      </c>
      <c r="Q44" t="s" s="0">
        <v>90</v>
      </c>
      <c r="R44" t="s" s="0">
        <v>81</v>
      </c>
      <c r="S44" t="s" s="0">
        <v>81</v>
      </c>
      <c r="T44" t="s" s="0">
        <v>81</v>
      </c>
      <c r="U44" t="s" s="0">
        <v>81</v>
      </c>
      <c r="V44" t="s" s="0">
        <v>1067</v>
      </c>
      <c r="W44" t="s" s="0">
        <v>674</v>
      </c>
      <c r="X44" t="s" s="0">
        <v>81</v>
      </c>
      <c r="Y44" t="s" s="0">
        <v>81</v>
      </c>
      <c r="Z44" t="s" s="0">
        <v>93</v>
      </c>
      <c r="AA44" t="s" s="0">
        <v>128</v>
      </c>
      <c r="AB44" t="s" s="0">
        <v>81</v>
      </c>
      <c r="AC44" t="s" s="0">
        <v>81</v>
      </c>
      <c r="AD44" t="s" s="0">
        <v>81</v>
      </c>
      <c r="AE44" t="s" s="0">
        <v>81</v>
      </c>
      <c r="AF44" t="s" s="0">
        <v>81</v>
      </c>
      <c r="AG44" t="s" s="0">
        <v>1068</v>
      </c>
      <c r="AH44" t="s" s="0">
        <v>1069</v>
      </c>
      <c r="AI44" t="s" s="0">
        <v>81</v>
      </c>
      <c r="AJ44" t="s" s="0">
        <v>81</v>
      </c>
      <c r="AK44" t="s" s="0">
        <v>81</v>
      </c>
      <c r="AL44" t="s" s="0">
        <v>1070</v>
      </c>
      <c r="AM44" t="s" s="0">
        <v>77</v>
      </c>
      <c r="AN44" t="s" s="0">
        <v>77</v>
      </c>
      <c r="AO44" t="s" s="0">
        <v>77</v>
      </c>
      <c r="AP44" t="s" s="0">
        <v>77</v>
      </c>
      <c r="AQ44" t="s" s="0">
        <v>678</v>
      </c>
      <c r="AR44" t="s" s="0">
        <v>679</v>
      </c>
      <c r="AS44" t="s" s="0">
        <v>680</v>
      </c>
      <c r="AT44" t="s" s="0">
        <v>681</v>
      </c>
      <c r="AU44" t="s" s="0">
        <v>682</v>
      </c>
      <c r="AV44" t="s" s="0">
        <v>81</v>
      </c>
      <c r="AW44" t="s" s="0">
        <v>683</v>
      </c>
      <c r="AX44" t="s" s="0">
        <v>684</v>
      </c>
      <c r="AY44" t="s" s="0">
        <v>685</v>
      </c>
      <c r="AZ44" t="s" s="0">
        <v>105</v>
      </c>
      <c r="BA44" t="s" s="0">
        <v>686</v>
      </c>
      <c r="BB44" t="s" s="0">
        <v>687</v>
      </c>
      <c r="BC44" t="s" s="0">
        <v>81</v>
      </c>
      <c r="BD44" t="s" s="0">
        <v>81</v>
      </c>
      <c r="BE44" t="s" s="0">
        <v>81</v>
      </c>
      <c r="BF44" t="s" s="0">
        <v>81</v>
      </c>
      <c r="BG44" t="s" s="0">
        <v>81</v>
      </c>
      <c r="BH44" t="s" s="0">
        <v>81</v>
      </c>
      <c r="BI44" t="s" s="0">
        <v>1071</v>
      </c>
      <c r="BJ44" t="s" s="0">
        <v>1072</v>
      </c>
      <c r="BK44" t="s" s="85">
        <f>HYPERLINK("http://dx.doi.org/10.1016/j.lpm.2026.104370","http://dx.doi.org/10.1016/j.lpm.2026.104370")</f>
        <v>1073</v>
      </c>
      <c r="BL44" t="s" s="0">
        <v>81</v>
      </c>
      <c r="BM44" t="s" s="0">
        <v>81</v>
      </c>
      <c r="BN44" t="s" s="0">
        <v>769</v>
      </c>
      <c r="BO44" t="s" s="0">
        <v>304</v>
      </c>
      <c r="BP44" t="s" s="0">
        <v>305</v>
      </c>
      <c r="BQ44" t="s" s="0">
        <v>1074</v>
      </c>
      <c r="BR44" t="s" s="0">
        <v>1075</v>
      </c>
      <c r="BS44" t="s" s="0">
        <v>1076</v>
      </c>
      <c r="BT44" t="s" s="86">
        <f>HYPERLINK("https://www.webofscience.com/wos/woscc/full-record/WOS:001834058900001","View Record in Web of Science")</f>
        <v>116</v>
      </c>
      <c r="BU44" t="s" s="0">
        <v>694</v>
      </c>
      <c r="BV44" t="s" s="0">
        <v>81</v>
      </c>
      <c r="BW44" t="s" s="0">
        <v>81</v>
      </c>
      <c r="BX44" t="s" s="0">
        <v>118</v>
      </c>
    </row>
    <row r="45">
      <c r="A45" t="s" s="0">
        <v>77</v>
      </c>
      <c r="B45" t="s" s="0">
        <v>77</v>
      </c>
      <c r="C45" t="s" s="0">
        <v>77</v>
      </c>
      <c r="D45" t="s" s="0">
        <v>77</v>
      </c>
      <c r="E45" t="s" s="0">
        <v>1077</v>
      </c>
      <c r="F45" t="s" s="0">
        <v>1078</v>
      </c>
      <c r="G45" t="s" s="0">
        <v>1079</v>
      </c>
      <c r="H45" t="s" s="0">
        <v>81</v>
      </c>
      <c r="I45" t="s" s="0">
        <v>147</v>
      </c>
      <c r="J45" t="s" s="0">
        <v>1080</v>
      </c>
      <c r="K45" t="s" s="0">
        <v>1081</v>
      </c>
      <c r="L45" t="s" s="0">
        <v>81</v>
      </c>
      <c r="M45" t="s" s="0">
        <v>81</v>
      </c>
      <c r="N45" t="s" s="0">
        <v>81</v>
      </c>
      <c r="O45" t="s" s="0">
        <v>1082</v>
      </c>
      <c r="P45" t="s" s="0">
        <v>1083</v>
      </c>
      <c r="Q45" t="s" s="0">
        <v>90</v>
      </c>
      <c r="R45" t="s" s="0">
        <v>81</v>
      </c>
      <c r="S45" t="s" s="0">
        <v>81</v>
      </c>
      <c r="T45" t="s" s="0">
        <v>81</v>
      </c>
      <c r="U45" t="s" s="0">
        <v>81</v>
      </c>
      <c r="V45" t="s" s="0">
        <v>1084</v>
      </c>
      <c r="W45" t="s" s="0">
        <v>674</v>
      </c>
      <c r="X45" t="s" s="0">
        <v>81</v>
      </c>
      <c r="Y45" t="s" s="0">
        <v>81</v>
      </c>
      <c r="Z45" t="s" s="0">
        <v>93</v>
      </c>
      <c r="AA45" t="s" s="0">
        <v>94</v>
      </c>
      <c r="AB45" t="s" s="0">
        <v>81</v>
      </c>
      <c r="AC45" t="s" s="0">
        <v>81</v>
      </c>
      <c r="AD45" t="s" s="0">
        <v>81</v>
      </c>
      <c r="AE45" t="s" s="0">
        <v>81</v>
      </c>
      <c r="AF45" t="s" s="0">
        <v>81</v>
      </c>
      <c r="AG45" t="s" s="0">
        <v>1085</v>
      </c>
      <c r="AH45" t="s" s="0">
        <v>1086</v>
      </c>
      <c r="AI45" t="s" s="0">
        <v>81</v>
      </c>
      <c r="AJ45" t="s" s="0">
        <v>81</v>
      </c>
      <c r="AK45" t="s" s="0">
        <v>81</v>
      </c>
      <c r="AL45" t="s" s="0">
        <v>163</v>
      </c>
      <c r="AM45" t="s" s="0">
        <v>77</v>
      </c>
      <c r="AN45" t="s" s="0">
        <v>77</v>
      </c>
      <c r="AO45" t="s" s="0">
        <v>107</v>
      </c>
      <c r="AP45" t="s" s="0">
        <v>107</v>
      </c>
      <c r="AQ45" t="s" s="0">
        <v>678</v>
      </c>
      <c r="AR45" t="s" s="0">
        <v>679</v>
      </c>
      <c r="AS45" t="s" s="0">
        <v>680</v>
      </c>
      <c r="AT45" t="s" s="0">
        <v>681</v>
      </c>
      <c r="AU45" t="s" s="0">
        <v>682</v>
      </c>
      <c r="AV45" t="s" s="0">
        <v>81</v>
      </c>
      <c r="AW45" t="s" s="0">
        <v>683</v>
      </c>
      <c r="AX45" t="s" s="0">
        <v>684</v>
      </c>
      <c r="AY45" t="s" s="0">
        <v>685</v>
      </c>
      <c r="AZ45" t="s" s="0">
        <v>105</v>
      </c>
      <c r="BA45" t="s" s="0">
        <v>686</v>
      </c>
      <c r="BB45" t="s" s="0">
        <v>687</v>
      </c>
      <c r="BC45" t="s" s="0">
        <v>81</v>
      </c>
      <c r="BD45" t="s" s="0">
        <v>81</v>
      </c>
      <c r="BE45" t="s" s="0">
        <v>81</v>
      </c>
      <c r="BF45" t="s" s="0">
        <v>81</v>
      </c>
      <c r="BG45" t="s" s="0">
        <v>81</v>
      </c>
      <c r="BH45" t="s" s="0">
        <v>81</v>
      </c>
      <c r="BI45" t="s" s="0">
        <v>1087</v>
      </c>
      <c r="BJ45" t="s" s="0">
        <v>1088</v>
      </c>
      <c r="BK45" t="s" s="87">
        <f>HYPERLINK("http://dx.doi.org/10.1016/j.lpm.2026.104371","http://dx.doi.org/10.1016/j.lpm.2026.104371")</f>
        <v>1089</v>
      </c>
      <c r="BL45" t="s" s="0">
        <v>81</v>
      </c>
      <c r="BM45" t="s" s="0">
        <v>81</v>
      </c>
      <c r="BN45" t="s" s="0">
        <v>769</v>
      </c>
      <c r="BO45" t="s" s="0">
        <v>304</v>
      </c>
      <c r="BP45" t="s" s="0">
        <v>305</v>
      </c>
      <c r="BQ45" t="s" s="0">
        <v>1090</v>
      </c>
      <c r="BR45" t="s" s="0">
        <v>1091</v>
      </c>
      <c r="BS45" t="s" s="0">
        <v>1092</v>
      </c>
      <c r="BT45" t="s" s="88">
        <f>HYPERLINK("https://www.webofscience.com/wos/woscc/full-record/WOS:001825331000001","View Record in Web of Science")</f>
        <v>116</v>
      </c>
      <c r="BU45" t="s" s="0">
        <v>81</v>
      </c>
      <c r="BV45" t="s" s="0">
        <v>81</v>
      </c>
      <c r="BW45" t="s" s="0">
        <v>81</v>
      </c>
      <c r="BX45" t="s" s="0">
        <v>118</v>
      </c>
    </row>
    <row r="46">
      <c r="A46" t="s" s="0">
        <v>77</v>
      </c>
      <c r="B46" t="s" s="0">
        <v>77</v>
      </c>
      <c r="C46" t="s" s="0">
        <v>77</v>
      </c>
      <c r="D46" t="s" s="0">
        <v>77</v>
      </c>
      <c r="E46" t="s" s="0">
        <v>1093</v>
      </c>
      <c r="F46" t="s" s="0">
        <v>1094</v>
      </c>
      <c r="G46" t="s" s="0">
        <v>1095</v>
      </c>
      <c r="H46" t="s" s="0">
        <v>81</v>
      </c>
      <c r="I46" t="s" s="0">
        <v>147</v>
      </c>
      <c r="J46" t="s" s="0">
        <v>1096</v>
      </c>
      <c r="K46" t="s" s="0">
        <v>1097</v>
      </c>
      <c r="L46" t="s" s="0">
        <v>1098</v>
      </c>
      <c r="M46" t="s" s="0">
        <v>1099</v>
      </c>
      <c r="N46" t="s" s="0">
        <v>1100</v>
      </c>
      <c r="O46" t="s" s="0">
        <v>1101</v>
      </c>
      <c r="P46" t="s" s="0">
        <v>1102</v>
      </c>
      <c r="Q46" t="s" s="0">
        <v>90</v>
      </c>
      <c r="R46" t="s" s="0">
        <v>81</v>
      </c>
      <c r="S46" t="s" s="0">
        <v>81</v>
      </c>
      <c r="T46" t="s" s="0">
        <v>81</v>
      </c>
      <c r="U46" t="s" s="0">
        <v>81</v>
      </c>
      <c r="V46" t="s" s="0">
        <v>1103</v>
      </c>
      <c r="W46" t="s" s="0">
        <v>1104</v>
      </c>
      <c r="X46" t="s" s="0">
        <v>81</v>
      </c>
      <c r="Y46" t="s" s="0">
        <v>81</v>
      </c>
      <c r="Z46" t="s" s="0">
        <v>93</v>
      </c>
      <c r="AA46" t="s" s="0">
        <v>128</v>
      </c>
      <c r="AB46" t="s" s="0">
        <v>81</v>
      </c>
      <c r="AC46" t="s" s="0">
        <v>81</v>
      </c>
      <c r="AD46" t="s" s="0">
        <v>81</v>
      </c>
      <c r="AE46" t="s" s="0">
        <v>81</v>
      </c>
      <c r="AF46" t="s" s="0">
        <v>81</v>
      </c>
      <c r="AG46" t="s" s="0">
        <v>1105</v>
      </c>
      <c r="AH46" t="s" s="0">
        <v>1106</v>
      </c>
      <c r="AI46" t="s" s="0">
        <v>81</v>
      </c>
      <c r="AJ46" t="s" s="0">
        <v>81</v>
      </c>
      <c r="AK46" t="s" s="0">
        <v>81</v>
      </c>
      <c r="AL46" t="s" s="0">
        <v>1107</v>
      </c>
      <c r="AM46" t="s" s="0">
        <v>77</v>
      </c>
      <c r="AN46" t="s" s="0">
        <v>77</v>
      </c>
      <c r="AO46" t="s" s="0">
        <v>107</v>
      </c>
      <c r="AP46" t="s" s="0">
        <v>107</v>
      </c>
      <c r="AQ46" t="s" s="0">
        <v>737</v>
      </c>
      <c r="AR46" t="s" s="0">
        <v>738</v>
      </c>
      <c r="AS46" t="s" s="0">
        <v>739</v>
      </c>
      <c r="AT46" t="s" s="0">
        <v>1108</v>
      </c>
      <c r="AU46" t="s" s="0">
        <v>1109</v>
      </c>
      <c r="AV46" t="s" s="0">
        <v>81</v>
      </c>
      <c r="AW46" t="s" s="0">
        <v>1110</v>
      </c>
      <c r="AX46" t="s" s="0">
        <v>1111</v>
      </c>
      <c r="AY46" t="s" s="0">
        <v>685</v>
      </c>
      <c r="AZ46" t="s" s="0">
        <v>105</v>
      </c>
      <c r="BA46" t="s" s="0">
        <v>1112</v>
      </c>
      <c r="BB46" t="s" s="0">
        <v>81</v>
      </c>
      <c r="BC46" t="s" s="0">
        <v>81</v>
      </c>
      <c r="BD46" t="s" s="0">
        <v>81</v>
      </c>
      <c r="BE46" t="s" s="0">
        <v>81</v>
      </c>
      <c r="BF46" t="s" s="0">
        <v>81</v>
      </c>
      <c r="BG46" t="s" s="0">
        <v>81</v>
      </c>
      <c r="BH46" t="s" s="0">
        <v>81</v>
      </c>
      <c r="BI46" t="s" s="0">
        <v>1113</v>
      </c>
      <c r="BJ46" t="s" s="0">
        <v>1114</v>
      </c>
      <c r="BK46" t="s" s="89">
        <f>HYPERLINK("http://dx.doi.org/10.1016/j.inffus.2026.104558","http://dx.doi.org/10.1016/j.inffus.2026.104558")</f>
        <v>1115</v>
      </c>
      <c r="BL46" t="s" s="0">
        <v>81</v>
      </c>
      <c r="BM46" t="s" s="0">
        <v>81</v>
      </c>
      <c r="BN46" t="s" s="0">
        <v>216</v>
      </c>
      <c r="BO46" t="s" s="0">
        <v>1116</v>
      </c>
      <c r="BP46" t="s" s="0">
        <v>616</v>
      </c>
      <c r="BQ46" t="s" s="0">
        <v>1117</v>
      </c>
      <c r="BR46" t="s" s="0">
        <v>81</v>
      </c>
      <c r="BS46" t="s" s="0">
        <v>1118</v>
      </c>
      <c r="BT46" t="s" s="90">
        <f>HYPERLINK("https://www.webofscience.com/wos/woscc/full-record/WOS:001808955500001","View Record in Web of Science")</f>
        <v>116</v>
      </c>
      <c r="BU46" t="s" s="0">
        <v>81</v>
      </c>
      <c r="BV46" t="s" s="0">
        <v>81</v>
      </c>
      <c r="BW46" t="s" s="0">
        <v>81</v>
      </c>
      <c r="BX46" t="s" s="0">
        <v>118</v>
      </c>
    </row>
    <row r="47">
      <c r="A47" t="s" s="0">
        <v>77</v>
      </c>
      <c r="B47" t="s" s="0">
        <v>77</v>
      </c>
      <c r="C47" t="s" s="0">
        <v>77</v>
      </c>
      <c r="D47" t="s" s="0">
        <v>77</v>
      </c>
      <c r="E47" t="s" s="0">
        <v>1119</v>
      </c>
      <c r="F47" t="s" s="0">
        <v>1120</v>
      </c>
      <c r="G47" t="s" s="0">
        <v>1121</v>
      </c>
      <c r="H47" t="s" s="0">
        <v>81</v>
      </c>
      <c r="I47" t="s" s="0">
        <v>147</v>
      </c>
      <c r="J47" t="s" s="0">
        <v>1122</v>
      </c>
      <c r="K47" t="s" s="0">
        <v>1123</v>
      </c>
      <c r="L47" t="s" s="0">
        <v>1124</v>
      </c>
      <c r="M47" t="s" s="0">
        <v>1125</v>
      </c>
      <c r="N47" t="s" s="0">
        <v>1126</v>
      </c>
      <c r="O47" t="s" s="0">
        <v>1127</v>
      </c>
      <c r="P47" t="s" s="0">
        <v>1128</v>
      </c>
      <c r="Q47" t="s" s="0">
        <v>90</v>
      </c>
      <c r="R47" t="s" s="0">
        <v>81</v>
      </c>
      <c r="S47" t="s" s="0">
        <v>81</v>
      </c>
      <c r="T47" t="s" s="0">
        <v>81</v>
      </c>
      <c r="U47" t="s" s="0">
        <v>81</v>
      </c>
      <c r="V47" t="s" s="0">
        <v>1129</v>
      </c>
      <c r="W47" t="s" s="0">
        <v>1130</v>
      </c>
      <c r="X47" t="s" s="0">
        <v>81</v>
      </c>
      <c r="Y47" t="s" s="0">
        <v>81</v>
      </c>
      <c r="Z47" t="s" s="0">
        <v>93</v>
      </c>
      <c r="AA47" t="s" s="0">
        <v>128</v>
      </c>
      <c r="AB47" t="s" s="0">
        <v>81</v>
      </c>
      <c r="AC47" t="s" s="0">
        <v>81</v>
      </c>
      <c r="AD47" t="s" s="0">
        <v>81</v>
      </c>
      <c r="AE47" t="s" s="0">
        <v>81</v>
      </c>
      <c r="AF47" t="s" s="0">
        <v>81</v>
      </c>
      <c r="AG47" t="s" s="0">
        <v>1131</v>
      </c>
      <c r="AH47" t="s" s="0">
        <v>81</v>
      </c>
      <c r="AI47" t="s" s="0">
        <v>81</v>
      </c>
      <c r="AJ47" t="s" s="0">
        <v>81</v>
      </c>
      <c r="AK47" t="s" s="0">
        <v>81</v>
      </c>
      <c r="AL47" t="s" s="0">
        <v>783</v>
      </c>
      <c r="AM47" t="s" s="0">
        <v>77</v>
      </c>
      <c r="AN47" t="s" s="0">
        <v>77</v>
      </c>
      <c r="AO47" t="s" s="0">
        <v>687</v>
      </c>
      <c r="AP47" t="s" s="0">
        <v>687</v>
      </c>
      <c r="AQ47" t="s" s="0">
        <v>633</v>
      </c>
      <c r="AR47" t="s" s="0">
        <v>634</v>
      </c>
      <c r="AS47" t="s" s="0">
        <v>635</v>
      </c>
      <c r="AT47" t="s" s="0">
        <v>1132</v>
      </c>
      <c r="AU47" t="s" s="0">
        <v>1133</v>
      </c>
      <c r="AV47" t="s" s="0">
        <v>81</v>
      </c>
      <c r="AW47" t="s" s="0">
        <v>1134</v>
      </c>
      <c r="AX47" t="s" s="0">
        <v>1135</v>
      </c>
      <c r="AY47" t="s" s="0">
        <v>685</v>
      </c>
      <c r="AZ47" t="s" s="0">
        <v>105</v>
      </c>
      <c r="BA47" t="s" s="0">
        <v>1136</v>
      </c>
      <c r="BB47" t="s" s="0">
        <v>81</v>
      </c>
      <c r="BC47" t="s" s="0">
        <v>81</v>
      </c>
      <c r="BD47" t="s" s="0">
        <v>514</v>
      </c>
      <c r="BE47" t="s" s="0">
        <v>81</v>
      </c>
      <c r="BF47" t="s" s="0">
        <v>81</v>
      </c>
      <c r="BG47" t="s" s="0">
        <v>81</v>
      </c>
      <c r="BH47" t="s" s="0">
        <v>81</v>
      </c>
      <c r="BI47" t="s" s="0">
        <v>1137</v>
      </c>
      <c r="BJ47" t="s" s="0">
        <v>1138</v>
      </c>
      <c r="BK47" t="s" s="91">
        <f>HYPERLINK("http://dx.doi.org/10.1016/j.patcog.2026.114198","http://dx.doi.org/10.1016/j.patcog.2026.114198")</f>
        <v>1139</v>
      </c>
      <c r="BL47" t="s" s="0">
        <v>81</v>
      </c>
      <c r="BM47" t="s" s="0">
        <v>81</v>
      </c>
      <c r="BN47" t="s" s="0">
        <v>167</v>
      </c>
      <c r="BO47" t="s" s="0">
        <v>199</v>
      </c>
      <c r="BP47" t="s" s="0">
        <v>200</v>
      </c>
      <c r="BQ47" t="s" s="0">
        <v>1140</v>
      </c>
      <c r="BR47" t="s" s="0">
        <v>1141</v>
      </c>
      <c r="BS47" t="s" s="0">
        <v>1142</v>
      </c>
      <c r="BT47" t="s" s="92">
        <f>HYPERLINK("https://www.webofscience.com/wos/woscc/full-record/WOS:001801549600001","View Record in Web of Science")</f>
        <v>116</v>
      </c>
      <c r="BU47" t="s" s="0">
        <v>1143</v>
      </c>
      <c r="BV47" t="s" s="0">
        <v>81</v>
      </c>
      <c r="BW47" t="s" s="0">
        <v>81</v>
      </c>
      <c r="BX47" t="s" s="0">
        <v>118</v>
      </c>
    </row>
    <row r="48">
      <c r="A48" t="s" s="0">
        <v>77</v>
      </c>
      <c r="B48" t="s" s="0">
        <v>77</v>
      </c>
      <c r="C48" t="s" s="0">
        <v>77</v>
      </c>
      <c r="D48" t="s" s="0">
        <v>77</v>
      </c>
      <c r="E48" t="s" s="0">
        <v>1144</v>
      </c>
      <c r="F48" t="s" s="0">
        <v>1145</v>
      </c>
      <c r="G48" t="s" s="0">
        <v>1146</v>
      </c>
      <c r="H48" t="s" s="0">
        <v>81</v>
      </c>
      <c r="I48" t="s" s="0">
        <v>147</v>
      </c>
      <c r="J48" t="s" s="0">
        <v>1147</v>
      </c>
      <c r="K48" t="s" s="0">
        <v>1148</v>
      </c>
      <c r="L48" t="s" s="0">
        <v>1149</v>
      </c>
      <c r="M48" t="s" s="0">
        <v>1150</v>
      </c>
      <c r="N48" t="s" s="0">
        <v>1151</v>
      </c>
      <c r="O48" t="s" s="0">
        <v>1152</v>
      </c>
      <c r="P48" t="s" s="0">
        <v>1153</v>
      </c>
      <c r="Q48" t="s" s="0">
        <v>90</v>
      </c>
      <c r="R48" t="s" s="0">
        <v>81</v>
      </c>
      <c r="S48" t="s" s="0">
        <v>81</v>
      </c>
      <c r="T48" t="s" s="0">
        <v>81</v>
      </c>
      <c r="U48" t="s" s="0">
        <v>81</v>
      </c>
      <c r="V48" t="s" s="0">
        <v>1154</v>
      </c>
      <c r="W48" t="s" s="0">
        <v>1104</v>
      </c>
      <c r="X48" t="s" s="0">
        <v>81</v>
      </c>
      <c r="Y48" t="s" s="0">
        <v>81</v>
      </c>
      <c r="Z48" t="s" s="0">
        <v>93</v>
      </c>
      <c r="AA48" t="s" s="0">
        <v>128</v>
      </c>
      <c r="AB48" t="s" s="0">
        <v>81</v>
      </c>
      <c r="AC48" t="s" s="0">
        <v>81</v>
      </c>
      <c r="AD48" t="s" s="0">
        <v>81</v>
      </c>
      <c r="AE48" t="s" s="0">
        <v>81</v>
      </c>
      <c r="AF48" t="s" s="0">
        <v>81</v>
      </c>
      <c r="AG48" t="s" s="0">
        <v>1155</v>
      </c>
      <c r="AH48" t="s" s="0">
        <v>1156</v>
      </c>
      <c r="AI48" t="s" s="0">
        <v>1157</v>
      </c>
      <c r="AJ48" t="s" s="0">
        <v>81</v>
      </c>
      <c r="AK48" t="s" s="0">
        <v>81</v>
      </c>
      <c r="AL48" t="s" s="0">
        <v>1158</v>
      </c>
      <c r="AM48" t="s" s="0">
        <v>107</v>
      </c>
      <c r="AN48" t="s" s="0">
        <v>107</v>
      </c>
      <c r="AO48" t="s" s="0">
        <v>107</v>
      </c>
      <c r="AP48" t="s" s="0">
        <v>107</v>
      </c>
      <c r="AQ48" t="s" s="0">
        <v>737</v>
      </c>
      <c r="AR48" t="s" s="0">
        <v>738</v>
      </c>
      <c r="AS48" t="s" s="0">
        <v>739</v>
      </c>
      <c r="AT48" t="s" s="0">
        <v>1108</v>
      </c>
      <c r="AU48" t="s" s="0">
        <v>1109</v>
      </c>
      <c r="AV48" t="s" s="0">
        <v>81</v>
      </c>
      <c r="AW48" t="s" s="0">
        <v>1110</v>
      </c>
      <c r="AX48" t="s" s="0">
        <v>1111</v>
      </c>
      <c r="AY48" t="s" s="0">
        <v>685</v>
      </c>
      <c r="AZ48" t="s" s="0">
        <v>105</v>
      </c>
      <c r="BA48" t="s" s="0">
        <v>1112</v>
      </c>
      <c r="BB48" t="s" s="0">
        <v>81</v>
      </c>
      <c r="BC48" t="s" s="0">
        <v>81</v>
      </c>
      <c r="BD48" t="s" s="0">
        <v>81</v>
      </c>
      <c r="BE48" t="s" s="0">
        <v>81</v>
      </c>
      <c r="BF48" t="s" s="0">
        <v>81</v>
      </c>
      <c r="BG48" t="s" s="0">
        <v>81</v>
      </c>
      <c r="BH48" t="s" s="0">
        <v>81</v>
      </c>
      <c r="BI48" t="s" s="0">
        <v>1159</v>
      </c>
      <c r="BJ48" t="s" s="0">
        <v>1160</v>
      </c>
      <c r="BK48" t="s" s="93">
        <f>HYPERLINK("http://dx.doi.org/10.1016/j.inffus.2026.104507","http://dx.doi.org/10.1016/j.inffus.2026.104507")</f>
        <v>1161</v>
      </c>
      <c r="BL48" t="s" s="0">
        <v>81</v>
      </c>
      <c r="BM48" t="s" s="0">
        <v>81</v>
      </c>
      <c r="BN48" t="s" s="0">
        <v>1162</v>
      </c>
      <c r="BO48" t="s" s="0">
        <v>1116</v>
      </c>
      <c r="BP48" t="s" s="0">
        <v>616</v>
      </c>
      <c r="BQ48" t="s" s="0">
        <v>1163</v>
      </c>
      <c r="BR48" t="s" s="0">
        <v>81</v>
      </c>
      <c r="BS48" t="s" s="0">
        <v>1164</v>
      </c>
      <c r="BT48" t="s" s="94">
        <f>HYPERLINK("https://www.webofscience.com/wos/woscc/full-record/WOS:001798397000001","View Record in Web of Science")</f>
        <v>116</v>
      </c>
      <c r="BU48" t="s" s="0">
        <v>81</v>
      </c>
      <c r="BV48" t="s" s="0">
        <v>81</v>
      </c>
      <c r="BW48" t="s" s="0">
        <v>81</v>
      </c>
      <c r="BX48" t="s" s="0">
        <v>118</v>
      </c>
    </row>
    <row r="49">
      <c r="A49" t="s" s="0">
        <v>77</v>
      </c>
      <c r="B49" t="s" s="0">
        <v>77</v>
      </c>
      <c r="C49" t="s" s="0">
        <v>77</v>
      </c>
      <c r="D49" t="s" s="0">
        <v>77</v>
      </c>
      <c r="E49" t="s" s="0">
        <v>1165</v>
      </c>
      <c r="F49" t="s" s="0">
        <v>1166</v>
      </c>
      <c r="G49" t="s" s="0">
        <v>1167</v>
      </c>
      <c r="H49" t="s" s="0">
        <v>81</v>
      </c>
      <c r="I49" t="s" s="0">
        <v>147</v>
      </c>
      <c r="J49" t="s" s="0">
        <v>1168</v>
      </c>
      <c r="K49" t="s" s="0">
        <v>1169</v>
      </c>
      <c r="L49" t="s" s="0">
        <v>1170</v>
      </c>
      <c r="M49" t="s" s="0">
        <v>1171</v>
      </c>
      <c r="N49" t="s" s="0">
        <v>1172</v>
      </c>
      <c r="O49" t="s" s="0">
        <v>1173</v>
      </c>
      <c r="P49" t="s" s="0">
        <v>1174</v>
      </c>
      <c r="Q49" t="s" s="0">
        <v>90</v>
      </c>
      <c r="R49" t="s" s="0">
        <v>81</v>
      </c>
      <c r="S49" t="s" s="0">
        <v>81</v>
      </c>
      <c r="T49" t="s" s="0">
        <v>81</v>
      </c>
      <c r="U49" t="s" s="0">
        <v>81</v>
      </c>
      <c r="V49" t="s" s="0">
        <v>1175</v>
      </c>
      <c r="W49" t="s" s="0">
        <v>1130</v>
      </c>
      <c r="X49" t="s" s="0">
        <v>81</v>
      </c>
      <c r="Y49" t="s" s="0">
        <v>81</v>
      </c>
      <c r="Z49" t="s" s="0">
        <v>93</v>
      </c>
      <c r="AA49" t="s" s="0">
        <v>128</v>
      </c>
      <c r="AB49" t="s" s="0">
        <v>81</v>
      </c>
      <c r="AC49" t="s" s="0">
        <v>81</v>
      </c>
      <c r="AD49" t="s" s="0">
        <v>81</v>
      </c>
      <c r="AE49" t="s" s="0">
        <v>81</v>
      </c>
      <c r="AF49" t="s" s="0">
        <v>81</v>
      </c>
      <c r="AG49" t="s" s="0">
        <v>1176</v>
      </c>
      <c r="AH49" t="s" s="0">
        <v>1177</v>
      </c>
      <c r="AI49" t="s" s="0">
        <v>1178</v>
      </c>
      <c r="AJ49" t="s" s="0">
        <v>81</v>
      </c>
      <c r="AK49" t="s" s="0">
        <v>81</v>
      </c>
      <c r="AL49" t="s" s="0">
        <v>537</v>
      </c>
      <c r="AM49" t="s" s="0">
        <v>77</v>
      </c>
      <c r="AN49" t="s" s="0">
        <v>77</v>
      </c>
      <c r="AO49" t="s" s="0">
        <v>245</v>
      </c>
      <c r="AP49" t="s" s="0">
        <v>245</v>
      </c>
      <c r="AQ49" t="s" s="0">
        <v>633</v>
      </c>
      <c r="AR49" t="s" s="0">
        <v>634</v>
      </c>
      <c r="AS49" t="s" s="0">
        <v>635</v>
      </c>
      <c r="AT49" t="s" s="0">
        <v>1132</v>
      </c>
      <c r="AU49" t="s" s="0">
        <v>1133</v>
      </c>
      <c r="AV49" t="s" s="0">
        <v>81</v>
      </c>
      <c r="AW49" t="s" s="0">
        <v>1134</v>
      </c>
      <c r="AX49" t="s" s="0">
        <v>1135</v>
      </c>
      <c r="AY49" t="s" s="0">
        <v>685</v>
      </c>
      <c r="AZ49" t="s" s="0">
        <v>105</v>
      </c>
      <c r="BA49" t="s" s="0">
        <v>1136</v>
      </c>
      <c r="BB49" t="s" s="0">
        <v>81</v>
      </c>
      <c r="BC49" t="s" s="0">
        <v>81</v>
      </c>
      <c r="BD49" t="s" s="0">
        <v>538</v>
      </c>
      <c r="BE49" t="s" s="0">
        <v>81</v>
      </c>
      <c r="BF49" t="s" s="0">
        <v>81</v>
      </c>
      <c r="BG49" t="s" s="0">
        <v>81</v>
      </c>
      <c r="BH49" t="s" s="0">
        <v>81</v>
      </c>
      <c r="BI49" t="s" s="0">
        <v>1179</v>
      </c>
      <c r="BJ49" t="s" s="0">
        <v>1180</v>
      </c>
      <c r="BK49" t="s" s="95">
        <f>HYPERLINK("http://dx.doi.org/10.1016/j.patcog.2026.114170","http://dx.doi.org/10.1016/j.patcog.2026.114170")</f>
        <v>1181</v>
      </c>
      <c r="BL49" t="s" s="0">
        <v>81</v>
      </c>
      <c r="BM49" t="s" s="0">
        <v>81</v>
      </c>
      <c r="BN49" t="s" s="0">
        <v>216</v>
      </c>
      <c r="BO49" t="s" s="0">
        <v>199</v>
      </c>
      <c r="BP49" t="s" s="0">
        <v>200</v>
      </c>
      <c r="BQ49" t="s" s="0">
        <v>1182</v>
      </c>
      <c r="BR49" t="s" s="0">
        <v>81</v>
      </c>
      <c r="BS49" t="s" s="0">
        <v>1183</v>
      </c>
      <c r="BT49" t="s" s="96">
        <f>HYPERLINK("https://www.webofscience.com/wos/woscc/full-record/WOS:001798989900001","View Record in Web of Science")</f>
        <v>116</v>
      </c>
      <c r="BU49" t="s" s="0">
        <v>81</v>
      </c>
      <c r="BV49" t="s" s="0">
        <v>81</v>
      </c>
      <c r="BW49" t="s" s="0">
        <v>81</v>
      </c>
      <c r="BX49" t="s" s="0">
        <v>118</v>
      </c>
    </row>
    <row r="50">
      <c r="A50" t="s" s="0">
        <v>77</v>
      </c>
      <c r="B50" t="s" s="0">
        <v>77</v>
      </c>
      <c r="C50" t="s" s="0">
        <v>77</v>
      </c>
      <c r="D50" t="s" s="0">
        <v>77</v>
      </c>
      <c r="E50" t="s" s="0">
        <v>1184</v>
      </c>
      <c r="F50" t="s" s="0">
        <v>1185</v>
      </c>
      <c r="G50" t="s" s="0">
        <v>1186</v>
      </c>
      <c r="H50" t="s" s="0">
        <v>81</v>
      </c>
      <c r="I50" t="s" s="0">
        <v>147</v>
      </c>
      <c r="J50" t="s" s="0">
        <v>1187</v>
      </c>
      <c r="K50" t="s" s="0">
        <v>1188</v>
      </c>
      <c r="L50" t="s" s="0">
        <v>1189</v>
      </c>
      <c r="M50" t="s" s="0">
        <v>1190</v>
      </c>
      <c r="N50" t="s" s="0">
        <v>1191</v>
      </c>
      <c r="O50" t="s" s="0">
        <v>1192</v>
      </c>
      <c r="P50" t="s" s="0">
        <v>1193</v>
      </c>
      <c r="Q50" t="s" s="0">
        <v>90</v>
      </c>
      <c r="R50" t="s" s="0">
        <v>81</v>
      </c>
      <c r="S50" t="s" s="0">
        <v>81</v>
      </c>
      <c r="T50" t="s" s="0">
        <v>81</v>
      </c>
      <c r="U50" t="s" s="0">
        <v>81</v>
      </c>
      <c r="V50" t="s" s="0">
        <v>1194</v>
      </c>
      <c r="W50" t="s" s="0">
        <v>1104</v>
      </c>
      <c r="X50" t="s" s="0">
        <v>81</v>
      </c>
      <c r="Y50" t="s" s="0">
        <v>81</v>
      </c>
      <c r="Z50" t="s" s="0">
        <v>93</v>
      </c>
      <c r="AA50" t="s" s="0">
        <v>128</v>
      </c>
      <c r="AB50" t="s" s="0">
        <v>81</v>
      </c>
      <c r="AC50" t="s" s="0">
        <v>81</v>
      </c>
      <c r="AD50" t="s" s="0">
        <v>81</v>
      </c>
      <c r="AE50" t="s" s="0">
        <v>81</v>
      </c>
      <c r="AF50" t="s" s="0">
        <v>81</v>
      </c>
      <c r="AG50" t="s" s="0">
        <v>1195</v>
      </c>
      <c r="AH50" t="s" s="0">
        <v>81</v>
      </c>
      <c r="AI50" t="s" s="0">
        <v>1196</v>
      </c>
      <c r="AJ50" t="s" s="0">
        <v>1197</v>
      </c>
      <c r="AK50" t="s" s="0">
        <v>81</v>
      </c>
      <c r="AL50" t="s" s="0">
        <v>601</v>
      </c>
      <c r="AM50" t="s" s="0">
        <v>77</v>
      </c>
      <c r="AN50" t="s" s="0">
        <v>77</v>
      </c>
      <c r="AO50" t="s" s="0">
        <v>245</v>
      </c>
      <c r="AP50" t="s" s="0">
        <v>245</v>
      </c>
      <c r="AQ50" t="s" s="0">
        <v>737</v>
      </c>
      <c r="AR50" t="s" s="0">
        <v>738</v>
      </c>
      <c r="AS50" t="s" s="0">
        <v>739</v>
      </c>
      <c r="AT50" t="s" s="0">
        <v>1108</v>
      </c>
      <c r="AU50" t="s" s="0">
        <v>1109</v>
      </c>
      <c r="AV50" t="s" s="0">
        <v>81</v>
      </c>
      <c r="AW50" t="s" s="0">
        <v>1110</v>
      </c>
      <c r="AX50" t="s" s="0">
        <v>1111</v>
      </c>
      <c r="AY50" t="s" s="0">
        <v>685</v>
      </c>
      <c r="AZ50" t="s" s="0">
        <v>105</v>
      </c>
      <c r="BA50" t="s" s="0">
        <v>1112</v>
      </c>
      <c r="BB50" t="s" s="0">
        <v>81</v>
      </c>
      <c r="BC50" t="s" s="0">
        <v>81</v>
      </c>
      <c r="BD50" t="s" s="0">
        <v>81</v>
      </c>
      <c r="BE50" t="s" s="0">
        <v>81</v>
      </c>
      <c r="BF50" t="s" s="0">
        <v>81</v>
      </c>
      <c r="BG50" t="s" s="0">
        <v>81</v>
      </c>
      <c r="BH50" t="s" s="0">
        <v>81</v>
      </c>
      <c r="BI50" t="s" s="0">
        <v>1198</v>
      </c>
      <c r="BJ50" t="s" s="0">
        <v>1199</v>
      </c>
      <c r="BK50" t="s" s="97">
        <f>HYPERLINK("http://dx.doi.org/10.1016/j.inffus.2026.104530","http://dx.doi.org/10.1016/j.inffus.2026.104530")</f>
        <v>1200</v>
      </c>
      <c r="BL50" t="s" s="0">
        <v>81</v>
      </c>
      <c r="BM50" t="s" s="0">
        <v>81</v>
      </c>
      <c r="BN50" t="s" s="0">
        <v>216</v>
      </c>
      <c r="BO50" t="s" s="0">
        <v>1116</v>
      </c>
      <c r="BP50" t="s" s="0">
        <v>616</v>
      </c>
      <c r="BQ50" t="s" s="0">
        <v>1201</v>
      </c>
      <c r="BR50" t="s" s="0">
        <v>81</v>
      </c>
      <c r="BS50" t="s" s="0">
        <v>1202</v>
      </c>
      <c r="BT50" t="s" s="98">
        <f>HYPERLINK("https://www.webofscience.com/wos/woscc/full-record/WOS:001797067500001","View Record in Web of Science")</f>
        <v>116</v>
      </c>
      <c r="BU50" t="s" s="0">
        <v>694</v>
      </c>
      <c r="BV50" t="s" s="0">
        <v>81</v>
      </c>
      <c r="BW50" t="s" s="0">
        <v>81</v>
      </c>
      <c r="BX50" t="s" s="0">
        <v>118</v>
      </c>
    </row>
    <row r="51">
      <c r="A51" t="s" s="0">
        <v>77</v>
      </c>
      <c r="B51" t="s" s="0">
        <v>77</v>
      </c>
      <c r="C51" t="s" s="0">
        <v>77</v>
      </c>
      <c r="D51" t="s" s="0">
        <v>77</v>
      </c>
      <c r="E51" t="s" s="0">
        <v>1203</v>
      </c>
      <c r="F51" t="s" s="0">
        <v>1204</v>
      </c>
      <c r="G51" t="s" s="0">
        <v>1205</v>
      </c>
      <c r="H51" t="s" s="0">
        <v>81</v>
      </c>
      <c r="I51" t="s" s="0">
        <v>147</v>
      </c>
      <c r="J51" t="s" s="0">
        <v>1206</v>
      </c>
      <c r="K51" t="s" s="0">
        <v>1207</v>
      </c>
      <c r="L51" t="s" s="0">
        <v>1208</v>
      </c>
      <c r="M51" t="s" s="0">
        <v>1209</v>
      </c>
      <c r="N51" t="s" s="0">
        <v>1210</v>
      </c>
      <c r="O51" t="s" s="0">
        <v>1211</v>
      </c>
      <c r="P51" t="s" s="0">
        <v>1212</v>
      </c>
      <c r="Q51" t="s" s="0">
        <v>90</v>
      </c>
      <c r="R51" t="s" s="0">
        <v>81</v>
      </c>
      <c r="S51" t="s" s="0">
        <v>81</v>
      </c>
      <c r="T51" t="s" s="0">
        <v>81</v>
      </c>
      <c r="U51" t="s" s="0">
        <v>81</v>
      </c>
      <c r="V51" t="s" s="0">
        <v>1213</v>
      </c>
      <c r="W51" t="s" s="0">
        <v>1130</v>
      </c>
      <c r="X51" t="s" s="0">
        <v>81</v>
      </c>
      <c r="Y51" t="s" s="0">
        <v>81</v>
      </c>
      <c r="Z51" t="s" s="0">
        <v>93</v>
      </c>
      <c r="AA51" t="s" s="0">
        <v>128</v>
      </c>
      <c r="AB51" t="s" s="0">
        <v>81</v>
      </c>
      <c r="AC51" t="s" s="0">
        <v>81</v>
      </c>
      <c r="AD51" t="s" s="0">
        <v>81</v>
      </c>
      <c r="AE51" t="s" s="0">
        <v>81</v>
      </c>
      <c r="AF51" t="s" s="0">
        <v>81</v>
      </c>
      <c r="AG51" t="s" s="0">
        <v>1214</v>
      </c>
      <c r="AH51" t="s" s="0">
        <v>81</v>
      </c>
      <c r="AI51" t="s" s="0">
        <v>81</v>
      </c>
      <c r="AJ51" t="s" s="0">
        <v>1215</v>
      </c>
      <c r="AK51" t="s" s="0">
        <v>81</v>
      </c>
      <c r="AL51" t="s" s="0">
        <v>267</v>
      </c>
      <c r="AM51" t="s" s="0">
        <v>77</v>
      </c>
      <c r="AN51" t="s" s="0">
        <v>77</v>
      </c>
      <c r="AO51" t="s" s="0">
        <v>107</v>
      </c>
      <c r="AP51" t="s" s="0">
        <v>107</v>
      </c>
      <c r="AQ51" t="s" s="0">
        <v>633</v>
      </c>
      <c r="AR51" t="s" s="0">
        <v>634</v>
      </c>
      <c r="AS51" t="s" s="0">
        <v>635</v>
      </c>
      <c r="AT51" t="s" s="0">
        <v>1132</v>
      </c>
      <c r="AU51" t="s" s="0">
        <v>1133</v>
      </c>
      <c r="AV51" t="s" s="0">
        <v>81</v>
      </c>
      <c r="AW51" t="s" s="0">
        <v>1134</v>
      </c>
      <c r="AX51" t="s" s="0">
        <v>1135</v>
      </c>
      <c r="AY51" t="s" s="0">
        <v>685</v>
      </c>
      <c r="AZ51" t="s" s="0">
        <v>105</v>
      </c>
      <c r="BA51" t="s" s="0">
        <v>1136</v>
      </c>
      <c r="BB51" t="s" s="0">
        <v>81</v>
      </c>
      <c r="BC51" t="s" s="0">
        <v>81</v>
      </c>
      <c r="BD51" t="s" s="0">
        <v>538</v>
      </c>
      <c r="BE51" t="s" s="0">
        <v>81</v>
      </c>
      <c r="BF51" t="s" s="0">
        <v>81</v>
      </c>
      <c r="BG51" t="s" s="0">
        <v>81</v>
      </c>
      <c r="BH51" t="s" s="0">
        <v>81</v>
      </c>
      <c r="BI51" t="s" s="0">
        <v>1216</v>
      </c>
      <c r="BJ51" t="s" s="0">
        <v>1217</v>
      </c>
      <c r="BK51" t="s" s="99">
        <f>HYPERLINK("http://dx.doi.org/10.1016/j.patcog.2026.114137","http://dx.doi.org/10.1016/j.patcog.2026.114137")</f>
        <v>1218</v>
      </c>
      <c r="BL51" t="s" s="0">
        <v>81</v>
      </c>
      <c r="BM51" t="s" s="0">
        <v>81</v>
      </c>
      <c r="BN51" t="s" s="0">
        <v>393</v>
      </c>
      <c r="BO51" t="s" s="0">
        <v>199</v>
      </c>
      <c r="BP51" t="s" s="0">
        <v>200</v>
      </c>
      <c r="BQ51" t="s" s="0">
        <v>1219</v>
      </c>
      <c r="BR51" t="s" s="0">
        <v>81</v>
      </c>
      <c r="BS51" t="s" s="0">
        <v>1220</v>
      </c>
      <c r="BT51" t="s" s="100">
        <f>HYPERLINK("https://www.webofscience.com/wos/woscc/full-record/WOS:001793765100001","View Record in Web of Science")</f>
        <v>116</v>
      </c>
      <c r="BU51" t="s" s="0">
        <v>81</v>
      </c>
      <c r="BV51" t="s" s="0">
        <v>81</v>
      </c>
      <c r="BW51" t="s" s="0">
        <v>81</v>
      </c>
      <c r="BX51" t="s" s="0">
        <v>118</v>
      </c>
    </row>
    <row r="52">
      <c r="A52" t="s" s="0">
        <v>77</v>
      </c>
      <c r="B52" t="s" s="0">
        <v>77</v>
      </c>
      <c r="C52" t="s" s="0">
        <v>77</v>
      </c>
      <c r="D52" t="s" s="0">
        <v>77</v>
      </c>
      <c r="E52" t="s" s="0">
        <v>1221</v>
      </c>
      <c r="F52" t="s" s="0">
        <v>1222</v>
      </c>
      <c r="G52" t="s" s="0">
        <v>1223</v>
      </c>
      <c r="H52" t="s" s="0">
        <v>81</v>
      </c>
      <c r="I52" t="s" s="0">
        <v>147</v>
      </c>
      <c r="J52" t="s" s="0">
        <v>1224</v>
      </c>
      <c r="K52" t="s" s="0">
        <v>1225</v>
      </c>
      <c r="L52" t="s" s="0">
        <v>1226</v>
      </c>
      <c r="M52" t="s" s="0">
        <v>1227</v>
      </c>
      <c r="N52" t="s" s="0">
        <v>1228</v>
      </c>
      <c r="O52" t="s" s="0">
        <v>1229</v>
      </c>
      <c r="P52" t="s" s="0">
        <v>1230</v>
      </c>
      <c r="Q52" t="s" s="0">
        <v>90</v>
      </c>
      <c r="R52" t="s" s="0">
        <v>81</v>
      </c>
      <c r="S52" t="s" s="0">
        <v>81</v>
      </c>
      <c r="T52" t="s" s="0">
        <v>81</v>
      </c>
      <c r="U52" t="s" s="0">
        <v>81</v>
      </c>
      <c r="V52" t="s" s="0">
        <v>1231</v>
      </c>
      <c r="W52" t="s" s="0">
        <v>501</v>
      </c>
      <c r="X52" t="s" s="0">
        <v>81</v>
      </c>
      <c r="Y52" t="s" s="0">
        <v>81</v>
      </c>
      <c r="Z52" t="s" s="0">
        <v>93</v>
      </c>
      <c r="AA52" t="s" s="0">
        <v>128</v>
      </c>
      <c r="AB52" t="s" s="0">
        <v>81</v>
      </c>
      <c r="AC52" t="s" s="0">
        <v>81</v>
      </c>
      <c r="AD52" t="s" s="0">
        <v>81</v>
      </c>
      <c r="AE52" t="s" s="0">
        <v>81</v>
      </c>
      <c r="AF52" t="s" s="0">
        <v>81</v>
      </c>
      <c r="AG52" t="s" s="0">
        <v>1232</v>
      </c>
      <c r="AH52" t="s" s="0">
        <v>81</v>
      </c>
      <c r="AI52" t="s" s="0">
        <v>1233</v>
      </c>
      <c r="AJ52" t="s" s="0">
        <v>81</v>
      </c>
      <c r="AK52" t="s" s="0">
        <v>81</v>
      </c>
      <c r="AL52" t="s" s="0">
        <v>1234</v>
      </c>
      <c r="AM52" t="s" s="0">
        <v>77</v>
      </c>
      <c r="AN52" t="s" s="0">
        <v>77</v>
      </c>
      <c r="AO52" t="s" s="0">
        <v>245</v>
      </c>
      <c r="AP52" t="s" s="0">
        <v>245</v>
      </c>
      <c r="AQ52" t="s" s="0">
        <v>505</v>
      </c>
      <c r="AR52" t="s" s="0">
        <v>506</v>
      </c>
      <c r="AS52" t="s" s="0">
        <v>507</v>
      </c>
      <c r="AT52" t="s" s="0">
        <v>508</v>
      </c>
      <c r="AU52" t="s" s="0">
        <v>509</v>
      </c>
      <c r="AV52" t="s" s="0">
        <v>81</v>
      </c>
      <c r="AW52" t="s" s="0">
        <v>510</v>
      </c>
      <c r="AX52" t="s" s="0">
        <v>511</v>
      </c>
      <c r="AY52" t="s" s="0">
        <v>640</v>
      </c>
      <c r="AZ52" t="s" s="0">
        <v>105</v>
      </c>
      <c r="BA52" t="s" s="0">
        <v>1235</v>
      </c>
      <c r="BB52" t="s" s="0">
        <v>81</v>
      </c>
      <c r="BC52" t="s" s="0">
        <v>81</v>
      </c>
      <c r="BD52" t="s" s="0">
        <v>81</v>
      </c>
      <c r="BE52" t="s" s="0">
        <v>81</v>
      </c>
      <c r="BF52" t="s" s="0">
        <v>81</v>
      </c>
      <c r="BG52" t="s" s="0">
        <v>81</v>
      </c>
      <c r="BH52" t="s" s="0">
        <v>81</v>
      </c>
      <c r="BI52" t="s" s="0">
        <v>1236</v>
      </c>
      <c r="BJ52" t="s" s="0">
        <v>1237</v>
      </c>
      <c r="BK52" t="s" s="101">
        <f>HYPERLINK("http://dx.doi.org/10.1016/j.eswa.2026.133049","http://dx.doi.org/10.1016/j.eswa.2026.133049")</f>
        <v>1238</v>
      </c>
      <c r="BL52" t="s" s="0">
        <v>81</v>
      </c>
      <c r="BM52" t="s" s="0">
        <v>81</v>
      </c>
      <c r="BN52" t="s" s="0">
        <v>393</v>
      </c>
      <c r="BO52" t="s" s="0">
        <v>519</v>
      </c>
      <c r="BP52" t="s" s="0">
        <v>520</v>
      </c>
      <c r="BQ52" t="s" s="0">
        <v>1239</v>
      </c>
      <c r="BR52" t="s" s="0">
        <v>81</v>
      </c>
      <c r="BS52" t="s" s="0">
        <v>1240</v>
      </c>
      <c r="BT52" t="s" s="102">
        <f>HYPERLINK("https://www.webofscience.com/wos/woscc/full-record/WOS:001791064300001","View Record in Web of Science")</f>
        <v>116</v>
      </c>
      <c r="BU52" t="s" s="0">
        <v>81</v>
      </c>
      <c r="BV52" t="s" s="0">
        <v>81</v>
      </c>
      <c r="BW52" t="s" s="0">
        <v>81</v>
      </c>
      <c r="BX52" t="s" s="0">
        <v>118</v>
      </c>
    </row>
    <row r="53">
      <c r="A53" t="s" s="0">
        <v>77</v>
      </c>
      <c r="B53" t="s" s="0">
        <v>77</v>
      </c>
      <c r="C53" t="s" s="0">
        <v>77</v>
      </c>
      <c r="D53" t="s" s="0">
        <v>77</v>
      </c>
      <c r="E53" t="s" s="0">
        <v>1241</v>
      </c>
      <c r="F53" t="s" s="0">
        <v>1242</v>
      </c>
      <c r="G53" t="s" s="0">
        <v>1243</v>
      </c>
      <c r="H53" t="s" s="0">
        <v>81</v>
      </c>
      <c r="I53" t="s" s="0">
        <v>147</v>
      </c>
      <c r="J53" t="s" s="0">
        <v>1244</v>
      </c>
      <c r="K53" t="s" s="0">
        <v>1245</v>
      </c>
      <c r="L53" t="s" s="0">
        <v>1246</v>
      </c>
      <c r="M53" t="s" s="0">
        <v>1247</v>
      </c>
      <c r="N53" t="s" s="0">
        <v>1248</v>
      </c>
      <c r="O53" t="s" s="0">
        <v>1249</v>
      </c>
      <c r="P53" t="s" s="0">
        <v>1250</v>
      </c>
      <c r="Q53" t="s" s="0">
        <v>90</v>
      </c>
      <c r="R53" t="s" s="0">
        <v>81</v>
      </c>
      <c r="S53" t="s" s="0">
        <v>81</v>
      </c>
      <c r="T53" t="s" s="0">
        <v>81</v>
      </c>
      <c r="U53" t="s" s="0">
        <v>81</v>
      </c>
      <c r="V53" t="s" s="0">
        <v>1251</v>
      </c>
      <c r="W53" t="s" s="0">
        <v>1104</v>
      </c>
      <c r="X53" t="s" s="0">
        <v>81</v>
      </c>
      <c r="Y53" t="s" s="0">
        <v>81</v>
      </c>
      <c r="Z53" t="s" s="0">
        <v>93</v>
      </c>
      <c r="AA53" t="s" s="0">
        <v>128</v>
      </c>
      <c r="AB53" t="s" s="0">
        <v>81</v>
      </c>
      <c r="AC53" t="s" s="0">
        <v>81</v>
      </c>
      <c r="AD53" t="s" s="0">
        <v>81</v>
      </c>
      <c r="AE53" t="s" s="0">
        <v>81</v>
      </c>
      <c r="AF53" t="s" s="0">
        <v>81</v>
      </c>
      <c r="AG53" t="s" s="0">
        <v>1252</v>
      </c>
      <c r="AH53" t="s" s="0">
        <v>1253</v>
      </c>
      <c r="AI53" t="s" s="0">
        <v>1254</v>
      </c>
      <c r="AJ53" t="s" s="0">
        <v>81</v>
      </c>
      <c r="AK53" t="s" s="0">
        <v>81</v>
      </c>
      <c r="AL53" t="s" s="0">
        <v>686</v>
      </c>
      <c r="AM53" t="s" s="0">
        <v>77</v>
      </c>
      <c r="AN53" t="s" s="0">
        <v>107</v>
      </c>
      <c r="AO53" t="s" s="0">
        <v>245</v>
      </c>
      <c r="AP53" t="s" s="0">
        <v>245</v>
      </c>
      <c r="AQ53" t="s" s="0">
        <v>737</v>
      </c>
      <c r="AR53" t="s" s="0">
        <v>738</v>
      </c>
      <c r="AS53" t="s" s="0">
        <v>739</v>
      </c>
      <c r="AT53" t="s" s="0">
        <v>1108</v>
      </c>
      <c r="AU53" t="s" s="0">
        <v>1109</v>
      </c>
      <c r="AV53" t="s" s="0">
        <v>81</v>
      </c>
      <c r="AW53" t="s" s="0">
        <v>1110</v>
      </c>
      <c r="AX53" t="s" s="0">
        <v>1111</v>
      </c>
      <c r="AY53" t="s" s="0">
        <v>685</v>
      </c>
      <c r="AZ53" t="s" s="0">
        <v>105</v>
      </c>
      <c r="BA53" t="s" s="0">
        <v>1112</v>
      </c>
      <c r="BB53" t="s" s="0">
        <v>81</v>
      </c>
      <c r="BC53" t="s" s="0">
        <v>81</v>
      </c>
      <c r="BD53" t="s" s="0">
        <v>81</v>
      </c>
      <c r="BE53" t="s" s="0">
        <v>81</v>
      </c>
      <c r="BF53" t="s" s="0">
        <v>81</v>
      </c>
      <c r="BG53" t="s" s="0">
        <v>81</v>
      </c>
      <c r="BH53" t="s" s="0">
        <v>81</v>
      </c>
      <c r="BI53" t="s" s="0">
        <v>1255</v>
      </c>
      <c r="BJ53" t="s" s="0">
        <v>1256</v>
      </c>
      <c r="BK53" t="s" s="103">
        <f>HYPERLINK("http://dx.doi.org/10.1016/j.inffus.2026.104502","http://dx.doi.org/10.1016/j.inffus.2026.104502")</f>
        <v>1257</v>
      </c>
      <c r="BL53" t="s" s="0">
        <v>81</v>
      </c>
      <c r="BM53" t="s" s="0">
        <v>81</v>
      </c>
      <c r="BN53" t="s" s="0">
        <v>368</v>
      </c>
      <c r="BO53" t="s" s="0">
        <v>1116</v>
      </c>
      <c r="BP53" t="s" s="0">
        <v>616</v>
      </c>
      <c r="BQ53" t="s" s="0">
        <v>1258</v>
      </c>
      <c r="BR53" t="s" s="0">
        <v>81</v>
      </c>
      <c r="BS53" t="s" s="0">
        <v>1259</v>
      </c>
      <c r="BT53" t="s" s="104">
        <f>HYPERLINK("https://www.webofscience.com/wos/woscc/full-record/WOS:001788641700001","View Record in Web of Science")</f>
        <v>116</v>
      </c>
      <c r="BU53" t="s" s="0">
        <v>81</v>
      </c>
      <c r="BV53" t="s" s="0">
        <v>81</v>
      </c>
      <c r="BW53" t="s" s="0">
        <v>81</v>
      </c>
      <c r="BX53" t="s" s="0">
        <v>118</v>
      </c>
    </row>
    <row r="54">
      <c r="A54" t="s" s="0">
        <v>77</v>
      </c>
      <c r="B54" t="s" s="0">
        <v>77</v>
      </c>
      <c r="C54" t="s" s="0">
        <v>77</v>
      </c>
      <c r="D54" t="s" s="0">
        <v>77</v>
      </c>
      <c r="E54" t="s" s="0">
        <v>1260</v>
      </c>
      <c r="F54" t="s" s="0">
        <v>1261</v>
      </c>
      <c r="G54" t="s" s="0">
        <v>1262</v>
      </c>
      <c r="H54" t="s" s="0">
        <v>81</v>
      </c>
      <c r="I54" t="s" s="0">
        <v>82</v>
      </c>
      <c r="J54" t="s" s="0">
        <v>1263</v>
      </c>
      <c r="K54" t="s" s="0">
        <v>1264</v>
      </c>
      <c r="L54" t="s" s="0">
        <v>1265</v>
      </c>
      <c r="M54" t="s" s="0">
        <v>1266</v>
      </c>
      <c r="N54" t="s" s="0">
        <v>1267</v>
      </c>
      <c r="O54" t="s" s="0">
        <v>1268</v>
      </c>
      <c r="P54" t="s" s="0">
        <v>1269</v>
      </c>
      <c r="Q54" t="s" s="0">
        <v>90</v>
      </c>
      <c r="R54" t="s" s="0">
        <v>81</v>
      </c>
      <c r="S54" t="s" s="0">
        <v>81</v>
      </c>
      <c r="T54" t="s" s="0">
        <v>81</v>
      </c>
      <c r="U54" t="s" s="0">
        <v>81</v>
      </c>
      <c r="V54" t="s" s="0">
        <v>1270</v>
      </c>
      <c r="W54" t="s" s="0">
        <v>1271</v>
      </c>
      <c r="X54" t="s" s="0">
        <v>81</v>
      </c>
      <c r="Y54" t="s" s="0">
        <v>81</v>
      </c>
      <c r="Z54" t="s" s="0">
        <v>93</v>
      </c>
      <c r="AA54" t="s" s="0">
        <v>128</v>
      </c>
      <c r="AB54" t="s" s="0">
        <v>81</v>
      </c>
      <c r="AC54" t="s" s="0">
        <v>81</v>
      </c>
      <c r="AD54" t="s" s="0">
        <v>81</v>
      </c>
      <c r="AE54" t="s" s="0">
        <v>81</v>
      </c>
      <c r="AF54" t="s" s="0">
        <v>81</v>
      </c>
      <c r="AG54" t="s" s="0">
        <v>1272</v>
      </c>
      <c r="AH54" t="s" s="0">
        <v>1273</v>
      </c>
      <c r="AI54" t="s" s="0">
        <v>1274</v>
      </c>
      <c r="AJ54" t="s" s="0">
        <v>81</v>
      </c>
      <c r="AK54" t="s" s="0">
        <v>81</v>
      </c>
      <c r="AL54" t="s" s="0">
        <v>1275</v>
      </c>
      <c r="AM54" t="s" s="0">
        <v>77</v>
      </c>
      <c r="AN54" t="s" s="0">
        <v>77</v>
      </c>
      <c r="AO54" t="s" s="0">
        <v>632</v>
      </c>
      <c r="AP54" t="s" s="0">
        <v>632</v>
      </c>
      <c r="AQ54" t="s" s="0">
        <v>633</v>
      </c>
      <c r="AR54" t="s" s="0">
        <v>634</v>
      </c>
      <c r="AS54" t="s" s="0">
        <v>635</v>
      </c>
      <c r="AT54" t="s" s="0">
        <v>1276</v>
      </c>
      <c r="AU54" t="s" s="0">
        <v>1277</v>
      </c>
      <c r="AV54" t="s" s="0">
        <v>81</v>
      </c>
      <c r="AW54" t="s" s="0">
        <v>1278</v>
      </c>
      <c r="AX54" t="s" s="0">
        <v>1279</v>
      </c>
      <c r="AY54" t="s" s="0">
        <v>685</v>
      </c>
      <c r="AZ54" t="s" s="0">
        <v>105</v>
      </c>
      <c r="BA54" t="s" s="0">
        <v>1280</v>
      </c>
      <c r="BB54" t="s" s="0">
        <v>81</v>
      </c>
      <c r="BC54" t="s" s="0">
        <v>81</v>
      </c>
      <c r="BD54" t="s" s="0">
        <v>1281</v>
      </c>
      <c r="BE54" t="s" s="0">
        <v>81</v>
      </c>
      <c r="BF54" t="s" s="0">
        <v>81</v>
      </c>
      <c r="BG54" t="s" s="0">
        <v>81</v>
      </c>
      <c r="BH54" t="s" s="0">
        <v>81</v>
      </c>
      <c r="BI54" t="s" s="0">
        <v>1282</v>
      </c>
      <c r="BJ54" t="s" s="0">
        <v>1283</v>
      </c>
      <c r="BK54" t="s" s="105">
        <f>HYPERLINK("http://dx.doi.org/10.1016/j.tsc.2026.102227","http://dx.doi.org/10.1016/j.tsc.2026.102227")</f>
        <v>1284</v>
      </c>
      <c r="BL54" t="s" s="0">
        <v>81</v>
      </c>
      <c r="BM54" t="s" s="0">
        <v>81</v>
      </c>
      <c r="BN54" t="s" s="0">
        <v>372</v>
      </c>
      <c r="BO54" t="s" s="0">
        <v>140</v>
      </c>
      <c r="BP54" t="s" s="0">
        <v>140</v>
      </c>
      <c r="BQ54" t="s" s="0">
        <v>1285</v>
      </c>
      <c r="BR54" t="s" s="0">
        <v>81</v>
      </c>
      <c r="BS54" t="s" s="0">
        <v>1286</v>
      </c>
      <c r="BT54" t="s" s="106">
        <f>HYPERLINK("https://www.webofscience.com/wos/woscc/full-record/WOS:001756318900001","View Record in Web of Science")</f>
        <v>116</v>
      </c>
      <c r="BU54" t="s" s="0">
        <v>81</v>
      </c>
      <c r="BV54" t="s" s="0">
        <v>81</v>
      </c>
      <c r="BW54" t="s" s="0">
        <v>81</v>
      </c>
      <c r="BX54" t="s" s="0">
        <v>118</v>
      </c>
    </row>
    <row r="55">
      <c r="A55" t="s" s="0">
        <v>77</v>
      </c>
      <c r="B55" t="s" s="0">
        <v>77</v>
      </c>
      <c r="C55" t="s" s="0">
        <v>77</v>
      </c>
      <c r="D55" t="s" s="0">
        <v>77</v>
      </c>
      <c r="E55" t="s" s="0">
        <v>1287</v>
      </c>
      <c r="F55" t="s" s="0">
        <v>1288</v>
      </c>
      <c r="G55" t="s" s="0">
        <v>1289</v>
      </c>
      <c r="H55" t="s" s="0">
        <v>81</v>
      </c>
      <c r="I55" t="s" s="0">
        <v>147</v>
      </c>
      <c r="J55" t="s" s="0">
        <v>1290</v>
      </c>
      <c r="K55" t="s" s="0">
        <v>1291</v>
      </c>
      <c r="L55" t="s" s="0">
        <v>81</v>
      </c>
      <c r="M55" t="s" s="0">
        <v>81</v>
      </c>
      <c r="N55" t="s" s="0">
        <v>81</v>
      </c>
      <c r="O55" t="s" s="0">
        <v>1292</v>
      </c>
      <c r="P55" t="s" s="0">
        <v>1293</v>
      </c>
      <c r="Q55" t="s" s="0">
        <v>90</v>
      </c>
      <c r="R55" t="s" s="0">
        <v>81</v>
      </c>
      <c r="S55" t="s" s="0">
        <v>81</v>
      </c>
      <c r="T55" t="s" s="0">
        <v>81</v>
      </c>
      <c r="U55" t="s" s="0">
        <v>81</v>
      </c>
      <c r="V55" t="s" s="0">
        <v>1294</v>
      </c>
      <c r="W55" t="s" s="0">
        <v>1295</v>
      </c>
      <c r="X55" t="s" s="0">
        <v>81</v>
      </c>
      <c r="Y55" t="s" s="0">
        <v>81</v>
      </c>
      <c r="Z55" t="s" s="0">
        <v>93</v>
      </c>
      <c r="AA55" t="s" s="0">
        <v>94</v>
      </c>
      <c r="AB55" t="s" s="0">
        <v>81</v>
      </c>
      <c r="AC55" t="s" s="0">
        <v>81</v>
      </c>
      <c r="AD55" t="s" s="0">
        <v>81</v>
      </c>
      <c r="AE55" t="s" s="0">
        <v>81</v>
      </c>
      <c r="AF55" t="s" s="0">
        <v>81</v>
      </c>
      <c r="AG55" t="s" s="0">
        <v>1296</v>
      </c>
      <c r="AH55" t="s" s="0">
        <v>1297</v>
      </c>
      <c r="AI55" t="s" s="0">
        <v>81</v>
      </c>
      <c r="AJ55" t="s" s="0">
        <v>81</v>
      </c>
      <c r="AK55" t="s" s="0">
        <v>81</v>
      </c>
      <c r="AL55" t="s" s="0">
        <v>1298</v>
      </c>
      <c r="AM55" t="s" s="0">
        <v>77</v>
      </c>
      <c r="AN55" t="s" s="0">
        <v>77</v>
      </c>
      <c r="AO55" t="s" s="0">
        <v>77</v>
      </c>
      <c r="AP55" t="s" s="0">
        <v>77</v>
      </c>
      <c r="AQ55" t="s" s="0">
        <v>1299</v>
      </c>
      <c r="AR55" t="s" s="0">
        <v>1300</v>
      </c>
      <c r="AS55" t="s" s="0">
        <v>1301</v>
      </c>
      <c r="AT55" t="s" s="0">
        <v>1302</v>
      </c>
      <c r="AU55" t="s" s="0">
        <v>1303</v>
      </c>
      <c r="AV55" t="s" s="0">
        <v>81</v>
      </c>
      <c r="AW55" t="s" s="0">
        <v>1304</v>
      </c>
      <c r="AX55" t="s" s="0">
        <v>1305</v>
      </c>
      <c r="AY55" t="s" s="0">
        <v>1306</v>
      </c>
      <c r="AZ55" t="s" s="0">
        <v>105</v>
      </c>
      <c r="BA55" t="s" s="0">
        <v>1307</v>
      </c>
      <c r="BB55" t="s" s="0">
        <v>81</v>
      </c>
      <c r="BC55" t="s" s="0">
        <v>81</v>
      </c>
      <c r="BD55" t="s" s="0">
        <v>81</v>
      </c>
      <c r="BE55" t="s" s="0">
        <v>81</v>
      </c>
      <c r="BF55" t="s" s="0">
        <v>81</v>
      </c>
      <c r="BG55" t="s" s="0">
        <v>81</v>
      </c>
      <c r="BH55" t="s" s="0">
        <v>81</v>
      </c>
      <c r="BI55" t="s" s="0">
        <v>1308</v>
      </c>
      <c r="BJ55" t="s" s="0">
        <v>1309</v>
      </c>
      <c r="BK55" t="s" s="107">
        <f>HYPERLINK("http://dx.doi.org/10.1016/j.ijmedinf.2026.106645","http://dx.doi.org/10.1016/j.ijmedinf.2026.106645")</f>
        <v>1310</v>
      </c>
      <c r="BL55" t="s" s="0">
        <v>81</v>
      </c>
      <c r="BM55" t="s" s="0">
        <v>81</v>
      </c>
      <c r="BN55" t="s" s="0">
        <v>323</v>
      </c>
      <c r="BO55" t="s" s="0">
        <v>1311</v>
      </c>
      <c r="BP55" t="s" s="0">
        <v>1312</v>
      </c>
      <c r="BQ55" t="s" s="0">
        <v>1313</v>
      </c>
      <c r="BR55" t="s" s="0">
        <v>1314</v>
      </c>
      <c r="BS55" t="s" s="0">
        <v>1315</v>
      </c>
      <c r="BT55" t="s" s="108">
        <f>HYPERLINK("https://www.webofscience.com/wos/woscc/full-record/WOS:001852384500002","View Record in Web of Science")</f>
        <v>116</v>
      </c>
      <c r="BU55" t="s" s="0">
        <v>694</v>
      </c>
      <c r="BV55" t="s" s="0">
        <v>81</v>
      </c>
      <c r="BW55" t="s" s="0">
        <v>81</v>
      </c>
      <c r="BX55" t="s" s="0">
        <v>118</v>
      </c>
    </row>
    <row r="56">
      <c r="A56" t="s" s="0">
        <v>77</v>
      </c>
      <c r="B56" t="s" s="0">
        <v>77</v>
      </c>
      <c r="C56" t="s" s="0">
        <v>77</v>
      </c>
      <c r="D56" t="s" s="0">
        <v>77</v>
      </c>
      <c r="E56" t="s" s="0">
        <v>1316</v>
      </c>
      <c r="F56" t="s" s="0">
        <v>1317</v>
      </c>
      <c r="G56" t="s" s="0">
        <v>1318</v>
      </c>
      <c r="H56" t="s" s="0">
        <v>81</v>
      </c>
      <c r="I56" t="s" s="0">
        <v>147</v>
      </c>
      <c r="J56" t="s" s="0">
        <v>1319</v>
      </c>
      <c r="K56" t="s" s="0">
        <v>1320</v>
      </c>
      <c r="L56" t="s" s="0">
        <v>1321</v>
      </c>
      <c r="M56" t="s" s="0">
        <v>1322</v>
      </c>
      <c r="N56" t="s" s="0">
        <v>1323</v>
      </c>
      <c r="O56" t="s" s="0">
        <v>1324</v>
      </c>
      <c r="P56" t="s" s="0">
        <v>1325</v>
      </c>
      <c r="Q56" t="s" s="0">
        <v>90</v>
      </c>
      <c r="R56" t="s" s="0">
        <v>81</v>
      </c>
      <c r="S56" t="s" s="0">
        <v>81</v>
      </c>
      <c r="T56" t="s" s="0">
        <v>81</v>
      </c>
      <c r="U56" t="s" s="0">
        <v>81</v>
      </c>
      <c r="V56" t="s" s="0">
        <v>1326</v>
      </c>
      <c r="W56" t="s" s="0">
        <v>1327</v>
      </c>
      <c r="X56" t="s" s="0">
        <v>81</v>
      </c>
      <c r="Y56" t="s" s="0">
        <v>81</v>
      </c>
      <c r="Z56" t="s" s="0">
        <v>93</v>
      </c>
      <c r="AA56" t="s" s="0">
        <v>128</v>
      </c>
      <c r="AB56" t="s" s="0">
        <v>81</v>
      </c>
      <c r="AC56" t="s" s="0">
        <v>81</v>
      </c>
      <c r="AD56" t="s" s="0">
        <v>81</v>
      </c>
      <c r="AE56" t="s" s="0">
        <v>81</v>
      </c>
      <c r="AF56" t="s" s="0">
        <v>81</v>
      </c>
      <c r="AG56" t="s" s="0">
        <v>1328</v>
      </c>
      <c r="AH56" t="s" s="0">
        <v>81</v>
      </c>
      <c r="AI56" t="s" s="0">
        <v>81</v>
      </c>
      <c r="AJ56" t="s" s="0">
        <v>81</v>
      </c>
      <c r="AK56" t="s" s="0">
        <v>81</v>
      </c>
      <c r="AL56" t="s" s="0">
        <v>1234</v>
      </c>
      <c r="AM56" t="s" s="0">
        <v>77</v>
      </c>
      <c r="AN56" t="s" s="0">
        <v>77</v>
      </c>
      <c r="AO56" t="s" s="0">
        <v>77</v>
      </c>
      <c r="AP56" t="s" s="0">
        <v>77</v>
      </c>
      <c r="AQ56" t="s" s="0">
        <v>737</v>
      </c>
      <c r="AR56" t="s" s="0">
        <v>738</v>
      </c>
      <c r="AS56" t="s" s="0">
        <v>739</v>
      </c>
      <c r="AT56" t="s" s="0">
        <v>1329</v>
      </c>
      <c r="AU56" t="s" s="0">
        <v>1330</v>
      </c>
      <c r="AV56" t="s" s="0">
        <v>81</v>
      </c>
      <c r="AW56" t="s" s="0">
        <v>1327</v>
      </c>
      <c r="AX56" t="s" s="0">
        <v>1331</v>
      </c>
      <c r="AY56" t="s" s="0">
        <v>1332</v>
      </c>
      <c r="AZ56" t="s" s="0">
        <v>105</v>
      </c>
      <c r="BA56" t="s" s="0">
        <v>1333</v>
      </c>
      <c r="BB56" t="s" s="0">
        <v>81</v>
      </c>
      <c r="BC56" t="s" s="0">
        <v>81</v>
      </c>
      <c r="BD56" t="s" s="0">
        <v>81</v>
      </c>
      <c r="BE56" t="s" s="0">
        <v>81</v>
      </c>
      <c r="BF56" t="s" s="0">
        <v>81</v>
      </c>
      <c r="BG56" t="s" s="0">
        <v>81</v>
      </c>
      <c r="BH56" t="s" s="0">
        <v>81</v>
      </c>
      <c r="BI56" t="s" s="0">
        <v>1334</v>
      </c>
      <c r="BJ56" t="s" s="0">
        <v>1335</v>
      </c>
      <c r="BK56" t="s" s="109">
        <f>HYPERLINK("http://dx.doi.org/10.1016/j.neucom.2026.134680","http://dx.doi.org/10.1016/j.neucom.2026.134680")</f>
        <v>1336</v>
      </c>
      <c r="BL56" t="s" s="0">
        <v>81</v>
      </c>
      <c r="BM56" t="s" s="0">
        <v>81</v>
      </c>
      <c r="BN56" t="s" s="0">
        <v>303</v>
      </c>
      <c r="BO56" t="s" s="0">
        <v>1054</v>
      </c>
      <c r="BP56" t="s" s="0">
        <v>616</v>
      </c>
      <c r="BQ56" t="s" s="0">
        <v>1337</v>
      </c>
      <c r="BR56" t="s" s="0">
        <v>81</v>
      </c>
      <c r="BS56" t="s" s="0">
        <v>1338</v>
      </c>
      <c r="BT56" t="s" s="110">
        <f>HYPERLINK("https://www.webofscience.com/wos/woscc/full-record/WOS:001843519300001","View Record in Web of Science")</f>
        <v>116</v>
      </c>
      <c r="BU56" t="s" s="0">
        <v>81</v>
      </c>
      <c r="BV56" t="s" s="0">
        <v>81</v>
      </c>
      <c r="BW56" t="s" s="0">
        <v>81</v>
      </c>
      <c r="BX56" t="s" s="0">
        <v>118</v>
      </c>
    </row>
    <row r="57">
      <c r="A57" t="s" s="0">
        <v>77</v>
      </c>
      <c r="B57" t="s" s="0">
        <v>77</v>
      </c>
      <c r="C57" t="s" s="0">
        <v>77</v>
      </c>
      <c r="D57" t="s" s="0">
        <v>77</v>
      </c>
      <c r="E57" t="s" s="0">
        <v>1339</v>
      </c>
      <c r="F57" t="s" s="0">
        <v>1340</v>
      </c>
      <c r="G57" t="s" s="0">
        <v>1341</v>
      </c>
      <c r="H57" t="s" s="0">
        <v>81</v>
      </c>
      <c r="I57" t="s" s="0">
        <v>147</v>
      </c>
      <c r="J57" t="s" s="0">
        <v>1342</v>
      </c>
      <c r="K57" t="s" s="0">
        <v>1343</v>
      </c>
      <c r="L57" t="s" s="0">
        <v>1344</v>
      </c>
      <c r="M57" t="s" s="0">
        <v>1344</v>
      </c>
      <c r="N57" t="s" s="0">
        <v>1345</v>
      </c>
      <c r="O57" t="s" s="0">
        <v>1346</v>
      </c>
      <c r="P57" t="s" s="0">
        <v>1347</v>
      </c>
      <c r="Q57" t="s" s="0">
        <v>90</v>
      </c>
      <c r="R57" t="s" s="0">
        <v>81</v>
      </c>
      <c r="S57" t="s" s="0">
        <v>81</v>
      </c>
      <c r="T57" t="s" s="0">
        <v>81</v>
      </c>
      <c r="U57" t="s" s="0">
        <v>81</v>
      </c>
      <c r="V57" t="s" s="0">
        <v>1348</v>
      </c>
      <c r="W57" t="s" s="0">
        <v>1327</v>
      </c>
      <c r="X57" t="s" s="0">
        <v>81</v>
      </c>
      <c r="Y57" t="s" s="0">
        <v>81</v>
      </c>
      <c r="Z57" t="s" s="0">
        <v>93</v>
      </c>
      <c r="AA57" t="s" s="0">
        <v>128</v>
      </c>
      <c r="AB57" t="s" s="0">
        <v>81</v>
      </c>
      <c r="AC57" t="s" s="0">
        <v>81</v>
      </c>
      <c r="AD57" t="s" s="0">
        <v>81</v>
      </c>
      <c r="AE57" t="s" s="0">
        <v>81</v>
      </c>
      <c r="AF57" t="s" s="0">
        <v>81</v>
      </c>
      <c r="AG57" t="s" s="0">
        <v>1349</v>
      </c>
      <c r="AH57" t="s" s="0">
        <v>81</v>
      </c>
      <c r="AI57" t="s" s="0">
        <v>81</v>
      </c>
      <c r="AJ57" t="s" s="0">
        <v>81</v>
      </c>
      <c r="AK57" t="s" s="0">
        <v>81</v>
      </c>
      <c r="AL57" t="s" s="0">
        <v>1234</v>
      </c>
      <c r="AM57" t="s" s="0">
        <v>77</v>
      </c>
      <c r="AN57" t="s" s="0">
        <v>77</v>
      </c>
      <c r="AO57" t="s" s="0">
        <v>77</v>
      </c>
      <c r="AP57" t="s" s="0">
        <v>77</v>
      </c>
      <c r="AQ57" t="s" s="0">
        <v>737</v>
      </c>
      <c r="AR57" t="s" s="0">
        <v>738</v>
      </c>
      <c r="AS57" t="s" s="0">
        <v>739</v>
      </c>
      <c r="AT57" t="s" s="0">
        <v>1329</v>
      </c>
      <c r="AU57" t="s" s="0">
        <v>1330</v>
      </c>
      <c r="AV57" t="s" s="0">
        <v>81</v>
      </c>
      <c r="AW57" t="s" s="0">
        <v>1327</v>
      </c>
      <c r="AX57" t="s" s="0">
        <v>1331</v>
      </c>
      <c r="AY57" t="s" s="0">
        <v>1350</v>
      </c>
      <c r="AZ57" t="s" s="0">
        <v>105</v>
      </c>
      <c r="BA57" t="s" s="0">
        <v>1351</v>
      </c>
      <c r="BB57" t="s" s="0">
        <v>81</v>
      </c>
      <c r="BC57" t="s" s="0">
        <v>81</v>
      </c>
      <c r="BD57" t="s" s="0">
        <v>81</v>
      </c>
      <c r="BE57" t="s" s="0">
        <v>81</v>
      </c>
      <c r="BF57" t="s" s="0">
        <v>81</v>
      </c>
      <c r="BG57" t="s" s="0">
        <v>81</v>
      </c>
      <c r="BH57" t="s" s="0">
        <v>81</v>
      </c>
      <c r="BI57" t="s" s="0">
        <v>1352</v>
      </c>
      <c r="BJ57" t="s" s="0">
        <v>1353</v>
      </c>
      <c r="BK57" t="s" s="111">
        <f>HYPERLINK("http://dx.doi.org/10.1016/j.neucom.2026.134543","http://dx.doi.org/10.1016/j.neucom.2026.134543")</f>
        <v>1354</v>
      </c>
      <c r="BL57" t="s" s="0">
        <v>81</v>
      </c>
      <c r="BM57" t="s" s="0">
        <v>81</v>
      </c>
      <c r="BN57" t="s" s="0">
        <v>393</v>
      </c>
      <c r="BO57" t="s" s="0">
        <v>1054</v>
      </c>
      <c r="BP57" t="s" s="0">
        <v>616</v>
      </c>
      <c r="BQ57" t="s" s="0">
        <v>1355</v>
      </c>
      <c r="BR57" t="s" s="0">
        <v>81</v>
      </c>
      <c r="BS57" t="s" s="0">
        <v>1356</v>
      </c>
      <c r="BT57" t="s" s="112">
        <f>HYPERLINK("https://www.webofscience.com/wos/woscc/full-record/WOS:001831180200001","View Record in Web of Science")</f>
        <v>116</v>
      </c>
      <c r="BU57" t="s" s="0">
        <v>81</v>
      </c>
      <c r="BV57" t="s" s="0">
        <v>81</v>
      </c>
      <c r="BW57" t="s" s="0">
        <v>81</v>
      </c>
      <c r="BX57" t="s" s="0">
        <v>118</v>
      </c>
    </row>
    <row r="58">
      <c r="A58" t="s" s="0">
        <v>77</v>
      </c>
      <c r="B58" t="s" s="0">
        <v>77</v>
      </c>
      <c r="C58" t="s" s="0">
        <v>77</v>
      </c>
      <c r="D58" t="s" s="0">
        <v>77</v>
      </c>
      <c r="E58" t="s" s="0">
        <v>1357</v>
      </c>
      <c r="F58" t="s" s="0">
        <v>1358</v>
      </c>
      <c r="G58" t="s" s="0">
        <v>1359</v>
      </c>
      <c r="H58" t="s" s="0">
        <v>81</v>
      </c>
      <c r="I58" t="s" s="0">
        <v>147</v>
      </c>
      <c r="J58" t="s" s="0">
        <v>1360</v>
      </c>
      <c r="K58" t="s" s="0">
        <v>1361</v>
      </c>
      <c r="L58" t="s" s="0">
        <v>1362</v>
      </c>
      <c r="M58" t="s" s="0">
        <v>1362</v>
      </c>
      <c r="N58" t="s" s="0">
        <v>1363</v>
      </c>
      <c r="O58" t="s" s="0">
        <v>1364</v>
      </c>
      <c r="P58" t="s" s="0">
        <v>81</v>
      </c>
      <c r="Q58" t="s" s="0">
        <v>90</v>
      </c>
      <c r="R58" t="s" s="0">
        <v>81</v>
      </c>
      <c r="S58" t="s" s="0">
        <v>81</v>
      </c>
      <c r="T58" t="s" s="0">
        <v>81</v>
      </c>
      <c r="U58" t="s" s="0">
        <v>81</v>
      </c>
      <c r="V58" t="s" s="0">
        <v>1365</v>
      </c>
      <c r="W58" t="s" s="0">
        <v>1366</v>
      </c>
      <c r="X58" t="s" s="0">
        <v>81</v>
      </c>
      <c r="Y58" t="s" s="0">
        <v>81</v>
      </c>
      <c r="Z58" t="s" s="0">
        <v>93</v>
      </c>
      <c r="AA58" t="s" s="0">
        <v>128</v>
      </c>
      <c r="AB58" t="s" s="0">
        <v>81</v>
      </c>
      <c r="AC58" t="s" s="0">
        <v>81</v>
      </c>
      <c r="AD58" t="s" s="0">
        <v>81</v>
      </c>
      <c r="AE58" t="s" s="0">
        <v>81</v>
      </c>
      <c r="AF58" t="s" s="0">
        <v>81</v>
      </c>
      <c r="AG58" t="s" s="0">
        <v>1367</v>
      </c>
      <c r="AH58" t="s" s="0">
        <v>1368</v>
      </c>
      <c r="AI58" t="s" s="0">
        <v>81</v>
      </c>
      <c r="AJ58" t="s" s="0">
        <v>81</v>
      </c>
      <c r="AK58" t="s" s="0">
        <v>81</v>
      </c>
      <c r="AL58" t="s" s="0">
        <v>303</v>
      </c>
      <c r="AM58" t="s" s="0">
        <v>77</v>
      </c>
      <c r="AN58" t="s" s="0">
        <v>77</v>
      </c>
      <c r="AO58" t="s" s="0">
        <v>77</v>
      </c>
      <c r="AP58" t="s" s="0">
        <v>77</v>
      </c>
      <c r="AQ58" t="s" s="0">
        <v>1299</v>
      </c>
      <c r="AR58" t="s" s="0">
        <v>1300</v>
      </c>
      <c r="AS58" t="s" s="0">
        <v>1301</v>
      </c>
      <c r="AT58" t="s" s="0">
        <v>81</v>
      </c>
      <c r="AU58" t="s" s="0">
        <v>1369</v>
      </c>
      <c r="AV58" t="s" s="0">
        <v>81</v>
      </c>
      <c r="AW58" t="s" s="0">
        <v>1370</v>
      </c>
      <c r="AX58" t="s" s="0">
        <v>1371</v>
      </c>
      <c r="AY58" t="s" s="0">
        <v>1372</v>
      </c>
      <c r="AZ58" t="s" s="0">
        <v>105</v>
      </c>
      <c r="BA58" t="s" s="0">
        <v>1373</v>
      </c>
      <c r="BB58" t="s" s="0">
        <v>81</v>
      </c>
      <c r="BC58" t="s" s="0">
        <v>81</v>
      </c>
      <c r="BD58" t="s" s="0">
        <v>81</v>
      </c>
      <c r="BE58" t="s" s="0">
        <v>81</v>
      </c>
      <c r="BF58" t="s" s="0">
        <v>81</v>
      </c>
      <c r="BG58" t="s" s="0">
        <v>81</v>
      </c>
      <c r="BH58" t="s" s="0">
        <v>81</v>
      </c>
      <c r="BI58" t="s" s="0">
        <v>1374</v>
      </c>
      <c r="BJ58" t="s" s="0">
        <v>1375</v>
      </c>
      <c r="BK58" t="s" s="113">
        <f>HYPERLINK("http://dx.doi.org/10.1016/j.ctro.2026.101257","http://dx.doi.org/10.1016/j.ctro.2026.101257")</f>
        <v>1376</v>
      </c>
      <c r="BL58" t="s" s="0">
        <v>81</v>
      </c>
      <c r="BM58" t="s" s="0">
        <v>81</v>
      </c>
      <c r="BN58" t="s" s="0">
        <v>323</v>
      </c>
      <c r="BO58" t="s" s="0">
        <v>1377</v>
      </c>
      <c r="BP58" t="s" s="0">
        <v>1377</v>
      </c>
      <c r="BQ58" t="s" s="0">
        <v>1378</v>
      </c>
      <c r="BR58" t="s" s="0">
        <v>81</v>
      </c>
      <c r="BS58" t="s" s="0">
        <v>1379</v>
      </c>
      <c r="BT58" t="s" s="114">
        <f>HYPERLINK("https://www.webofscience.com/wos/woscc/full-record/WOS:001854617300001","View Record in Web of Science")</f>
        <v>116</v>
      </c>
      <c r="BU58" t="s" s="0">
        <v>203</v>
      </c>
      <c r="BV58" t="s" s="0">
        <v>81</v>
      </c>
      <c r="BW58" t="s" s="0">
        <v>81</v>
      </c>
      <c r="BX58" t="s" s="0">
        <v>118</v>
      </c>
    </row>
    <row r="59">
      <c r="A59" t="s" s="0">
        <v>77</v>
      </c>
      <c r="B59" t="s" s="0">
        <v>77</v>
      </c>
      <c r="C59" t="s" s="0">
        <v>77</v>
      </c>
      <c r="D59" t="s" s="0">
        <v>77</v>
      </c>
      <c r="E59" t="s" s="0">
        <v>1380</v>
      </c>
      <c r="F59" t="s" s="0">
        <v>1381</v>
      </c>
      <c r="G59" t="s" s="0">
        <v>1382</v>
      </c>
      <c r="H59" t="s" s="0">
        <v>81</v>
      </c>
      <c r="I59" t="s" s="0">
        <v>698</v>
      </c>
      <c r="J59" t="s" s="0">
        <v>1383</v>
      </c>
      <c r="K59" t="s" s="0">
        <v>1384</v>
      </c>
      <c r="L59" t="s" s="0">
        <v>81</v>
      </c>
      <c r="M59" t="s" s="0">
        <v>81</v>
      </c>
      <c r="N59" t="s" s="0">
        <v>81</v>
      </c>
      <c r="O59" t="s" s="0">
        <v>1385</v>
      </c>
      <c r="P59" t="s" s="0">
        <v>1386</v>
      </c>
      <c r="Q59" t="s" s="0">
        <v>90</v>
      </c>
      <c r="R59" t="s" s="0">
        <v>81</v>
      </c>
      <c r="S59" t="s" s="0">
        <v>81</v>
      </c>
      <c r="T59" t="s" s="0">
        <v>81</v>
      </c>
      <c r="U59" t="s" s="0">
        <v>81</v>
      </c>
      <c r="V59" t="s" s="0">
        <v>1387</v>
      </c>
      <c r="W59" t="s" s="0">
        <v>1388</v>
      </c>
      <c r="X59" t="s" s="0">
        <v>81</v>
      </c>
      <c r="Y59" t="s" s="0">
        <v>81</v>
      </c>
      <c r="Z59" t="s" s="0">
        <v>93</v>
      </c>
      <c r="AA59" t="s" s="0">
        <v>128</v>
      </c>
      <c r="AB59" t="s" s="0">
        <v>81</v>
      </c>
      <c r="AC59" t="s" s="0">
        <v>81</v>
      </c>
      <c r="AD59" t="s" s="0">
        <v>81</v>
      </c>
      <c r="AE59" t="s" s="0">
        <v>81</v>
      </c>
      <c r="AF59" t="s" s="0">
        <v>81</v>
      </c>
      <c r="AG59" t="s" s="0">
        <v>1389</v>
      </c>
      <c r="AH59" t="s" s="0">
        <v>1390</v>
      </c>
      <c r="AI59" t="s" s="0">
        <v>81</v>
      </c>
      <c r="AJ59" t="s" s="0">
        <v>1391</v>
      </c>
      <c r="AK59" t="s" s="0">
        <v>81</v>
      </c>
      <c r="AL59" t="s" s="0">
        <v>135</v>
      </c>
      <c r="AM59" t="s" s="0">
        <v>77</v>
      </c>
      <c r="AN59" t="s" s="0">
        <v>77</v>
      </c>
      <c r="AO59" t="s" s="0">
        <v>77</v>
      </c>
      <c r="AP59" t="s" s="0">
        <v>77</v>
      </c>
      <c r="AQ59" t="s" s="0">
        <v>1299</v>
      </c>
      <c r="AR59" t="s" s="0">
        <v>1300</v>
      </c>
      <c r="AS59" t="s" s="0">
        <v>1301</v>
      </c>
      <c r="AT59" t="s" s="0">
        <v>1392</v>
      </c>
      <c r="AU59" t="s" s="0">
        <v>1393</v>
      </c>
      <c r="AV59" t="s" s="0">
        <v>81</v>
      </c>
      <c r="AW59" t="s" s="0">
        <v>1394</v>
      </c>
      <c r="AX59" t="s" s="0">
        <v>1395</v>
      </c>
      <c r="AY59" t="s" s="0">
        <v>1372</v>
      </c>
      <c r="AZ59" t="s" s="0">
        <v>105</v>
      </c>
      <c r="BA59" t="s" s="0">
        <v>1396</v>
      </c>
      <c r="BB59" t="s" s="0">
        <v>81</v>
      </c>
      <c r="BC59" t="s" s="0">
        <v>81</v>
      </c>
      <c r="BD59" t="s" s="0">
        <v>81</v>
      </c>
      <c r="BE59" t="s" s="0">
        <v>81</v>
      </c>
      <c r="BF59" t="s" s="0">
        <v>81</v>
      </c>
      <c r="BG59" t="s" s="0">
        <v>81</v>
      </c>
      <c r="BH59" t="s" s="0">
        <v>81</v>
      </c>
      <c r="BI59" t="s" s="0">
        <v>1397</v>
      </c>
      <c r="BJ59" t="s" s="0">
        <v>1398</v>
      </c>
      <c r="BK59" t="s" s="115">
        <f>HYPERLINK("http://dx.doi.org/10.1016/j.pec.2026.109829","http://dx.doi.org/10.1016/j.pec.2026.109829")</f>
        <v>1399</v>
      </c>
      <c r="BL59" t="s" s="0">
        <v>81</v>
      </c>
      <c r="BM59" t="s" s="0">
        <v>81</v>
      </c>
      <c r="BN59" t="s" s="0">
        <v>323</v>
      </c>
      <c r="BO59" t="s" s="0">
        <v>1400</v>
      </c>
      <c r="BP59" t="s" s="0">
        <v>1401</v>
      </c>
      <c r="BQ59" t="s" s="0">
        <v>1402</v>
      </c>
      <c r="BR59" t="s" s="0">
        <v>1403</v>
      </c>
      <c r="BS59" t="s" s="0">
        <v>1404</v>
      </c>
      <c r="BT59" t="s" s="116">
        <f>HYPERLINK("https://www.webofscience.com/wos/woscc/full-record/WOS:001852972200001","View Record in Web of Science")</f>
        <v>116</v>
      </c>
      <c r="BU59" t="s" s="0">
        <v>81</v>
      </c>
      <c r="BV59" t="s" s="0">
        <v>81</v>
      </c>
      <c r="BW59" t="s" s="0">
        <v>81</v>
      </c>
      <c r="BX59" t="s" s="0">
        <v>118</v>
      </c>
    </row>
    <row r="60">
      <c r="A60" t="s" s="0">
        <v>77</v>
      </c>
      <c r="B60" t="s" s="0">
        <v>77</v>
      </c>
      <c r="C60" t="s" s="0">
        <v>77</v>
      </c>
      <c r="D60" t="s" s="0">
        <v>77</v>
      </c>
      <c r="E60" t="s" s="0">
        <v>1405</v>
      </c>
      <c r="F60" t="s" s="0">
        <v>1406</v>
      </c>
      <c r="G60" t="s" s="0">
        <v>1407</v>
      </c>
      <c r="H60" t="s" s="0">
        <v>81</v>
      </c>
      <c r="I60" t="s" s="0">
        <v>147</v>
      </c>
      <c r="J60" t="s" s="0">
        <v>1408</v>
      </c>
      <c r="K60" t="s" s="0">
        <v>1409</v>
      </c>
      <c r="L60" t="s" s="0">
        <v>81</v>
      </c>
      <c r="M60" t="s" s="0">
        <v>81</v>
      </c>
      <c r="N60" t="s" s="0">
        <v>81</v>
      </c>
      <c r="O60" t="s" s="0">
        <v>1410</v>
      </c>
      <c r="P60" t="s" s="0">
        <v>81</v>
      </c>
      <c r="Q60" t="s" s="0">
        <v>90</v>
      </c>
      <c r="R60" t="s" s="0">
        <v>81</v>
      </c>
      <c r="S60" t="s" s="0">
        <v>81</v>
      </c>
      <c r="T60" t="s" s="0">
        <v>81</v>
      </c>
      <c r="U60" t="s" s="0">
        <v>81</v>
      </c>
      <c r="V60" t="s" s="0">
        <v>1411</v>
      </c>
      <c r="W60" t="s" s="0">
        <v>1412</v>
      </c>
      <c r="X60" t="s" s="0">
        <v>81</v>
      </c>
      <c r="Y60" t="s" s="0">
        <v>81</v>
      </c>
      <c r="Z60" t="s" s="0">
        <v>93</v>
      </c>
      <c r="AA60" t="s" s="0">
        <v>128</v>
      </c>
      <c r="AB60" t="s" s="0">
        <v>81</v>
      </c>
      <c r="AC60" t="s" s="0">
        <v>81</v>
      </c>
      <c r="AD60" t="s" s="0">
        <v>81</v>
      </c>
      <c r="AE60" t="s" s="0">
        <v>81</v>
      </c>
      <c r="AF60" t="s" s="0">
        <v>81</v>
      </c>
      <c r="AG60" t="s" s="0">
        <v>1413</v>
      </c>
      <c r="AH60" t="s" s="0">
        <v>1414</v>
      </c>
      <c r="AI60" t="s" s="0">
        <v>81</v>
      </c>
      <c r="AJ60" t="s" s="0">
        <v>81</v>
      </c>
      <c r="AK60" t="s" s="0">
        <v>81</v>
      </c>
      <c r="AL60" t="s" s="0">
        <v>1162</v>
      </c>
      <c r="AM60" t="s" s="0">
        <v>77</v>
      </c>
      <c r="AN60" t="s" s="0">
        <v>77</v>
      </c>
      <c r="AO60" t="s" s="0">
        <v>77</v>
      </c>
      <c r="AP60" t="s" s="0">
        <v>77</v>
      </c>
      <c r="AQ60" t="s" s="0">
        <v>1299</v>
      </c>
      <c r="AR60" t="s" s="0">
        <v>1300</v>
      </c>
      <c r="AS60" t="s" s="0">
        <v>1301</v>
      </c>
      <c r="AT60" t="s" s="0">
        <v>1415</v>
      </c>
      <c r="AU60" t="s" s="0">
        <v>1416</v>
      </c>
      <c r="AV60" t="s" s="0">
        <v>81</v>
      </c>
      <c r="AW60" t="s" s="0">
        <v>1417</v>
      </c>
      <c r="AX60" t="s" s="0">
        <v>1418</v>
      </c>
      <c r="AY60" t="s" s="0">
        <v>1372</v>
      </c>
      <c r="AZ60" t="s" s="0">
        <v>105</v>
      </c>
      <c r="BA60" t="s" s="0">
        <v>1419</v>
      </c>
      <c r="BB60" t="s" s="0">
        <v>81</v>
      </c>
      <c r="BC60" t="s" s="0">
        <v>81</v>
      </c>
      <c r="BD60" t="s" s="0">
        <v>81</v>
      </c>
      <c r="BE60" t="s" s="0">
        <v>81</v>
      </c>
      <c r="BF60" t="s" s="0">
        <v>81</v>
      </c>
      <c r="BG60" t="s" s="0">
        <v>81</v>
      </c>
      <c r="BH60" t="s" s="0">
        <v>81</v>
      </c>
      <c r="BI60" t="s" s="0">
        <v>1420</v>
      </c>
      <c r="BJ60" t="s" s="0">
        <v>1421</v>
      </c>
      <c r="BK60" t="s" s="117">
        <f>HYPERLINK("http://dx.doi.org/10.1016/j.ejrad.2026.113166","http://dx.doi.org/10.1016/j.ejrad.2026.113166")</f>
        <v>1422</v>
      </c>
      <c r="BL60" t="s" s="0">
        <v>81</v>
      </c>
      <c r="BM60" t="s" s="0">
        <v>81</v>
      </c>
      <c r="BN60" t="s" s="0">
        <v>341</v>
      </c>
      <c r="BO60" t="s" s="0">
        <v>875</v>
      </c>
      <c r="BP60" t="s" s="0">
        <v>875</v>
      </c>
      <c r="BQ60" t="s" s="0">
        <v>1423</v>
      </c>
      <c r="BR60" t="s" s="0">
        <v>1424</v>
      </c>
      <c r="BS60" t="s" s="0">
        <v>1425</v>
      </c>
      <c r="BT60" t="s" s="118">
        <f>HYPERLINK("https://www.webofscience.com/wos/woscc/full-record/WOS:001852294900001","View Record in Web of Science")</f>
        <v>116</v>
      </c>
      <c r="BU60" t="s" s="0">
        <v>81</v>
      </c>
      <c r="BV60" t="s" s="0">
        <v>81</v>
      </c>
      <c r="BW60" t="s" s="0">
        <v>81</v>
      </c>
      <c r="BX60" t="s" s="0">
        <v>118</v>
      </c>
    </row>
    <row r="61">
      <c r="A61" t="s" s="0">
        <v>77</v>
      </c>
      <c r="B61" t="s" s="0">
        <v>77</v>
      </c>
      <c r="C61" t="s" s="0">
        <v>77</v>
      </c>
      <c r="D61" t="s" s="0">
        <v>77</v>
      </c>
      <c r="E61" t="s" s="0">
        <v>1426</v>
      </c>
      <c r="F61" t="s" s="0">
        <v>1427</v>
      </c>
      <c r="G61" t="s" s="0">
        <v>1428</v>
      </c>
      <c r="H61" t="s" s="0">
        <v>81</v>
      </c>
      <c r="I61" t="s" s="0">
        <v>698</v>
      </c>
      <c r="J61" t="s" s="0">
        <v>1429</v>
      </c>
      <c r="K61" t="s" s="0">
        <v>1430</v>
      </c>
      <c r="L61" t="s" s="0">
        <v>81</v>
      </c>
      <c r="M61" t="s" s="0">
        <v>81</v>
      </c>
      <c r="N61" t="s" s="0">
        <v>81</v>
      </c>
      <c r="O61" t="s" s="0">
        <v>1431</v>
      </c>
      <c r="P61" t="s" s="0">
        <v>1432</v>
      </c>
      <c r="Q61" t="s" s="0">
        <v>90</v>
      </c>
      <c r="R61" t="s" s="0">
        <v>81</v>
      </c>
      <c r="S61" t="s" s="0">
        <v>81</v>
      </c>
      <c r="T61" t="s" s="0">
        <v>81</v>
      </c>
      <c r="U61" t="s" s="0">
        <v>81</v>
      </c>
      <c r="V61" t="s" s="0">
        <v>1433</v>
      </c>
      <c r="W61" t="s" s="0">
        <v>1434</v>
      </c>
      <c r="X61" t="s" s="0">
        <v>81</v>
      </c>
      <c r="Y61" t="s" s="0">
        <v>81</v>
      </c>
      <c r="Z61" t="s" s="0">
        <v>93</v>
      </c>
      <c r="AA61" t="s" s="0">
        <v>128</v>
      </c>
      <c r="AB61" t="s" s="0">
        <v>81</v>
      </c>
      <c r="AC61" t="s" s="0">
        <v>81</v>
      </c>
      <c r="AD61" t="s" s="0">
        <v>81</v>
      </c>
      <c r="AE61" t="s" s="0">
        <v>81</v>
      </c>
      <c r="AF61" t="s" s="0">
        <v>81</v>
      </c>
      <c r="AG61" t="s" s="0">
        <v>1435</v>
      </c>
      <c r="AH61" t="s" s="0">
        <v>81</v>
      </c>
      <c r="AI61" t="s" s="0">
        <v>81</v>
      </c>
      <c r="AJ61" t="s" s="0">
        <v>81</v>
      </c>
      <c r="AK61" t="s" s="0">
        <v>81</v>
      </c>
      <c r="AL61" t="s" s="0">
        <v>272</v>
      </c>
      <c r="AM61" t="s" s="0">
        <v>77</v>
      </c>
      <c r="AN61" t="s" s="0">
        <v>77</v>
      </c>
      <c r="AO61" t="s" s="0">
        <v>77</v>
      </c>
      <c r="AP61" t="s" s="0">
        <v>77</v>
      </c>
      <c r="AQ61" t="s" s="0">
        <v>1299</v>
      </c>
      <c r="AR61" t="s" s="0">
        <v>1300</v>
      </c>
      <c r="AS61" t="s" s="0">
        <v>1301</v>
      </c>
      <c r="AT61" t="s" s="0">
        <v>1436</v>
      </c>
      <c r="AU61" t="s" s="0">
        <v>1437</v>
      </c>
      <c r="AV61" t="s" s="0">
        <v>81</v>
      </c>
      <c r="AW61" t="s" s="0">
        <v>1438</v>
      </c>
      <c r="AX61" t="s" s="0">
        <v>1439</v>
      </c>
      <c r="AY61" t="s" s="0">
        <v>1372</v>
      </c>
      <c r="AZ61" t="s" s="0">
        <v>105</v>
      </c>
      <c r="BA61" t="s" s="0">
        <v>1440</v>
      </c>
      <c r="BB61" t="s" s="0">
        <v>81</v>
      </c>
      <c r="BC61" t="s" s="0">
        <v>81</v>
      </c>
      <c r="BD61" t="s" s="0">
        <v>81</v>
      </c>
      <c r="BE61" t="s" s="0">
        <v>81</v>
      </c>
      <c r="BF61" t="s" s="0">
        <v>81</v>
      </c>
      <c r="BG61" t="s" s="0">
        <v>81</v>
      </c>
      <c r="BH61" t="s" s="0">
        <v>81</v>
      </c>
      <c r="BI61" t="s" s="0">
        <v>1441</v>
      </c>
      <c r="BJ61" t="s" s="0">
        <v>1442</v>
      </c>
      <c r="BK61" t="s" s="119">
        <f>HYPERLINK("http://dx.doi.org/10.1016/j.psychres.2026.117371","http://dx.doi.org/10.1016/j.psychres.2026.117371")</f>
        <v>1443</v>
      </c>
      <c r="BL61" t="s" s="0">
        <v>81</v>
      </c>
      <c r="BM61" t="s" s="0">
        <v>81</v>
      </c>
      <c r="BN61" t="s" s="0">
        <v>769</v>
      </c>
      <c r="BO61" t="s" s="0">
        <v>1444</v>
      </c>
      <c r="BP61" t="s" s="0">
        <v>1444</v>
      </c>
      <c r="BQ61" t="s" s="0">
        <v>1445</v>
      </c>
      <c r="BR61" t="s" s="0">
        <v>1446</v>
      </c>
      <c r="BS61" t="s" s="0">
        <v>1447</v>
      </c>
      <c r="BT61" t="s" s="120">
        <f>HYPERLINK("https://www.webofscience.com/wos/woscc/full-record/WOS:001851861500001","View Record in Web of Science")</f>
        <v>116</v>
      </c>
      <c r="BU61" t="s" s="0">
        <v>81</v>
      </c>
      <c r="BV61" t="s" s="0">
        <v>81</v>
      </c>
      <c r="BW61" t="s" s="0">
        <v>81</v>
      </c>
      <c r="BX61" t="s" s="0">
        <v>118</v>
      </c>
    </row>
    <row r="62">
      <c r="A62" t="s" s="0">
        <v>77</v>
      </c>
      <c r="B62" t="s" s="0">
        <v>77</v>
      </c>
      <c r="C62" t="s" s="0">
        <v>77</v>
      </c>
      <c r="D62" t="s" s="0">
        <v>77</v>
      </c>
      <c r="E62" t="s" s="0">
        <v>1448</v>
      </c>
      <c r="F62" t="s" s="0">
        <v>1449</v>
      </c>
      <c r="G62" t="s" s="0">
        <v>1450</v>
      </c>
      <c r="H62" t="s" s="0">
        <v>81</v>
      </c>
      <c r="I62" t="s" s="0">
        <v>147</v>
      </c>
      <c r="J62" t="s" s="0">
        <v>1451</v>
      </c>
      <c r="K62" t="s" s="0">
        <v>1452</v>
      </c>
      <c r="L62" t="s" s="0">
        <v>81</v>
      </c>
      <c r="M62" t="s" s="0">
        <v>81</v>
      </c>
      <c r="N62" t="s" s="0">
        <v>81</v>
      </c>
      <c r="O62" t="s" s="0">
        <v>1453</v>
      </c>
      <c r="P62" t="s" s="0">
        <v>1454</v>
      </c>
      <c r="Q62" t="s" s="0">
        <v>90</v>
      </c>
      <c r="R62" t="s" s="0">
        <v>81</v>
      </c>
      <c r="S62" t="s" s="0">
        <v>81</v>
      </c>
      <c r="T62" t="s" s="0">
        <v>81</v>
      </c>
      <c r="U62" t="s" s="0">
        <v>81</v>
      </c>
      <c r="V62" t="s" s="0">
        <v>1455</v>
      </c>
      <c r="W62" t="s" s="0">
        <v>1456</v>
      </c>
      <c r="X62" t="s" s="0">
        <v>81</v>
      </c>
      <c r="Y62" t="s" s="0">
        <v>81</v>
      </c>
      <c r="Z62" t="s" s="0">
        <v>93</v>
      </c>
      <c r="AA62" t="s" s="0">
        <v>94</v>
      </c>
      <c r="AB62" t="s" s="0">
        <v>81</v>
      </c>
      <c r="AC62" t="s" s="0">
        <v>81</v>
      </c>
      <c r="AD62" t="s" s="0">
        <v>81</v>
      </c>
      <c r="AE62" t="s" s="0">
        <v>81</v>
      </c>
      <c r="AF62" t="s" s="0">
        <v>81</v>
      </c>
      <c r="AG62" t="s" s="0">
        <v>1457</v>
      </c>
      <c r="AH62" t="s" s="0">
        <v>1458</v>
      </c>
      <c r="AI62" t="s" s="0">
        <v>81</v>
      </c>
      <c r="AJ62" t="s" s="0">
        <v>81</v>
      </c>
      <c r="AK62" t="s" s="0">
        <v>81</v>
      </c>
      <c r="AL62" t="s" s="0">
        <v>1459</v>
      </c>
      <c r="AM62" t="s" s="0">
        <v>77</v>
      </c>
      <c r="AN62" t="s" s="0">
        <v>77</v>
      </c>
      <c r="AO62" t="s" s="0">
        <v>77</v>
      </c>
      <c r="AP62" t="s" s="0">
        <v>77</v>
      </c>
      <c r="AQ62" t="s" s="0">
        <v>633</v>
      </c>
      <c r="AR62" t="s" s="0">
        <v>634</v>
      </c>
      <c r="AS62" t="s" s="0">
        <v>635</v>
      </c>
      <c r="AT62" t="s" s="0">
        <v>1460</v>
      </c>
      <c r="AU62" t="s" s="0">
        <v>1461</v>
      </c>
      <c r="AV62" t="s" s="0">
        <v>81</v>
      </c>
      <c r="AW62" t="s" s="0">
        <v>1462</v>
      </c>
      <c r="AX62" t="s" s="0">
        <v>1463</v>
      </c>
      <c r="AY62" t="s" s="0">
        <v>1372</v>
      </c>
      <c r="AZ62" t="s" s="0">
        <v>105</v>
      </c>
      <c r="BA62" t="s" s="0">
        <v>1419</v>
      </c>
      <c r="BB62" t="s" s="0">
        <v>81</v>
      </c>
      <c r="BC62" t="s" s="0">
        <v>81</v>
      </c>
      <c r="BD62" t="s" s="0">
        <v>81</v>
      </c>
      <c r="BE62" t="s" s="0">
        <v>81</v>
      </c>
      <c r="BF62" t="s" s="0">
        <v>81</v>
      </c>
      <c r="BG62" t="s" s="0">
        <v>81</v>
      </c>
      <c r="BH62" t="s" s="0">
        <v>81</v>
      </c>
      <c r="BI62" t="s" s="0">
        <v>1464</v>
      </c>
      <c r="BJ62" t="s" s="0">
        <v>1465</v>
      </c>
      <c r="BK62" t="s" s="121">
        <f>HYPERLINK("http://dx.doi.org/10.1016/j.trac.2026.119086","http://dx.doi.org/10.1016/j.trac.2026.119086")</f>
        <v>1466</v>
      </c>
      <c r="BL62" t="s" s="0">
        <v>81</v>
      </c>
      <c r="BM62" t="s" s="0">
        <v>81</v>
      </c>
      <c r="BN62" t="s" s="0">
        <v>393</v>
      </c>
      <c r="BO62" t="s" s="0">
        <v>1467</v>
      </c>
      <c r="BP62" t="s" s="0">
        <v>1468</v>
      </c>
      <c r="BQ62" t="s" s="0">
        <v>1469</v>
      </c>
      <c r="BR62" t="s" s="0">
        <v>81</v>
      </c>
      <c r="BS62" t="s" s="0">
        <v>1470</v>
      </c>
      <c r="BT62" t="s" s="122">
        <f>HYPERLINK("https://www.webofscience.com/wos/woscc/full-record/WOS:001851812900001","View Record in Web of Science")</f>
        <v>116</v>
      </c>
      <c r="BU62" t="s" s="0">
        <v>81</v>
      </c>
      <c r="BV62" t="s" s="0">
        <v>81</v>
      </c>
      <c r="BW62" t="s" s="0">
        <v>81</v>
      </c>
      <c r="BX62" t="s" s="0">
        <v>118</v>
      </c>
    </row>
    <row r="63">
      <c r="A63" t="s" s="0">
        <v>77</v>
      </c>
      <c r="B63" t="s" s="0">
        <v>77</v>
      </c>
      <c r="C63" t="s" s="0">
        <v>77</v>
      </c>
      <c r="D63" t="s" s="0">
        <v>77</v>
      </c>
      <c r="E63" t="s" s="0">
        <v>1471</v>
      </c>
      <c r="F63" t="s" s="0">
        <v>1472</v>
      </c>
      <c r="G63" t="s" s="0">
        <v>1473</v>
      </c>
      <c r="H63" t="s" s="0">
        <v>81</v>
      </c>
      <c r="I63" t="s" s="0">
        <v>147</v>
      </c>
      <c r="J63" t="s" s="0">
        <v>1474</v>
      </c>
      <c r="K63" t="s" s="0">
        <v>1475</v>
      </c>
      <c r="L63" t="s" s="0">
        <v>81</v>
      </c>
      <c r="M63" t="s" s="0">
        <v>81</v>
      </c>
      <c r="N63" t="s" s="0">
        <v>81</v>
      </c>
      <c r="O63" t="s" s="0">
        <v>1476</v>
      </c>
      <c r="P63" t="s" s="0">
        <v>81</v>
      </c>
      <c r="Q63" t="s" s="0">
        <v>90</v>
      </c>
      <c r="R63" t="s" s="0">
        <v>81</v>
      </c>
      <c r="S63" t="s" s="0">
        <v>81</v>
      </c>
      <c r="T63" t="s" s="0">
        <v>81</v>
      </c>
      <c r="U63" t="s" s="0">
        <v>81</v>
      </c>
      <c r="V63" t="s" s="0">
        <v>1477</v>
      </c>
      <c r="W63" t="s" s="0">
        <v>1478</v>
      </c>
      <c r="X63" t="s" s="0">
        <v>81</v>
      </c>
      <c r="Y63" t="s" s="0">
        <v>81</v>
      </c>
      <c r="Z63" t="s" s="0">
        <v>93</v>
      </c>
      <c r="AA63" t="s" s="0">
        <v>94</v>
      </c>
      <c r="AB63" t="s" s="0">
        <v>81</v>
      </c>
      <c r="AC63" t="s" s="0">
        <v>81</v>
      </c>
      <c r="AD63" t="s" s="0">
        <v>81</v>
      </c>
      <c r="AE63" t="s" s="0">
        <v>81</v>
      </c>
      <c r="AF63" t="s" s="0">
        <v>81</v>
      </c>
      <c r="AG63" t="s" s="0">
        <v>1479</v>
      </c>
      <c r="AH63" t="s" s="0">
        <v>1480</v>
      </c>
      <c r="AI63" t="s" s="0">
        <v>81</v>
      </c>
      <c r="AJ63" t="s" s="0">
        <v>81</v>
      </c>
      <c r="AK63" t="s" s="0">
        <v>81</v>
      </c>
      <c r="AL63" t="s" s="0">
        <v>1481</v>
      </c>
      <c r="AM63" t="s" s="0">
        <v>77</v>
      </c>
      <c r="AN63" t="s" s="0">
        <v>77</v>
      </c>
      <c r="AO63" t="s" s="0">
        <v>77</v>
      </c>
      <c r="AP63" t="s" s="0">
        <v>77</v>
      </c>
      <c r="AQ63" t="s" s="0">
        <v>737</v>
      </c>
      <c r="AR63" t="s" s="0">
        <v>738</v>
      </c>
      <c r="AS63" t="s" s="0">
        <v>739</v>
      </c>
      <c r="AT63" t="s" s="0">
        <v>1482</v>
      </c>
      <c r="AU63" t="s" s="0">
        <v>1483</v>
      </c>
      <c r="AV63" t="s" s="0">
        <v>81</v>
      </c>
      <c r="AW63" t="s" s="0">
        <v>1484</v>
      </c>
      <c r="AX63" t="s" s="0">
        <v>1485</v>
      </c>
      <c r="AY63" t="s" s="0">
        <v>1372</v>
      </c>
      <c r="AZ63" t="s" s="0">
        <v>105</v>
      </c>
      <c r="BA63" t="s" s="0">
        <v>1486</v>
      </c>
      <c r="BB63" t="s" s="0">
        <v>81</v>
      </c>
      <c r="BC63" t="s" s="0">
        <v>81</v>
      </c>
      <c r="BD63" t="s" s="0">
        <v>81</v>
      </c>
      <c r="BE63" t="s" s="0">
        <v>81</v>
      </c>
      <c r="BF63" t="s" s="0">
        <v>81</v>
      </c>
      <c r="BG63" t="s" s="0">
        <v>81</v>
      </c>
      <c r="BH63" t="s" s="0">
        <v>81</v>
      </c>
      <c r="BI63" t="s" s="0">
        <v>1487</v>
      </c>
      <c r="BJ63" t="s" s="0">
        <v>1488</v>
      </c>
      <c r="BK63" t="s" s="123">
        <f>HYPERLINK("http://dx.doi.org/10.1016/j.artmed.2026.103501","http://dx.doi.org/10.1016/j.artmed.2026.103501")</f>
        <v>1489</v>
      </c>
      <c r="BL63" t="s" s="0">
        <v>81</v>
      </c>
      <c r="BM63" t="s" s="0">
        <v>81</v>
      </c>
      <c r="BN63" t="s" s="0">
        <v>1043</v>
      </c>
      <c r="BO63" t="s" s="0">
        <v>1490</v>
      </c>
      <c r="BP63" t="s" s="0">
        <v>1491</v>
      </c>
      <c r="BQ63" t="s" s="0">
        <v>1492</v>
      </c>
      <c r="BR63" t="s" s="0">
        <v>1493</v>
      </c>
      <c r="BS63" t="s" s="0">
        <v>1494</v>
      </c>
      <c r="BT63" t="s" s="124">
        <f>HYPERLINK("https://www.webofscience.com/wos/woscc/full-record/WOS:001850063200001","View Record in Web of Science")</f>
        <v>116</v>
      </c>
      <c r="BU63" t="s" s="0">
        <v>694</v>
      </c>
      <c r="BV63" t="s" s="0">
        <v>81</v>
      </c>
      <c r="BW63" t="s" s="0">
        <v>81</v>
      </c>
      <c r="BX63" t="s" s="0">
        <v>118</v>
      </c>
    </row>
    <row r="64">
      <c r="A64" t="s" s="0">
        <v>77</v>
      </c>
      <c r="B64" t="s" s="0">
        <v>77</v>
      </c>
      <c r="C64" t="s" s="0">
        <v>77</v>
      </c>
      <c r="D64" t="s" s="0">
        <v>77</v>
      </c>
      <c r="E64" t="s" s="0">
        <v>1495</v>
      </c>
      <c r="F64" t="s" s="0">
        <v>1496</v>
      </c>
      <c r="G64" t="s" s="0">
        <v>1497</v>
      </c>
      <c r="H64" t="s" s="0">
        <v>81</v>
      </c>
      <c r="I64" t="s" s="0">
        <v>147</v>
      </c>
      <c r="J64" t="s" s="0">
        <v>1498</v>
      </c>
      <c r="K64" t="s" s="0">
        <v>81</v>
      </c>
      <c r="L64" t="s" s="0">
        <v>81</v>
      </c>
      <c r="M64" t="s" s="0">
        <v>81</v>
      </c>
      <c r="N64" t="s" s="0">
        <v>81</v>
      </c>
      <c r="O64" t="s" s="0">
        <v>1499</v>
      </c>
      <c r="P64" t="s" s="0">
        <v>1500</v>
      </c>
      <c r="Q64" t="s" s="0">
        <v>90</v>
      </c>
      <c r="R64" t="s" s="0">
        <v>81</v>
      </c>
      <c r="S64" t="s" s="0">
        <v>81</v>
      </c>
      <c r="T64" t="s" s="0">
        <v>81</v>
      </c>
      <c r="U64" t="s" s="0">
        <v>81</v>
      </c>
      <c r="V64" t="s" s="0">
        <v>1501</v>
      </c>
      <c r="W64" t="s" s="0">
        <v>1366</v>
      </c>
      <c r="X64" t="s" s="0">
        <v>81</v>
      </c>
      <c r="Y64" t="s" s="0">
        <v>81</v>
      </c>
      <c r="Z64" t="s" s="0">
        <v>93</v>
      </c>
      <c r="AA64" t="s" s="0">
        <v>128</v>
      </c>
      <c r="AB64" t="s" s="0">
        <v>81</v>
      </c>
      <c r="AC64" t="s" s="0">
        <v>81</v>
      </c>
      <c r="AD64" t="s" s="0">
        <v>81</v>
      </c>
      <c r="AE64" t="s" s="0">
        <v>81</v>
      </c>
      <c r="AF64" t="s" s="0">
        <v>81</v>
      </c>
      <c r="AG64" t="s" s="0">
        <v>1502</v>
      </c>
      <c r="AH64" t="s" s="0">
        <v>81</v>
      </c>
      <c r="AI64" t="s" s="0">
        <v>81</v>
      </c>
      <c r="AJ64" t="s" s="0">
        <v>81</v>
      </c>
      <c r="AK64" t="s" s="0">
        <v>81</v>
      </c>
      <c r="AL64" t="s" s="0">
        <v>459</v>
      </c>
      <c r="AM64" t="s" s="0">
        <v>77</v>
      </c>
      <c r="AN64" t="s" s="0">
        <v>77</v>
      </c>
      <c r="AO64" t="s" s="0">
        <v>77</v>
      </c>
      <c r="AP64" t="s" s="0">
        <v>77</v>
      </c>
      <c r="AQ64" t="s" s="0">
        <v>1299</v>
      </c>
      <c r="AR64" t="s" s="0">
        <v>1300</v>
      </c>
      <c r="AS64" t="s" s="0">
        <v>1301</v>
      </c>
      <c r="AT64" t="s" s="0">
        <v>81</v>
      </c>
      <c r="AU64" t="s" s="0">
        <v>1369</v>
      </c>
      <c r="AV64" t="s" s="0">
        <v>81</v>
      </c>
      <c r="AW64" t="s" s="0">
        <v>1370</v>
      </c>
      <c r="AX64" t="s" s="0">
        <v>1371</v>
      </c>
      <c r="AY64" t="s" s="0">
        <v>1372</v>
      </c>
      <c r="AZ64" t="s" s="0">
        <v>105</v>
      </c>
      <c r="BA64" t="s" s="0">
        <v>1373</v>
      </c>
      <c r="BB64" t="s" s="0">
        <v>81</v>
      </c>
      <c r="BC64" t="s" s="0">
        <v>81</v>
      </c>
      <c r="BD64" t="s" s="0">
        <v>81</v>
      </c>
      <c r="BE64" t="s" s="0">
        <v>81</v>
      </c>
      <c r="BF64" t="s" s="0">
        <v>81</v>
      </c>
      <c r="BG64" t="s" s="0">
        <v>81</v>
      </c>
      <c r="BH64" t="s" s="0">
        <v>81</v>
      </c>
      <c r="BI64" t="s" s="0">
        <v>1503</v>
      </c>
      <c r="BJ64" t="s" s="0">
        <v>1504</v>
      </c>
      <c r="BK64" t="s" s="125">
        <f>HYPERLINK("http://dx.doi.org/10.1016/j.ctro.2026.101261","http://dx.doi.org/10.1016/j.ctro.2026.101261")</f>
        <v>1505</v>
      </c>
      <c r="BL64" t="s" s="0">
        <v>81</v>
      </c>
      <c r="BM64" t="s" s="0">
        <v>81</v>
      </c>
      <c r="BN64" t="s" s="0">
        <v>341</v>
      </c>
      <c r="BO64" t="s" s="0">
        <v>1377</v>
      </c>
      <c r="BP64" t="s" s="0">
        <v>1377</v>
      </c>
      <c r="BQ64" t="s" s="0">
        <v>1506</v>
      </c>
      <c r="BR64" t="s" s="0">
        <v>81</v>
      </c>
      <c r="BS64" t="s" s="0">
        <v>1507</v>
      </c>
      <c r="BT64" t="s" s="126">
        <f>HYPERLINK("https://www.webofscience.com/wos/woscc/full-record/WOS:001850784600001","View Record in Web of Science")</f>
        <v>116</v>
      </c>
      <c r="BU64" t="s" s="0">
        <v>203</v>
      </c>
      <c r="BV64" t="s" s="0">
        <v>81</v>
      </c>
      <c r="BW64" t="s" s="0">
        <v>81</v>
      </c>
      <c r="BX64" t="s" s="0">
        <v>118</v>
      </c>
    </row>
    <row r="65">
      <c r="A65" t="s" s="0">
        <v>77</v>
      </c>
      <c r="B65" t="s" s="0">
        <v>77</v>
      </c>
      <c r="C65" t="s" s="0">
        <v>77</v>
      </c>
      <c r="D65" t="s" s="0">
        <v>77</v>
      </c>
      <c r="E65" t="s" s="0">
        <v>1508</v>
      </c>
      <c r="F65" t="s" s="0">
        <v>1509</v>
      </c>
      <c r="G65" t="s" s="0">
        <v>1510</v>
      </c>
      <c r="H65" t="s" s="0">
        <v>81</v>
      </c>
      <c r="I65" t="s" s="0">
        <v>147</v>
      </c>
      <c r="J65" t="s" s="0">
        <v>1511</v>
      </c>
      <c r="K65" t="s" s="0">
        <v>1512</v>
      </c>
      <c r="L65" t="s" s="0">
        <v>1513</v>
      </c>
      <c r="M65" t="s" s="0">
        <v>550</v>
      </c>
      <c r="N65" t="s" s="0">
        <v>1514</v>
      </c>
      <c r="O65" t="s" s="0">
        <v>1515</v>
      </c>
      <c r="P65" t="s" s="0">
        <v>1516</v>
      </c>
      <c r="Q65" t="s" s="0">
        <v>90</v>
      </c>
      <c r="R65" t="s" s="0">
        <v>81</v>
      </c>
      <c r="S65" t="s" s="0">
        <v>81</v>
      </c>
      <c r="T65" t="s" s="0">
        <v>81</v>
      </c>
      <c r="U65" t="s" s="0">
        <v>81</v>
      </c>
      <c r="V65" t="s" s="0">
        <v>1517</v>
      </c>
      <c r="W65" t="s" s="0">
        <v>630</v>
      </c>
      <c r="X65" t="s" s="0">
        <v>81</v>
      </c>
      <c r="Y65" t="s" s="0">
        <v>81</v>
      </c>
      <c r="Z65" t="s" s="0">
        <v>93</v>
      </c>
      <c r="AA65" t="s" s="0">
        <v>128</v>
      </c>
      <c r="AB65" t="s" s="0">
        <v>81</v>
      </c>
      <c r="AC65" t="s" s="0">
        <v>81</v>
      </c>
      <c r="AD65" t="s" s="0">
        <v>81</v>
      </c>
      <c r="AE65" t="s" s="0">
        <v>81</v>
      </c>
      <c r="AF65" t="s" s="0">
        <v>81</v>
      </c>
      <c r="AG65" t="s" s="0">
        <v>1518</v>
      </c>
      <c r="AH65" t="s" s="0">
        <v>81</v>
      </c>
      <c r="AI65" t="s" s="0">
        <v>81</v>
      </c>
      <c r="AJ65" t="s" s="0">
        <v>81</v>
      </c>
      <c r="AK65" t="s" s="0">
        <v>81</v>
      </c>
      <c r="AL65" t="s" s="0">
        <v>1298</v>
      </c>
      <c r="AM65" t="s" s="0">
        <v>77</v>
      </c>
      <c r="AN65" t="s" s="0">
        <v>77</v>
      </c>
      <c r="AO65" t="s" s="0">
        <v>77</v>
      </c>
      <c r="AP65" t="s" s="0">
        <v>77</v>
      </c>
      <c r="AQ65" t="s" s="0">
        <v>633</v>
      </c>
      <c r="AR65" t="s" s="0">
        <v>634</v>
      </c>
      <c r="AS65" t="s" s="0">
        <v>635</v>
      </c>
      <c r="AT65" t="s" s="0">
        <v>636</v>
      </c>
      <c r="AU65" t="s" s="0">
        <v>637</v>
      </c>
      <c r="AV65" t="s" s="0">
        <v>81</v>
      </c>
      <c r="AW65" t="s" s="0">
        <v>638</v>
      </c>
      <c r="AX65" t="s" s="0">
        <v>639</v>
      </c>
      <c r="AY65" t="s" s="0">
        <v>1519</v>
      </c>
      <c r="AZ65" t="s" s="0">
        <v>105</v>
      </c>
      <c r="BA65" t="s" s="0">
        <v>1520</v>
      </c>
      <c r="BB65" t="s" s="0">
        <v>81</v>
      </c>
      <c r="BC65" t="s" s="0">
        <v>81</v>
      </c>
      <c r="BD65" t="s" s="0">
        <v>538</v>
      </c>
      <c r="BE65" t="s" s="0">
        <v>81</v>
      </c>
      <c r="BF65" t="s" s="0">
        <v>81</v>
      </c>
      <c r="BG65" t="s" s="0">
        <v>81</v>
      </c>
      <c r="BH65" t="s" s="0">
        <v>81</v>
      </c>
      <c r="BI65" t="s" s="0">
        <v>1521</v>
      </c>
      <c r="BJ65" t="s" s="0">
        <v>1522</v>
      </c>
      <c r="BK65" t="s" s="127">
        <f>HYPERLINK("http://dx.doi.org/10.1016/j.bspc.2026.111204","http://dx.doi.org/10.1016/j.bspc.2026.111204")</f>
        <v>1523</v>
      </c>
      <c r="BL65" t="s" s="0">
        <v>81</v>
      </c>
      <c r="BM65" t="s" s="0">
        <v>81</v>
      </c>
      <c r="BN65" t="s" s="0">
        <v>303</v>
      </c>
      <c r="BO65" t="s" s="0">
        <v>645</v>
      </c>
      <c r="BP65" t="s" s="0">
        <v>420</v>
      </c>
      <c r="BQ65" t="s" s="0">
        <v>1524</v>
      </c>
      <c r="BR65" t="s" s="0">
        <v>81</v>
      </c>
      <c r="BS65" t="s" s="0">
        <v>1525</v>
      </c>
      <c r="BT65" t="s" s="128">
        <f>HYPERLINK("https://www.webofscience.com/wos/woscc/full-record/WOS:001845748200001","View Record in Web of Science")</f>
        <v>116</v>
      </c>
      <c r="BU65" t="s" s="0">
        <v>81</v>
      </c>
      <c r="BV65" t="s" s="0">
        <v>81</v>
      </c>
      <c r="BW65" t="s" s="0">
        <v>81</v>
      </c>
      <c r="BX65" t="s" s="0">
        <v>118</v>
      </c>
    </row>
    <row r="66">
      <c r="A66" t="s" s="0">
        <v>77</v>
      </c>
      <c r="B66" t="s" s="0">
        <v>77</v>
      </c>
      <c r="C66" t="s" s="0">
        <v>77</v>
      </c>
      <c r="D66" t="s" s="0">
        <v>77</v>
      </c>
      <c r="E66" t="s" s="0">
        <v>1526</v>
      </c>
      <c r="F66" t="s" s="0">
        <v>1527</v>
      </c>
      <c r="G66" t="s" s="0">
        <v>1528</v>
      </c>
      <c r="H66" t="s" s="0">
        <v>81</v>
      </c>
      <c r="I66" t="s" s="0">
        <v>400</v>
      </c>
      <c r="J66" t="s" s="0">
        <v>1529</v>
      </c>
      <c r="K66" t="s" s="0">
        <v>1530</v>
      </c>
      <c r="L66" t="s" s="0">
        <v>81</v>
      </c>
      <c r="M66" t="s" s="0">
        <v>81</v>
      </c>
      <c r="N66" t="s" s="0">
        <v>81</v>
      </c>
      <c r="O66" t="s" s="0">
        <v>1531</v>
      </c>
      <c r="P66" t="s" s="0">
        <v>1532</v>
      </c>
      <c r="Q66" t="s" s="0">
        <v>90</v>
      </c>
      <c r="R66" t="s" s="0">
        <v>81</v>
      </c>
      <c r="S66" t="s" s="0">
        <v>81</v>
      </c>
      <c r="T66" t="s" s="0">
        <v>81</v>
      </c>
      <c r="U66" t="s" s="0">
        <v>81</v>
      </c>
      <c r="V66" t="s" s="0">
        <v>1533</v>
      </c>
      <c r="W66" t="s" s="0">
        <v>1534</v>
      </c>
      <c r="X66" t="s" s="0">
        <v>81</v>
      </c>
      <c r="Y66" t="s" s="0">
        <v>81</v>
      </c>
      <c r="Z66" t="s" s="0">
        <v>93</v>
      </c>
      <c r="AA66" t="s" s="0">
        <v>94</v>
      </c>
      <c r="AB66" t="s" s="0">
        <v>81</v>
      </c>
      <c r="AC66" t="s" s="0">
        <v>81</v>
      </c>
      <c r="AD66" t="s" s="0">
        <v>81</v>
      </c>
      <c r="AE66" t="s" s="0">
        <v>81</v>
      </c>
      <c r="AF66" t="s" s="0">
        <v>81</v>
      </c>
      <c r="AG66" t="s" s="0">
        <v>1535</v>
      </c>
      <c r="AH66" t="s" s="0">
        <v>81</v>
      </c>
      <c r="AI66" t="s" s="0">
        <v>81</v>
      </c>
      <c r="AJ66" t="s" s="0">
        <v>81</v>
      </c>
      <c r="AK66" t="s" s="0">
        <v>81</v>
      </c>
      <c r="AL66" t="s" s="0">
        <v>1536</v>
      </c>
      <c r="AM66" t="s" s="0">
        <v>77</v>
      </c>
      <c r="AN66" t="s" s="0">
        <v>77</v>
      </c>
      <c r="AO66" t="s" s="0">
        <v>77</v>
      </c>
      <c r="AP66" t="s" s="0">
        <v>77</v>
      </c>
      <c r="AQ66" t="s" s="0">
        <v>602</v>
      </c>
      <c r="AR66" t="s" s="0">
        <v>603</v>
      </c>
      <c r="AS66" t="s" s="0">
        <v>604</v>
      </c>
      <c r="AT66" t="s" s="0">
        <v>1537</v>
      </c>
      <c r="AU66" t="s" s="0">
        <v>1538</v>
      </c>
      <c r="AV66" t="s" s="0">
        <v>81</v>
      </c>
      <c r="AW66" t="s" s="0">
        <v>1539</v>
      </c>
      <c r="AX66" t="s" s="0">
        <v>1540</v>
      </c>
      <c r="AY66" t="s" s="0">
        <v>1372</v>
      </c>
      <c r="AZ66" t="s" s="0">
        <v>105</v>
      </c>
      <c r="BA66" t="s" s="0">
        <v>389</v>
      </c>
      <c r="BB66" t="s" s="0">
        <v>303</v>
      </c>
      <c r="BC66" t="s" s="0">
        <v>81</v>
      </c>
      <c r="BD66" t="s" s="0">
        <v>81</v>
      </c>
      <c r="BE66" t="s" s="0">
        <v>81</v>
      </c>
      <c r="BF66" t="s" s="0">
        <v>81</v>
      </c>
      <c r="BG66" t="s" s="0">
        <v>81</v>
      </c>
      <c r="BH66" t="s" s="0">
        <v>81</v>
      </c>
      <c r="BI66" t="s" s="0">
        <v>1541</v>
      </c>
      <c r="BJ66" t="s" s="0">
        <v>1542</v>
      </c>
      <c r="BK66" t="s" s="129">
        <f>HYPERLINK("http://dx.doi.org/10.1016/j.cptl.2026.102752","http://dx.doi.org/10.1016/j.cptl.2026.102752")</f>
        <v>1543</v>
      </c>
      <c r="BL66" t="s" s="0">
        <v>81</v>
      </c>
      <c r="BM66" t="s" s="0">
        <v>81</v>
      </c>
      <c r="BN66" t="s" s="0">
        <v>368</v>
      </c>
      <c r="BO66" t="s" s="0">
        <v>1544</v>
      </c>
      <c r="BP66" t="s" s="0">
        <v>140</v>
      </c>
      <c r="BQ66" t="s" s="0">
        <v>1545</v>
      </c>
      <c r="BR66" t="s" s="0">
        <v>1546</v>
      </c>
      <c r="BS66" t="s" s="0">
        <v>1547</v>
      </c>
      <c r="BT66" t="s" s="130">
        <f>HYPERLINK("https://www.webofscience.com/wos/woscc/full-record/WOS:001847199600001","View Record in Web of Science")</f>
        <v>116</v>
      </c>
      <c r="BU66" t="s" s="0">
        <v>81</v>
      </c>
      <c r="BV66" t="s" s="0">
        <v>81</v>
      </c>
      <c r="BW66" t="s" s="0">
        <v>81</v>
      </c>
      <c r="BX66" t="s" s="0">
        <v>118</v>
      </c>
    </row>
    <row r="67">
      <c r="A67" t="s" s="0">
        <v>77</v>
      </c>
      <c r="B67" t="s" s="0">
        <v>77</v>
      </c>
      <c r="C67" t="s" s="0">
        <v>77</v>
      </c>
      <c r="D67" t="s" s="0">
        <v>77</v>
      </c>
      <c r="E67" t="s" s="0">
        <v>1548</v>
      </c>
      <c r="F67" t="s" s="0">
        <v>1549</v>
      </c>
      <c r="G67" t="s" s="0">
        <v>1550</v>
      </c>
      <c r="H67" t="s" s="0">
        <v>81</v>
      </c>
      <c r="I67" t="s" s="0">
        <v>147</v>
      </c>
      <c r="J67" t="s" s="0">
        <v>1551</v>
      </c>
      <c r="K67" t="s" s="0">
        <v>1552</v>
      </c>
      <c r="L67" t="s" s="0">
        <v>1553</v>
      </c>
      <c r="M67" t="s" s="0">
        <v>1554</v>
      </c>
      <c r="N67" t="s" s="0">
        <v>1555</v>
      </c>
      <c r="O67" t="s" s="0">
        <v>1556</v>
      </c>
      <c r="P67" t="s" s="0">
        <v>1557</v>
      </c>
      <c r="Q67" t="s" s="0">
        <v>90</v>
      </c>
      <c r="R67" t="s" s="0">
        <v>81</v>
      </c>
      <c r="S67" t="s" s="0">
        <v>81</v>
      </c>
      <c r="T67" t="s" s="0">
        <v>81</v>
      </c>
      <c r="U67" t="s" s="0">
        <v>81</v>
      </c>
      <c r="V67" t="s" s="0">
        <v>1558</v>
      </c>
      <c r="W67" t="s" s="0">
        <v>1295</v>
      </c>
      <c r="X67" t="s" s="0">
        <v>81</v>
      </c>
      <c r="Y67" t="s" s="0">
        <v>81</v>
      </c>
      <c r="Z67" t="s" s="0">
        <v>93</v>
      </c>
      <c r="AA67" t="s" s="0">
        <v>128</v>
      </c>
      <c r="AB67" t="s" s="0">
        <v>81</v>
      </c>
      <c r="AC67" t="s" s="0">
        <v>81</v>
      </c>
      <c r="AD67" t="s" s="0">
        <v>81</v>
      </c>
      <c r="AE67" t="s" s="0">
        <v>81</v>
      </c>
      <c r="AF67" t="s" s="0">
        <v>81</v>
      </c>
      <c r="AG67" t="s" s="0">
        <v>1559</v>
      </c>
      <c r="AH67" t="s" s="0">
        <v>1560</v>
      </c>
      <c r="AI67" t="s" s="0">
        <v>81</v>
      </c>
      <c r="AJ67" t="s" s="0">
        <v>81</v>
      </c>
      <c r="AK67" t="s" s="0">
        <v>81</v>
      </c>
      <c r="AL67" t="s" s="0">
        <v>1043</v>
      </c>
      <c r="AM67" t="s" s="0">
        <v>77</v>
      </c>
      <c r="AN67" t="s" s="0">
        <v>77</v>
      </c>
      <c r="AO67" t="s" s="0">
        <v>77</v>
      </c>
      <c r="AP67" t="s" s="0">
        <v>77</v>
      </c>
      <c r="AQ67" t="s" s="0">
        <v>1299</v>
      </c>
      <c r="AR67" t="s" s="0">
        <v>1300</v>
      </c>
      <c r="AS67" t="s" s="0">
        <v>1301</v>
      </c>
      <c r="AT67" t="s" s="0">
        <v>1302</v>
      </c>
      <c r="AU67" t="s" s="0">
        <v>1303</v>
      </c>
      <c r="AV67" t="s" s="0">
        <v>81</v>
      </c>
      <c r="AW67" t="s" s="0">
        <v>1304</v>
      </c>
      <c r="AX67" t="s" s="0">
        <v>1305</v>
      </c>
      <c r="AY67" t="s" s="0">
        <v>1519</v>
      </c>
      <c r="AZ67" t="s" s="0">
        <v>105</v>
      </c>
      <c r="BA67" t="s" s="0">
        <v>1561</v>
      </c>
      <c r="BB67" t="s" s="0">
        <v>81</v>
      </c>
      <c r="BC67" t="s" s="0">
        <v>81</v>
      </c>
      <c r="BD67" t="s" s="0">
        <v>81</v>
      </c>
      <c r="BE67" t="s" s="0">
        <v>81</v>
      </c>
      <c r="BF67" t="s" s="0">
        <v>81</v>
      </c>
      <c r="BG67" t="s" s="0">
        <v>81</v>
      </c>
      <c r="BH67" t="s" s="0">
        <v>81</v>
      </c>
      <c r="BI67" t="s" s="0">
        <v>1562</v>
      </c>
      <c r="BJ67" t="s" s="0">
        <v>1563</v>
      </c>
      <c r="BK67" t="s" s="131">
        <f>HYPERLINK("http://dx.doi.org/10.1016/j.ijmedinf.2026.106650","http://dx.doi.org/10.1016/j.ijmedinf.2026.106650")</f>
        <v>1564</v>
      </c>
      <c r="BL67" t="s" s="0">
        <v>81</v>
      </c>
      <c r="BM67" t="s" s="0">
        <v>81</v>
      </c>
      <c r="BN67" t="s" s="0">
        <v>769</v>
      </c>
      <c r="BO67" t="s" s="0">
        <v>1311</v>
      </c>
      <c r="BP67" t="s" s="0">
        <v>1312</v>
      </c>
      <c r="BQ67" t="s" s="0">
        <v>1565</v>
      </c>
      <c r="BR67" t="s" s="0">
        <v>1566</v>
      </c>
      <c r="BS67" t="s" s="0">
        <v>1567</v>
      </c>
      <c r="BT67" t="s" s="132">
        <f>HYPERLINK("https://www.webofscience.com/wos/woscc/full-record/WOS:001847106700001","View Record in Web of Science")</f>
        <v>116</v>
      </c>
      <c r="BU67" t="s" s="0">
        <v>81</v>
      </c>
      <c r="BV67" t="s" s="0">
        <v>81</v>
      </c>
      <c r="BW67" t="s" s="0">
        <v>81</v>
      </c>
      <c r="BX67" t="s" s="0">
        <v>118</v>
      </c>
    </row>
    <row r="68">
      <c r="A68" t="s" s="0">
        <v>77</v>
      </c>
      <c r="B68" t="s" s="0">
        <v>77</v>
      </c>
      <c r="C68" t="s" s="0">
        <v>77</v>
      </c>
      <c r="D68" t="s" s="0">
        <v>77</v>
      </c>
      <c r="E68" t="s" s="0">
        <v>1568</v>
      </c>
      <c r="F68" t="s" s="0">
        <v>1569</v>
      </c>
      <c r="G68" t="s" s="0">
        <v>1570</v>
      </c>
      <c r="H68" t="s" s="0">
        <v>81</v>
      </c>
      <c r="I68" t="s" s="0">
        <v>147</v>
      </c>
      <c r="J68" t="s" s="0">
        <v>1571</v>
      </c>
      <c r="K68" t="s" s="0">
        <v>1572</v>
      </c>
      <c r="L68" t="s" s="0">
        <v>81</v>
      </c>
      <c r="M68" t="s" s="0">
        <v>81</v>
      </c>
      <c r="N68" t="s" s="0">
        <v>81</v>
      </c>
      <c r="O68" t="s" s="0">
        <v>1573</v>
      </c>
      <c r="P68" t="s" s="0">
        <v>1574</v>
      </c>
      <c r="Q68" t="s" s="0">
        <v>90</v>
      </c>
      <c r="R68" t="s" s="0">
        <v>81</v>
      </c>
      <c r="S68" t="s" s="0">
        <v>81</v>
      </c>
      <c r="T68" t="s" s="0">
        <v>81</v>
      </c>
      <c r="U68" t="s" s="0">
        <v>81</v>
      </c>
      <c r="V68" t="s" s="0">
        <v>1575</v>
      </c>
      <c r="W68" t="s" s="0">
        <v>1295</v>
      </c>
      <c r="X68" t="s" s="0">
        <v>81</v>
      </c>
      <c r="Y68" t="s" s="0">
        <v>81</v>
      </c>
      <c r="Z68" t="s" s="0">
        <v>93</v>
      </c>
      <c r="AA68" t="s" s="0">
        <v>128</v>
      </c>
      <c r="AB68" t="s" s="0">
        <v>81</v>
      </c>
      <c r="AC68" t="s" s="0">
        <v>81</v>
      </c>
      <c r="AD68" t="s" s="0">
        <v>81</v>
      </c>
      <c r="AE68" t="s" s="0">
        <v>81</v>
      </c>
      <c r="AF68" t="s" s="0">
        <v>81</v>
      </c>
      <c r="AG68" t="s" s="0">
        <v>1576</v>
      </c>
      <c r="AH68" t="s" s="0">
        <v>81</v>
      </c>
      <c r="AI68" t="s" s="0">
        <v>81</v>
      </c>
      <c r="AJ68" t="s" s="0">
        <v>81</v>
      </c>
      <c r="AK68" t="s" s="0">
        <v>81</v>
      </c>
      <c r="AL68" t="s" s="0">
        <v>195</v>
      </c>
      <c r="AM68" t="s" s="0">
        <v>77</v>
      </c>
      <c r="AN68" t="s" s="0">
        <v>77</v>
      </c>
      <c r="AO68" t="s" s="0">
        <v>77</v>
      </c>
      <c r="AP68" t="s" s="0">
        <v>77</v>
      </c>
      <c r="AQ68" t="s" s="0">
        <v>1299</v>
      </c>
      <c r="AR68" t="s" s="0">
        <v>1300</v>
      </c>
      <c r="AS68" t="s" s="0">
        <v>1301</v>
      </c>
      <c r="AT68" t="s" s="0">
        <v>1302</v>
      </c>
      <c r="AU68" t="s" s="0">
        <v>1303</v>
      </c>
      <c r="AV68" t="s" s="0">
        <v>81</v>
      </c>
      <c r="AW68" t="s" s="0">
        <v>1304</v>
      </c>
      <c r="AX68" t="s" s="0">
        <v>1305</v>
      </c>
      <c r="AY68" t="s" s="0">
        <v>1519</v>
      </c>
      <c r="AZ68" t="s" s="0">
        <v>105</v>
      </c>
      <c r="BA68" t="s" s="0">
        <v>1561</v>
      </c>
      <c r="BB68" t="s" s="0">
        <v>81</v>
      </c>
      <c r="BC68" t="s" s="0">
        <v>81</v>
      </c>
      <c r="BD68" t="s" s="0">
        <v>81</v>
      </c>
      <c r="BE68" t="s" s="0">
        <v>81</v>
      </c>
      <c r="BF68" t="s" s="0">
        <v>81</v>
      </c>
      <c r="BG68" t="s" s="0">
        <v>81</v>
      </c>
      <c r="BH68" t="s" s="0">
        <v>81</v>
      </c>
      <c r="BI68" t="s" s="0">
        <v>1577</v>
      </c>
      <c r="BJ68" t="s" s="0">
        <v>1578</v>
      </c>
      <c r="BK68" t="s" s="133">
        <f>HYPERLINK("http://dx.doi.org/10.1016/j.ijmedinf.2026.106605","http://dx.doi.org/10.1016/j.ijmedinf.2026.106605")</f>
        <v>1579</v>
      </c>
      <c r="BL68" t="s" s="0">
        <v>81</v>
      </c>
      <c r="BM68" t="s" s="0">
        <v>81</v>
      </c>
      <c r="BN68" t="s" s="0">
        <v>318</v>
      </c>
      <c r="BO68" t="s" s="0">
        <v>1311</v>
      </c>
      <c r="BP68" t="s" s="0">
        <v>1312</v>
      </c>
      <c r="BQ68" t="s" s="0">
        <v>1580</v>
      </c>
      <c r="BR68" t="s" s="0">
        <v>1581</v>
      </c>
      <c r="BS68" t="s" s="0">
        <v>1582</v>
      </c>
      <c r="BT68" t="s" s="134">
        <f>HYPERLINK("https://www.webofscience.com/wos/woscc/full-record/WOS:001845893500001","View Record in Web of Science")</f>
        <v>116</v>
      </c>
      <c r="BU68" t="s" s="0">
        <v>81</v>
      </c>
      <c r="BV68" t="s" s="0">
        <v>81</v>
      </c>
      <c r="BW68" t="s" s="0">
        <v>81</v>
      </c>
      <c r="BX68" t="s" s="0">
        <v>118</v>
      </c>
    </row>
    <row r="69">
      <c r="A69" t="s" s="0">
        <v>77</v>
      </c>
      <c r="B69" t="s" s="0">
        <v>77</v>
      </c>
      <c r="C69" t="s" s="0">
        <v>77</v>
      </c>
      <c r="D69" t="s" s="0">
        <v>77</v>
      </c>
      <c r="E69" t="s" s="0">
        <v>1583</v>
      </c>
      <c r="F69" t="s" s="0">
        <v>1584</v>
      </c>
      <c r="G69" t="s" s="0">
        <v>1585</v>
      </c>
      <c r="H69" t="s" s="0">
        <v>81</v>
      </c>
      <c r="I69" t="s" s="0">
        <v>147</v>
      </c>
      <c r="J69" t="s" s="0">
        <v>1586</v>
      </c>
      <c r="K69" t="s" s="0">
        <v>1587</v>
      </c>
      <c r="L69" t="s" s="0">
        <v>81</v>
      </c>
      <c r="M69" t="s" s="0">
        <v>81</v>
      </c>
      <c r="N69" t="s" s="0">
        <v>81</v>
      </c>
      <c r="O69" t="s" s="0">
        <v>1588</v>
      </c>
      <c r="P69" t="s" s="0">
        <v>1589</v>
      </c>
      <c r="Q69" t="s" s="0">
        <v>90</v>
      </c>
      <c r="R69" t="s" s="0">
        <v>81</v>
      </c>
      <c r="S69" t="s" s="0">
        <v>81</v>
      </c>
      <c r="T69" t="s" s="0">
        <v>81</v>
      </c>
      <c r="U69" t="s" s="0">
        <v>81</v>
      </c>
      <c r="V69" t="s" s="0">
        <v>1590</v>
      </c>
      <c r="W69" t="s" s="0">
        <v>1591</v>
      </c>
      <c r="X69" t="s" s="0">
        <v>81</v>
      </c>
      <c r="Y69" t="s" s="0">
        <v>81</v>
      </c>
      <c r="Z69" t="s" s="0">
        <v>93</v>
      </c>
      <c r="AA69" t="s" s="0">
        <v>128</v>
      </c>
      <c r="AB69" t="s" s="0">
        <v>81</v>
      </c>
      <c r="AC69" t="s" s="0">
        <v>81</v>
      </c>
      <c r="AD69" t="s" s="0">
        <v>81</v>
      </c>
      <c r="AE69" t="s" s="0">
        <v>81</v>
      </c>
      <c r="AF69" t="s" s="0">
        <v>81</v>
      </c>
      <c r="AG69" t="s" s="0">
        <v>81</v>
      </c>
      <c r="AH69" t="s" s="0">
        <v>1592</v>
      </c>
      <c r="AI69" t="s" s="0">
        <v>81</v>
      </c>
      <c r="AJ69" t="s" s="0">
        <v>81</v>
      </c>
      <c r="AK69" t="s" s="0">
        <v>81</v>
      </c>
      <c r="AL69" t="s" s="0">
        <v>1043</v>
      </c>
      <c r="AM69" t="s" s="0">
        <v>77</v>
      </c>
      <c r="AN69" t="s" s="0">
        <v>77</v>
      </c>
      <c r="AO69" t="s" s="0">
        <v>77</v>
      </c>
      <c r="AP69" t="s" s="0">
        <v>77</v>
      </c>
      <c r="AQ69" t="s" s="0">
        <v>602</v>
      </c>
      <c r="AR69" t="s" s="0">
        <v>603</v>
      </c>
      <c r="AS69" t="s" s="0">
        <v>604</v>
      </c>
      <c r="AT69" t="s" s="0">
        <v>1593</v>
      </c>
      <c r="AU69" t="s" s="0">
        <v>1594</v>
      </c>
      <c r="AV69" t="s" s="0">
        <v>81</v>
      </c>
      <c r="AW69" t="s" s="0">
        <v>1595</v>
      </c>
      <c r="AX69" t="s" s="0">
        <v>1596</v>
      </c>
      <c r="AY69" t="s" s="0">
        <v>1372</v>
      </c>
      <c r="AZ69" t="s" s="0">
        <v>105</v>
      </c>
      <c r="BA69" t="s" s="0">
        <v>1597</v>
      </c>
      <c r="BB69" t="s" s="0">
        <v>81</v>
      </c>
      <c r="BC69" t="s" s="0">
        <v>81</v>
      </c>
      <c r="BD69" t="s" s="0">
        <v>81</v>
      </c>
      <c r="BE69" t="s" s="0">
        <v>81</v>
      </c>
      <c r="BF69" t="s" s="0">
        <v>81</v>
      </c>
      <c r="BG69" t="s" s="0">
        <v>1598</v>
      </c>
      <c r="BH69" t="s" s="0">
        <v>1599</v>
      </c>
      <c r="BI69" t="s" s="0">
        <v>81</v>
      </c>
      <c r="BJ69" t="s" s="0">
        <v>1600</v>
      </c>
      <c r="BK69" t="s" s="135">
        <f>HYPERLINK("http://dx.doi.org/10.1016/j.avsg.2026.07.004","http://dx.doi.org/10.1016/j.avsg.2026.07.004")</f>
        <v>1601</v>
      </c>
      <c r="BL69" t="s" s="0">
        <v>81</v>
      </c>
      <c r="BM69" t="s" s="0">
        <v>81</v>
      </c>
      <c r="BN69" t="s" s="0">
        <v>224</v>
      </c>
      <c r="BO69" t="s" s="0">
        <v>1602</v>
      </c>
      <c r="BP69" t="s" s="0">
        <v>1603</v>
      </c>
      <c r="BQ69" t="s" s="0">
        <v>1604</v>
      </c>
      <c r="BR69" t="s" s="0">
        <v>1605</v>
      </c>
      <c r="BS69" t="s" s="0">
        <v>1606</v>
      </c>
      <c r="BT69" t="s" s="136">
        <f>HYPERLINK("https://www.webofscience.com/wos/woscc/full-record/WOS:001844710600001","View Record in Web of Science")</f>
        <v>116</v>
      </c>
      <c r="BU69" t="s" s="0">
        <v>81</v>
      </c>
      <c r="BV69" t="s" s="0">
        <v>81</v>
      </c>
      <c r="BW69" t="s" s="0">
        <v>81</v>
      </c>
      <c r="BX69" t="s" s="0">
        <v>118</v>
      </c>
    </row>
    <row r="70">
      <c r="A70" t="s" s="0">
        <v>77</v>
      </c>
      <c r="B70" t="s" s="0">
        <v>77</v>
      </c>
      <c r="C70" t="s" s="0">
        <v>77</v>
      </c>
      <c r="D70" t="s" s="0">
        <v>77</v>
      </c>
      <c r="E70" t="s" s="0">
        <v>1607</v>
      </c>
      <c r="F70" t="s" s="0">
        <v>1608</v>
      </c>
      <c r="G70" t="s" s="0">
        <v>1609</v>
      </c>
      <c r="H70" t="s" s="0">
        <v>81</v>
      </c>
      <c r="I70" t="s" s="0">
        <v>147</v>
      </c>
      <c r="J70" t="s" s="0">
        <v>1610</v>
      </c>
      <c r="K70" t="s" s="0">
        <v>1611</v>
      </c>
      <c r="L70" t="s" s="0">
        <v>1612</v>
      </c>
      <c r="M70" t="s" s="0">
        <v>1613</v>
      </c>
      <c r="N70" t="s" s="0">
        <v>1614</v>
      </c>
      <c r="O70" t="s" s="0">
        <v>1615</v>
      </c>
      <c r="P70" t="s" s="0">
        <v>1616</v>
      </c>
      <c r="Q70" t="s" s="0">
        <v>90</v>
      </c>
      <c r="R70" t="s" s="0">
        <v>81</v>
      </c>
      <c r="S70" t="s" s="0">
        <v>81</v>
      </c>
      <c r="T70" t="s" s="0">
        <v>81</v>
      </c>
      <c r="U70" t="s" s="0">
        <v>81</v>
      </c>
      <c r="V70" t="s" s="0">
        <v>1617</v>
      </c>
      <c r="W70" t="s" s="0">
        <v>1618</v>
      </c>
      <c r="X70" t="s" s="0">
        <v>81</v>
      </c>
      <c r="Y70" t="s" s="0">
        <v>81</v>
      </c>
      <c r="Z70" t="s" s="0">
        <v>93</v>
      </c>
      <c r="AA70" t="s" s="0">
        <v>128</v>
      </c>
      <c r="AB70" t="s" s="0">
        <v>81</v>
      </c>
      <c r="AC70" t="s" s="0">
        <v>81</v>
      </c>
      <c r="AD70" t="s" s="0">
        <v>81</v>
      </c>
      <c r="AE70" t="s" s="0">
        <v>81</v>
      </c>
      <c r="AF70" t="s" s="0">
        <v>81</v>
      </c>
      <c r="AG70" t="s" s="0">
        <v>1619</v>
      </c>
      <c r="AH70" t="s" s="0">
        <v>81</v>
      </c>
      <c r="AI70" t="s" s="0">
        <v>81</v>
      </c>
      <c r="AJ70" t="s" s="0">
        <v>81</v>
      </c>
      <c r="AK70" t="s" s="0">
        <v>81</v>
      </c>
      <c r="AL70" t="s" s="0">
        <v>1620</v>
      </c>
      <c r="AM70" t="s" s="0">
        <v>77</v>
      </c>
      <c r="AN70" t="s" s="0">
        <v>77</v>
      </c>
      <c r="AO70" t="s" s="0">
        <v>77</v>
      </c>
      <c r="AP70" t="s" s="0">
        <v>77</v>
      </c>
      <c r="AQ70" t="s" s="0">
        <v>737</v>
      </c>
      <c r="AR70" t="s" s="0">
        <v>738</v>
      </c>
      <c r="AS70" t="s" s="0">
        <v>739</v>
      </c>
      <c r="AT70" t="s" s="0">
        <v>1621</v>
      </c>
      <c r="AU70" t="s" s="0">
        <v>1622</v>
      </c>
      <c r="AV70" t="s" s="0">
        <v>81</v>
      </c>
      <c r="AW70" t="s" s="0">
        <v>1623</v>
      </c>
      <c r="AX70" t="s" s="0">
        <v>1624</v>
      </c>
      <c r="AY70" t="s" s="0">
        <v>1372</v>
      </c>
      <c r="AZ70" t="s" s="0">
        <v>105</v>
      </c>
      <c r="BA70" t="s" s="0">
        <v>1625</v>
      </c>
      <c r="BB70" t="s" s="0">
        <v>81</v>
      </c>
      <c r="BC70" t="s" s="0">
        <v>81</v>
      </c>
      <c r="BD70" t="s" s="0">
        <v>538</v>
      </c>
      <c r="BE70" t="s" s="0">
        <v>81</v>
      </c>
      <c r="BF70" t="s" s="0">
        <v>81</v>
      </c>
      <c r="BG70" t="s" s="0">
        <v>81</v>
      </c>
      <c r="BH70" t="s" s="0">
        <v>81</v>
      </c>
      <c r="BI70" t="s" s="0">
        <v>1626</v>
      </c>
      <c r="BJ70" t="s" s="0">
        <v>1627</v>
      </c>
      <c r="BK70" t="s" s="137">
        <f>HYPERLINK("http://dx.doi.org/10.1016/j.asoc.2026.116129","http://dx.doi.org/10.1016/j.asoc.2026.116129")</f>
        <v>1628</v>
      </c>
      <c r="BL70" t="s" s="0">
        <v>81</v>
      </c>
      <c r="BM70" t="s" s="0">
        <v>81</v>
      </c>
      <c r="BN70" t="s" s="0">
        <v>368</v>
      </c>
      <c r="BO70" t="s" s="0">
        <v>1629</v>
      </c>
      <c r="BP70" t="s" s="0">
        <v>616</v>
      </c>
      <c r="BQ70" t="s" s="0">
        <v>1630</v>
      </c>
      <c r="BR70" t="s" s="0">
        <v>81</v>
      </c>
      <c r="BS70" t="s" s="0">
        <v>1631</v>
      </c>
      <c r="BT70" t="s" s="138">
        <f>HYPERLINK("https://www.webofscience.com/wos/woscc/full-record/WOS:001843588400001","View Record in Web of Science")</f>
        <v>116</v>
      </c>
      <c r="BU70" t="s" s="0">
        <v>694</v>
      </c>
      <c r="BV70" t="s" s="0">
        <v>81</v>
      </c>
      <c r="BW70" t="s" s="0">
        <v>81</v>
      </c>
      <c r="BX70" t="s" s="0">
        <v>118</v>
      </c>
    </row>
    <row r="71">
      <c r="A71" t="s" s="0">
        <v>77</v>
      </c>
      <c r="B71" t="s" s="0">
        <v>77</v>
      </c>
      <c r="C71" t="s" s="0">
        <v>77</v>
      </c>
      <c r="D71" t="s" s="0">
        <v>77</v>
      </c>
      <c r="E71" t="s" s="0">
        <v>1632</v>
      </c>
      <c r="F71" t="s" s="0">
        <v>1633</v>
      </c>
      <c r="G71" t="s" s="0">
        <v>1634</v>
      </c>
      <c r="H71" t="s" s="0">
        <v>81</v>
      </c>
      <c r="I71" t="s" s="0">
        <v>147</v>
      </c>
      <c r="J71" t="s" s="0">
        <v>1635</v>
      </c>
      <c r="K71" t="s" s="0">
        <v>1636</v>
      </c>
      <c r="L71" t="s" s="0">
        <v>1637</v>
      </c>
      <c r="M71" t="s" s="0">
        <v>1638</v>
      </c>
      <c r="N71" t="s" s="0">
        <v>1639</v>
      </c>
      <c r="O71" t="s" s="0">
        <v>1640</v>
      </c>
      <c r="P71" t="s" s="0">
        <v>1641</v>
      </c>
      <c r="Q71" t="s" s="0">
        <v>90</v>
      </c>
      <c r="R71" t="s" s="0">
        <v>81</v>
      </c>
      <c r="S71" t="s" s="0">
        <v>81</v>
      </c>
      <c r="T71" t="s" s="0">
        <v>81</v>
      </c>
      <c r="U71" t="s" s="0">
        <v>81</v>
      </c>
      <c r="V71" t="s" s="0">
        <v>1642</v>
      </c>
      <c r="W71" t="s" s="0">
        <v>630</v>
      </c>
      <c r="X71" t="s" s="0">
        <v>81</v>
      </c>
      <c r="Y71" t="s" s="0">
        <v>81</v>
      </c>
      <c r="Z71" t="s" s="0">
        <v>93</v>
      </c>
      <c r="AA71" t="s" s="0">
        <v>128</v>
      </c>
      <c r="AB71" t="s" s="0">
        <v>81</v>
      </c>
      <c r="AC71" t="s" s="0">
        <v>81</v>
      </c>
      <c r="AD71" t="s" s="0">
        <v>81</v>
      </c>
      <c r="AE71" t="s" s="0">
        <v>81</v>
      </c>
      <c r="AF71" t="s" s="0">
        <v>81</v>
      </c>
      <c r="AG71" t="s" s="0">
        <v>81</v>
      </c>
      <c r="AH71" t="s" s="0">
        <v>1643</v>
      </c>
      <c r="AI71" t="s" s="0">
        <v>81</v>
      </c>
      <c r="AJ71" t="s" s="0">
        <v>81</v>
      </c>
      <c r="AK71" t="s" s="0">
        <v>81</v>
      </c>
      <c r="AL71" t="s" s="0">
        <v>1644</v>
      </c>
      <c r="AM71" t="s" s="0">
        <v>77</v>
      </c>
      <c r="AN71" t="s" s="0">
        <v>77</v>
      </c>
      <c r="AO71" t="s" s="0">
        <v>77</v>
      </c>
      <c r="AP71" t="s" s="0">
        <v>77</v>
      </c>
      <c r="AQ71" t="s" s="0">
        <v>633</v>
      </c>
      <c r="AR71" t="s" s="0">
        <v>634</v>
      </c>
      <c r="AS71" t="s" s="0">
        <v>635</v>
      </c>
      <c r="AT71" t="s" s="0">
        <v>636</v>
      </c>
      <c r="AU71" t="s" s="0">
        <v>637</v>
      </c>
      <c r="AV71" t="s" s="0">
        <v>81</v>
      </c>
      <c r="AW71" t="s" s="0">
        <v>638</v>
      </c>
      <c r="AX71" t="s" s="0">
        <v>639</v>
      </c>
      <c r="AY71" t="s" s="0">
        <v>1519</v>
      </c>
      <c r="AZ71" t="s" s="0">
        <v>105</v>
      </c>
      <c r="BA71" t="s" s="0">
        <v>1520</v>
      </c>
      <c r="BB71" t="s" s="0">
        <v>81</v>
      </c>
      <c r="BC71" t="s" s="0">
        <v>81</v>
      </c>
      <c r="BD71" t="s" s="0">
        <v>538</v>
      </c>
      <c r="BE71" t="s" s="0">
        <v>81</v>
      </c>
      <c r="BF71" t="s" s="0">
        <v>81</v>
      </c>
      <c r="BG71" t="s" s="0">
        <v>81</v>
      </c>
      <c r="BH71" t="s" s="0">
        <v>81</v>
      </c>
      <c r="BI71" t="s" s="0">
        <v>1645</v>
      </c>
      <c r="BJ71" t="s" s="0">
        <v>1646</v>
      </c>
      <c r="BK71" t="s" s="139">
        <f>HYPERLINK("http://dx.doi.org/10.1016/j.bspc.2026.111197","http://dx.doi.org/10.1016/j.bspc.2026.111197")</f>
        <v>1647</v>
      </c>
      <c r="BL71" t="s" s="0">
        <v>81</v>
      </c>
      <c r="BM71" t="s" s="0">
        <v>81</v>
      </c>
      <c r="BN71" t="s" s="0">
        <v>442</v>
      </c>
      <c r="BO71" t="s" s="0">
        <v>645</v>
      </c>
      <c r="BP71" t="s" s="0">
        <v>420</v>
      </c>
      <c r="BQ71" t="s" s="0">
        <v>1648</v>
      </c>
      <c r="BR71" t="s" s="0">
        <v>81</v>
      </c>
      <c r="BS71" t="s" s="0">
        <v>1649</v>
      </c>
      <c r="BT71" t="s" s="140">
        <f>HYPERLINK("https://www.webofscience.com/wos/woscc/full-record/WOS:001844952800001","View Record in Web of Science")</f>
        <v>116</v>
      </c>
      <c r="BU71" t="s" s="0">
        <v>81</v>
      </c>
      <c r="BV71" t="s" s="0">
        <v>81</v>
      </c>
      <c r="BW71" t="s" s="0">
        <v>81</v>
      </c>
      <c r="BX71" t="s" s="0">
        <v>118</v>
      </c>
    </row>
    <row r="72">
      <c r="A72" t="s" s="0">
        <v>77</v>
      </c>
      <c r="B72" t="s" s="0">
        <v>77</v>
      </c>
      <c r="C72" t="s" s="0">
        <v>77</v>
      </c>
      <c r="D72" t="s" s="0">
        <v>77</v>
      </c>
      <c r="E72" t="s" s="0">
        <v>1650</v>
      </c>
      <c r="F72" t="s" s="0">
        <v>1651</v>
      </c>
      <c r="G72" t="s" s="0">
        <v>1652</v>
      </c>
      <c r="H72" t="s" s="0">
        <v>81</v>
      </c>
      <c r="I72" t="s" s="0">
        <v>147</v>
      </c>
      <c r="J72" t="s" s="0">
        <v>1653</v>
      </c>
      <c r="K72" t="s" s="0">
        <v>1654</v>
      </c>
      <c r="L72" t="s" s="0">
        <v>81</v>
      </c>
      <c r="M72" t="s" s="0">
        <v>81</v>
      </c>
      <c r="N72" t="s" s="0">
        <v>81</v>
      </c>
      <c r="O72" t="s" s="0">
        <v>1655</v>
      </c>
      <c r="P72" t="s" s="0">
        <v>1656</v>
      </c>
      <c r="Q72" t="s" s="0">
        <v>90</v>
      </c>
      <c r="R72" t="s" s="0">
        <v>81</v>
      </c>
      <c r="S72" t="s" s="0">
        <v>81</v>
      </c>
      <c r="T72" t="s" s="0">
        <v>81</v>
      </c>
      <c r="U72" t="s" s="0">
        <v>81</v>
      </c>
      <c r="V72" t="s" s="0">
        <v>1657</v>
      </c>
      <c r="W72" t="s" s="0">
        <v>1295</v>
      </c>
      <c r="X72" t="s" s="0">
        <v>81</v>
      </c>
      <c r="Y72" t="s" s="0">
        <v>81</v>
      </c>
      <c r="Z72" t="s" s="0">
        <v>93</v>
      </c>
      <c r="AA72" t="s" s="0">
        <v>94</v>
      </c>
      <c r="AB72" t="s" s="0">
        <v>81</v>
      </c>
      <c r="AC72" t="s" s="0">
        <v>81</v>
      </c>
      <c r="AD72" t="s" s="0">
        <v>81</v>
      </c>
      <c r="AE72" t="s" s="0">
        <v>81</v>
      </c>
      <c r="AF72" t="s" s="0">
        <v>81</v>
      </c>
      <c r="AG72" t="s" s="0">
        <v>1658</v>
      </c>
      <c r="AH72" t="s" s="0">
        <v>1659</v>
      </c>
      <c r="AI72" t="s" s="0">
        <v>81</v>
      </c>
      <c r="AJ72" t="s" s="0">
        <v>81</v>
      </c>
      <c r="AK72" t="s" s="0">
        <v>81</v>
      </c>
      <c r="AL72" t="s" s="0">
        <v>163</v>
      </c>
      <c r="AM72" t="s" s="0">
        <v>77</v>
      </c>
      <c r="AN72" t="s" s="0">
        <v>77</v>
      </c>
      <c r="AO72" t="s" s="0">
        <v>77</v>
      </c>
      <c r="AP72" t="s" s="0">
        <v>77</v>
      </c>
      <c r="AQ72" t="s" s="0">
        <v>1299</v>
      </c>
      <c r="AR72" t="s" s="0">
        <v>1300</v>
      </c>
      <c r="AS72" t="s" s="0">
        <v>1301</v>
      </c>
      <c r="AT72" t="s" s="0">
        <v>1302</v>
      </c>
      <c r="AU72" t="s" s="0">
        <v>1303</v>
      </c>
      <c r="AV72" t="s" s="0">
        <v>81</v>
      </c>
      <c r="AW72" t="s" s="0">
        <v>1304</v>
      </c>
      <c r="AX72" t="s" s="0">
        <v>1305</v>
      </c>
      <c r="AY72" t="s" s="0">
        <v>1519</v>
      </c>
      <c r="AZ72" t="s" s="0">
        <v>105</v>
      </c>
      <c r="BA72" t="s" s="0">
        <v>1561</v>
      </c>
      <c r="BB72" t="s" s="0">
        <v>81</v>
      </c>
      <c r="BC72" t="s" s="0">
        <v>81</v>
      </c>
      <c r="BD72" t="s" s="0">
        <v>81</v>
      </c>
      <c r="BE72" t="s" s="0">
        <v>81</v>
      </c>
      <c r="BF72" t="s" s="0">
        <v>81</v>
      </c>
      <c r="BG72" t="s" s="0">
        <v>81</v>
      </c>
      <c r="BH72" t="s" s="0">
        <v>81</v>
      </c>
      <c r="BI72" t="s" s="0">
        <v>1660</v>
      </c>
      <c r="BJ72" t="s" s="0">
        <v>1661</v>
      </c>
      <c r="BK72" t="s" s="141">
        <f>HYPERLINK("http://dx.doi.org/10.1016/j.ijmedinf.2026.106648","http://dx.doi.org/10.1016/j.ijmedinf.2026.106648")</f>
        <v>1662</v>
      </c>
      <c r="BL72" t="s" s="0">
        <v>81</v>
      </c>
      <c r="BM72" t="s" s="0">
        <v>81</v>
      </c>
      <c r="BN72" t="s" s="0">
        <v>216</v>
      </c>
      <c r="BO72" t="s" s="0">
        <v>1311</v>
      </c>
      <c r="BP72" t="s" s="0">
        <v>1312</v>
      </c>
      <c r="BQ72" t="s" s="0">
        <v>1663</v>
      </c>
      <c r="BR72" t="s" s="0">
        <v>1664</v>
      </c>
      <c r="BS72" t="s" s="0">
        <v>1665</v>
      </c>
      <c r="BT72" t="s" s="142">
        <f>HYPERLINK("https://www.webofscience.com/wos/woscc/full-record/WOS:001844517800001","View Record in Web of Science")</f>
        <v>116</v>
      </c>
      <c r="BU72" t="s" s="0">
        <v>81</v>
      </c>
      <c r="BV72" t="s" s="0">
        <v>81</v>
      </c>
      <c r="BW72" t="s" s="0">
        <v>81</v>
      </c>
      <c r="BX72" t="s" s="0">
        <v>118</v>
      </c>
    </row>
    <row r="73">
      <c r="A73" t="s" s="0">
        <v>77</v>
      </c>
      <c r="B73" t="s" s="0">
        <v>77</v>
      </c>
      <c r="C73" t="s" s="0">
        <v>77</v>
      </c>
      <c r="D73" t="s" s="0">
        <v>77</v>
      </c>
      <c r="E73" t="s" s="0">
        <v>1666</v>
      </c>
      <c r="F73" t="s" s="0">
        <v>1667</v>
      </c>
      <c r="G73" t="s" s="0">
        <v>1668</v>
      </c>
      <c r="H73" t="s" s="0">
        <v>81</v>
      </c>
      <c r="I73" t="s" s="0">
        <v>400</v>
      </c>
      <c r="J73" t="s" s="0">
        <v>1669</v>
      </c>
      <c r="K73" t="s" s="0">
        <v>1670</v>
      </c>
      <c r="L73" t="s" s="0">
        <v>81</v>
      </c>
      <c r="M73" t="s" s="0">
        <v>81</v>
      </c>
      <c r="N73" t="s" s="0">
        <v>81</v>
      </c>
      <c r="O73" t="s" s="0">
        <v>1671</v>
      </c>
      <c r="P73" t="s" s="0">
        <v>1672</v>
      </c>
      <c r="Q73" t="s" s="0">
        <v>90</v>
      </c>
      <c r="R73" t="s" s="0">
        <v>81</v>
      </c>
      <c r="S73" t="s" s="0">
        <v>81</v>
      </c>
      <c r="T73" t="s" s="0">
        <v>81</v>
      </c>
      <c r="U73" t="s" s="0">
        <v>81</v>
      </c>
      <c r="V73" t="s" s="0">
        <v>1673</v>
      </c>
      <c r="W73" t="s" s="0">
        <v>1674</v>
      </c>
      <c r="X73" t="s" s="0">
        <v>81</v>
      </c>
      <c r="Y73" t="s" s="0">
        <v>81</v>
      </c>
      <c r="Z73" t="s" s="0">
        <v>93</v>
      </c>
      <c r="AA73" t="s" s="0">
        <v>128</v>
      </c>
      <c r="AB73" t="s" s="0">
        <v>81</v>
      </c>
      <c r="AC73" t="s" s="0">
        <v>81</v>
      </c>
      <c r="AD73" t="s" s="0">
        <v>81</v>
      </c>
      <c r="AE73" t="s" s="0">
        <v>81</v>
      </c>
      <c r="AF73" t="s" s="0">
        <v>81</v>
      </c>
      <c r="AG73" t="s" s="0">
        <v>1675</v>
      </c>
      <c r="AH73" t="s" s="0">
        <v>1676</v>
      </c>
      <c r="AI73" t="s" s="0">
        <v>81</v>
      </c>
      <c r="AJ73" t="s" s="0">
        <v>1677</v>
      </c>
      <c r="AK73" t="s" s="0">
        <v>81</v>
      </c>
      <c r="AL73" t="s" s="0">
        <v>518</v>
      </c>
      <c r="AM73" t="s" s="0">
        <v>77</v>
      </c>
      <c r="AN73" t="s" s="0">
        <v>77</v>
      </c>
      <c r="AO73" t="s" s="0">
        <v>77</v>
      </c>
      <c r="AP73" t="s" s="0">
        <v>77</v>
      </c>
      <c r="AQ73" t="s" s="0">
        <v>737</v>
      </c>
      <c r="AR73" t="s" s="0">
        <v>738</v>
      </c>
      <c r="AS73" t="s" s="0">
        <v>739</v>
      </c>
      <c r="AT73" t="s" s="0">
        <v>81</v>
      </c>
      <c r="AU73" t="s" s="0">
        <v>1678</v>
      </c>
      <c r="AV73" t="s" s="0">
        <v>81</v>
      </c>
      <c r="AW73" t="s" s="0">
        <v>1679</v>
      </c>
      <c r="AX73" t="s" s="0">
        <v>1680</v>
      </c>
      <c r="AY73" t="s" s="0">
        <v>1372</v>
      </c>
      <c r="AZ73" t="s" s="0">
        <v>105</v>
      </c>
      <c r="BA73" t="s" s="0">
        <v>442</v>
      </c>
      <c r="BB73" t="s" s="0">
        <v>81</v>
      </c>
      <c r="BC73" t="s" s="0">
        <v>81</v>
      </c>
      <c r="BD73" t="s" s="0">
        <v>81</v>
      </c>
      <c r="BE73" t="s" s="0">
        <v>81</v>
      </c>
      <c r="BF73" t="s" s="0">
        <v>81</v>
      </c>
      <c r="BG73" t="s" s="0">
        <v>81</v>
      </c>
      <c r="BH73" t="s" s="0">
        <v>81</v>
      </c>
      <c r="BI73" t="s" s="0">
        <v>1681</v>
      </c>
      <c r="BJ73" t="s" s="0">
        <v>1682</v>
      </c>
      <c r="BK73" t="s" s="143">
        <f>HYPERLINK("http://dx.doi.org/10.1016/j.jposna.2026.100420","http://dx.doi.org/10.1016/j.jposna.2026.100420")</f>
        <v>1683</v>
      </c>
      <c r="BL73" t="s" s="0">
        <v>81</v>
      </c>
      <c r="BM73" t="s" s="0">
        <v>81</v>
      </c>
      <c r="BN73" t="s" s="0">
        <v>341</v>
      </c>
      <c r="BO73" t="s" s="0">
        <v>1684</v>
      </c>
      <c r="BP73" t="s" s="0">
        <v>1684</v>
      </c>
      <c r="BQ73" t="s" s="0">
        <v>1685</v>
      </c>
      <c r="BR73" t="s" s="0">
        <v>81</v>
      </c>
      <c r="BS73" t="s" s="0">
        <v>1686</v>
      </c>
      <c r="BT73" t="s" s="144">
        <f>HYPERLINK("https://www.webofscience.com/wos/woscc/full-record/WOS:001844910500001","View Record in Web of Science")</f>
        <v>116</v>
      </c>
      <c r="BU73" t="s" s="0">
        <v>203</v>
      </c>
      <c r="BV73" t="s" s="0">
        <v>81</v>
      </c>
      <c r="BW73" t="s" s="0">
        <v>81</v>
      </c>
      <c r="BX73" t="s" s="0">
        <v>118</v>
      </c>
    </row>
    <row r="74">
      <c r="A74" t="s" s="0">
        <v>77</v>
      </c>
      <c r="B74" t="s" s="0">
        <v>77</v>
      </c>
      <c r="C74" t="s" s="0">
        <v>77</v>
      </c>
      <c r="D74" t="s" s="0">
        <v>77</v>
      </c>
      <c r="E74" t="s" s="0">
        <v>1687</v>
      </c>
      <c r="F74" t="s" s="0">
        <v>1688</v>
      </c>
      <c r="G74" t="s" s="0">
        <v>1689</v>
      </c>
      <c r="H74" t="s" s="0">
        <v>81</v>
      </c>
      <c r="I74" t="s" s="0">
        <v>698</v>
      </c>
      <c r="J74" t="s" s="0">
        <v>1690</v>
      </c>
      <c r="K74" t="s" s="0">
        <v>1691</v>
      </c>
      <c r="L74" t="s" s="0">
        <v>81</v>
      </c>
      <c r="M74" t="s" s="0">
        <v>81</v>
      </c>
      <c r="N74" t="s" s="0">
        <v>81</v>
      </c>
      <c r="O74" t="s" s="0">
        <v>1692</v>
      </c>
      <c r="P74" t="s" s="0">
        <v>1693</v>
      </c>
      <c r="Q74" t="s" s="0">
        <v>90</v>
      </c>
      <c r="R74" t="s" s="0">
        <v>81</v>
      </c>
      <c r="S74" t="s" s="0">
        <v>81</v>
      </c>
      <c r="T74" t="s" s="0">
        <v>81</v>
      </c>
      <c r="U74" t="s" s="0">
        <v>81</v>
      </c>
      <c r="V74" t="s" s="0">
        <v>1694</v>
      </c>
      <c r="W74" t="s" s="0">
        <v>1388</v>
      </c>
      <c r="X74" t="s" s="0">
        <v>81</v>
      </c>
      <c r="Y74" t="s" s="0">
        <v>81</v>
      </c>
      <c r="Z74" t="s" s="0">
        <v>93</v>
      </c>
      <c r="AA74" t="s" s="0">
        <v>128</v>
      </c>
      <c r="AB74" t="s" s="0">
        <v>81</v>
      </c>
      <c r="AC74" t="s" s="0">
        <v>81</v>
      </c>
      <c r="AD74" t="s" s="0">
        <v>81</v>
      </c>
      <c r="AE74" t="s" s="0">
        <v>81</v>
      </c>
      <c r="AF74" t="s" s="0">
        <v>81</v>
      </c>
      <c r="AG74" t="s" s="0">
        <v>1695</v>
      </c>
      <c r="AH74" t="s" s="0">
        <v>81</v>
      </c>
      <c r="AI74" t="s" s="0">
        <v>1696</v>
      </c>
      <c r="AJ74" t="s" s="0">
        <v>1697</v>
      </c>
      <c r="AK74" t="s" s="0">
        <v>81</v>
      </c>
      <c r="AL74" t="s" s="0">
        <v>442</v>
      </c>
      <c r="AM74" t="s" s="0">
        <v>77</v>
      </c>
      <c r="AN74" t="s" s="0">
        <v>77</v>
      </c>
      <c r="AO74" t="s" s="0">
        <v>294</v>
      </c>
      <c r="AP74" t="s" s="0">
        <v>294</v>
      </c>
      <c r="AQ74" t="s" s="0">
        <v>1299</v>
      </c>
      <c r="AR74" t="s" s="0">
        <v>1300</v>
      </c>
      <c r="AS74" t="s" s="0">
        <v>1301</v>
      </c>
      <c r="AT74" t="s" s="0">
        <v>1392</v>
      </c>
      <c r="AU74" t="s" s="0">
        <v>1393</v>
      </c>
      <c r="AV74" t="s" s="0">
        <v>81</v>
      </c>
      <c r="AW74" t="s" s="0">
        <v>1394</v>
      </c>
      <c r="AX74" t="s" s="0">
        <v>1395</v>
      </c>
      <c r="AY74" t="s" s="0">
        <v>1372</v>
      </c>
      <c r="AZ74" t="s" s="0">
        <v>105</v>
      </c>
      <c r="BA74" t="s" s="0">
        <v>1396</v>
      </c>
      <c r="BB74" t="s" s="0">
        <v>81</v>
      </c>
      <c r="BC74" t="s" s="0">
        <v>81</v>
      </c>
      <c r="BD74" t="s" s="0">
        <v>81</v>
      </c>
      <c r="BE74" t="s" s="0">
        <v>81</v>
      </c>
      <c r="BF74" t="s" s="0">
        <v>81</v>
      </c>
      <c r="BG74" t="s" s="0">
        <v>81</v>
      </c>
      <c r="BH74" t="s" s="0">
        <v>81</v>
      </c>
      <c r="BI74" t="s" s="0">
        <v>1698</v>
      </c>
      <c r="BJ74" t="s" s="0">
        <v>1699</v>
      </c>
      <c r="BK74" t="s" s="145">
        <f>HYPERLINK("http://dx.doi.org/10.1016/j.pec.2026.109808","http://dx.doi.org/10.1016/j.pec.2026.109808")</f>
        <v>1700</v>
      </c>
      <c r="BL74" t="s" s="0">
        <v>81</v>
      </c>
      <c r="BM74" t="s" s="0">
        <v>81</v>
      </c>
      <c r="BN74" t="s" s="0">
        <v>687</v>
      </c>
      <c r="BO74" t="s" s="0">
        <v>1400</v>
      </c>
      <c r="BP74" t="s" s="0">
        <v>1401</v>
      </c>
      <c r="BQ74" t="s" s="0">
        <v>1701</v>
      </c>
      <c r="BR74" t="s" s="0">
        <v>1702</v>
      </c>
      <c r="BS74" t="s" s="0">
        <v>1703</v>
      </c>
      <c r="BT74" t="s" s="146">
        <f>HYPERLINK("https://www.webofscience.com/wos/woscc/full-record/WOS:001843373600001","View Record in Web of Science")</f>
        <v>116</v>
      </c>
      <c r="BU74" t="s" s="0">
        <v>81</v>
      </c>
      <c r="BV74" t="s" s="0">
        <v>81</v>
      </c>
      <c r="BW74" t="s" s="0">
        <v>81</v>
      </c>
      <c r="BX74" t="s" s="0">
        <v>118</v>
      </c>
    </row>
    <row r="75">
      <c r="A75" t="s" s="0">
        <v>77</v>
      </c>
      <c r="B75" t="s" s="0">
        <v>77</v>
      </c>
      <c r="C75" t="s" s="0">
        <v>77</v>
      </c>
      <c r="D75" t="s" s="0">
        <v>77</v>
      </c>
      <c r="E75" t="s" s="0">
        <v>1704</v>
      </c>
      <c r="F75" t="s" s="0">
        <v>1705</v>
      </c>
      <c r="G75" t="s" s="0">
        <v>1706</v>
      </c>
      <c r="H75" t="s" s="0">
        <v>81</v>
      </c>
      <c r="I75" t="s" s="0">
        <v>147</v>
      </c>
      <c r="J75" t="s" s="0">
        <v>1707</v>
      </c>
      <c r="K75" t="s" s="0">
        <v>1708</v>
      </c>
      <c r="L75" t="s" s="0">
        <v>81</v>
      </c>
      <c r="M75" t="s" s="0">
        <v>81</v>
      </c>
      <c r="N75" t="s" s="0">
        <v>81</v>
      </c>
      <c r="O75" t="s" s="0">
        <v>1709</v>
      </c>
      <c r="P75" t="s" s="0">
        <v>81</v>
      </c>
      <c r="Q75" t="s" s="0">
        <v>90</v>
      </c>
      <c r="R75" t="s" s="0">
        <v>81</v>
      </c>
      <c r="S75" t="s" s="0">
        <v>81</v>
      </c>
      <c r="T75" t="s" s="0">
        <v>81</v>
      </c>
      <c r="U75" t="s" s="0">
        <v>81</v>
      </c>
      <c r="V75" t="s" s="0">
        <v>1710</v>
      </c>
      <c r="W75" t="s" s="0">
        <v>1295</v>
      </c>
      <c r="X75" t="s" s="0">
        <v>81</v>
      </c>
      <c r="Y75" t="s" s="0">
        <v>81</v>
      </c>
      <c r="Z75" t="s" s="0">
        <v>93</v>
      </c>
      <c r="AA75" t="s" s="0">
        <v>128</v>
      </c>
      <c r="AB75" t="s" s="0">
        <v>81</v>
      </c>
      <c r="AC75" t="s" s="0">
        <v>81</v>
      </c>
      <c r="AD75" t="s" s="0">
        <v>81</v>
      </c>
      <c r="AE75" t="s" s="0">
        <v>81</v>
      </c>
      <c r="AF75" t="s" s="0">
        <v>81</v>
      </c>
      <c r="AG75" t="s" s="0">
        <v>1711</v>
      </c>
      <c r="AH75" t="s" s="0">
        <v>1712</v>
      </c>
      <c r="AI75" t="s" s="0">
        <v>81</v>
      </c>
      <c r="AJ75" t="s" s="0">
        <v>81</v>
      </c>
      <c r="AK75" t="s" s="0">
        <v>81</v>
      </c>
      <c r="AL75" t="s" s="0">
        <v>372</v>
      </c>
      <c r="AM75" t="s" s="0">
        <v>77</v>
      </c>
      <c r="AN75" t="s" s="0">
        <v>77</v>
      </c>
      <c r="AO75" t="s" s="0">
        <v>77</v>
      </c>
      <c r="AP75" t="s" s="0">
        <v>77</v>
      </c>
      <c r="AQ75" t="s" s="0">
        <v>1299</v>
      </c>
      <c r="AR75" t="s" s="0">
        <v>1300</v>
      </c>
      <c r="AS75" t="s" s="0">
        <v>1301</v>
      </c>
      <c r="AT75" t="s" s="0">
        <v>1302</v>
      </c>
      <c r="AU75" t="s" s="0">
        <v>1303</v>
      </c>
      <c r="AV75" t="s" s="0">
        <v>81</v>
      </c>
      <c r="AW75" t="s" s="0">
        <v>1304</v>
      </c>
      <c r="AX75" t="s" s="0">
        <v>1305</v>
      </c>
      <c r="AY75" t="s" s="0">
        <v>1519</v>
      </c>
      <c r="AZ75" t="s" s="0">
        <v>105</v>
      </c>
      <c r="BA75" t="s" s="0">
        <v>1561</v>
      </c>
      <c r="BB75" t="s" s="0">
        <v>81</v>
      </c>
      <c r="BC75" t="s" s="0">
        <v>81</v>
      </c>
      <c r="BD75" t="s" s="0">
        <v>81</v>
      </c>
      <c r="BE75" t="s" s="0">
        <v>81</v>
      </c>
      <c r="BF75" t="s" s="0">
        <v>81</v>
      </c>
      <c r="BG75" t="s" s="0">
        <v>81</v>
      </c>
      <c r="BH75" t="s" s="0">
        <v>81</v>
      </c>
      <c r="BI75" t="s" s="0">
        <v>1713</v>
      </c>
      <c r="BJ75" t="s" s="0">
        <v>1714</v>
      </c>
      <c r="BK75" t="s" s="147">
        <f>HYPERLINK("http://dx.doi.org/10.1016/j.ijmedinf.2026.106637","http://dx.doi.org/10.1016/j.ijmedinf.2026.106637")</f>
        <v>1715</v>
      </c>
      <c r="BL75" t="s" s="0">
        <v>81</v>
      </c>
      <c r="BM75" t="s" s="0">
        <v>81</v>
      </c>
      <c r="BN75" t="s" s="0">
        <v>341</v>
      </c>
      <c r="BO75" t="s" s="0">
        <v>1311</v>
      </c>
      <c r="BP75" t="s" s="0">
        <v>1312</v>
      </c>
      <c r="BQ75" t="s" s="0">
        <v>1716</v>
      </c>
      <c r="BR75" t="s" s="0">
        <v>1717</v>
      </c>
      <c r="BS75" t="s" s="0">
        <v>1718</v>
      </c>
      <c r="BT75" t="s" s="148">
        <f>HYPERLINK("https://www.webofscience.com/wos/woscc/full-record/WOS:001842131300001","View Record in Web of Science")</f>
        <v>116</v>
      </c>
      <c r="BU75" t="s" s="0">
        <v>694</v>
      </c>
      <c r="BV75" t="s" s="0">
        <v>81</v>
      </c>
      <c r="BW75" t="s" s="0">
        <v>81</v>
      </c>
      <c r="BX75" t="s" s="0">
        <v>118</v>
      </c>
    </row>
    <row r="76">
      <c r="A76" t="s" s="0">
        <v>77</v>
      </c>
      <c r="B76" t="s" s="0">
        <v>77</v>
      </c>
      <c r="C76" t="s" s="0">
        <v>77</v>
      </c>
      <c r="D76" t="s" s="0">
        <v>77</v>
      </c>
      <c r="E76" t="s" s="0">
        <v>1719</v>
      </c>
      <c r="F76" t="s" s="0">
        <v>1720</v>
      </c>
      <c r="G76" t="s" s="0">
        <v>1721</v>
      </c>
      <c r="H76" t="s" s="0">
        <v>81</v>
      </c>
      <c r="I76" t="s" s="0">
        <v>147</v>
      </c>
      <c r="J76" t="s" s="0">
        <v>1722</v>
      </c>
      <c r="K76" t="s" s="0">
        <v>1723</v>
      </c>
      <c r="L76" t="s" s="0">
        <v>1724</v>
      </c>
      <c r="M76" t="s" s="0">
        <v>1725</v>
      </c>
      <c r="N76" t="s" s="0">
        <v>1726</v>
      </c>
      <c r="O76" t="s" s="0">
        <v>1727</v>
      </c>
      <c r="P76" t="s" s="0">
        <v>1728</v>
      </c>
      <c r="Q76" t="s" s="0">
        <v>90</v>
      </c>
      <c r="R76" t="s" s="0">
        <v>81</v>
      </c>
      <c r="S76" t="s" s="0">
        <v>81</v>
      </c>
      <c r="T76" t="s" s="0">
        <v>81</v>
      </c>
      <c r="U76" t="s" s="0">
        <v>81</v>
      </c>
      <c r="V76" t="s" s="0">
        <v>1729</v>
      </c>
      <c r="W76" t="s" s="0">
        <v>630</v>
      </c>
      <c r="X76" t="s" s="0">
        <v>81</v>
      </c>
      <c r="Y76" t="s" s="0">
        <v>81</v>
      </c>
      <c r="Z76" t="s" s="0">
        <v>93</v>
      </c>
      <c r="AA76" t="s" s="0">
        <v>128</v>
      </c>
      <c r="AB76" t="s" s="0">
        <v>81</v>
      </c>
      <c r="AC76" t="s" s="0">
        <v>81</v>
      </c>
      <c r="AD76" t="s" s="0">
        <v>81</v>
      </c>
      <c r="AE76" t="s" s="0">
        <v>81</v>
      </c>
      <c r="AF76" t="s" s="0">
        <v>81</v>
      </c>
      <c r="AG76" t="s" s="0">
        <v>1730</v>
      </c>
      <c r="AH76" t="s" s="0">
        <v>81</v>
      </c>
      <c r="AI76" t="s" s="0">
        <v>81</v>
      </c>
      <c r="AJ76" t="s" s="0">
        <v>81</v>
      </c>
      <c r="AK76" t="s" s="0">
        <v>81</v>
      </c>
      <c r="AL76" t="s" s="0">
        <v>244</v>
      </c>
      <c r="AM76" t="s" s="0">
        <v>77</v>
      </c>
      <c r="AN76" t="s" s="0">
        <v>77</v>
      </c>
      <c r="AO76" t="s" s="0">
        <v>77</v>
      </c>
      <c r="AP76" t="s" s="0">
        <v>77</v>
      </c>
      <c r="AQ76" t="s" s="0">
        <v>633</v>
      </c>
      <c r="AR76" t="s" s="0">
        <v>634</v>
      </c>
      <c r="AS76" t="s" s="0">
        <v>635</v>
      </c>
      <c r="AT76" t="s" s="0">
        <v>636</v>
      </c>
      <c r="AU76" t="s" s="0">
        <v>637</v>
      </c>
      <c r="AV76" t="s" s="0">
        <v>81</v>
      </c>
      <c r="AW76" t="s" s="0">
        <v>638</v>
      </c>
      <c r="AX76" t="s" s="0">
        <v>639</v>
      </c>
      <c r="AY76" t="s" s="0">
        <v>1519</v>
      </c>
      <c r="AZ76" t="s" s="0">
        <v>105</v>
      </c>
      <c r="BA76" t="s" s="0">
        <v>1520</v>
      </c>
      <c r="BB76" t="s" s="0">
        <v>81</v>
      </c>
      <c r="BC76" t="s" s="0">
        <v>81</v>
      </c>
      <c r="BD76" t="s" s="0">
        <v>538</v>
      </c>
      <c r="BE76" t="s" s="0">
        <v>81</v>
      </c>
      <c r="BF76" t="s" s="0">
        <v>81</v>
      </c>
      <c r="BG76" t="s" s="0">
        <v>81</v>
      </c>
      <c r="BH76" t="s" s="0">
        <v>81</v>
      </c>
      <c r="BI76" t="s" s="0">
        <v>1731</v>
      </c>
      <c r="BJ76" t="s" s="0">
        <v>1732</v>
      </c>
      <c r="BK76" t="s" s="149">
        <f>HYPERLINK("http://dx.doi.org/10.1016/j.bspc.2026.111135","http://dx.doi.org/10.1016/j.bspc.2026.111135")</f>
        <v>1733</v>
      </c>
      <c r="BL76" t="s" s="0">
        <v>81</v>
      </c>
      <c r="BM76" t="s" s="0">
        <v>81</v>
      </c>
      <c r="BN76" t="s" s="0">
        <v>393</v>
      </c>
      <c r="BO76" t="s" s="0">
        <v>645</v>
      </c>
      <c r="BP76" t="s" s="0">
        <v>420</v>
      </c>
      <c r="BQ76" t="s" s="0">
        <v>1734</v>
      </c>
      <c r="BR76" t="s" s="0">
        <v>81</v>
      </c>
      <c r="BS76" t="s" s="0">
        <v>1735</v>
      </c>
      <c r="BT76" t="s" s="150">
        <f>HYPERLINK("https://www.webofscience.com/wos/woscc/full-record/WOS:001840748000001","View Record in Web of Science")</f>
        <v>116</v>
      </c>
      <c r="BU76" t="s" s="0">
        <v>1143</v>
      </c>
      <c r="BV76" t="s" s="0">
        <v>81</v>
      </c>
      <c r="BW76" t="s" s="0">
        <v>81</v>
      </c>
      <c r="BX76" t="s" s="0">
        <v>118</v>
      </c>
    </row>
    <row r="77">
      <c r="A77" t="s" s="0">
        <v>77</v>
      </c>
      <c r="B77" t="s" s="0">
        <v>77</v>
      </c>
      <c r="C77" t="s" s="0">
        <v>77</v>
      </c>
      <c r="D77" t="s" s="0">
        <v>77</v>
      </c>
      <c r="E77" t="s" s="0">
        <v>1736</v>
      </c>
      <c r="F77" t="s" s="0">
        <v>1737</v>
      </c>
      <c r="G77" t="s" s="0">
        <v>1738</v>
      </c>
      <c r="H77" t="s" s="0">
        <v>81</v>
      </c>
      <c r="I77" t="s" s="0">
        <v>147</v>
      </c>
      <c r="J77" t="s" s="0">
        <v>1739</v>
      </c>
      <c r="K77" t="s" s="0">
        <v>1740</v>
      </c>
      <c r="L77" t="s" s="0">
        <v>1741</v>
      </c>
      <c r="M77" t="s" s="0">
        <v>1742</v>
      </c>
      <c r="N77" t="s" s="0">
        <v>1743</v>
      </c>
      <c r="O77" t="s" s="0">
        <v>1744</v>
      </c>
      <c r="P77" t="s" s="0">
        <v>1745</v>
      </c>
      <c r="Q77" t="s" s="0">
        <v>90</v>
      </c>
      <c r="R77" t="s" s="0">
        <v>81</v>
      </c>
      <c r="S77" t="s" s="0">
        <v>81</v>
      </c>
      <c r="T77" t="s" s="0">
        <v>81</v>
      </c>
      <c r="U77" t="s" s="0">
        <v>81</v>
      </c>
      <c r="V77" t="s" s="0">
        <v>1746</v>
      </c>
      <c r="W77" t="s" s="0">
        <v>630</v>
      </c>
      <c r="X77" t="s" s="0">
        <v>81</v>
      </c>
      <c r="Y77" t="s" s="0">
        <v>81</v>
      </c>
      <c r="Z77" t="s" s="0">
        <v>93</v>
      </c>
      <c r="AA77" t="s" s="0">
        <v>128</v>
      </c>
      <c r="AB77" t="s" s="0">
        <v>81</v>
      </c>
      <c r="AC77" t="s" s="0">
        <v>81</v>
      </c>
      <c r="AD77" t="s" s="0">
        <v>81</v>
      </c>
      <c r="AE77" t="s" s="0">
        <v>81</v>
      </c>
      <c r="AF77" t="s" s="0">
        <v>81</v>
      </c>
      <c r="AG77" t="s" s="0">
        <v>1747</v>
      </c>
      <c r="AH77" t="s" s="0">
        <v>1748</v>
      </c>
      <c r="AI77" t="s" s="0">
        <v>81</v>
      </c>
      <c r="AJ77" t="s" s="0">
        <v>81</v>
      </c>
      <c r="AK77" t="s" s="0">
        <v>81</v>
      </c>
      <c r="AL77" t="s" s="0">
        <v>1620</v>
      </c>
      <c r="AM77" t="s" s="0">
        <v>77</v>
      </c>
      <c r="AN77" t="s" s="0">
        <v>77</v>
      </c>
      <c r="AO77" t="s" s="0">
        <v>77</v>
      </c>
      <c r="AP77" t="s" s="0">
        <v>77</v>
      </c>
      <c r="AQ77" t="s" s="0">
        <v>633</v>
      </c>
      <c r="AR77" t="s" s="0">
        <v>634</v>
      </c>
      <c r="AS77" t="s" s="0">
        <v>635</v>
      </c>
      <c r="AT77" t="s" s="0">
        <v>636</v>
      </c>
      <c r="AU77" t="s" s="0">
        <v>637</v>
      </c>
      <c r="AV77" t="s" s="0">
        <v>81</v>
      </c>
      <c r="AW77" t="s" s="0">
        <v>638</v>
      </c>
      <c r="AX77" t="s" s="0">
        <v>639</v>
      </c>
      <c r="AY77" t="s" s="0">
        <v>1519</v>
      </c>
      <c r="AZ77" t="s" s="0">
        <v>105</v>
      </c>
      <c r="BA77" t="s" s="0">
        <v>1520</v>
      </c>
      <c r="BB77" t="s" s="0">
        <v>81</v>
      </c>
      <c r="BC77" t="s" s="0">
        <v>81</v>
      </c>
      <c r="BD77" t="s" s="0">
        <v>538</v>
      </c>
      <c r="BE77" t="s" s="0">
        <v>81</v>
      </c>
      <c r="BF77" t="s" s="0">
        <v>81</v>
      </c>
      <c r="BG77" t="s" s="0">
        <v>81</v>
      </c>
      <c r="BH77" t="s" s="0">
        <v>81</v>
      </c>
      <c r="BI77" t="s" s="0">
        <v>1749</v>
      </c>
      <c r="BJ77" t="s" s="0">
        <v>1750</v>
      </c>
      <c r="BK77" t="s" s="151">
        <f>HYPERLINK("http://dx.doi.org/10.1016/j.bspc.2026.111184","http://dx.doi.org/10.1016/j.bspc.2026.111184")</f>
        <v>1751</v>
      </c>
      <c r="BL77" t="s" s="0">
        <v>81</v>
      </c>
      <c r="BM77" t="s" s="0">
        <v>81</v>
      </c>
      <c r="BN77" t="s" s="0">
        <v>393</v>
      </c>
      <c r="BO77" t="s" s="0">
        <v>645</v>
      </c>
      <c r="BP77" t="s" s="0">
        <v>420</v>
      </c>
      <c r="BQ77" t="s" s="0">
        <v>1752</v>
      </c>
      <c r="BR77" t="s" s="0">
        <v>81</v>
      </c>
      <c r="BS77" t="s" s="0">
        <v>1753</v>
      </c>
      <c r="BT77" t="s" s="152">
        <f>HYPERLINK("https://www.webofscience.com/wos/woscc/full-record/WOS:001840943000001","View Record in Web of Science")</f>
        <v>116</v>
      </c>
      <c r="BU77" t="s" s="0">
        <v>81</v>
      </c>
      <c r="BV77" t="s" s="0">
        <v>81</v>
      </c>
      <c r="BW77" t="s" s="0">
        <v>81</v>
      </c>
      <c r="BX77" t="s" s="0">
        <v>118</v>
      </c>
    </row>
    <row r="78">
      <c r="A78" t="s" s="0">
        <v>77</v>
      </c>
      <c r="B78" t="s" s="0">
        <v>77</v>
      </c>
      <c r="C78" t="s" s="0">
        <v>77</v>
      </c>
      <c r="D78" t="s" s="0">
        <v>77</v>
      </c>
      <c r="E78" t="s" s="0">
        <v>1754</v>
      </c>
      <c r="F78" t="s" s="0">
        <v>1755</v>
      </c>
      <c r="G78" t="s" s="0">
        <v>1756</v>
      </c>
      <c r="H78" t="s" s="0">
        <v>81</v>
      </c>
      <c r="I78" t="s" s="0">
        <v>147</v>
      </c>
      <c r="J78" t="s" s="0">
        <v>1757</v>
      </c>
      <c r="K78" t="s" s="0">
        <v>1758</v>
      </c>
      <c r="L78" t="s" s="0">
        <v>81</v>
      </c>
      <c r="M78" t="s" s="0">
        <v>81</v>
      </c>
      <c r="N78" t="s" s="0">
        <v>81</v>
      </c>
      <c r="O78" t="s" s="0">
        <v>1759</v>
      </c>
      <c r="P78" t="s" s="0">
        <v>1760</v>
      </c>
      <c r="Q78" t="s" s="0">
        <v>90</v>
      </c>
      <c r="R78" t="s" s="0">
        <v>81</v>
      </c>
      <c r="S78" t="s" s="0">
        <v>81</v>
      </c>
      <c r="T78" t="s" s="0">
        <v>81</v>
      </c>
      <c r="U78" t="s" s="0">
        <v>81</v>
      </c>
      <c r="V78" t="s" s="0">
        <v>1761</v>
      </c>
      <c r="W78" t="s" s="0">
        <v>1295</v>
      </c>
      <c r="X78" t="s" s="0">
        <v>81</v>
      </c>
      <c r="Y78" t="s" s="0">
        <v>81</v>
      </c>
      <c r="Z78" t="s" s="0">
        <v>93</v>
      </c>
      <c r="AA78" t="s" s="0">
        <v>128</v>
      </c>
      <c r="AB78" t="s" s="0">
        <v>81</v>
      </c>
      <c r="AC78" t="s" s="0">
        <v>81</v>
      </c>
      <c r="AD78" t="s" s="0">
        <v>81</v>
      </c>
      <c r="AE78" t="s" s="0">
        <v>81</v>
      </c>
      <c r="AF78" t="s" s="0">
        <v>81</v>
      </c>
      <c r="AG78" t="s" s="0">
        <v>1762</v>
      </c>
      <c r="AH78" t="s" s="0">
        <v>81</v>
      </c>
      <c r="AI78" t="s" s="0">
        <v>81</v>
      </c>
      <c r="AJ78" t="s" s="0">
        <v>81</v>
      </c>
      <c r="AK78" t="s" s="0">
        <v>81</v>
      </c>
      <c r="AL78" t="s" s="0">
        <v>1051</v>
      </c>
      <c r="AM78" t="s" s="0">
        <v>77</v>
      </c>
      <c r="AN78" t="s" s="0">
        <v>77</v>
      </c>
      <c r="AO78" t="s" s="0">
        <v>77</v>
      </c>
      <c r="AP78" t="s" s="0">
        <v>77</v>
      </c>
      <c r="AQ78" t="s" s="0">
        <v>1299</v>
      </c>
      <c r="AR78" t="s" s="0">
        <v>1300</v>
      </c>
      <c r="AS78" t="s" s="0">
        <v>1301</v>
      </c>
      <c r="AT78" t="s" s="0">
        <v>1302</v>
      </c>
      <c r="AU78" t="s" s="0">
        <v>1303</v>
      </c>
      <c r="AV78" t="s" s="0">
        <v>81</v>
      </c>
      <c r="AW78" t="s" s="0">
        <v>1304</v>
      </c>
      <c r="AX78" t="s" s="0">
        <v>1305</v>
      </c>
      <c r="AY78" t="s" s="0">
        <v>1519</v>
      </c>
      <c r="AZ78" t="s" s="0">
        <v>105</v>
      </c>
      <c r="BA78" t="s" s="0">
        <v>1561</v>
      </c>
      <c r="BB78" t="s" s="0">
        <v>81</v>
      </c>
      <c r="BC78" t="s" s="0">
        <v>81</v>
      </c>
      <c r="BD78" t="s" s="0">
        <v>81</v>
      </c>
      <c r="BE78" t="s" s="0">
        <v>81</v>
      </c>
      <c r="BF78" t="s" s="0">
        <v>81</v>
      </c>
      <c r="BG78" t="s" s="0">
        <v>81</v>
      </c>
      <c r="BH78" t="s" s="0">
        <v>81</v>
      </c>
      <c r="BI78" t="s" s="0">
        <v>1763</v>
      </c>
      <c r="BJ78" t="s" s="0">
        <v>1764</v>
      </c>
      <c r="BK78" t="s" s="153">
        <f>HYPERLINK("http://dx.doi.org/10.1016/j.ijmedinf.2026.106636","http://dx.doi.org/10.1016/j.ijmedinf.2026.106636")</f>
        <v>1765</v>
      </c>
      <c r="BL78" t="s" s="0">
        <v>81</v>
      </c>
      <c r="BM78" t="s" s="0">
        <v>81</v>
      </c>
      <c r="BN78" t="s" s="0">
        <v>319</v>
      </c>
      <c r="BO78" t="s" s="0">
        <v>1311</v>
      </c>
      <c r="BP78" t="s" s="0">
        <v>1312</v>
      </c>
      <c r="BQ78" t="s" s="0">
        <v>1766</v>
      </c>
      <c r="BR78" t="s" s="0">
        <v>1767</v>
      </c>
      <c r="BS78" t="s" s="0">
        <v>1768</v>
      </c>
      <c r="BT78" t="s" s="154">
        <f>HYPERLINK("https://www.webofscience.com/wos/woscc/full-record/WOS:001839908600001","View Record in Web of Science")</f>
        <v>116</v>
      </c>
      <c r="BU78" t="s" s="0">
        <v>694</v>
      </c>
      <c r="BV78" t="s" s="0">
        <v>81</v>
      </c>
      <c r="BW78" t="s" s="0">
        <v>81</v>
      </c>
      <c r="BX78" t="s" s="0">
        <v>118</v>
      </c>
    </row>
    <row r="79">
      <c r="A79" t="s" s="0">
        <v>77</v>
      </c>
      <c r="B79" t="s" s="0">
        <v>77</v>
      </c>
      <c r="C79" t="s" s="0">
        <v>77</v>
      </c>
      <c r="D79" t="s" s="0">
        <v>77</v>
      </c>
      <c r="E79" t="s" s="0">
        <v>1769</v>
      </c>
      <c r="F79" t="s" s="0">
        <v>1770</v>
      </c>
      <c r="G79" t="s" s="0">
        <v>1771</v>
      </c>
      <c r="H79" t="s" s="0">
        <v>81</v>
      </c>
      <c r="I79" t="s" s="0">
        <v>147</v>
      </c>
      <c r="J79" t="s" s="0">
        <v>1772</v>
      </c>
      <c r="K79" t="s" s="0">
        <v>1773</v>
      </c>
      <c r="L79" t="s" s="0">
        <v>1774</v>
      </c>
      <c r="M79" t="s" s="0">
        <v>1775</v>
      </c>
      <c r="N79" t="s" s="0">
        <v>1776</v>
      </c>
      <c r="O79" t="s" s="0">
        <v>1777</v>
      </c>
      <c r="P79" t="s" s="0">
        <v>1778</v>
      </c>
      <c r="Q79" t="s" s="0">
        <v>90</v>
      </c>
      <c r="R79" t="s" s="0">
        <v>81</v>
      </c>
      <c r="S79" t="s" s="0">
        <v>81</v>
      </c>
      <c r="T79" t="s" s="0">
        <v>81</v>
      </c>
      <c r="U79" t="s" s="0">
        <v>81</v>
      </c>
      <c r="V79" t="s" s="0">
        <v>1779</v>
      </c>
      <c r="W79" t="s" s="0">
        <v>1295</v>
      </c>
      <c r="X79" t="s" s="0">
        <v>81</v>
      </c>
      <c r="Y79" t="s" s="0">
        <v>81</v>
      </c>
      <c r="Z79" t="s" s="0">
        <v>93</v>
      </c>
      <c r="AA79" t="s" s="0">
        <v>94</v>
      </c>
      <c r="AB79" t="s" s="0">
        <v>81</v>
      </c>
      <c r="AC79" t="s" s="0">
        <v>81</v>
      </c>
      <c r="AD79" t="s" s="0">
        <v>81</v>
      </c>
      <c r="AE79" t="s" s="0">
        <v>81</v>
      </c>
      <c r="AF79" t="s" s="0">
        <v>81</v>
      </c>
      <c r="AG79" t="s" s="0">
        <v>1780</v>
      </c>
      <c r="AH79" t="s" s="0">
        <v>81</v>
      </c>
      <c r="AI79" t="s" s="0">
        <v>81</v>
      </c>
      <c r="AJ79" t="s" s="0">
        <v>81</v>
      </c>
      <c r="AK79" t="s" s="0">
        <v>81</v>
      </c>
      <c r="AL79" t="s" s="0">
        <v>1025</v>
      </c>
      <c r="AM79" t="s" s="0">
        <v>77</v>
      </c>
      <c r="AN79" t="s" s="0">
        <v>77</v>
      </c>
      <c r="AO79" t="s" s="0">
        <v>77</v>
      </c>
      <c r="AP79" t="s" s="0">
        <v>77</v>
      </c>
      <c r="AQ79" t="s" s="0">
        <v>1299</v>
      </c>
      <c r="AR79" t="s" s="0">
        <v>1300</v>
      </c>
      <c r="AS79" t="s" s="0">
        <v>1301</v>
      </c>
      <c r="AT79" t="s" s="0">
        <v>1302</v>
      </c>
      <c r="AU79" t="s" s="0">
        <v>1303</v>
      </c>
      <c r="AV79" t="s" s="0">
        <v>81</v>
      </c>
      <c r="AW79" t="s" s="0">
        <v>1304</v>
      </c>
      <c r="AX79" t="s" s="0">
        <v>1305</v>
      </c>
      <c r="AY79" t="s" s="0">
        <v>1519</v>
      </c>
      <c r="AZ79" t="s" s="0">
        <v>105</v>
      </c>
      <c r="BA79" t="s" s="0">
        <v>1561</v>
      </c>
      <c r="BB79" t="s" s="0">
        <v>81</v>
      </c>
      <c r="BC79" t="s" s="0">
        <v>81</v>
      </c>
      <c r="BD79" t="s" s="0">
        <v>81</v>
      </c>
      <c r="BE79" t="s" s="0">
        <v>81</v>
      </c>
      <c r="BF79" t="s" s="0">
        <v>81</v>
      </c>
      <c r="BG79" t="s" s="0">
        <v>81</v>
      </c>
      <c r="BH79" t="s" s="0">
        <v>81</v>
      </c>
      <c r="BI79" t="s" s="0">
        <v>1781</v>
      </c>
      <c r="BJ79" t="s" s="0">
        <v>1782</v>
      </c>
      <c r="BK79" t="s" s="155">
        <f>HYPERLINK("http://dx.doi.org/10.1016/j.ijmedinf.2026.106631","http://dx.doi.org/10.1016/j.ijmedinf.2026.106631")</f>
        <v>1783</v>
      </c>
      <c r="BL79" t="s" s="0">
        <v>81</v>
      </c>
      <c r="BM79" t="s" s="0">
        <v>81</v>
      </c>
      <c r="BN79" t="s" s="0">
        <v>318</v>
      </c>
      <c r="BO79" t="s" s="0">
        <v>1311</v>
      </c>
      <c r="BP79" t="s" s="0">
        <v>1312</v>
      </c>
      <c r="BQ79" t="s" s="0">
        <v>1784</v>
      </c>
      <c r="BR79" t="s" s="0">
        <v>1785</v>
      </c>
      <c r="BS79" t="s" s="0">
        <v>1786</v>
      </c>
      <c r="BT79" t="s" s="156">
        <f>HYPERLINK("https://www.webofscience.com/wos/woscc/full-record/WOS:001839828200001","View Record in Web of Science")</f>
        <v>116</v>
      </c>
      <c r="BU79" t="s" s="0">
        <v>81</v>
      </c>
      <c r="BV79" t="s" s="0">
        <v>81</v>
      </c>
      <c r="BW79" t="s" s="0">
        <v>81</v>
      </c>
      <c r="BX79" t="s" s="0">
        <v>118</v>
      </c>
    </row>
    <row r="80">
      <c r="A80" t="s" s="0">
        <v>77</v>
      </c>
      <c r="B80" t="s" s="0">
        <v>77</v>
      </c>
      <c r="C80" t="s" s="0">
        <v>77</v>
      </c>
      <c r="D80" t="s" s="0">
        <v>77</v>
      </c>
      <c r="E80" t="s" s="0">
        <v>1787</v>
      </c>
      <c r="F80" t="s" s="0">
        <v>1788</v>
      </c>
      <c r="G80" t="s" s="0">
        <v>1789</v>
      </c>
      <c r="H80" t="s" s="0">
        <v>81</v>
      </c>
      <c r="I80" t="s" s="0">
        <v>147</v>
      </c>
      <c r="J80" t="s" s="0">
        <v>1790</v>
      </c>
      <c r="K80" t="s" s="0">
        <v>1791</v>
      </c>
      <c r="L80" t="s" s="0">
        <v>81</v>
      </c>
      <c r="M80" t="s" s="0">
        <v>81</v>
      </c>
      <c r="N80" t="s" s="0">
        <v>81</v>
      </c>
      <c r="O80" t="s" s="0">
        <v>1792</v>
      </c>
      <c r="P80" t="s" s="0">
        <v>1793</v>
      </c>
      <c r="Q80" t="s" s="0">
        <v>90</v>
      </c>
      <c r="R80" t="s" s="0">
        <v>81</v>
      </c>
      <c r="S80" t="s" s="0">
        <v>81</v>
      </c>
      <c r="T80" t="s" s="0">
        <v>81</v>
      </c>
      <c r="U80" t="s" s="0">
        <v>81</v>
      </c>
      <c r="V80" t="s" s="0">
        <v>1794</v>
      </c>
      <c r="W80" t="s" s="0">
        <v>1618</v>
      </c>
      <c r="X80" t="s" s="0">
        <v>81</v>
      </c>
      <c r="Y80" t="s" s="0">
        <v>81</v>
      </c>
      <c r="Z80" t="s" s="0">
        <v>93</v>
      </c>
      <c r="AA80" t="s" s="0">
        <v>128</v>
      </c>
      <c r="AB80" t="s" s="0">
        <v>81</v>
      </c>
      <c r="AC80" t="s" s="0">
        <v>81</v>
      </c>
      <c r="AD80" t="s" s="0">
        <v>81</v>
      </c>
      <c r="AE80" t="s" s="0">
        <v>81</v>
      </c>
      <c r="AF80" t="s" s="0">
        <v>81</v>
      </c>
      <c r="AG80" t="s" s="0">
        <v>1795</v>
      </c>
      <c r="AH80" t="s" s="0">
        <v>81</v>
      </c>
      <c r="AI80" t="s" s="0">
        <v>81</v>
      </c>
      <c r="AJ80" t="s" s="0">
        <v>81</v>
      </c>
      <c r="AK80" t="s" s="0">
        <v>81</v>
      </c>
      <c r="AL80" t="s" s="0">
        <v>1796</v>
      </c>
      <c r="AM80" t="s" s="0">
        <v>77</v>
      </c>
      <c r="AN80" t="s" s="0">
        <v>77</v>
      </c>
      <c r="AO80" t="s" s="0">
        <v>77</v>
      </c>
      <c r="AP80" t="s" s="0">
        <v>77</v>
      </c>
      <c r="AQ80" t="s" s="0">
        <v>737</v>
      </c>
      <c r="AR80" t="s" s="0">
        <v>738</v>
      </c>
      <c r="AS80" t="s" s="0">
        <v>739</v>
      </c>
      <c r="AT80" t="s" s="0">
        <v>1621</v>
      </c>
      <c r="AU80" t="s" s="0">
        <v>1622</v>
      </c>
      <c r="AV80" t="s" s="0">
        <v>81</v>
      </c>
      <c r="AW80" t="s" s="0">
        <v>1623</v>
      </c>
      <c r="AX80" t="s" s="0">
        <v>1624</v>
      </c>
      <c r="AY80" t="s" s="0">
        <v>1372</v>
      </c>
      <c r="AZ80" t="s" s="0">
        <v>105</v>
      </c>
      <c r="BA80" t="s" s="0">
        <v>1625</v>
      </c>
      <c r="BB80" t="s" s="0">
        <v>81</v>
      </c>
      <c r="BC80" t="s" s="0">
        <v>81</v>
      </c>
      <c r="BD80" t="s" s="0">
        <v>1281</v>
      </c>
      <c r="BE80" t="s" s="0">
        <v>81</v>
      </c>
      <c r="BF80" t="s" s="0">
        <v>81</v>
      </c>
      <c r="BG80" t="s" s="0">
        <v>81</v>
      </c>
      <c r="BH80" t="s" s="0">
        <v>81</v>
      </c>
      <c r="BI80" t="s" s="0">
        <v>1797</v>
      </c>
      <c r="BJ80" t="s" s="0">
        <v>1798</v>
      </c>
      <c r="BK80" t="s" s="157">
        <f>HYPERLINK("http://dx.doi.org/10.1016/j.asoc.2026.116089","http://dx.doi.org/10.1016/j.asoc.2026.116089")</f>
        <v>1799</v>
      </c>
      <c r="BL80" t="s" s="0">
        <v>81</v>
      </c>
      <c r="BM80" t="s" s="0">
        <v>81</v>
      </c>
      <c r="BN80" t="s" s="0">
        <v>139</v>
      </c>
      <c r="BO80" t="s" s="0">
        <v>1629</v>
      </c>
      <c r="BP80" t="s" s="0">
        <v>616</v>
      </c>
      <c r="BQ80" t="s" s="0">
        <v>1800</v>
      </c>
      <c r="BR80" t="s" s="0">
        <v>81</v>
      </c>
      <c r="BS80" t="s" s="0">
        <v>1801</v>
      </c>
      <c r="BT80" t="s" s="158">
        <f>HYPERLINK("https://www.webofscience.com/wos/woscc/full-record/WOS:001838386100002","View Record in Web of Science")</f>
        <v>116</v>
      </c>
      <c r="BU80" t="s" s="0">
        <v>81</v>
      </c>
      <c r="BV80" t="s" s="0">
        <v>81</v>
      </c>
      <c r="BW80" t="s" s="0">
        <v>81</v>
      </c>
      <c r="BX80" t="s" s="0">
        <v>118</v>
      </c>
    </row>
    <row r="81">
      <c r="A81" t="s" s="0">
        <v>77</v>
      </c>
      <c r="B81" t="s" s="0">
        <v>77</v>
      </c>
      <c r="C81" t="s" s="0">
        <v>77</v>
      </c>
      <c r="D81" t="s" s="0">
        <v>77</v>
      </c>
      <c r="E81" t="s" s="0">
        <v>1802</v>
      </c>
      <c r="F81" t="s" s="0">
        <v>1803</v>
      </c>
      <c r="G81" t="s" s="0">
        <v>1804</v>
      </c>
      <c r="H81" t="s" s="0">
        <v>81</v>
      </c>
      <c r="I81" t="s" s="0">
        <v>147</v>
      </c>
      <c r="J81" t="s" s="0">
        <v>1805</v>
      </c>
      <c r="K81" t="s" s="0">
        <v>1806</v>
      </c>
      <c r="L81" t="s" s="0">
        <v>1807</v>
      </c>
      <c r="M81" t="s" s="0">
        <v>550</v>
      </c>
      <c r="N81" t="s" s="0">
        <v>1808</v>
      </c>
      <c r="O81" t="s" s="0">
        <v>1809</v>
      </c>
      <c r="P81" t="s" s="0">
        <v>1810</v>
      </c>
      <c r="Q81" t="s" s="0">
        <v>90</v>
      </c>
      <c r="R81" t="s" s="0">
        <v>81</v>
      </c>
      <c r="S81" t="s" s="0">
        <v>81</v>
      </c>
      <c r="T81" t="s" s="0">
        <v>81</v>
      </c>
      <c r="U81" t="s" s="0">
        <v>81</v>
      </c>
      <c r="V81" t="s" s="0">
        <v>1811</v>
      </c>
      <c r="W81" t="s" s="0">
        <v>630</v>
      </c>
      <c r="X81" t="s" s="0">
        <v>81</v>
      </c>
      <c r="Y81" t="s" s="0">
        <v>81</v>
      </c>
      <c r="Z81" t="s" s="0">
        <v>93</v>
      </c>
      <c r="AA81" t="s" s="0">
        <v>128</v>
      </c>
      <c r="AB81" t="s" s="0">
        <v>81</v>
      </c>
      <c r="AC81" t="s" s="0">
        <v>81</v>
      </c>
      <c r="AD81" t="s" s="0">
        <v>81</v>
      </c>
      <c r="AE81" t="s" s="0">
        <v>81</v>
      </c>
      <c r="AF81" t="s" s="0">
        <v>81</v>
      </c>
      <c r="AG81" t="s" s="0">
        <v>1812</v>
      </c>
      <c r="AH81" t="s" s="0">
        <v>81</v>
      </c>
      <c r="AI81" t="s" s="0">
        <v>81</v>
      </c>
      <c r="AJ81" t="s" s="0">
        <v>81</v>
      </c>
      <c r="AK81" t="s" s="0">
        <v>81</v>
      </c>
      <c r="AL81" t="s" s="0">
        <v>601</v>
      </c>
      <c r="AM81" t="s" s="0">
        <v>77</v>
      </c>
      <c r="AN81" t="s" s="0">
        <v>77</v>
      </c>
      <c r="AO81" t="s" s="0">
        <v>77</v>
      </c>
      <c r="AP81" t="s" s="0">
        <v>77</v>
      </c>
      <c r="AQ81" t="s" s="0">
        <v>633</v>
      </c>
      <c r="AR81" t="s" s="0">
        <v>634</v>
      </c>
      <c r="AS81" t="s" s="0">
        <v>635</v>
      </c>
      <c r="AT81" t="s" s="0">
        <v>636</v>
      </c>
      <c r="AU81" t="s" s="0">
        <v>637</v>
      </c>
      <c r="AV81" t="s" s="0">
        <v>81</v>
      </c>
      <c r="AW81" t="s" s="0">
        <v>638</v>
      </c>
      <c r="AX81" t="s" s="0">
        <v>639</v>
      </c>
      <c r="AY81" t="s" s="0">
        <v>1519</v>
      </c>
      <c r="AZ81" t="s" s="0">
        <v>105</v>
      </c>
      <c r="BA81" t="s" s="0">
        <v>1520</v>
      </c>
      <c r="BB81" t="s" s="0">
        <v>81</v>
      </c>
      <c r="BC81" t="s" s="0">
        <v>81</v>
      </c>
      <c r="BD81" t="s" s="0">
        <v>538</v>
      </c>
      <c r="BE81" t="s" s="0">
        <v>81</v>
      </c>
      <c r="BF81" t="s" s="0">
        <v>81</v>
      </c>
      <c r="BG81" t="s" s="0">
        <v>81</v>
      </c>
      <c r="BH81" t="s" s="0">
        <v>81</v>
      </c>
      <c r="BI81" t="s" s="0">
        <v>1813</v>
      </c>
      <c r="BJ81" t="s" s="0">
        <v>1814</v>
      </c>
      <c r="BK81" t="s" s="159">
        <f>HYPERLINK("http://dx.doi.org/10.1016/j.bspc.2026.111069","http://dx.doi.org/10.1016/j.bspc.2026.111069")</f>
        <v>1815</v>
      </c>
      <c r="BL81" t="s" s="0">
        <v>81</v>
      </c>
      <c r="BM81" t="s" s="0">
        <v>81</v>
      </c>
      <c r="BN81" t="s" s="0">
        <v>139</v>
      </c>
      <c r="BO81" t="s" s="0">
        <v>645</v>
      </c>
      <c r="BP81" t="s" s="0">
        <v>420</v>
      </c>
      <c r="BQ81" t="s" s="0">
        <v>1816</v>
      </c>
      <c r="BR81" t="s" s="0">
        <v>81</v>
      </c>
      <c r="BS81" t="s" s="0">
        <v>1817</v>
      </c>
      <c r="BT81" t="s" s="160">
        <f>HYPERLINK("https://www.webofscience.com/wos/woscc/full-record/WOS:001837564800001","View Record in Web of Science")</f>
        <v>116</v>
      </c>
      <c r="BU81" t="s" s="0">
        <v>81</v>
      </c>
      <c r="BV81" t="s" s="0">
        <v>81</v>
      </c>
      <c r="BW81" t="s" s="0">
        <v>81</v>
      </c>
      <c r="BX81" t="s" s="0">
        <v>118</v>
      </c>
    </row>
    <row r="82">
      <c r="A82" t="s" s="0">
        <v>77</v>
      </c>
      <c r="B82" t="s" s="0">
        <v>77</v>
      </c>
      <c r="C82" t="s" s="0">
        <v>77</v>
      </c>
      <c r="D82" t="s" s="0">
        <v>77</v>
      </c>
      <c r="E82" t="s" s="0">
        <v>1818</v>
      </c>
      <c r="F82" t="s" s="0">
        <v>1819</v>
      </c>
      <c r="G82" t="s" s="0">
        <v>1820</v>
      </c>
      <c r="H82" t="s" s="0">
        <v>81</v>
      </c>
      <c r="I82" t="s" s="0">
        <v>147</v>
      </c>
      <c r="J82" t="s" s="0">
        <v>1821</v>
      </c>
      <c r="K82" t="s" s="0">
        <v>1822</v>
      </c>
      <c r="L82" t="s" s="0">
        <v>1823</v>
      </c>
      <c r="M82" t="s" s="0">
        <v>1824</v>
      </c>
      <c r="N82" t="s" s="0">
        <v>1825</v>
      </c>
      <c r="O82" t="s" s="0">
        <v>1826</v>
      </c>
      <c r="P82" t="s" s="0">
        <v>1827</v>
      </c>
      <c r="Q82" t="s" s="0">
        <v>90</v>
      </c>
      <c r="R82" t="s" s="0">
        <v>81</v>
      </c>
      <c r="S82" t="s" s="0">
        <v>81</v>
      </c>
      <c r="T82" t="s" s="0">
        <v>81</v>
      </c>
      <c r="U82" t="s" s="0">
        <v>81</v>
      </c>
      <c r="V82" t="s" s="0">
        <v>1828</v>
      </c>
      <c r="W82" t="s" s="0">
        <v>1829</v>
      </c>
      <c r="X82" t="s" s="0">
        <v>81</v>
      </c>
      <c r="Y82" t="s" s="0">
        <v>81</v>
      </c>
      <c r="Z82" t="s" s="0">
        <v>93</v>
      </c>
      <c r="AA82" t="s" s="0">
        <v>128</v>
      </c>
      <c r="AB82" t="s" s="0">
        <v>81</v>
      </c>
      <c r="AC82" t="s" s="0">
        <v>81</v>
      </c>
      <c r="AD82" t="s" s="0">
        <v>81</v>
      </c>
      <c r="AE82" t="s" s="0">
        <v>81</v>
      </c>
      <c r="AF82" t="s" s="0">
        <v>81</v>
      </c>
      <c r="AG82" t="s" s="0">
        <v>1830</v>
      </c>
      <c r="AH82" t="s" s="0">
        <v>1831</v>
      </c>
      <c r="AI82" t="s" s="0">
        <v>81</v>
      </c>
      <c r="AJ82" t="s" s="0">
        <v>81</v>
      </c>
      <c r="AK82" t="s" s="0">
        <v>81</v>
      </c>
      <c r="AL82" t="s" s="0">
        <v>1832</v>
      </c>
      <c r="AM82" t="s" s="0">
        <v>77</v>
      </c>
      <c r="AN82" t="s" s="0">
        <v>77</v>
      </c>
      <c r="AO82" t="s" s="0">
        <v>77</v>
      </c>
      <c r="AP82" t="s" s="0">
        <v>77</v>
      </c>
      <c r="AQ82" t="s" s="0">
        <v>737</v>
      </c>
      <c r="AR82" t="s" s="0">
        <v>738</v>
      </c>
      <c r="AS82" t="s" s="0">
        <v>739</v>
      </c>
      <c r="AT82" t="s" s="0">
        <v>1833</v>
      </c>
      <c r="AU82" t="s" s="0">
        <v>1834</v>
      </c>
      <c r="AV82" t="s" s="0">
        <v>81</v>
      </c>
      <c r="AW82" t="s" s="0">
        <v>1835</v>
      </c>
      <c r="AX82" t="s" s="0">
        <v>1836</v>
      </c>
      <c r="AY82" t="s" s="0">
        <v>1372</v>
      </c>
      <c r="AZ82" t="s" s="0">
        <v>105</v>
      </c>
      <c r="BA82" t="s" s="0">
        <v>1837</v>
      </c>
      <c r="BB82" t="s" s="0">
        <v>81</v>
      </c>
      <c r="BC82" t="s" s="0">
        <v>81</v>
      </c>
      <c r="BD82" t="s" s="0">
        <v>81</v>
      </c>
      <c r="BE82" t="s" s="0">
        <v>81</v>
      </c>
      <c r="BF82" t="s" s="0">
        <v>81</v>
      </c>
      <c r="BG82" t="s" s="0">
        <v>81</v>
      </c>
      <c r="BH82" t="s" s="0">
        <v>81</v>
      </c>
      <c r="BI82" t="s" s="0">
        <v>1838</v>
      </c>
      <c r="BJ82" t="s" s="0">
        <v>1839</v>
      </c>
      <c r="BK82" t="s" s="161">
        <f>HYPERLINK("http://dx.doi.org/10.1016/j.media.2026.104236","http://dx.doi.org/10.1016/j.media.2026.104236")</f>
        <v>1840</v>
      </c>
      <c r="BL82" t="s" s="0">
        <v>81</v>
      </c>
      <c r="BM82" t="s" s="0">
        <v>81</v>
      </c>
      <c r="BN82" t="s" s="0">
        <v>389</v>
      </c>
      <c r="BO82" t="s" s="0">
        <v>1841</v>
      </c>
      <c r="BP82" t="s" s="0">
        <v>1842</v>
      </c>
      <c r="BQ82" t="s" s="0">
        <v>1843</v>
      </c>
      <c r="BR82" t="s" s="0">
        <v>1844</v>
      </c>
      <c r="BS82" t="s" s="0">
        <v>1845</v>
      </c>
      <c r="BT82" t="s" s="162">
        <f>HYPERLINK("https://www.webofscience.com/wos/woscc/full-record/WOS:001836324800001","View Record in Web of Science")</f>
        <v>116</v>
      </c>
      <c r="BU82" t="s" s="0">
        <v>81</v>
      </c>
      <c r="BV82" t="s" s="0">
        <v>81</v>
      </c>
      <c r="BW82" t="s" s="0">
        <v>81</v>
      </c>
      <c r="BX82" t="s" s="0">
        <v>118</v>
      </c>
    </row>
    <row r="83">
      <c r="A83" t="s" s="0">
        <v>77</v>
      </c>
      <c r="B83" t="s" s="0">
        <v>77</v>
      </c>
      <c r="C83" t="s" s="0">
        <v>77</v>
      </c>
      <c r="D83" t="s" s="0">
        <v>77</v>
      </c>
      <c r="E83" t="s" s="0">
        <v>1846</v>
      </c>
      <c r="F83" t="s" s="0">
        <v>1847</v>
      </c>
      <c r="G83" t="s" s="0">
        <v>1848</v>
      </c>
      <c r="H83" t="s" s="0">
        <v>81</v>
      </c>
      <c r="I83" t="s" s="0">
        <v>147</v>
      </c>
      <c r="J83" t="s" s="0">
        <v>1849</v>
      </c>
      <c r="K83" t="s" s="0">
        <v>1850</v>
      </c>
      <c r="L83" t="s" s="0">
        <v>1851</v>
      </c>
      <c r="M83" t="s" s="0">
        <v>1852</v>
      </c>
      <c r="N83" t="s" s="0">
        <v>1853</v>
      </c>
      <c r="O83" t="s" s="0">
        <v>1854</v>
      </c>
      <c r="P83" t="s" s="0">
        <v>1855</v>
      </c>
      <c r="Q83" t="s" s="0">
        <v>90</v>
      </c>
      <c r="R83" t="s" s="0">
        <v>81</v>
      </c>
      <c r="S83" t="s" s="0">
        <v>81</v>
      </c>
      <c r="T83" t="s" s="0">
        <v>81</v>
      </c>
      <c r="U83" t="s" s="0">
        <v>81</v>
      </c>
      <c r="V83" t="s" s="0">
        <v>1856</v>
      </c>
      <c r="W83" t="s" s="0">
        <v>1857</v>
      </c>
      <c r="X83" t="s" s="0">
        <v>81</v>
      </c>
      <c r="Y83" t="s" s="0">
        <v>81</v>
      </c>
      <c r="Z83" t="s" s="0">
        <v>93</v>
      </c>
      <c r="AA83" t="s" s="0">
        <v>128</v>
      </c>
      <c r="AB83" t="s" s="0">
        <v>81</v>
      </c>
      <c r="AC83" t="s" s="0">
        <v>81</v>
      </c>
      <c r="AD83" t="s" s="0">
        <v>81</v>
      </c>
      <c r="AE83" t="s" s="0">
        <v>81</v>
      </c>
      <c r="AF83" t="s" s="0">
        <v>81</v>
      </c>
      <c r="AG83" t="s" s="0">
        <v>1858</v>
      </c>
      <c r="AH83" t="s" s="0">
        <v>1859</v>
      </c>
      <c r="AI83" t="s" s="0">
        <v>1860</v>
      </c>
      <c r="AJ83" t="s" s="0">
        <v>81</v>
      </c>
      <c r="AK83" t="s" s="0">
        <v>81</v>
      </c>
      <c r="AL83" t="s" s="0">
        <v>1644</v>
      </c>
      <c r="AM83" t="s" s="0">
        <v>77</v>
      </c>
      <c r="AN83" t="s" s="0">
        <v>77</v>
      </c>
      <c r="AO83" t="s" s="0">
        <v>77</v>
      </c>
      <c r="AP83" t="s" s="0">
        <v>77</v>
      </c>
      <c r="AQ83" t="s" s="0">
        <v>505</v>
      </c>
      <c r="AR83" t="s" s="0">
        <v>506</v>
      </c>
      <c r="AS83" t="s" s="0">
        <v>507</v>
      </c>
      <c r="AT83" t="s" s="0">
        <v>1861</v>
      </c>
      <c r="AU83" t="s" s="0">
        <v>1862</v>
      </c>
      <c r="AV83" t="s" s="0">
        <v>81</v>
      </c>
      <c r="AW83" t="s" s="0">
        <v>1863</v>
      </c>
      <c r="AX83" t="s" s="0">
        <v>1864</v>
      </c>
      <c r="AY83" t="s" s="0">
        <v>1372</v>
      </c>
      <c r="AZ83" t="s" s="0">
        <v>105</v>
      </c>
      <c r="BA83" t="s" s="0">
        <v>1865</v>
      </c>
      <c r="BB83" t="s" s="0">
        <v>81</v>
      </c>
      <c r="BC83" t="s" s="0">
        <v>81</v>
      </c>
      <c r="BD83" t="s" s="0">
        <v>538</v>
      </c>
      <c r="BE83" t="s" s="0">
        <v>81</v>
      </c>
      <c r="BF83" t="s" s="0">
        <v>81</v>
      </c>
      <c r="BG83" t="s" s="0">
        <v>81</v>
      </c>
      <c r="BH83" t="s" s="0">
        <v>81</v>
      </c>
      <c r="BI83" t="s" s="0">
        <v>1866</v>
      </c>
      <c r="BJ83" t="s" s="0">
        <v>1867</v>
      </c>
      <c r="BK83" t="s" s="163">
        <f>HYPERLINK("http://dx.doi.org/10.1016/j.compeleceng.2026.111408","http://dx.doi.org/10.1016/j.compeleceng.2026.111408")</f>
        <v>1868</v>
      </c>
      <c r="BL83" t="s" s="0">
        <v>81</v>
      </c>
      <c r="BM83" t="s" s="0">
        <v>81</v>
      </c>
      <c r="BN83" t="s" s="0">
        <v>574</v>
      </c>
      <c r="BO83" t="s" s="0">
        <v>1869</v>
      </c>
      <c r="BP83" t="s" s="0">
        <v>200</v>
      </c>
      <c r="BQ83" t="s" s="0">
        <v>1870</v>
      </c>
      <c r="BR83" t="s" s="0">
        <v>81</v>
      </c>
      <c r="BS83" t="s" s="0">
        <v>1871</v>
      </c>
      <c r="BT83" t="s" s="164">
        <f>HYPERLINK("https://www.webofscience.com/wos/woscc/full-record/WOS:001835685500001","View Record in Web of Science")</f>
        <v>116</v>
      </c>
      <c r="BU83" t="s" s="0">
        <v>81</v>
      </c>
      <c r="BV83" t="s" s="0">
        <v>81</v>
      </c>
      <c r="BW83" t="s" s="0">
        <v>81</v>
      </c>
      <c r="BX83" t="s" s="0">
        <v>118</v>
      </c>
    </row>
    <row r="84">
      <c r="A84" t="s" s="0">
        <v>77</v>
      </c>
      <c r="B84" t="s" s="0">
        <v>77</v>
      </c>
      <c r="C84" t="s" s="0">
        <v>77</v>
      </c>
      <c r="D84" t="s" s="0">
        <v>77</v>
      </c>
      <c r="E84" t="s" s="0">
        <v>1872</v>
      </c>
      <c r="F84" t="s" s="0">
        <v>1873</v>
      </c>
      <c r="G84" t="s" s="0">
        <v>1874</v>
      </c>
      <c r="H84" t="s" s="0">
        <v>81</v>
      </c>
      <c r="I84" t="s" s="0">
        <v>147</v>
      </c>
      <c r="J84" t="s" s="0">
        <v>1875</v>
      </c>
      <c r="K84" t="s" s="0">
        <v>1876</v>
      </c>
      <c r="L84" t="s" s="0">
        <v>1877</v>
      </c>
      <c r="M84" t="s" s="0">
        <v>1878</v>
      </c>
      <c r="N84" t="s" s="0">
        <v>1879</v>
      </c>
      <c r="O84" t="s" s="0">
        <v>1880</v>
      </c>
      <c r="P84" t="s" s="0">
        <v>1881</v>
      </c>
      <c r="Q84" t="s" s="0">
        <v>90</v>
      </c>
      <c r="R84" t="s" s="0">
        <v>81</v>
      </c>
      <c r="S84" t="s" s="0">
        <v>81</v>
      </c>
      <c r="T84" t="s" s="0">
        <v>81</v>
      </c>
      <c r="U84" t="s" s="0">
        <v>81</v>
      </c>
      <c r="V84" t="s" s="0">
        <v>1882</v>
      </c>
      <c r="W84" t="s" s="0">
        <v>1829</v>
      </c>
      <c r="X84" t="s" s="0">
        <v>81</v>
      </c>
      <c r="Y84" t="s" s="0">
        <v>81</v>
      </c>
      <c r="Z84" t="s" s="0">
        <v>93</v>
      </c>
      <c r="AA84" t="s" s="0">
        <v>128</v>
      </c>
      <c r="AB84" t="s" s="0">
        <v>81</v>
      </c>
      <c r="AC84" t="s" s="0">
        <v>81</v>
      </c>
      <c r="AD84" t="s" s="0">
        <v>81</v>
      </c>
      <c r="AE84" t="s" s="0">
        <v>81</v>
      </c>
      <c r="AF84" t="s" s="0">
        <v>81</v>
      </c>
      <c r="AG84" t="s" s="0">
        <v>1883</v>
      </c>
      <c r="AH84" t="s" s="0">
        <v>1643</v>
      </c>
      <c r="AI84" t="s" s="0">
        <v>1884</v>
      </c>
      <c r="AJ84" t="s" s="0">
        <v>81</v>
      </c>
      <c r="AK84" t="s" s="0">
        <v>81</v>
      </c>
      <c r="AL84" t="s" s="0">
        <v>783</v>
      </c>
      <c r="AM84" t="s" s="0">
        <v>77</v>
      </c>
      <c r="AN84" t="s" s="0">
        <v>77</v>
      </c>
      <c r="AO84" t="s" s="0">
        <v>77</v>
      </c>
      <c r="AP84" t="s" s="0">
        <v>77</v>
      </c>
      <c r="AQ84" t="s" s="0">
        <v>737</v>
      </c>
      <c r="AR84" t="s" s="0">
        <v>738</v>
      </c>
      <c r="AS84" t="s" s="0">
        <v>739</v>
      </c>
      <c r="AT84" t="s" s="0">
        <v>1833</v>
      </c>
      <c r="AU84" t="s" s="0">
        <v>1834</v>
      </c>
      <c r="AV84" t="s" s="0">
        <v>81</v>
      </c>
      <c r="AW84" t="s" s="0">
        <v>1835</v>
      </c>
      <c r="AX84" t="s" s="0">
        <v>1836</v>
      </c>
      <c r="AY84" t="s" s="0">
        <v>1372</v>
      </c>
      <c r="AZ84" t="s" s="0">
        <v>105</v>
      </c>
      <c r="BA84" t="s" s="0">
        <v>1837</v>
      </c>
      <c r="BB84" t="s" s="0">
        <v>81</v>
      </c>
      <c r="BC84" t="s" s="0">
        <v>81</v>
      </c>
      <c r="BD84" t="s" s="0">
        <v>81</v>
      </c>
      <c r="BE84" t="s" s="0">
        <v>81</v>
      </c>
      <c r="BF84" t="s" s="0">
        <v>81</v>
      </c>
      <c r="BG84" t="s" s="0">
        <v>81</v>
      </c>
      <c r="BH84" t="s" s="0">
        <v>81</v>
      </c>
      <c r="BI84" t="s" s="0">
        <v>1885</v>
      </c>
      <c r="BJ84" t="s" s="0">
        <v>1886</v>
      </c>
      <c r="BK84" t="s" s="165">
        <f>HYPERLINK("http://dx.doi.org/10.1016/j.media.2026.104232","http://dx.doi.org/10.1016/j.media.2026.104232")</f>
        <v>1887</v>
      </c>
      <c r="BL84" t="s" s="0">
        <v>81</v>
      </c>
      <c r="BM84" t="s" s="0">
        <v>81</v>
      </c>
      <c r="BN84" t="s" s="0">
        <v>393</v>
      </c>
      <c r="BO84" t="s" s="0">
        <v>1841</v>
      </c>
      <c r="BP84" t="s" s="0">
        <v>1842</v>
      </c>
      <c r="BQ84" t="s" s="0">
        <v>1888</v>
      </c>
      <c r="BR84" t="s" s="0">
        <v>1889</v>
      </c>
      <c r="BS84" t="s" s="0">
        <v>1890</v>
      </c>
      <c r="BT84" t="s" s="166">
        <f>HYPERLINK("https://www.webofscience.com/wos/woscc/full-record/WOS:001835637900001","View Record in Web of Science")</f>
        <v>116</v>
      </c>
      <c r="BU84" t="s" s="0">
        <v>1143</v>
      </c>
      <c r="BV84" t="s" s="0">
        <v>81</v>
      </c>
      <c r="BW84" t="s" s="0">
        <v>81</v>
      </c>
      <c r="BX84" t="s" s="0">
        <v>118</v>
      </c>
    </row>
    <row r="85">
      <c r="A85" t="s" s="0">
        <v>77</v>
      </c>
      <c r="B85" t="s" s="0">
        <v>77</v>
      </c>
      <c r="C85" t="s" s="0">
        <v>77</v>
      </c>
      <c r="D85" t="s" s="0">
        <v>77</v>
      </c>
      <c r="E85" t="s" s="0">
        <v>1891</v>
      </c>
      <c r="F85" t="s" s="0">
        <v>1892</v>
      </c>
      <c r="G85" t="s" s="0">
        <v>1893</v>
      </c>
      <c r="H85" t="s" s="0">
        <v>81</v>
      </c>
      <c r="I85" t="s" s="0">
        <v>147</v>
      </c>
      <c r="J85" t="s" s="0">
        <v>1894</v>
      </c>
      <c r="K85" t="s" s="0">
        <v>1895</v>
      </c>
      <c r="L85" t="s" s="0">
        <v>81</v>
      </c>
      <c r="M85" t="s" s="0">
        <v>81</v>
      </c>
      <c r="N85" t="s" s="0">
        <v>81</v>
      </c>
      <c r="O85" t="s" s="0">
        <v>1896</v>
      </c>
      <c r="P85" t="s" s="0">
        <v>1897</v>
      </c>
      <c r="Q85" t="s" s="0">
        <v>90</v>
      </c>
      <c r="R85" t="s" s="0">
        <v>81</v>
      </c>
      <c r="S85" t="s" s="0">
        <v>81</v>
      </c>
      <c r="T85" t="s" s="0">
        <v>81</v>
      </c>
      <c r="U85" t="s" s="0">
        <v>81</v>
      </c>
      <c r="V85" t="s" s="0">
        <v>1898</v>
      </c>
      <c r="W85" t="s" s="0">
        <v>1412</v>
      </c>
      <c r="X85" t="s" s="0">
        <v>81</v>
      </c>
      <c r="Y85" t="s" s="0">
        <v>81</v>
      </c>
      <c r="Z85" t="s" s="0">
        <v>93</v>
      </c>
      <c r="AA85" t="s" s="0">
        <v>128</v>
      </c>
      <c r="AB85" t="s" s="0">
        <v>81</v>
      </c>
      <c r="AC85" t="s" s="0">
        <v>81</v>
      </c>
      <c r="AD85" t="s" s="0">
        <v>81</v>
      </c>
      <c r="AE85" t="s" s="0">
        <v>81</v>
      </c>
      <c r="AF85" t="s" s="0">
        <v>81</v>
      </c>
      <c r="AG85" t="s" s="0">
        <v>1899</v>
      </c>
      <c r="AH85" t="s" s="0">
        <v>1900</v>
      </c>
      <c r="AI85" t="s" s="0">
        <v>81</v>
      </c>
      <c r="AJ85" t="s" s="0">
        <v>1901</v>
      </c>
      <c r="AK85" t="s" s="0">
        <v>81</v>
      </c>
      <c r="AL85" t="s" s="0">
        <v>601</v>
      </c>
      <c r="AM85" t="s" s="0">
        <v>77</v>
      </c>
      <c r="AN85" t="s" s="0">
        <v>77</v>
      </c>
      <c r="AO85" t="s" s="0">
        <v>77</v>
      </c>
      <c r="AP85" t="s" s="0">
        <v>77</v>
      </c>
      <c r="AQ85" t="s" s="0">
        <v>1299</v>
      </c>
      <c r="AR85" t="s" s="0">
        <v>1300</v>
      </c>
      <c r="AS85" t="s" s="0">
        <v>1301</v>
      </c>
      <c r="AT85" t="s" s="0">
        <v>1415</v>
      </c>
      <c r="AU85" t="s" s="0">
        <v>1416</v>
      </c>
      <c r="AV85" t="s" s="0">
        <v>81</v>
      </c>
      <c r="AW85" t="s" s="0">
        <v>1417</v>
      </c>
      <c r="AX85" t="s" s="0">
        <v>1418</v>
      </c>
      <c r="AY85" t="s" s="0">
        <v>1372</v>
      </c>
      <c r="AZ85" t="s" s="0">
        <v>105</v>
      </c>
      <c r="BA85" t="s" s="0">
        <v>1419</v>
      </c>
      <c r="BB85" t="s" s="0">
        <v>81</v>
      </c>
      <c r="BC85" t="s" s="0">
        <v>81</v>
      </c>
      <c r="BD85" t="s" s="0">
        <v>81</v>
      </c>
      <c r="BE85" t="s" s="0">
        <v>81</v>
      </c>
      <c r="BF85" t="s" s="0">
        <v>81</v>
      </c>
      <c r="BG85" t="s" s="0">
        <v>81</v>
      </c>
      <c r="BH85" t="s" s="0">
        <v>81</v>
      </c>
      <c r="BI85" t="s" s="0">
        <v>1902</v>
      </c>
      <c r="BJ85" t="s" s="0">
        <v>1903</v>
      </c>
      <c r="BK85" t="s" s="167">
        <f>HYPERLINK("http://dx.doi.org/10.1016/j.ejrad.2026.113092","http://dx.doi.org/10.1016/j.ejrad.2026.113092")</f>
        <v>1904</v>
      </c>
      <c r="BL85" t="s" s="0">
        <v>81</v>
      </c>
      <c r="BM85" t="s" s="0">
        <v>81</v>
      </c>
      <c r="BN85" t="s" s="0">
        <v>393</v>
      </c>
      <c r="BO85" t="s" s="0">
        <v>875</v>
      </c>
      <c r="BP85" t="s" s="0">
        <v>875</v>
      </c>
      <c r="BQ85" t="s" s="0">
        <v>1905</v>
      </c>
      <c r="BR85" t="s" s="0">
        <v>1906</v>
      </c>
      <c r="BS85" t="s" s="0">
        <v>1907</v>
      </c>
      <c r="BT85" t="s" s="168">
        <f>HYPERLINK("https://www.webofscience.com/wos/woscc/full-record/WOS:001833745100001","View Record in Web of Science")</f>
        <v>116</v>
      </c>
      <c r="BU85" t="s" s="0">
        <v>694</v>
      </c>
      <c r="BV85" t="s" s="0">
        <v>81</v>
      </c>
      <c r="BW85" t="s" s="0">
        <v>81</v>
      </c>
      <c r="BX85" t="s" s="0">
        <v>118</v>
      </c>
    </row>
    <row r="86">
      <c r="A86" t="s" s="0">
        <v>77</v>
      </c>
      <c r="B86" t="s" s="0">
        <v>77</v>
      </c>
      <c r="C86" t="s" s="0">
        <v>77</v>
      </c>
      <c r="D86" t="s" s="0">
        <v>77</v>
      </c>
      <c r="E86" t="s" s="0">
        <v>1908</v>
      </c>
      <c r="F86" t="s" s="0">
        <v>1909</v>
      </c>
      <c r="G86" t="s" s="0">
        <v>1910</v>
      </c>
      <c r="H86" t="s" s="0">
        <v>81</v>
      </c>
      <c r="I86" t="s" s="0">
        <v>147</v>
      </c>
      <c r="J86" t="s" s="0">
        <v>1911</v>
      </c>
      <c r="K86" t="s" s="0">
        <v>1912</v>
      </c>
      <c r="L86" t="s" s="0">
        <v>81</v>
      </c>
      <c r="M86" t="s" s="0">
        <v>81</v>
      </c>
      <c r="N86" t="s" s="0">
        <v>81</v>
      </c>
      <c r="O86" t="s" s="0">
        <v>1913</v>
      </c>
      <c r="P86" t="s" s="0">
        <v>1914</v>
      </c>
      <c r="Q86" t="s" s="0">
        <v>90</v>
      </c>
      <c r="R86" t="s" s="0">
        <v>81</v>
      </c>
      <c r="S86" t="s" s="0">
        <v>81</v>
      </c>
      <c r="T86" t="s" s="0">
        <v>81</v>
      </c>
      <c r="U86" t="s" s="0">
        <v>81</v>
      </c>
      <c r="V86" t="s" s="0">
        <v>1915</v>
      </c>
      <c r="W86" t="s" s="0">
        <v>1295</v>
      </c>
      <c r="X86" t="s" s="0">
        <v>81</v>
      </c>
      <c r="Y86" t="s" s="0">
        <v>81</v>
      </c>
      <c r="Z86" t="s" s="0">
        <v>93</v>
      </c>
      <c r="AA86" t="s" s="0">
        <v>94</v>
      </c>
      <c r="AB86" t="s" s="0">
        <v>81</v>
      </c>
      <c r="AC86" t="s" s="0">
        <v>81</v>
      </c>
      <c r="AD86" t="s" s="0">
        <v>81</v>
      </c>
      <c r="AE86" t="s" s="0">
        <v>81</v>
      </c>
      <c r="AF86" t="s" s="0">
        <v>81</v>
      </c>
      <c r="AG86" t="s" s="0">
        <v>1916</v>
      </c>
      <c r="AH86" t="s" s="0">
        <v>1917</v>
      </c>
      <c r="AI86" t="s" s="0">
        <v>1918</v>
      </c>
      <c r="AJ86" t="s" s="0">
        <v>1919</v>
      </c>
      <c r="AK86" t="s" s="0">
        <v>81</v>
      </c>
      <c r="AL86" t="s" s="0">
        <v>340</v>
      </c>
      <c r="AM86" t="s" s="0">
        <v>77</v>
      </c>
      <c r="AN86" t="s" s="0">
        <v>77</v>
      </c>
      <c r="AO86" t="s" s="0">
        <v>77</v>
      </c>
      <c r="AP86" t="s" s="0">
        <v>77</v>
      </c>
      <c r="AQ86" t="s" s="0">
        <v>1299</v>
      </c>
      <c r="AR86" t="s" s="0">
        <v>1300</v>
      </c>
      <c r="AS86" t="s" s="0">
        <v>1301</v>
      </c>
      <c r="AT86" t="s" s="0">
        <v>1302</v>
      </c>
      <c r="AU86" t="s" s="0">
        <v>1303</v>
      </c>
      <c r="AV86" t="s" s="0">
        <v>81</v>
      </c>
      <c r="AW86" t="s" s="0">
        <v>1304</v>
      </c>
      <c r="AX86" t="s" s="0">
        <v>1305</v>
      </c>
      <c r="AY86" t="s" s="0">
        <v>1519</v>
      </c>
      <c r="AZ86" t="s" s="0">
        <v>105</v>
      </c>
      <c r="BA86" t="s" s="0">
        <v>1561</v>
      </c>
      <c r="BB86" t="s" s="0">
        <v>81</v>
      </c>
      <c r="BC86" t="s" s="0">
        <v>81</v>
      </c>
      <c r="BD86" t="s" s="0">
        <v>81</v>
      </c>
      <c r="BE86" t="s" s="0">
        <v>81</v>
      </c>
      <c r="BF86" t="s" s="0">
        <v>81</v>
      </c>
      <c r="BG86" t="s" s="0">
        <v>81</v>
      </c>
      <c r="BH86" t="s" s="0">
        <v>81</v>
      </c>
      <c r="BI86" t="s" s="0">
        <v>1920</v>
      </c>
      <c r="BJ86" t="s" s="0">
        <v>1921</v>
      </c>
      <c r="BK86" t="s" s="169">
        <f>HYPERLINK("http://dx.doi.org/10.1016/j.ijmedinf.2026.106630","http://dx.doi.org/10.1016/j.ijmedinf.2026.106630")</f>
        <v>1922</v>
      </c>
      <c r="BL86" t="s" s="0">
        <v>81</v>
      </c>
      <c r="BM86" t="s" s="0">
        <v>81</v>
      </c>
      <c r="BN86" t="s" s="0">
        <v>224</v>
      </c>
      <c r="BO86" t="s" s="0">
        <v>1311</v>
      </c>
      <c r="BP86" t="s" s="0">
        <v>1312</v>
      </c>
      <c r="BQ86" t="s" s="0">
        <v>1923</v>
      </c>
      <c r="BR86" t="s" s="0">
        <v>1924</v>
      </c>
      <c r="BS86" t="s" s="0">
        <v>1925</v>
      </c>
      <c r="BT86" t="s" s="170">
        <f>HYPERLINK("https://www.webofscience.com/wos/woscc/full-record/WOS:001833449200001","View Record in Web of Science")</f>
        <v>116</v>
      </c>
      <c r="BU86" t="s" s="0">
        <v>694</v>
      </c>
      <c r="BV86" t="s" s="0">
        <v>81</v>
      </c>
      <c r="BW86" t="s" s="0">
        <v>81</v>
      </c>
      <c r="BX86" t="s" s="0">
        <v>118</v>
      </c>
    </row>
    <row r="87">
      <c r="A87" t="s" s="0">
        <v>77</v>
      </c>
      <c r="B87" t="s" s="0">
        <v>77</v>
      </c>
      <c r="C87" t="s" s="0">
        <v>77</v>
      </c>
      <c r="D87" t="s" s="0">
        <v>77</v>
      </c>
      <c r="E87" t="s" s="0">
        <v>1926</v>
      </c>
      <c r="F87" t="s" s="0">
        <v>1927</v>
      </c>
      <c r="G87" t="s" s="0">
        <v>1928</v>
      </c>
      <c r="H87" t="s" s="0">
        <v>81</v>
      </c>
      <c r="I87" t="s" s="0">
        <v>147</v>
      </c>
      <c r="J87" t="s" s="0">
        <v>1929</v>
      </c>
      <c r="K87" t="s" s="0">
        <v>1930</v>
      </c>
      <c r="L87" t="s" s="0">
        <v>1931</v>
      </c>
      <c r="M87" t="s" s="0">
        <v>1932</v>
      </c>
      <c r="N87" t="s" s="0">
        <v>1933</v>
      </c>
      <c r="O87" t="s" s="0">
        <v>1934</v>
      </c>
      <c r="P87" t="s" s="0">
        <v>81</v>
      </c>
      <c r="Q87" t="s" s="0">
        <v>90</v>
      </c>
      <c r="R87" t="s" s="0">
        <v>81</v>
      </c>
      <c r="S87" t="s" s="0">
        <v>81</v>
      </c>
      <c r="T87" t="s" s="0">
        <v>81</v>
      </c>
      <c r="U87" t="s" s="0">
        <v>81</v>
      </c>
      <c r="V87" t="s" s="0">
        <v>1935</v>
      </c>
      <c r="W87" t="s" s="0">
        <v>758</v>
      </c>
      <c r="X87" t="s" s="0">
        <v>81</v>
      </c>
      <c r="Y87" t="s" s="0">
        <v>81</v>
      </c>
      <c r="Z87" t="s" s="0">
        <v>93</v>
      </c>
      <c r="AA87" t="s" s="0">
        <v>128</v>
      </c>
      <c r="AB87" t="s" s="0">
        <v>81</v>
      </c>
      <c r="AC87" t="s" s="0">
        <v>81</v>
      </c>
      <c r="AD87" t="s" s="0">
        <v>81</v>
      </c>
      <c r="AE87" t="s" s="0">
        <v>81</v>
      </c>
      <c r="AF87" t="s" s="0">
        <v>81</v>
      </c>
      <c r="AG87" t="s" s="0">
        <v>1936</v>
      </c>
      <c r="AH87" t="s" s="0">
        <v>1937</v>
      </c>
      <c r="AI87" t="s" s="0">
        <v>81</v>
      </c>
      <c r="AJ87" t="s" s="0">
        <v>81</v>
      </c>
      <c r="AK87" t="s" s="0">
        <v>81</v>
      </c>
      <c r="AL87" t="s" s="0">
        <v>1938</v>
      </c>
      <c r="AM87" t="s" s="0">
        <v>77</v>
      </c>
      <c r="AN87" t="s" s="0">
        <v>77</v>
      </c>
      <c r="AO87" t="s" s="0">
        <v>77</v>
      </c>
      <c r="AP87" t="s" s="0">
        <v>77</v>
      </c>
      <c r="AQ87" t="s" s="0">
        <v>633</v>
      </c>
      <c r="AR87" t="s" s="0">
        <v>634</v>
      </c>
      <c r="AS87" t="s" s="0">
        <v>635</v>
      </c>
      <c r="AT87" t="s" s="0">
        <v>761</v>
      </c>
      <c r="AU87" t="s" s="0">
        <v>762</v>
      </c>
      <c r="AV87" t="s" s="0">
        <v>81</v>
      </c>
      <c r="AW87" t="s" s="0">
        <v>763</v>
      </c>
      <c r="AX87" t="s" s="0">
        <v>764</v>
      </c>
      <c r="AY87" t="s" s="0">
        <v>1372</v>
      </c>
      <c r="AZ87" t="s" s="0">
        <v>105</v>
      </c>
      <c r="BA87" t="s" s="0">
        <v>1939</v>
      </c>
      <c r="BB87" t="s" s="0">
        <v>81</v>
      </c>
      <c r="BC87" t="s" s="0">
        <v>81</v>
      </c>
      <c r="BD87" t="s" s="0">
        <v>81</v>
      </c>
      <c r="BE87" t="s" s="0">
        <v>81</v>
      </c>
      <c r="BF87" t="s" s="0">
        <v>81</v>
      </c>
      <c r="BG87" t="s" s="0">
        <v>81</v>
      </c>
      <c r="BH87" t="s" s="0">
        <v>81</v>
      </c>
      <c r="BI87" t="s" s="0">
        <v>1940</v>
      </c>
      <c r="BJ87" t="s" s="0">
        <v>1941</v>
      </c>
      <c r="BK87" t="s" s="171">
        <f>HYPERLINK("http://dx.doi.org/10.1016/j.jdent.2026.106916","http://dx.doi.org/10.1016/j.jdent.2026.106916")</f>
        <v>1942</v>
      </c>
      <c r="BL87" t="s" s="0">
        <v>81</v>
      </c>
      <c r="BM87" t="s" s="0">
        <v>81</v>
      </c>
      <c r="BN87" t="s" s="0">
        <v>216</v>
      </c>
      <c r="BO87" t="s" s="0">
        <v>770</v>
      </c>
      <c r="BP87" t="s" s="0">
        <v>770</v>
      </c>
      <c r="BQ87" t="s" s="0">
        <v>1943</v>
      </c>
      <c r="BR87" t="s" s="0">
        <v>1944</v>
      </c>
      <c r="BS87" t="s" s="0">
        <v>1945</v>
      </c>
      <c r="BT87" t="s" s="172">
        <f>HYPERLINK("https://www.webofscience.com/wos/woscc/full-record/WOS:001835118800001","View Record in Web of Science")</f>
        <v>116</v>
      </c>
      <c r="BU87" t="s" s="0">
        <v>694</v>
      </c>
      <c r="BV87" t="s" s="0">
        <v>81</v>
      </c>
      <c r="BW87" t="s" s="0">
        <v>81</v>
      </c>
      <c r="BX87" t="s" s="0">
        <v>118</v>
      </c>
    </row>
    <row r="88">
      <c r="A88" t="s" s="0">
        <v>77</v>
      </c>
      <c r="B88" t="s" s="0">
        <v>77</v>
      </c>
      <c r="C88" t="s" s="0">
        <v>77</v>
      </c>
      <c r="D88" t="s" s="0">
        <v>77</v>
      </c>
      <c r="E88" t="s" s="0">
        <v>1946</v>
      </c>
      <c r="F88" t="s" s="0">
        <v>1947</v>
      </c>
      <c r="G88" t="s" s="0">
        <v>1948</v>
      </c>
      <c r="H88" t="s" s="0">
        <v>81</v>
      </c>
      <c r="I88" t="s" s="0">
        <v>147</v>
      </c>
      <c r="J88" t="s" s="0">
        <v>1949</v>
      </c>
      <c r="K88" t="s" s="0">
        <v>1950</v>
      </c>
      <c r="L88" t="s" s="0">
        <v>81</v>
      </c>
      <c r="M88" t="s" s="0">
        <v>81</v>
      </c>
      <c r="N88" t="s" s="0">
        <v>81</v>
      </c>
      <c r="O88" t="s" s="0">
        <v>1951</v>
      </c>
      <c r="P88" t="s" s="0">
        <v>1952</v>
      </c>
      <c r="Q88" t="s" s="0">
        <v>90</v>
      </c>
      <c r="R88" t="s" s="0">
        <v>81</v>
      </c>
      <c r="S88" t="s" s="0">
        <v>81</v>
      </c>
      <c r="T88" t="s" s="0">
        <v>81</v>
      </c>
      <c r="U88" t="s" s="0">
        <v>81</v>
      </c>
      <c r="V88" t="s" s="0">
        <v>1953</v>
      </c>
      <c r="W88" t="s" s="0">
        <v>1618</v>
      </c>
      <c r="X88" t="s" s="0">
        <v>81</v>
      </c>
      <c r="Y88" t="s" s="0">
        <v>81</v>
      </c>
      <c r="Z88" t="s" s="0">
        <v>93</v>
      </c>
      <c r="AA88" t="s" s="0">
        <v>128</v>
      </c>
      <c r="AB88" t="s" s="0">
        <v>81</v>
      </c>
      <c r="AC88" t="s" s="0">
        <v>81</v>
      </c>
      <c r="AD88" t="s" s="0">
        <v>81</v>
      </c>
      <c r="AE88" t="s" s="0">
        <v>81</v>
      </c>
      <c r="AF88" t="s" s="0">
        <v>81</v>
      </c>
      <c r="AG88" t="s" s="0">
        <v>1954</v>
      </c>
      <c r="AH88" t="s" s="0">
        <v>1955</v>
      </c>
      <c r="AI88" t="s" s="0">
        <v>1956</v>
      </c>
      <c r="AJ88" t="s" s="0">
        <v>81</v>
      </c>
      <c r="AK88" t="s" s="0">
        <v>81</v>
      </c>
      <c r="AL88" t="s" s="0">
        <v>388</v>
      </c>
      <c r="AM88" t="s" s="0">
        <v>77</v>
      </c>
      <c r="AN88" t="s" s="0">
        <v>77</v>
      </c>
      <c r="AO88" t="s" s="0">
        <v>77</v>
      </c>
      <c r="AP88" t="s" s="0">
        <v>77</v>
      </c>
      <c r="AQ88" t="s" s="0">
        <v>737</v>
      </c>
      <c r="AR88" t="s" s="0">
        <v>738</v>
      </c>
      <c r="AS88" t="s" s="0">
        <v>739</v>
      </c>
      <c r="AT88" t="s" s="0">
        <v>1621</v>
      </c>
      <c r="AU88" t="s" s="0">
        <v>1622</v>
      </c>
      <c r="AV88" t="s" s="0">
        <v>81</v>
      </c>
      <c r="AW88" t="s" s="0">
        <v>1623</v>
      </c>
      <c r="AX88" t="s" s="0">
        <v>1624</v>
      </c>
      <c r="AY88" t="s" s="0">
        <v>1372</v>
      </c>
      <c r="AZ88" t="s" s="0">
        <v>105</v>
      </c>
      <c r="BA88" t="s" s="0">
        <v>1625</v>
      </c>
      <c r="BB88" t="s" s="0">
        <v>81</v>
      </c>
      <c r="BC88" t="s" s="0">
        <v>81</v>
      </c>
      <c r="BD88" t="s" s="0">
        <v>1281</v>
      </c>
      <c r="BE88" t="s" s="0">
        <v>81</v>
      </c>
      <c r="BF88" t="s" s="0">
        <v>81</v>
      </c>
      <c r="BG88" t="s" s="0">
        <v>81</v>
      </c>
      <c r="BH88" t="s" s="0">
        <v>81</v>
      </c>
      <c r="BI88" t="s" s="0">
        <v>1957</v>
      </c>
      <c r="BJ88" t="s" s="0">
        <v>1958</v>
      </c>
      <c r="BK88" t="s" s="173">
        <f>HYPERLINK("http://dx.doi.org/10.1016/j.asoc.2026.116016","http://dx.doi.org/10.1016/j.asoc.2026.116016")</f>
        <v>1959</v>
      </c>
      <c r="BL88" t="s" s="0">
        <v>81</v>
      </c>
      <c r="BM88" t="s" s="0">
        <v>81</v>
      </c>
      <c r="BN88" t="s" s="0">
        <v>393</v>
      </c>
      <c r="BO88" t="s" s="0">
        <v>1629</v>
      </c>
      <c r="BP88" t="s" s="0">
        <v>616</v>
      </c>
      <c r="BQ88" t="s" s="0">
        <v>1960</v>
      </c>
      <c r="BR88" t="s" s="0">
        <v>81</v>
      </c>
      <c r="BS88" t="s" s="0">
        <v>1961</v>
      </c>
      <c r="BT88" t="s" s="174">
        <f>HYPERLINK("https://www.webofscience.com/wos/woscc/full-record/WOS:001832718000001","View Record in Web of Science")</f>
        <v>116</v>
      </c>
      <c r="BU88" t="s" s="0">
        <v>81</v>
      </c>
      <c r="BV88" t="s" s="0">
        <v>81</v>
      </c>
      <c r="BW88" t="s" s="0">
        <v>81</v>
      </c>
      <c r="BX88" t="s" s="0">
        <v>118</v>
      </c>
    </row>
    <row r="89">
      <c r="A89" t="s" s="0">
        <v>77</v>
      </c>
      <c r="B89" t="s" s="0">
        <v>77</v>
      </c>
      <c r="C89" t="s" s="0">
        <v>77</v>
      </c>
      <c r="D89" t="s" s="0">
        <v>77</v>
      </c>
      <c r="E89" t="s" s="0">
        <v>1962</v>
      </c>
      <c r="F89" t="s" s="0">
        <v>1963</v>
      </c>
      <c r="G89" t="s" s="0">
        <v>1964</v>
      </c>
      <c r="H89" t="s" s="0">
        <v>81</v>
      </c>
      <c r="I89" t="s" s="0">
        <v>147</v>
      </c>
      <c r="J89" t="s" s="0">
        <v>1965</v>
      </c>
      <c r="K89" t="s" s="0">
        <v>1966</v>
      </c>
      <c r="L89" t="s" s="0">
        <v>1967</v>
      </c>
      <c r="M89" t="s" s="0">
        <v>1968</v>
      </c>
      <c r="N89" t="s" s="0">
        <v>1969</v>
      </c>
      <c r="O89" t="s" s="0">
        <v>1970</v>
      </c>
      <c r="P89" t="s" s="0">
        <v>1971</v>
      </c>
      <c r="Q89" t="s" s="0">
        <v>90</v>
      </c>
      <c r="R89" t="s" s="0">
        <v>81</v>
      </c>
      <c r="S89" t="s" s="0">
        <v>81</v>
      </c>
      <c r="T89" t="s" s="0">
        <v>81</v>
      </c>
      <c r="U89" t="s" s="0">
        <v>81</v>
      </c>
      <c r="V89" t="s" s="0">
        <v>1972</v>
      </c>
      <c r="W89" t="s" s="0">
        <v>1478</v>
      </c>
      <c r="X89" t="s" s="0">
        <v>81</v>
      </c>
      <c r="Y89" t="s" s="0">
        <v>81</v>
      </c>
      <c r="Z89" t="s" s="0">
        <v>93</v>
      </c>
      <c r="AA89" t="s" s="0">
        <v>128</v>
      </c>
      <c r="AB89" t="s" s="0">
        <v>81</v>
      </c>
      <c r="AC89" t="s" s="0">
        <v>81</v>
      </c>
      <c r="AD89" t="s" s="0">
        <v>81</v>
      </c>
      <c r="AE89" t="s" s="0">
        <v>81</v>
      </c>
      <c r="AF89" t="s" s="0">
        <v>81</v>
      </c>
      <c r="AG89" t="s" s="0">
        <v>1973</v>
      </c>
      <c r="AH89" t="s" s="0">
        <v>81</v>
      </c>
      <c r="AI89" t="s" s="0">
        <v>1974</v>
      </c>
      <c r="AJ89" t="s" s="0">
        <v>1975</v>
      </c>
      <c r="AK89" t="s" s="0">
        <v>81</v>
      </c>
      <c r="AL89" t="s" s="0">
        <v>1976</v>
      </c>
      <c r="AM89" t="s" s="0">
        <v>77</v>
      </c>
      <c r="AN89" t="s" s="0">
        <v>77</v>
      </c>
      <c r="AO89" t="s" s="0">
        <v>77</v>
      </c>
      <c r="AP89" t="s" s="0">
        <v>77</v>
      </c>
      <c r="AQ89" t="s" s="0">
        <v>737</v>
      </c>
      <c r="AR89" t="s" s="0">
        <v>738</v>
      </c>
      <c r="AS89" t="s" s="0">
        <v>739</v>
      </c>
      <c r="AT89" t="s" s="0">
        <v>1482</v>
      </c>
      <c r="AU89" t="s" s="0">
        <v>1483</v>
      </c>
      <c r="AV89" t="s" s="0">
        <v>81</v>
      </c>
      <c r="AW89" t="s" s="0">
        <v>1484</v>
      </c>
      <c r="AX89" t="s" s="0">
        <v>1485</v>
      </c>
      <c r="AY89" t="s" s="0">
        <v>1372</v>
      </c>
      <c r="AZ89" t="s" s="0">
        <v>105</v>
      </c>
      <c r="BA89" t="s" s="0">
        <v>1486</v>
      </c>
      <c r="BB89" t="s" s="0">
        <v>81</v>
      </c>
      <c r="BC89" t="s" s="0">
        <v>81</v>
      </c>
      <c r="BD89" t="s" s="0">
        <v>81</v>
      </c>
      <c r="BE89" t="s" s="0">
        <v>81</v>
      </c>
      <c r="BF89" t="s" s="0">
        <v>81</v>
      </c>
      <c r="BG89" t="s" s="0">
        <v>81</v>
      </c>
      <c r="BH89" t="s" s="0">
        <v>81</v>
      </c>
      <c r="BI89" t="s" s="0">
        <v>1977</v>
      </c>
      <c r="BJ89" t="s" s="0">
        <v>1978</v>
      </c>
      <c r="BK89" t="s" s="175">
        <f>HYPERLINK("http://dx.doi.org/10.1016/j.artmed.2026.103488","http://dx.doi.org/10.1016/j.artmed.2026.103488")</f>
        <v>1979</v>
      </c>
      <c r="BL89" t="s" s="0">
        <v>81</v>
      </c>
      <c r="BM89" t="s" s="0">
        <v>81</v>
      </c>
      <c r="BN89" t="s" s="0">
        <v>393</v>
      </c>
      <c r="BO89" t="s" s="0">
        <v>1490</v>
      </c>
      <c r="BP89" t="s" s="0">
        <v>1491</v>
      </c>
      <c r="BQ89" t="s" s="0">
        <v>1980</v>
      </c>
      <c r="BR89" t="s" s="0">
        <v>1981</v>
      </c>
      <c r="BS89" t="s" s="0">
        <v>1982</v>
      </c>
      <c r="BT89" t="s" s="176">
        <f>HYPERLINK("https://www.webofscience.com/wos/woscc/full-record/WOS:001832723600001","View Record in Web of Science")</f>
        <v>116</v>
      </c>
      <c r="BU89" t="s" s="0">
        <v>694</v>
      </c>
      <c r="BV89" t="s" s="0">
        <v>81</v>
      </c>
      <c r="BW89" t="s" s="0">
        <v>81</v>
      </c>
      <c r="BX89" t="s" s="0">
        <v>118</v>
      </c>
    </row>
    <row r="90">
      <c r="A90" t="s" s="0">
        <v>77</v>
      </c>
      <c r="B90" t="s" s="0">
        <v>77</v>
      </c>
      <c r="C90" t="s" s="0">
        <v>77</v>
      </c>
      <c r="D90" t="s" s="0">
        <v>77</v>
      </c>
      <c r="E90" t="s" s="0">
        <v>1983</v>
      </c>
      <c r="F90" t="s" s="0">
        <v>1984</v>
      </c>
      <c r="G90" t="s" s="0">
        <v>1985</v>
      </c>
      <c r="H90" t="s" s="0">
        <v>81</v>
      </c>
      <c r="I90" t="s" s="0">
        <v>147</v>
      </c>
      <c r="J90" t="s" s="0">
        <v>1986</v>
      </c>
      <c r="K90" t="s" s="0">
        <v>1987</v>
      </c>
      <c r="L90" t="s" s="0">
        <v>81</v>
      </c>
      <c r="M90" t="s" s="0">
        <v>81</v>
      </c>
      <c r="N90" t="s" s="0">
        <v>81</v>
      </c>
      <c r="O90" t="s" s="0">
        <v>1988</v>
      </c>
      <c r="P90" t="s" s="0">
        <v>81</v>
      </c>
      <c r="Q90" t="s" s="0">
        <v>90</v>
      </c>
      <c r="R90" t="s" s="0">
        <v>81</v>
      </c>
      <c r="S90" t="s" s="0">
        <v>81</v>
      </c>
      <c r="T90" t="s" s="0">
        <v>81</v>
      </c>
      <c r="U90" t="s" s="0">
        <v>81</v>
      </c>
      <c r="V90" t="s" s="0">
        <v>1989</v>
      </c>
      <c r="W90" t="s" s="0">
        <v>1295</v>
      </c>
      <c r="X90" t="s" s="0">
        <v>81</v>
      </c>
      <c r="Y90" t="s" s="0">
        <v>81</v>
      </c>
      <c r="Z90" t="s" s="0">
        <v>93</v>
      </c>
      <c r="AA90" t="s" s="0">
        <v>94</v>
      </c>
      <c r="AB90" t="s" s="0">
        <v>81</v>
      </c>
      <c r="AC90" t="s" s="0">
        <v>81</v>
      </c>
      <c r="AD90" t="s" s="0">
        <v>81</v>
      </c>
      <c r="AE90" t="s" s="0">
        <v>81</v>
      </c>
      <c r="AF90" t="s" s="0">
        <v>81</v>
      </c>
      <c r="AG90" t="s" s="0">
        <v>1990</v>
      </c>
      <c r="AH90" t="s" s="0">
        <v>81</v>
      </c>
      <c r="AI90" t="s" s="0">
        <v>81</v>
      </c>
      <c r="AJ90" t="s" s="0">
        <v>81</v>
      </c>
      <c r="AK90" t="s" s="0">
        <v>81</v>
      </c>
      <c r="AL90" t="s" s="0">
        <v>272</v>
      </c>
      <c r="AM90" t="s" s="0">
        <v>77</v>
      </c>
      <c r="AN90" t="s" s="0">
        <v>77</v>
      </c>
      <c r="AO90" t="s" s="0">
        <v>77</v>
      </c>
      <c r="AP90" t="s" s="0">
        <v>77</v>
      </c>
      <c r="AQ90" t="s" s="0">
        <v>1299</v>
      </c>
      <c r="AR90" t="s" s="0">
        <v>1300</v>
      </c>
      <c r="AS90" t="s" s="0">
        <v>1301</v>
      </c>
      <c r="AT90" t="s" s="0">
        <v>1302</v>
      </c>
      <c r="AU90" t="s" s="0">
        <v>1303</v>
      </c>
      <c r="AV90" t="s" s="0">
        <v>81</v>
      </c>
      <c r="AW90" t="s" s="0">
        <v>1304</v>
      </c>
      <c r="AX90" t="s" s="0">
        <v>1305</v>
      </c>
      <c r="AY90" t="s" s="0">
        <v>1519</v>
      </c>
      <c r="AZ90" t="s" s="0">
        <v>105</v>
      </c>
      <c r="BA90" t="s" s="0">
        <v>1561</v>
      </c>
      <c r="BB90" t="s" s="0">
        <v>81</v>
      </c>
      <c r="BC90" t="s" s="0">
        <v>81</v>
      </c>
      <c r="BD90" t="s" s="0">
        <v>81</v>
      </c>
      <c r="BE90" t="s" s="0">
        <v>81</v>
      </c>
      <c r="BF90" t="s" s="0">
        <v>81</v>
      </c>
      <c r="BG90" t="s" s="0">
        <v>81</v>
      </c>
      <c r="BH90" t="s" s="0">
        <v>81</v>
      </c>
      <c r="BI90" t="s" s="0">
        <v>1991</v>
      </c>
      <c r="BJ90" t="s" s="0">
        <v>1992</v>
      </c>
      <c r="BK90" t="s" s="177">
        <f>HYPERLINK("http://dx.doi.org/10.1016/j.ijmedinf.2026.106623","http://dx.doi.org/10.1016/j.ijmedinf.2026.106623")</f>
        <v>1993</v>
      </c>
      <c r="BL90" t="s" s="0">
        <v>81</v>
      </c>
      <c r="BM90" t="s" s="0">
        <v>81</v>
      </c>
      <c r="BN90" t="s" s="0">
        <v>319</v>
      </c>
      <c r="BO90" t="s" s="0">
        <v>1311</v>
      </c>
      <c r="BP90" t="s" s="0">
        <v>1312</v>
      </c>
      <c r="BQ90" t="s" s="0">
        <v>1994</v>
      </c>
      <c r="BR90" t="s" s="0">
        <v>1995</v>
      </c>
      <c r="BS90" t="s" s="0">
        <v>1996</v>
      </c>
      <c r="BT90" t="s" s="178">
        <f>HYPERLINK("https://www.webofscience.com/wos/woscc/full-record/WOS:001831408200001","View Record in Web of Science")</f>
        <v>116</v>
      </c>
      <c r="BU90" t="s" s="0">
        <v>81</v>
      </c>
      <c r="BV90" t="s" s="0">
        <v>81</v>
      </c>
      <c r="BW90" t="s" s="0">
        <v>81</v>
      </c>
      <c r="BX90" t="s" s="0">
        <v>118</v>
      </c>
    </row>
    <row r="91">
      <c r="A91" t="s" s="0">
        <v>77</v>
      </c>
      <c r="B91" t="s" s="0">
        <v>77</v>
      </c>
      <c r="C91" t="s" s="0">
        <v>77</v>
      </c>
      <c r="D91" t="s" s="0">
        <v>77</v>
      </c>
      <c r="E91" t="s" s="0">
        <v>1997</v>
      </c>
      <c r="F91" t="s" s="0">
        <v>1998</v>
      </c>
      <c r="G91" t="s" s="0">
        <v>1999</v>
      </c>
      <c r="H91" t="s" s="0">
        <v>81</v>
      </c>
      <c r="I91" t="s" s="0">
        <v>147</v>
      </c>
      <c r="J91" t="s" s="0">
        <v>2000</v>
      </c>
      <c r="K91" t="s" s="0">
        <v>2001</v>
      </c>
      <c r="L91" t="s" s="0">
        <v>81</v>
      </c>
      <c r="M91" t="s" s="0">
        <v>81</v>
      </c>
      <c r="N91" t="s" s="0">
        <v>81</v>
      </c>
      <c r="O91" t="s" s="0">
        <v>2002</v>
      </c>
      <c r="P91" t="s" s="0">
        <v>81</v>
      </c>
      <c r="Q91" t="s" s="0">
        <v>90</v>
      </c>
      <c r="R91" t="s" s="0">
        <v>81</v>
      </c>
      <c r="S91" t="s" s="0">
        <v>81</v>
      </c>
      <c r="T91" t="s" s="0">
        <v>81</v>
      </c>
      <c r="U91" t="s" s="0">
        <v>81</v>
      </c>
      <c r="V91" t="s" s="0">
        <v>2003</v>
      </c>
      <c r="W91" t="s" s="0">
        <v>1295</v>
      </c>
      <c r="X91" t="s" s="0">
        <v>81</v>
      </c>
      <c r="Y91" t="s" s="0">
        <v>81</v>
      </c>
      <c r="Z91" t="s" s="0">
        <v>93</v>
      </c>
      <c r="AA91" t="s" s="0">
        <v>128</v>
      </c>
      <c r="AB91" t="s" s="0">
        <v>81</v>
      </c>
      <c r="AC91" t="s" s="0">
        <v>81</v>
      </c>
      <c r="AD91" t="s" s="0">
        <v>81</v>
      </c>
      <c r="AE91" t="s" s="0">
        <v>81</v>
      </c>
      <c r="AF91" t="s" s="0">
        <v>81</v>
      </c>
      <c r="AG91" t="s" s="0">
        <v>2004</v>
      </c>
      <c r="AH91" t="s" s="0">
        <v>81</v>
      </c>
      <c r="AI91" t="s" s="0">
        <v>81</v>
      </c>
      <c r="AJ91" t="s" s="0">
        <v>81</v>
      </c>
      <c r="AK91" t="s" s="0">
        <v>81</v>
      </c>
      <c r="AL91" t="s" s="0">
        <v>442</v>
      </c>
      <c r="AM91" t="s" s="0">
        <v>107</v>
      </c>
      <c r="AN91" t="s" s="0">
        <v>107</v>
      </c>
      <c r="AO91" t="s" s="0">
        <v>245</v>
      </c>
      <c r="AP91" t="s" s="0">
        <v>245</v>
      </c>
      <c r="AQ91" t="s" s="0">
        <v>1299</v>
      </c>
      <c r="AR91" t="s" s="0">
        <v>1300</v>
      </c>
      <c r="AS91" t="s" s="0">
        <v>1301</v>
      </c>
      <c r="AT91" t="s" s="0">
        <v>1302</v>
      </c>
      <c r="AU91" t="s" s="0">
        <v>1303</v>
      </c>
      <c r="AV91" t="s" s="0">
        <v>81</v>
      </c>
      <c r="AW91" t="s" s="0">
        <v>1304</v>
      </c>
      <c r="AX91" t="s" s="0">
        <v>1305</v>
      </c>
      <c r="AY91" t="s" s="0">
        <v>1519</v>
      </c>
      <c r="AZ91" t="s" s="0">
        <v>105</v>
      </c>
      <c r="BA91" t="s" s="0">
        <v>1561</v>
      </c>
      <c r="BB91" t="s" s="0">
        <v>81</v>
      </c>
      <c r="BC91" t="s" s="0">
        <v>81</v>
      </c>
      <c r="BD91" t="s" s="0">
        <v>81</v>
      </c>
      <c r="BE91" t="s" s="0">
        <v>81</v>
      </c>
      <c r="BF91" t="s" s="0">
        <v>81</v>
      </c>
      <c r="BG91" t="s" s="0">
        <v>81</v>
      </c>
      <c r="BH91" t="s" s="0">
        <v>81</v>
      </c>
      <c r="BI91" t="s" s="0">
        <v>2005</v>
      </c>
      <c r="BJ91" t="s" s="0">
        <v>2006</v>
      </c>
      <c r="BK91" t="s" s="179">
        <f>HYPERLINK("http://dx.doi.org/10.1016/j.ijmedinf.2026.106628","http://dx.doi.org/10.1016/j.ijmedinf.2026.106628")</f>
        <v>2007</v>
      </c>
      <c r="BL91" t="s" s="0">
        <v>81</v>
      </c>
      <c r="BM91" t="s" s="0">
        <v>81</v>
      </c>
      <c r="BN91" t="s" s="0">
        <v>224</v>
      </c>
      <c r="BO91" t="s" s="0">
        <v>1311</v>
      </c>
      <c r="BP91" t="s" s="0">
        <v>1312</v>
      </c>
      <c r="BQ91" t="s" s="0">
        <v>2008</v>
      </c>
      <c r="BR91" t="s" s="0">
        <v>2009</v>
      </c>
      <c r="BS91" t="s" s="0">
        <v>2010</v>
      </c>
      <c r="BT91" t="s" s="180">
        <f>HYPERLINK("https://www.webofscience.com/wos/woscc/full-record/WOS:001831439300001","View Record in Web of Science")</f>
        <v>116</v>
      </c>
      <c r="BU91" t="s" s="0">
        <v>81</v>
      </c>
      <c r="BV91" t="s" s="0">
        <v>81</v>
      </c>
      <c r="BW91" t="s" s="0">
        <v>81</v>
      </c>
      <c r="BX91" t="s" s="0">
        <v>118</v>
      </c>
    </row>
    <row r="92">
      <c r="A92" t="s" s="0">
        <v>77</v>
      </c>
      <c r="B92" t="s" s="0">
        <v>77</v>
      </c>
      <c r="C92" t="s" s="0">
        <v>77</v>
      </c>
      <c r="D92" t="s" s="0">
        <v>77</v>
      </c>
      <c r="E92" t="s" s="0">
        <v>2011</v>
      </c>
      <c r="F92" t="s" s="0">
        <v>2012</v>
      </c>
      <c r="G92" t="s" s="0">
        <v>2013</v>
      </c>
      <c r="H92" t="s" s="0">
        <v>81</v>
      </c>
      <c r="I92" t="s" s="0">
        <v>698</v>
      </c>
      <c r="J92" t="s" s="0">
        <v>2014</v>
      </c>
      <c r="K92" t="s" s="0">
        <v>2015</v>
      </c>
      <c r="L92" t="s" s="0">
        <v>81</v>
      </c>
      <c r="M92" t="s" s="0">
        <v>81</v>
      </c>
      <c r="N92" t="s" s="0">
        <v>81</v>
      </c>
      <c r="O92" t="s" s="0">
        <v>2016</v>
      </c>
      <c r="P92" t="s" s="0">
        <v>2017</v>
      </c>
      <c r="Q92" t="s" s="0">
        <v>90</v>
      </c>
      <c r="R92" t="s" s="0">
        <v>81</v>
      </c>
      <c r="S92" t="s" s="0">
        <v>81</v>
      </c>
      <c r="T92" t="s" s="0">
        <v>81</v>
      </c>
      <c r="U92" t="s" s="0">
        <v>81</v>
      </c>
      <c r="V92" t="s" s="0">
        <v>2018</v>
      </c>
      <c r="W92" t="s" s="0">
        <v>704</v>
      </c>
      <c r="X92" t="s" s="0">
        <v>81</v>
      </c>
      <c r="Y92" t="s" s="0">
        <v>81</v>
      </c>
      <c r="Z92" t="s" s="0">
        <v>93</v>
      </c>
      <c r="AA92" t="s" s="0">
        <v>128</v>
      </c>
      <c r="AB92" t="s" s="0">
        <v>81</v>
      </c>
      <c r="AC92" t="s" s="0">
        <v>81</v>
      </c>
      <c r="AD92" t="s" s="0">
        <v>81</v>
      </c>
      <c r="AE92" t="s" s="0">
        <v>81</v>
      </c>
      <c r="AF92" t="s" s="0">
        <v>81</v>
      </c>
      <c r="AG92" t="s" s="0">
        <v>2019</v>
      </c>
      <c r="AH92" t="s" s="0">
        <v>81</v>
      </c>
      <c r="AI92" t="s" s="0">
        <v>2020</v>
      </c>
      <c r="AJ92" t="s" s="0">
        <v>81</v>
      </c>
      <c r="AK92" t="s" s="0">
        <v>81</v>
      </c>
      <c r="AL92" t="s" s="0">
        <v>1043</v>
      </c>
      <c r="AM92" t="s" s="0">
        <v>77</v>
      </c>
      <c r="AN92" t="s" s="0">
        <v>77</v>
      </c>
      <c r="AO92" t="s" s="0">
        <v>323</v>
      </c>
      <c r="AP92" t="s" s="0">
        <v>323</v>
      </c>
      <c r="AQ92" t="s" s="0">
        <v>706</v>
      </c>
      <c r="AR92" t="s" s="0">
        <v>707</v>
      </c>
      <c r="AS92" t="s" s="0">
        <v>708</v>
      </c>
      <c r="AT92" t="s" s="0">
        <v>709</v>
      </c>
      <c r="AU92" t="s" s="0">
        <v>710</v>
      </c>
      <c r="AV92" t="s" s="0">
        <v>81</v>
      </c>
      <c r="AW92" t="s" s="0">
        <v>711</v>
      </c>
      <c r="AX92" t="s" s="0">
        <v>712</v>
      </c>
      <c r="AY92" t="s" s="0">
        <v>1372</v>
      </c>
      <c r="AZ92" t="s" s="0">
        <v>105</v>
      </c>
      <c r="BA92" t="s" s="0">
        <v>2021</v>
      </c>
      <c r="BB92" t="s" s="0">
        <v>81</v>
      </c>
      <c r="BC92" t="s" s="0">
        <v>81</v>
      </c>
      <c r="BD92" t="s" s="0">
        <v>81</v>
      </c>
      <c r="BE92" t="s" s="0">
        <v>81</v>
      </c>
      <c r="BF92" t="s" s="0">
        <v>81</v>
      </c>
      <c r="BG92" t="s" s="0">
        <v>81</v>
      </c>
      <c r="BH92" t="s" s="0">
        <v>81</v>
      </c>
      <c r="BI92" t="s" s="0">
        <v>2022</v>
      </c>
      <c r="BJ92" t="s" s="0">
        <v>2023</v>
      </c>
      <c r="BK92" t="s" s="181">
        <f>HYPERLINK("http://dx.doi.org/10.1016/j.nedt.2026.107280","http://dx.doi.org/10.1016/j.nedt.2026.107280")</f>
        <v>2024</v>
      </c>
      <c r="BL92" t="s" s="0">
        <v>81</v>
      </c>
      <c r="BM92" t="s" s="0">
        <v>81</v>
      </c>
      <c r="BN92" t="s" s="0">
        <v>318</v>
      </c>
      <c r="BO92" t="s" s="0">
        <v>717</v>
      </c>
      <c r="BP92" t="s" s="0">
        <v>718</v>
      </c>
      <c r="BQ92" t="s" s="0">
        <v>2025</v>
      </c>
      <c r="BR92" t="s" s="0">
        <v>2026</v>
      </c>
      <c r="BS92" t="s" s="0">
        <v>2027</v>
      </c>
      <c r="BT92" t="s" s="182">
        <f>HYPERLINK("https://www.webofscience.com/wos/woscc/full-record/WOS:001829988700001","View Record in Web of Science")</f>
        <v>116</v>
      </c>
      <c r="BU92" t="s" s="0">
        <v>81</v>
      </c>
      <c r="BV92" t="s" s="0">
        <v>81</v>
      </c>
      <c r="BW92" t="s" s="0">
        <v>81</v>
      </c>
      <c r="BX92" t="s" s="0">
        <v>118</v>
      </c>
    </row>
    <row r="93">
      <c r="A93" t="s" s="0">
        <v>77</v>
      </c>
      <c r="B93" t="s" s="0">
        <v>77</v>
      </c>
      <c r="C93" t="s" s="0">
        <v>77</v>
      </c>
      <c r="D93" t="s" s="0">
        <v>77</v>
      </c>
      <c r="E93" t="s" s="0">
        <v>2028</v>
      </c>
      <c r="F93" t="s" s="0">
        <v>2029</v>
      </c>
      <c r="G93" t="s" s="0">
        <v>2030</v>
      </c>
      <c r="H93" t="s" s="0">
        <v>81</v>
      </c>
      <c r="I93" t="s" s="0">
        <v>698</v>
      </c>
      <c r="J93" t="s" s="0">
        <v>2031</v>
      </c>
      <c r="K93" t="s" s="0">
        <v>2032</v>
      </c>
      <c r="L93" t="s" s="0">
        <v>81</v>
      </c>
      <c r="M93" t="s" s="0">
        <v>81</v>
      </c>
      <c r="N93" t="s" s="0">
        <v>81</v>
      </c>
      <c r="O93" t="s" s="0">
        <v>2033</v>
      </c>
      <c r="P93" t="s" s="0">
        <v>2034</v>
      </c>
      <c r="Q93" t="s" s="0">
        <v>90</v>
      </c>
      <c r="R93" t="s" s="0">
        <v>81</v>
      </c>
      <c r="S93" t="s" s="0">
        <v>81</v>
      </c>
      <c r="T93" t="s" s="0">
        <v>81</v>
      </c>
      <c r="U93" t="s" s="0">
        <v>81</v>
      </c>
      <c r="V93" t="s" s="0">
        <v>2035</v>
      </c>
      <c r="W93" t="s" s="0">
        <v>704</v>
      </c>
      <c r="X93" t="s" s="0">
        <v>81</v>
      </c>
      <c r="Y93" t="s" s="0">
        <v>81</v>
      </c>
      <c r="Z93" t="s" s="0">
        <v>93</v>
      </c>
      <c r="AA93" t="s" s="0">
        <v>128</v>
      </c>
      <c r="AB93" t="s" s="0">
        <v>81</v>
      </c>
      <c r="AC93" t="s" s="0">
        <v>81</v>
      </c>
      <c r="AD93" t="s" s="0">
        <v>81</v>
      </c>
      <c r="AE93" t="s" s="0">
        <v>81</v>
      </c>
      <c r="AF93" t="s" s="0">
        <v>81</v>
      </c>
      <c r="AG93" t="s" s="0">
        <v>2036</v>
      </c>
      <c r="AH93" t="s" s="0">
        <v>2037</v>
      </c>
      <c r="AI93" t="s" s="0">
        <v>2038</v>
      </c>
      <c r="AJ93" t="s" s="0">
        <v>81</v>
      </c>
      <c r="AK93" t="s" s="0">
        <v>81</v>
      </c>
      <c r="AL93" t="s" s="0">
        <v>1938</v>
      </c>
      <c r="AM93" t="s" s="0">
        <v>77</v>
      </c>
      <c r="AN93" t="s" s="0">
        <v>77</v>
      </c>
      <c r="AO93" t="s" s="0">
        <v>107</v>
      </c>
      <c r="AP93" t="s" s="0">
        <v>107</v>
      </c>
      <c r="AQ93" t="s" s="0">
        <v>706</v>
      </c>
      <c r="AR93" t="s" s="0">
        <v>707</v>
      </c>
      <c r="AS93" t="s" s="0">
        <v>708</v>
      </c>
      <c r="AT93" t="s" s="0">
        <v>709</v>
      </c>
      <c r="AU93" t="s" s="0">
        <v>710</v>
      </c>
      <c r="AV93" t="s" s="0">
        <v>81</v>
      </c>
      <c r="AW93" t="s" s="0">
        <v>711</v>
      </c>
      <c r="AX93" t="s" s="0">
        <v>712</v>
      </c>
      <c r="AY93" t="s" s="0">
        <v>1372</v>
      </c>
      <c r="AZ93" t="s" s="0">
        <v>105</v>
      </c>
      <c r="BA93" t="s" s="0">
        <v>2021</v>
      </c>
      <c r="BB93" t="s" s="0">
        <v>81</v>
      </c>
      <c r="BC93" t="s" s="0">
        <v>81</v>
      </c>
      <c r="BD93" t="s" s="0">
        <v>81</v>
      </c>
      <c r="BE93" t="s" s="0">
        <v>81</v>
      </c>
      <c r="BF93" t="s" s="0">
        <v>81</v>
      </c>
      <c r="BG93" t="s" s="0">
        <v>81</v>
      </c>
      <c r="BH93" t="s" s="0">
        <v>81</v>
      </c>
      <c r="BI93" t="s" s="0">
        <v>2039</v>
      </c>
      <c r="BJ93" t="s" s="0">
        <v>2040</v>
      </c>
      <c r="BK93" t="s" s="183">
        <f>HYPERLINK("http://dx.doi.org/10.1016/j.nedt.2026.107275","http://dx.doi.org/10.1016/j.nedt.2026.107275")</f>
        <v>2041</v>
      </c>
      <c r="BL93" t="s" s="0">
        <v>81</v>
      </c>
      <c r="BM93" t="s" s="0">
        <v>81</v>
      </c>
      <c r="BN93" t="s" s="0">
        <v>341</v>
      </c>
      <c r="BO93" t="s" s="0">
        <v>717</v>
      </c>
      <c r="BP93" t="s" s="0">
        <v>718</v>
      </c>
      <c r="BQ93" t="s" s="0">
        <v>2042</v>
      </c>
      <c r="BR93" t="s" s="0">
        <v>2043</v>
      </c>
      <c r="BS93" t="s" s="0">
        <v>2044</v>
      </c>
      <c r="BT93" t="s" s="184">
        <f>HYPERLINK("https://www.webofscience.com/wos/woscc/full-record/WOS:001828759200001","View Record in Web of Science")</f>
        <v>116</v>
      </c>
      <c r="BU93" t="s" s="0">
        <v>81</v>
      </c>
      <c r="BV93" t="s" s="0">
        <v>81</v>
      </c>
      <c r="BW93" t="s" s="0">
        <v>81</v>
      </c>
      <c r="BX93" t="s" s="0">
        <v>118</v>
      </c>
    </row>
    <row r="94">
      <c r="A94" t="s" s="0">
        <v>77</v>
      </c>
      <c r="B94" t="s" s="0">
        <v>77</v>
      </c>
      <c r="C94" t="s" s="0">
        <v>77</v>
      </c>
      <c r="D94" t="s" s="0">
        <v>77</v>
      </c>
      <c r="E94" t="s" s="0">
        <v>2045</v>
      </c>
      <c r="F94" t="s" s="0">
        <v>2046</v>
      </c>
      <c r="G94" t="s" s="0">
        <v>2047</v>
      </c>
      <c r="H94" t="s" s="0">
        <v>81</v>
      </c>
      <c r="I94" t="s" s="0">
        <v>147</v>
      </c>
      <c r="J94" t="s" s="0">
        <v>2048</v>
      </c>
      <c r="K94" t="s" s="0">
        <v>2049</v>
      </c>
      <c r="L94" t="s" s="0">
        <v>2050</v>
      </c>
      <c r="M94" t="s" s="0">
        <v>2051</v>
      </c>
      <c r="N94" t="s" s="0">
        <v>2052</v>
      </c>
      <c r="O94" t="s" s="0">
        <v>2053</v>
      </c>
      <c r="P94" t="s" s="0">
        <v>2054</v>
      </c>
      <c r="Q94" t="s" s="0">
        <v>90</v>
      </c>
      <c r="R94" t="s" s="0">
        <v>81</v>
      </c>
      <c r="S94" t="s" s="0">
        <v>81</v>
      </c>
      <c r="T94" t="s" s="0">
        <v>81</v>
      </c>
      <c r="U94" t="s" s="0">
        <v>81</v>
      </c>
      <c r="V94" t="s" s="0">
        <v>2055</v>
      </c>
      <c r="W94" t="s" s="0">
        <v>630</v>
      </c>
      <c r="X94" t="s" s="0">
        <v>81</v>
      </c>
      <c r="Y94" t="s" s="0">
        <v>81</v>
      </c>
      <c r="Z94" t="s" s="0">
        <v>93</v>
      </c>
      <c r="AA94" t="s" s="0">
        <v>128</v>
      </c>
      <c r="AB94" t="s" s="0">
        <v>81</v>
      </c>
      <c r="AC94" t="s" s="0">
        <v>81</v>
      </c>
      <c r="AD94" t="s" s="0">
        <v>81</v>
      </c>
      <c r="AE94" t="s" s="0">
        <v>81</v>
      </c>
      <c r="AF94" t="s" s="0">
        <v>81</v>
      </c>
      <c r="AG94" t="s" s="0">
        <v>2056</v>
      </c>
      <c r="AH94" t="s" s="0">
        <v>1643</v>
      </c>
      <c r="AI94" t="s" s="0">
        <v>2057</v>
      </c>
      <c r="AJ94" t="s" s="0">
        <v>2058</v>
      </c>
      <c r="AK94" t="s" s="0">
        <v>81</v>
      </c>
      <c r="AL94" t="s" s="0">
        <v>2059</v>
      </c>
      <c r="AM94" t="s" s="0">
        <v>77</v>
      </c>
      <c r="AN94" t="s" s="0">
        <v>77</v>
      </c>
      <c r="AO94" t="s" s="0">
        <v>77</v>
      </c>
      <c r="AP94" t="s" s="0">
        <v>77</v>
      </c>
      <c r="AQ94" t="s" s="0">
        <v>633</v>
      </c>
      <c r="AR94" t="s" s="0">
        <v>634</v>
      </c>
      <c r="AS94" t="s" s="0">
        <v>635</v>
      </c>
      <c r="AT94" t="s" s="0">
        <v>636</v>
      </c>
      <c r="AU94" t="s" s="0">
        <v>637</v>
      </c>
      <c r="AV94" t="s" s="0">
        <v>81</v>
      </c>
      <c r="AW94" t="s" s="0">
        <v>638</v>
      </c>
      <c r="AX94" t="s" s="0">
        <v>639</v>
      </c>
      <c r="AY94" t="s" s="0">
        <v>1519</v>
      </c>
      <c r="AZ94" t="s" s="0">
        <v>105</v>
      </c>
      <c r="BA94" t="s" s="0">
        <v>1520</v>
      </c>
      <c r="BB94" t="s" s="0">
        <v>81</v>
      </c>
      <c r="BC94" t="s" s="0">
        <v>81</v>
      </c>
      <c r="BD94" t="s" s="0">
        <v>1281</v>
      </c>
      <c r="BE94" t="s" s="0">
        <v>81</v>
      </c>
      <c r="BF94" t="s" s="0">
        <v>81</v>
      </c>
      <c r="BG94" t="s" s="0">
        <v>81</v>
      </c>
      <c r="BH94" t="s" s="0">
        <v>81</v>
      </c>
      <c r="BI94" t="s" s="0">
        <v>2060</v>
      </c>
      <c r="BJ94" t="s" s="0">
        <v>2061</v>
      </c>
      <c r="BK94" t="s" s="185">
        <f>HYPERLINK("http://dx.doi.org/10.1016/j.bspc.2026.110987","http://dx.doi.org/10.1016/j.bspc.2026.110987")</f>
        <v>2062</v>
      </c>
      <c r="BL94" t="s" s="0">
        <v>81</v>
      </c>
      <c r="BM94" t="s" s="0">
        <v>81</v>
      </c>
      <c r="BN94" t="s" s="0">
        <v>388</v>
      </c>
      <c r="BO94" t="s" s="0">
        <v>645</v>
      </c>
      <c r="BP94" t="s" s="0">
        <v>420</v>
      </c>
      <c r="BQ94" t="s" s="0">
        <v>2063</v>
      </c>
      <c r="BR94" t="s" s="0">
        <v>81</v>
      </c>
      <c r="BS94" t="s" s="0">
        <v>2064</v>
      </c>
      <c r="BT94" t="s" s="186">
        <f>HYPERLINK("https://www.webofscience.com/wos/woscc/full-record/WOS:001827171400001","View Record in Web of Science")</f>
        <v>116</v>
      </c>
      <c r="BU94" t="s" s="0">
        <v>694</v>
      </c>
      <c r="BV94" t="s" s="0">
        <v>81</v>
      </c>
      <c r="BW94" t="s" s="0">
        <v>81</v>
      </c>
      <c r="BX94" t="s" s="0">
        <v>118</v>
      </c>
    </row>
    <row r="95">
      <c r="A95" t="s" s="0">
        <v>77</v>
      </c>
      <c r="B95" t="s" s="0">
        <v>77</v>
      </c>
      <c r="C95" t="s" s="0">
        <v>77</v>
      </c>
      <c r="D95" t="s" s="0">
        <v>77</v>
      </c>
      <c r="E95" t="s" s="0">
        <v>2065</v>
      </c>
      <c r="F95" t="s" s="0">
        <v>2066</v>
      </c>
      <c r="G95" t="s" s="0">
        <v>2067</v>
      </c>
      <c r="H95" t="s" s="0">
        <v>81</v>
      </c>
      <c r="I95" t="s" s="0">
        <v>147</v>
      </c>
      <c r="J95" t="s" s="0">
        <v>2068</v>
      </c>
      <c r="K95" t="s" s="0">
        <v>2069</v>
      </c>
      <c r="L95" t="s" s="0">
        <v>81</v>
      </c>
      <c r="M95" t="s" s="0">
        <v>81</v>
      </c>
      <c r="N95" t="s" s="0">
        <v>81</v>
      </c>
      <c r="O95" t="s" s="0">
        <v>2070</v>
      </c>
      <c r="P95" t="s" s="0">
        <v>2071</v>
      </c>
      <c r="Q95" t="s" s="0">
        <v>90</v>
      </c>
      <c r="R95" t="s" s="0">
        <v>81</v>
      </c>
      <c r="S95" t="s" s="0">
        <v>81</v>
      </c>
      <c r="T95" t="s" s="0">
        <v>81</v>
      </c>
      <c r="U95" t="s" s="0">
        <v>81</v>
      </c>
      <c r="V95" t="s" s="0">
        <v>2072</v>
      </c>
      <c r="W95" t="s" s="0">
        <v>1857</v>
      </c>
      <c r="X95" t="s" s="0">
        <v>81</v>
      </c>
      <c r="Y95" t="s" s="0">
        <v>81</v>
      </c>
      <c r="Z95" t="s" s="0">
        <v>93</v>
      </c>
      <c r="AA95" t="s" s="0">
        <v>128</v>
      </c>
      <c r="AB95" t="s" s="0">
        <v>81</v>
      </c>
      <c r="AC95" t="s" s="0">
        <v>81</v>
      </c>
      <c r="AD95" t="s" s="0">
        <v>81</v>
      </c>
      <c r="AE95" t="s" s="0">
        <v>81</v>
      </c>
      <c r="AF95" t="s" s="0">
        <v>81</v>
      </c>
      <c r="AG95" t="s" s="0">
        <v>2073</v>
      </c>
      <c r="AH95" t="s" s="0">
        <v>81</v>
      </c>
      <c r="AI95" t="s" s="0">
        <v>2074</v>
      </c>
      <c r="AJ95" t="s" s="0">
        <v>81</v>
      </c>
      <c r="AK95" t="s" s="0">
        <v>81</v>
      </c>
      <c r="AL95" t="s" s="0">
        <v>244</v>
      </c>
      <c r="AM95" t="s" s="0">
        <v>77</v>
      </c>
      <c r="AN95" t="s" s="0">
        <v>77</v>
      </c>
      <c r="AO95" t="s" s="0">
        <v>245</v>
      </c>
      <c r="AP95" t="s" s="0">
        <v>245</v>
      </c>
      <c r="AQ95" t="s" s="0">
        <v>505</v>
      </c>
      <c r="AR95" t="s" s="0">
        <v>506</v>
      </c>
      <c r="AS95" t="s" s="0">
        <v>507</v>
      </c>
      <c r="AT95" t="s" s="0">
        <v>1861</v>
      </c>
      <c r="AU95" t="s" s="0">
        <v>1862</v>
      </c>
      <c r="AV95" t="s" s="0">
        <v>81</v>
      </c>
      <c r="AW95" t="s" s="0">
        <v>1863</v>
      </c>
      <c r="AX95" t="s" s="0">
        <v>1864</v>
      </c>
      <c r="AY95" t="s" s="0">
        <v>1372</v>
      </c>
      <c r="AZ95" t="s" s="0">
        <v>105</v>
      </c>
      <c r="BA95" t="s" s="0">
        <v>1865</v>
      </c>
      <c r="BB95" t="s" s="0">
        <v>81</v>
      </c>
      <c r="BC95" t="s" s="0">
        <v>81</v>
      </c>
      <c r="BD95" t="s" s="0">
        <v>1281</v>
      </c>
      <c r="BE95" t="s" s="0">
        <v>81</v>
      </c>
      <c r="BF95" t="s" s="0">
        <v>81</v>
      </c>
      <c r="BG95" t="s" s="0">
        <v>81</v>
      </c>
      <c r="BH95" t="s" s="0">
        <v>81</v>
      </c>
      <c r="BI95" t="s" s="0">
        <v>2075</v>
      </c>
      <c r="BJ95" t="s" s="0">
        <v>2076</v>
      </c>
      <c r="BK95" t="s" s="187">
        <f>HYPERLINK("http://dx.doi.org/10.1016/j.compeleceng.2026.111365","http://dx.doi.org/10.1016/j.compeleceng.2026.111365")</f>
        <v>2077</v>
      </c>
      <c r="BL95" t="s" s="0">
        <v>81</v>
      </c>
      <c r="BM95" t="s" s="0">
        <v>81</v>
      </c>
      <c r="BN95" t="s" s="0">
        <v>216</v>
      </c>
      <c r="BO95" t="s" s="0">
        <v>1869</v>
      </c>
      <c r="BP95" t="s" s="0">
        <v>200</v>
      </c>
      <c r="BQ95" t="s" s="0">
        <v>2078</v>
      </c>
      <c r="BR95" t="s" s="0">
        <v>81</v>
      </c>
      <c r="BS95" t="s" s="0">
        <v>2079</v>
      </c>
      <c r="BT95" t="s" s="188">
        <f>HYPERLINK("https://www.webofscience.com/wos/woscc/full-record/WOS:001827288900001","View Record in Web of Science")</f>
        <v>116</v>
      </c>
      <c r="BU95" t="s" s="0">
        <v>81</v>
      </c>
      <c r="BV95" t="s" s="0">
        <v>81</v>
      </c>
      <c r="BW95" t="s" s="0">
        <v>81</v>
      </c>
      <c r="BX95" t="s" s="0">
        <v>118</v>
      </c>
    </row>
    <row r="96">
      <c r="A96" t="s" s="0">
        <v>77</v>
      </c>
      <c r="B96" t="s" s="0">
        <v>77</v>
      </c>
      <c r="C96" t="s" s="0">
        <v>77</v>
      </c>
      <c r="D96" t="s" s="0">
        <v>77</v>
      </c>
      <c r="E96" t="s" s="0">
        <v>2080</v>
      </c>
      <c r="F96" t="s" s="0">
        <v>2081</v>
      </c>
      <c r="G96" t="s" s="0">
        <v>2082</v>
      </c>
      <c r="H96" t="s" s="0">
        <v>81</v>
      </c>
      <c r="I96" t="s" s="0">
        <v>147</v>
      </c>
      <c r="J96" t="s" s="0">
        <v>2083</v>
      </c>
      <c r="K96" t="s" s="0">
        <v>2084</v>
      </c>
      <c r="L96" t="s" s="0">
        <v>81</v>
      </c>
      <c r="M96" t="s" s="0">
        <v>81</v>
      </c>
      <c r="N96" t="s" s="0">
        <v>81</v>
      </c>
      <c r="O96" t="s" s="0">
        <v>2085</v>
      </c>
      <c r="P96" t="s" s="0">
        <v>2086</v>
      </c>
      <c r="Q96" t="s" s="0">
        <v>90</v>
      </c>
      <c r="R96" t="s" s="0">
        <v>81</v>
      </c>
      <c r="S96" t="s" s="0">
        <v>81</v>
      </c>
      <c r="T96" t="s" s="0">
        <v>81</v>
      </c>
      <c r="U96" t="s" s="0">
        <v>81</v>
      </c>
      <c r="V96" t="s" s="0">
        <v>2087</v>
      </c>
      <c r="W96" t="s" s="0">
        <v>1295</v>
      </c>
      <c r="X96" t="s" s="0">
        <v>81</v>
      </c>
      <c r="Y96" t="s" s="0">
        <v>81</v>
      </c>
      <c r="Z96" t="s" s="0">
        <v>93</v>
      </c>
      <c r="AA96" t="s" s="0">
        <v>128</v>
      </c>
      <c r="AB96" t="s" s="0">
        <v>81</v>
      </c>
      <c r="AC96" t="s" s="0">
        <v>81</v>
      </c>
      <c r="AD96" t="s" s="0">
        <v>81</v>
      </c>
      <c r="AE96" t="s" s="0">
        <v>81</v>
      </c>
      <c r="AF96" t="s" s="0">
        <v>81</v>
      </c>
      <c r="AG96" t="s" s="0">
        <v>2088</v>
      </c>
      <c r="AH96" t="s" s="0">
        <v>290</v>
      </c>
      <c r="AI96" t="s" s="0">
        <v>81</v>
      </c>
      <c r="AJ96" t="s" s="0">
        <v>81</v>
      </c>
      <c r="AK96" t="s" s="0">
        <v>81</v>
      </c>
      <c r="AL96" t="s" s="0">
        <v>195</v>
      </c>
      <c r="AM96" t="s" s="0">
        <v>77</v>
      </c>
      <c r="AN96" t="s" s="0">
        <v>77</v>
      </c>
      <c r="AO96" t="s" s="0">
        <v>77</v>
      </c>
      <c r="AP96" t="s" s="0">
        <v>77</v>
      </c>
      <c r="AQ96" t="s" s="0">
        <v>1299</v>
      </c>
      <c r="AR96" t="s" s="0">
        <v>1300</v>
      </c>
      <c r="AS96" t="s" s="0">
        <v>1301</v>
      </c>
      <c r="AT96" t="s" s="0">
        <v>1302</v>
      </c>
      <c r="AU96" t="s" s="0">
        <v>1303</v>
      </c>
      <c r="AV96" t="s" s="0">
        <v>81</v>
      </c>
      <c r="AW96" t="s" s="0">
        <v>1304</v>
      </c>
      <c r="AX96" t="s" s="0">
        <v>1305</v>
      </c>
      <c r="AY96" t="s" s="0">
        <v>1519</v>
      </c>
      <c r="AZ96" t="s" s="0">
        <v>105</v>
      </c>
      <c r="BA96" t="s" s="0">
        <v>1561</v>
      </c>
      <c r="BB96" t="s" s="0">
        <v>81</v>
      </c>
      <c r="BC96" t="s" s="0">
        <v>81</v>
      </c>
      <c r="BD96" t="s" s="0">
        <v>81</v>
      </c>
      <c r="BE96" t="s" s="0">
        <v>81</v>
      </c>
      <c r="BF96" t="s" s="0">
        <v>81</v>
      </c>
      <c r="BG96" t="s" s="0">
        <v>81</v>
      </c>
      <c r="BH96" t="s" s="0">
        <v>81</v>
      </c>
      <c r="BI96" t="s" s="0">
        <v>2089</v>
      </c>
      <c r="BJ96" t="s" s="0">
        <v>2090</v>
      </c>
      <c r="BK96" t="s" s="189">
        <f>HYPERLINK("http://dx.doi.org/10.1016/j.ijmedinf.2026.106594","http://dx.doi.org/10.1016/j.ijmedinf.2026.106594")</f>
        <v>2091</v>
      </c>
      <c r="BL96" t="s" s="0">
        <v>81</v>
      </c>
      <c r="BM96" t="s" s="0">
        <v>81</v>
      </c>
      <c r="BN96" t="s" s="0">
        <v>341</v>
      </c>
      <c r="BO96" t="s" s="0">
        <v>1311</v>
      </c>
      <c r="BP96" t="s" s="0">
        <v>1312</v>
      </c>
      <c r="BQ96" t="s" s="0">
        <v>2092</v>
      </c>
      <c r="BR96" t="s" s="0">
        <v>2093</v>
      </c>
      <c r="BS96" t="s" s="0">
        <v>2094</v>
      </c>
      <c r="BT96" t="s" s="190">
        <f>HYPERLINK("https://www.webofscience.com/wos/woscc/full-record/WOS:001824993600001","View Record in Web of Science")</f>
        <v>116</v>
      </c>
      <c r="BU96" t="s" s="0">
        <v>1143</v>
      </c>
      <c r="BV96" t="s" s="0">
        <v>81</v>
      </c>
      <c r="BW96" t="s" s="0">
        <v>81</v>
      </c>
      <c r="BX96" t="s" s="0">
        <v>118</v>
      </c>
    </row>
    <row r="97">
      <c r="A97" t="s" s="0">
        <v>77</v>
      </c>
      <c r="B97" t="s" s="0">
        <v>77</v>
      </c>
      <c r="C97" t="s" s="0">
        <v>77</v>
      </c>
      <c r="D97" t="s" s="0">
        <v>77</v>
      </c>
      <c r="E97" t="s" s="0">
        <v>2095</v>
      </c>
      <c r="F97" t="s" s="0">
        <v>2096</v>
      </c>
      <c r="G97" t="s" s="0">
        <v>2097</v>
      </c>
      <c r="H97" t="s" s="0">
        <v>81</v>
      </c>
      <c r="I97" t="s" s="0">
        <v>147</v>
      </c>
      <c r="J97" t="s" s="0">
        <v>2098</v>
      </c>
      <c r="K97" t="s" s="0">
        <v>2099</v>
      </c>
      <c r="L97" t="s" s="0">
        <v>2100</v>
      </c>
      <c r="M97" t="s" s="0">
        <v>2101</v>
      </c>
      <c r="N97" t="s" s="0">
        <v>2102</v>
      </c>
      <c r="O97" t="s" s="0">
        <v>2103</v>
      </c>
      <c r="P97" t="s" s="0">
        <v>2104</v>
      </c>
      <c r="Q97" t="s" s="0">
        <v>90</v>
      </c>
      <c r="R97" t="s" s="0">
        <v>81</v>
      </c>
      <c r="S97" t="s" s="0">
        <v>81</v>
      </c>
      <c r="T97" t="s" s="0">
        <v>81</v>
      </c>
      <c r="U97" t="s" s="0">
        <v>81</v>
      </c>
      <c r="V97" t="s" s="0">
        <v>2105</v>
      </c>
      <c r="W97" t="s" s="0">
        <v>1295</v>
      </c>
      <c r="X97" t="s" s="0">
        <v>81</v>
      </c>
      <c r="Y97" t="s" s="0">
        <v>81</v>
      </c>
      <c r="Z97" t="s" s="0">
        <v>93</v>
      </c>
      <c r="AA97" t="s" s="0">
        <v>128</v>
      </c>
      <c r="AB97" t="s" s="0">
        <v>81</v>
      </c>
      <c r="AC97" t="s" s="0">
        <v>81</v>
      </c>
      <c r="AD97" t="s" s="0">
        <v>81</v>
      </c>
      <c r="AE97" t="s" s="0">
        <v>81</v>
      </c>
      <c r="AF97" t="s" s="0">
        <v>81</v>
      </c>
      <c r="AG97" t="s" s="0">
        <v>2106</v>
      </c>
      <c r="AH97" t="s" s="0">
        <v>2107</v>
      </c>
      <c r="AI97" t="s" s="0">
        <v>81</v>
      </c>
      <c r="AJ97" t="s" s="0">
        <v>81</v>
      </c>
      <c r="AK97" t="s" s="0">
        <v>81</v>
      </c>
      <c r="AL97" t="s" s="0">
        <v>1938</v>
      </c>
      <c r="AM97" t="s" s="0">
        <v>77</v>
      </c>
      <c r="AN97" t="s" s="0">
        <v>77</v>
      </c>
      <c r="AO97" t="s" s="0">
        <v>77</v>
      </c>
      <c r="AP97" t="s" s="0">
        <v>77</v>
      </c>
      <c r="AQ97" t="s" s="0">
        <v>1299</v>
      </c>
      <c r="AR97" t="s" s="0">
        <v>1300</v>
      </c>
      <c r="AS97" t="s" s="0">
        <v>1301</v>
      </c>
      <c r="AT97" t="s" s="0">
        <v>1302</v>
      </c>
      <c r="AU97" t="s" s="0">
        <v>1303</v>
      </c>
      <c r="AV97" t="s" s="0">
        <v>81</v>
      </c>
      <c r="AW97" t="s" s="0">
        <v>1304</v>
      </c>
      <c r="AX97" t="s" s="0">
        <v>1305</v>
      </c>
      <c r="AY97" t="s" s="0">
        <v>1519</v>
      </c>
      <c r="AZ97" t="s" s="0">
        <v>105</v>
      </c>
      <c r="BA97" t="s" s="0">
        <v>1561</v>
      </c>
      <c r="BB97" t="s" s="0">
        <v>81</v>
      </c>
      <c r="BC97" t="s" s="0">
        <v>81</v>
      </c>
      <c r="BD97" t="s" s="0">
        <v>81</v>
      </c>
      <c r="BE97" t="s" s="0">
        <v>81</v>
      </c>
      <c r="BF97" t="s" s="0">
        <v>81</v>
      </c>
      <c r="BG97" t="s" s="0">
        <v>81</v>
      </c>
      <c r="BH97" t="s" s="0">
        <v>81</v>
      </c>
      <c r="BI97" t="s" s="0">
        <v>2108</v>
      </c>
      <c r="BJ97" t="s" s="0">
        <v>2109</v>
      </c>
      <c r="BK97" t="s" s="191">
        <f>HYPERLINK("http://dx.doi.org/10.1016/j.ijmedinf.2026.106598","http://dx.doi.org/10.1016/j.ijmedinf.2026.106598")</f>
        <v>2110</v>
      </c>
      <c r="BL97" t="s" s="0">
        <v>81</v>
      </c>
      <c r="BM97" t="s" s="0">
        <v>81</v>
      </c>
      <c r="BN97" t="s" s="0">
        <v>318</v>
      </c>
      <c r="BO97" t="s" s="0">
        <v>1311</v>
      </c>
      <c r="BP97" t="s" s="0">
        <v>1312</v>
      </c>
      <c r="BQ97" t="s" s="0">
        <v>2111</v>
      </c>
      <c r="BR97" t="s" s="0">
        <v>2112</v>
      </c>
      <c r="BS97" t="s" s="0">
        <v>2113</v>
      </c>
      <c r="BT97" t="s" s="192">
        <f>HYPERLINK("https://www.webofscience.com/wos/woscc/full-record/WOS:001825120700001","View Record in Web of Science")</f>
        <v>116</v>
      </c>
      <c r="BU97" t="s" s="0">
        <v>81</v>
      </c>
      <c r="BV97" t="s" s="0">
        <v>81</v>
      </c>
      <c r="BW97" t="s" s="0">
        <v>81</v>
      </c>
      <c r="BX97" t="s" s="0">
        <v>118</v>
      </c>
    </row>
    <row r="98">
      <c r="A98" t="s" s="0">
        <v>77</v>
      </c>
      <c r="B98" t="s" s="0">
        <v>77</v>
      </c>
      <c r="C98" t="s" s="0">
        <v>77</v>
      </c>
      <c r="D98" t="s" s="0">
        <v>77</v>
      </c>
      <c r="E98" t="s" s="0">
        <v>2114</v>
      </c>
      <c r="F98" t="s" s="0">
        <v>2115</v>
      </c>
      <c r="G98" t="s" s="0">
        <v>2116</v>
      </c>
      <c r="H98" t="s" s="0">
        <v>81</v>
      </c>
      <c r="I98" t="s" s="0">
        <v>698</v>
      </c>
      <c r="J98" t="s" s="0">
        <v>2117</v>
      </c>
      <c r="K98" t="s" s="0">
        <v>2118</v>
      </c>
      <c r="L98" t="s" s="0">
        <v>2119</v>
      </c>
      <c r="M98" t="s" s="0">
        <v>2120</v>
      </c>
      <c r="N98" t="s" s="0">
        <v>2121</v>
      </c>
      <c r="O98" t="s" s="0">
        <v>2122</v>
      </c>
      <c r="P98" t="s" s="0">
        <v>2123</v>
      </c>
      <c r="Q98" t="s" s="0">
        <v>90</v>
      </c>
      <c r="R98" t="s" s="0">
        <v>81</v>
      </c>
      <c r="S98" t="s" s="0">
        <v>81</v>
      </c>
      <c r="T98" t="s" s="0">
        <v>81</v>
      </c>
      <c r="U98" t="s" s="0">
        <v>81</v>
      </c>
      <c r="V98" t="s" s="0">
        <v>2124</v>
      </c>
      <c r="W98" t="s" s="0">
        <v>2125</v>
      </c>
      <c r="X98" t="s" s="0">
        <v>81</v>
      </c>
      <c r="Y98" t="s" s="0">
        <v>81</v>
      </c>
      <c r="Z98" t="s" s="0">
        <v>93</v>
      </c>
      <c r="AA98" t="s" s="0">
        <v>128</v>
      </c>
      <c r="AB98" t="s" s="0">
        <v>81</v>
      </c>
      <c r="AC98" t="s" s="0">
        <v>81</v>
      </c>
      <c r="AD98" t="s" s="0">
        <v>81</v>
      </c>
      <c r="AE98" t="s" s="0">
        <v>81</v>
      </c>
      <c r="AF98" t="s" s="0">
        <v>81</v>
      </c>
      <c r="AG98" t="s" s="0">
        <v>2126</v>
      </c>
      <c r="AH98" t="s" s="0">
        <v>81</v>
      </c>
      <c r="AI98" t="s" s="0">
        <v>2127</v>
      </c>
      <c r="AJ98" t="s" s="0">
        <v>81</v>
      </c>
      <c r="AK98" t="s" s="0">
        <v>81</v>
      </c>
      <c r="AL98" t="s" s="0">
        <v>224</v>
      </c>
      <c r="AM98" t="s" s="0">
        <v>77</v>
      </c>
      <c r="AN98" t="s" s="0">
        <v>77</v>
      </c>
      <c r="AO98" t="s" s="0">
        <v>249</v>
      </c>
      <c r="AP98" t="s" s="0">
        <v>249</v>
      </c>
      <c r="AQ98" t="s" s="0">
        <v>737</v>
      </c>
      <c r="AR98" t="s" s="0">
        <v>738</v>
      </c>
      <c r="AS98" t="s" s="0">
        <v>739</v>
      </c>
      <c r="AT98" t="s" s="0">
        <v>2128</v>
      </c>
      <c r="AU98" t="s" s="0">
        <v>2129</v>
      </c>
      <c r="AV98" t="s" s="0">
        <v>81</v>
      </c>
      <c r="AW98" t="s" s="0">
        <v>2130</v>
      </c>
      <c r="AX98" t="s" s="0">
        <v>2131</v>
      </c>
      <c r="AY98" t="s" s="0">
        <v>1519</v>
      </c>
      <c r="AZ98" t="s" s="0">
        <v>105</v>
      </c>
      <c r="BA98" t="s" s="0">
        <v>2132</v>
      </c>
      <c r="BB98" t="s" s="0">
        <v>81</v>
      </c>
      <c r="BC98" t="s" s="0">
        <v>81</v>
      </c>
      <c r="BD98" t="s" s="0">
        <v>81</v>
      </c>
      <c r="BE98" t="s" s="0">
        <v>81</v>
      </c>
      <c r="BF98" t="s" s="0">
        <v>81</v>
      </c>
      <c r="BG98" t="s" s="0">
        <v>81</v>
      </c>
      <c r="BH98" t="s" s="0">
        <v>81</v>
      </c>
      <c r="BI98" t="s" s="0">
        <v>2133</v>
      </c>
      <c r="BJ98" t="s" s="0">
        <v>2134</v>
      </c>
      <c r="BK98" t="s" s="193">
        <f>HYPERLINK("http://dx.doi.org/10.1016/j.jad.2026.122123","http://dx.doi.org/10.1016/j.jad.2026.122123")</f>
        <v>2135</v>
      </c>
      <c r="BL98" t="s" s="0">
        <v>81</v>
      </c>
      <c r="BM98" t="s" s="0">
        <v>81</v>
      </c>
      <c r="BN98" t="s" s="0">
        <v>294</v>
      </c>
      <c r="BO98" t="s" s="0">
        <v>2136</v>
      </c>
      <c r="BP98" t="s" s="0">
        <v>2137</v>
      </c>
      <c r="BQ98" t="s" s="0">
        <v>2138</v>
      </c>
      <c r="BR98" t="s" s="0">
        <v>2139</v>
      </c>
      <c r="BS98" t="s" s="0">
        <v>2140</v>
      </c>
      <c r="BT98" t="s" s="194">
        <f>HYPERLINK("https://www.webofscience.com/wos/woscc/full-record/WOS:001799072500001","View Record in Web of Science")</f>
        <v>116</v>
      </c>
      <c r="BU98" t="s" s="0">
        <v>81</v>
      </c>
      <c r="BV98" t="s" s="0">
        <v>81</v>
      </c>
      <c r="BW98" t="s" s="0">
        <v>81</v>
      </c>
      <c r="BX98" t="s" s="0">
        <v>118</v>
      </c>
    </row>
    <row r="99">
      <c r="A99" t="s" s="0">
        <v>77</v>
      </c>
      <c r="B99" t="s" s="0">
        <v>77</v>
      </c>
      <c r="C99" t="s" s="0">
        <v>77</v>
      </c>
      <c r="D99" t="s" s="0">
        <v>77</v>
      </c>
      <c r="E99" t="s" s="0">
        <v>2141</v>
      </c>
      <c r="F99" t="s" s="0">
        <v>2142</v>
      </c>
      <c r="G99" t="s" s="0">
        <v>2143</v>
      </c>
      <c r="H99" t="s" s="0">
        <v>81</v>
      </c>
      <c r="I99" t="s" s="0">
        <v>698</v>
      </c>
      <c r="J99" t="s" s="0">
        <v>2144</v>
      </c>
      <c r="K99" t="s" s="0">
        <v>2145</v>
      </c>
      <c r="L99" t="s" s="0">
        <v>81</v>
      </c>
      <c r="M99" t="s" s="0">
        <v>81</v>
      </c>
      <c r="N99" t="s" s="0">
        <v>81</v>
      </c>
      <c r="O99" t="s" s="0">
        <v>2146</v>
      </c>
      <c r="P99" t="s" s="0">
        <v>2147</v>
      </c>
      <c r="Q99" t="s" s="0">
        <v>90</v>
      </c>
      <c r="R99" t="s" s="0">
        <v>81</v>
      </c>
      <c r="S99" t="s" s="0">
        <v>81</v>
      </c>
      <c r="T99" t="s" s="0">
        <v>81</v>
      </c>
      <c r="U99" t="s" s="0">
        <v>81</v>
      </c>
      <c r="V99" t="s" s="0">
        <v>2148</v>
      </c>
      <c r="W99" t="s" s="0">
        <v>704</v>
      </c>
      <c r="X99" t="s" s="0">
        <v>81</v>
      </c>
      <c r="Y99" t="s" s="0">
        <v>81</v>
      </c>
      <c r="Z99" t="s" s="0">
        <v>93</v>
      </c>
      <c r="AA99" t="s" s="0">
        <v>128</v>
      </c>
      <c r="AB99" t="s" s="0">
        <v>81</v>
      </c>
      <c r="AC99" t="s" s="0">
        <v>81</v>
      </c>
      <c r="AD99" t="s" s="0">
        <v>81</v>
      </c>
      <c r="AE99" t="s" s="0">
        <v>81</v>
      </c>
      <c r="AF99" t="s" s="0">
        <v>81</v>
      </c>
      <c r="AG99" t="s" s="0">
        <v>2149</v>
      </c>
      <c r="AH99" t="s" s="0">
        <v>2150</v>
      </c>
      <c r="AI99" t="s" s="0">
        <v>2151</v>
      </c>
      <c r="AJ99" t="s" s="0">
        <v>81</v>
      </c>
      <c r="AK99" t="s" s="0">
        <v>81</v>
      </c>
      <c r="AL99" t="s" s="0">
        <v>131</v>
      </c>
      <c r="AM99" t="s" s="0">
        <v>77</v>
      </c>
      <c r="AN99" t="s" s="0">
        <v>77</v>
      </c>
      <c r="AO99" t="s" s="0">
        <v>224</v>
      </c>
      <c r="AP99" t="s" s="0">
        <v>224</v>
      </c>
      <c r="AQ99" t="s" s="0">
        <v>706</v>
      </c>
      <c r="AR99" t="s" s="0">
        <v>707</v>
      </c>
      <c r="AS99" t="s" s="0">
        <v>708</v>
      </c>
      <c r="AT99" t="s" s="0">
        <v>709</v>
      </c>
      <c r="AU99" t="s" s="0">
        <v>710</v>
      </c>
      <c r="AV99" t="s" s="0">
        <v>81</v>
      </c>
      <c r="AW99" t="s" s="0">
        <v>711</v>
      </c>
      <c r="AX99" t="s" s="0">
        <v>712</v>
      </c>
      <c r="AY99" t="s" s="0">
        <v>1372</v>
      </c>
      <c r="AZ99" t="s" s="0">
        <v>105</v>
      </c>
      <c r="BA99" t="s" s="0">
        <v>2021</v>
      </c>
      <c r="BB99" t="s" s="0">
        <v>81</v>
      </c>
      <c r="BC99" t="s" s="0">
        <v>81</v>
      </c>
      <c r="BD99" t="s" s="0">
        <v>81</v>
      </c>
      <c r="BE99" t="s" s="0">
        <v>81</v>
      </c>
      <c r="BF99" t="s" s="0">
        <v>81</v>
      </c>
      <c r="BG99" t="s" s="0">
        <v>81</v>
      </c>
      <c r="BH99" t="s" s="0">
        <v>81</v>
      </c>
      <c r="BI99" t="s" s="0">
        <v>2152</v>
      </c>
      <c r="BJ99" t="s" s="0">
        <v>2153</v>
      </c>
      <c r="BK99" t="s" s="195">
        <f>HYPERLINK("http://dx.doi.org/10.1016/j.nedt.2026.107214","http://dx.doi.org/10.1016/j.nedt.2026.107214")</f>
        <v>2154</v>
      </c>
      <c r="BL99" t="s" s="0">
        <v>81</v>
      </c>
      <c r="BM99" t="s" s="0">
        <v>81</v>
      </c>
      <c r="BN99" t="s" s="0">
        <v>341</v>
      </c>
      <c r="BO99" t="s" s="0">
        <v>717</v>
      </c>
      <c r="BP99" t="s" s="0">
        <v>718</v>
      </c>
      <c r="BQ99" t="s" s="0">
        <v>2155</v>
      </c>
      <c r="BR99" t="s" s="0">
        <v>2156</v>
      </c>
      <c r="BS99" t="s" s="0">
        <v>2157</v>
      </c>
      <c r="BT99" t="s" s="196">
        <f>HYPERLINK("https://www.webofscience.com/wos/woscc/full-record/WOS:001792855500001","View Record in Web of Science")</f>
        <v>116</v>
      </c>
      <c r="BU99" t="s" s="0">
        <v>81</v>
      </c>
      <c r="BV99" t="s" s="0">
        <v>81</v>
      </c>
      <c r="BW99" t="s" s="0">
        <v>81</v>
      </c>
      <c r="BX99" t="s" s="0">
        <v>118</v>
      </c>
    </row>
    <row r="100">
      <c r="A100" t="s" s="0">
        <v>77</v>
      </c>
      <c r="B100" t="s" s="0">
        <v>77</v>
      </c>
      <c r="C100" t="s" s="0">
        <v>77</v>
      </c>
      <c r="D100" t="s" s="0">
        <v>77</v>
      </c>
      <c r="E100" t="s" s="0">
        <v>2158</v>
      </c>
      <c r="F100" t="s" s="0">
        <v>2159</v>
      </c>
      <c r="G100" t="s" s="0">
        <v>2160</v>
      </c>
      <c r="H100" t="s" s="0">
        <v>81</v>
      </c>
      <c r="I100" t="s" s="0">
        <v>698</v>
      </c>
      <c r="J100" t="s" s="0">
        <v>2161</v>
      </c>
      <c r="K100" t="s" s="0">
        <v>2162</v>
      </c>
      <c r="L100" t="s" s="0">
        <v>81</v>
      </c>
      <c r="M100" t="s" s="0">
        <v>81</v>
      </c>
      <c r="N100" t="s" s="0">
        <v>81</v>
      </c>
      <c r="O100" t="s" s="0">
        <v>2163</v>
      </c>
      <c r="P100" t="s" s="0">
        <v>2164</v>
      </c>
      <c r="Q100" t="s" s="0">
        <v>90</v>
      </c>
      <c r="R100" t="s" s="0">
        <v>81</v>
      </c>
      <c r="S100" t="s" s="0">
        <v>81</v>
      </c>
      <c r="T100" t="s" s="0">
        <v>81</v>
      </c>
      <c r="U100" t="s" s="0">
        <v>81</v>
      </c>
      <c r="V100" t="s" s="0">
        <v>2165</v>
      </c>
      <c r="W100" t="s" s="0">
        <v>2125</v>
      </c>
      <c r="X100" t="s" s="0">
        <v>81</v>
      </c>
      <c r="Y100" t="s" s="0">
        <v>81</v>
      </c>
      <c r="Z100" t="s" s="0">
        <v>93</v>
      </c>
      <c r="AA100" t="s" s="0">
        <v>128</v>
      </c>
      <c r="AB100" t="s" s="0">
        <v>81</v>
      </c>
      <c r="AC100" t="s" s="0">
        <v>81</v>
      </c>
      <c r="AD100" t="s" s="0">
        <v>81</v>
      </c>
      <c r="AE100" t="s" s="0">
        <v>81</v>
      </c>
      <c r="AF100" t="s" s="0">
        <v>81</v>
      </c>
      <c r="AG100" t="s" s="0">
        <v>2166</v>
      </c>
      <c r="AH100" t="s" s="0">
        <v>2167</v>
      </c>
      <c r="AI100" t="s" s="0">
        <v>81</v>
      </c>
      <c r="AJ100" t="s" s="0">
        <v>2168</v>
      </c>
      <c r="AK100" t="s" s="0">
        <v>81</v>
      </c>
      <c r="AL100" t="s" s="0">
        <v>345</v>
      </c>
      <c r="AM100" t="s" s="0">
        <v>77</v>
      </c>
      <c r="AN100" t="s" s="0">
        <v>77</v>
      </c>
      <c r="AO100" t="s" s="0">
        <v>323</v>
      </c>
      <c r="AP100" t="s" s="0">
        <v>323</v>
      </c>
      <c r="AQ100" t="s" s="0">
        <v>737</v>
      </c>
      <c r="AR100" t="s" s="0">
        <v>738</v>
      </c>
      <c r="AS100" t="s" s="0">
        <v>739</v>
      </c>
      <c r="AT100" t="s" s="0">
        <v>2128</v>
      </c>
      <c r="AU100" t="s" s="0">
        <v>2129</v>
      </c>
      <c r="AV100" t="s" s="0">
        <v>81</v>
      </c>
      <c r="AW100" t="s" s="0">
        <v>2130</v>
      </c>
      <c r="AX100" t="s" s="0">
        <v>2131</v>
      </c>
      <c r="AY100" t="s" s="0">
        <v>1519</v>
      </c>
      <c r="AZ100" t="s" s="0">
        <v>105</v>
      </c>
      <c r="BA100" t="s" s="0">
        <v>2132</v>
      </c>
      <c r="BB100" t="s" s="0">
        <v>81</v>
      </c>
      <c r="BC100" t="s" s="0">
        <v>81</v>
      </c>
      <c r="BD100" t="s" s="0">
        <v>81</v>
      </c>
      <c r="BE100" t="s" s="0">
        <v>81</v>
      </c>
      <c r="BF100" t="s" s="0">
        <v>81</v>
      </c>
      <c r="BG100" t="s" s="0">
        <v>81</v>
      </c>
      <c r="BH100" t="s" s="0">
        <v>81</v>
      </c>
      <c r="BI100" t="s" s="0">
        <v>2169</v>
      </c>
      <c r="BJ100" t="s" s="0">
        <v>2170</v>
      </c>
      <c r="BK100" t="s" s="197">
        <f>HYPERLINK("http://dx.doi.org/10.1016/j.jad.2026.122058","http://dx.doi.org/10.1016/j.jad.2026.122058")</f>
        <v>2171</v>
      </c>
      <c r="BL100" t="s" s="0">
        <v>81</v>
      </c>
      <c r="BM100" t="s" s="0">
        <v>81</v>
      </c>
      <c r="BN100" t="s" s="0">
        <v>224</v>
      </c>
      <c r="BO100" t="s" s="0">
        <v>2136</v>
      </c>
      <c r="BP100" t="s" s="0">
        <v>2137</v>
      </c>
      <c r="BQ100" t="s" s="0">
        <v>2172</v>
      </c>
      <c r="BR100" t="s" s="0">
        <v>2173</v>
      </c>
      <c r="BS100" t="s" s="0">
        <v>2174</v>
      </c>
      <c r="BT100" t="s" s="198">
        <f>HYPERLINK("https://www.webofscience.com/wos/woscc/full-record/WOS:001789583900001","View Record in Web of Science")</f>
        <v>116</v>
      </c>
      <c r="BU100" t="s" s="0">
        <v>81</v>
      </c>
      <c r="BV100" t="s" s="0">
        <v>81</v>
      </c>
      <c r="BW100" t="s" s="0">
        <v>81</v>
      </c>
      <c r="BX100" t="s" s="0">
        <v>118</v>
      </c>
    </row>
    <row r="101">
      <c r="A101" t="s" s="0">
        <v>77</v>
      </c>
      <c r="B101" t="s" s="0">
        <v>77</v>
      </c>
      <c r="C101" t="s" s="0">
        <v>77</v>
      </c>
      <c r="D101" t="s" s="0">
        <v>77</v>
      </c>
      <c r="E101" t="s" s="0">
        <v>2175</v>
      </c>
      <c r="F101" t="s" s="0">
        <v>2176</v>
      </c>
      <c r="G101" t="s" s="0">
        <v>2177</v>
      </c>
      <c r="H101" t="s" s="0">
        <v>81</v>
      </c>
      <c r="I101" t="s" s="0">
        <v>698</v>
      </c>
      <c r="J101" t="s" s="0">
        <v>2178</v>
      </c>
      <c r="K101" t="s" s="0">
        <v>2179</v>
      </c>
      <c r="L101" t="s" s="0">
        <v>2180</v>
      </c>
      <c r="M101" t="s" s="0">
        <v>2181</v>
      </c>
      <c r="N101" t="s" s="0">
        <v>2182</v>
      </c>
      <c r="O101" t="s" s="0">
        <v>2183</v>
      </c>
      <c r="P101" t="s" s="0">
        <v>2184</v>
      </c>
      <c r="Q101" t="s" s="0">
        <v>90</v>
      </c>
      <c r="R101" t="s" s="0">
        <v>81</v>
      </c>
      <c r="S101" t="s" s="0">
        <v>81</v>
      </c>
      <c r="T101" t="s" s="0">
        <v>81</v>
      </c>
      <c r="U101" t="s" s="0">
        <v>81</v>
      </c>
      <c r="V101" t="s" s="0">
        <v>2185</v>
      </c>
      <c r="W101" t="s" s="0">
        <v>704</v>
      </c>
      <c r="X101" t="s" s="0">
        <v>81</v>
      </c>
      <c r="Y101" t="s" s="0">
        <v>81</v>
      </c>
      <c r="Z101" t="s" s="0">
        <v>93</v>
      </c>
      <c r="AA101" t="s" s="0">
        <v>94</v>
      </c>
      <c r="AB101" t="s" s="0">
        <v>81</v>
      </c>
      <c r="AC101" t="s" s="0">
        <v>81</v>
      </c>
      <c r="AD101" t="s" s="0">
        <v>81</v>
      </c>
      <c r="AE101" t="s" s="0">
        <v>81</v>
      </c>
      <c r="AF101" t="s" s="0">
        <v>81</v>
      </c>
      <c r="AG101" t="s" s="0">
        <v>2186</v>
      </c>
      <c r="AH101" t="s" s="0">
        <v>81</v>
      </c>
      <c r="AI101" t="s" s="0">
        <v>81</v>
      </c>
      <c r="AJ101" t="s" s="0">
        <v>2187</v>
      </c>
      <c r="AK101" t="s" s="0">
        <v>81</v>
      </c>
      <c r="AL101" t="s" s="0">
        <v>131</v>
      </c>
      <c r="AM101" t="s" s="0">
        <v>77</v>
      </c>
      <c r="AN101" t="s" s="0">
        <v>77</v>
      </c>
      <c r="AO101" t="s" s="0">
        <v>319</v>
      </c>
      <c r="AP101" t="s" s="0">
        <v>319</v>
      </c>
      <c r="AQ101" t="s" s="0">
        <v>706</v>
      </c>
      <c r="AR101" t="s" s="0">
        <v>707</v>
      </c>
      <c r="AS101" t="s" s="0">
        <v>708</v>
      </c>
      <c r="AT101" t="s" s="0">
        <v>709</v>
      </c>
      <c r="AU101" t="s" s="0">
        <v>710</v>
      </c>
      <c r="AV101" t="s" s="0">
        <v>81</v>
      </c>
      <c r="AW101" t="s" s="0">
        <v>711</v>
      </c>
      <c r="AX101" t="s" s="0">
        <v>712</v>
      </c>
      <c r="AY101" t="s" s="0">
        <v>1372</v>
      </c>
      <c r="AZ101" t="s" s="0">
        <v>105</v>
      </c>
      <c r="BA101" t="s" s="0">
        <v>2021</v>
      </c>
      <c r="BB101" t="s" s="0">
        <v>81</v>
      </c>
      <c r="BC101" t="s" s="0">
        <v>81</v>
      </c>
      <c r="BD101" t="s" s="0">
        <v>81</v>
      </c>
      <c r="BE101" t="s" s="0">
        <v>81</v>
      </c>
      <c r="BF101" t="s" s="0">
        <v>81</v>
      </c>
      <c r="BG101" t="s" s="0">
        <v>81</v>
      </c>
      <c r="BH101" t="s" s="0">
        <v>81</v>
      </c>
      <c r="BI101" t="s" s="0">
        <v>2188</v>
      </c>
      <c r="BJ101" t="s" s="0">
        <v>2189</v>
      </c>
      <c r="BK101" t="s" s="199">
        <f>HYPERLINK("http://dx.doi.org/10.1016/j.nedt.2026.107188","http://dx.doi.org/10.1016/j.nedt.2026.107188")</f>
        <v>2190</v>
      </c>
      <c r="BL101" t="s" s="0">
        <v>81</v>
      </c>
      <c r="BM101" t="s" s="0">
        <v>81</v>
      </c>
      <c r="BN101" t="s" s="0">
        <v>393</v>
      </c>
      <c r="BO101" t="s" s="0">
        <v>717</v>
      </c>
      <c r="BP101" t="s" s="0">
        <v>718</v>
      </c>
      <c r="BQ101" t="s" s="0">
        <v>2191</v>
      </c>
      <c r="BR101" t="s" s="0">
        <v>2192</v>
      </c>
      <c r="BS101" t="s" s="0">
        <v>2193</v>
      </c>
      <c r="BT101" t="s" s="200">
        <f>HYPERLINK("https://www.webofscience.com/wos/woscc/full-record/WOS:001787623100001","View Record in Web of Science")</f>
        <v>116</v>
      </c>
      <c r="BU101" t="s" s="0">
        <v>81</v>
      </c>
      <c r="BV101" t="s" s="0">
        <v>81</v>
      </c>
      <c r="BW101" t="s" s="0">
        <v>81</v>
      </c>
      <c r="BX101" t="s" s="0">
        <v>118</v>
      </c>
    </row>
    <row r="102"/>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2026-08-26T06:04:08Z</dcterms:created>
  <dc:creator>Apache POI</dc:creator>
</cp:coreProperties>
</file>
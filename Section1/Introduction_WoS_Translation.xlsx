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<sst xmlns="http://schemas.openxmlformats.org/spreadsheetml/2006/main" count="7754" uniqueCount="2942">
  <si>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</si>
  <si>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</si>
  <si>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</si>
  <si>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</si>
  <si>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</si>
  <si>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</si>
  <si>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</si>
  <si>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</si>
  <si>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</si>
  <si>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</si>
  <si>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</si>
  <si>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</si>
  <si>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</si>
  <si>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</si>
  <si>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</si>
  <si>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</si>
  <si>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</si>
  <si>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</si>
  <si>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</si>
  <si>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</si>
  <si>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</si>
  <si>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</si>
  <si>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</si>
  <si>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</si>
  <si>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</si>
  <si>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</si>
  <si>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</si>
  <si>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</si>
  <si>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</si>
  <si>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</si>
  <si>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</si>
  <si>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</si>
  <si>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</si>
  <si>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</si>
  <si>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</si>
  <si>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</si>
  <si>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</si>
  <si>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</si>
  <si>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</si>
  <si>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</si>
  <si>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</si>
  <si>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</si>
  <si>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</si>
  <si>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</si>
  <si>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</si>
  <si>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</si>
  <si>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</si>
  <si>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</si>
  <si>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</si>
  <si>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</si>
  <si>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</si>
  <si>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</si>
  <si>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</si>
  <si>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</si>
  <si>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</si>
  <si>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</si>
  <si>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</si>
  <si>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</si>
  <si>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</si>
  <si>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</si>
  <si>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</si>
  <si>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</si>
  <si>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</si>
  <si>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</si>
  <si>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</si>
  <si>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</si>
  <si>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</si>
  <si>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</si>
  <si>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</si>
  <si>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</si>
  <si>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</si>
  <si>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</si>
  <si>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</si>
  <si>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</si>
  <si>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</si>
  <si>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</si>
  <si>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</si>
  <si>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148</t>
  </si>
  <si>
    <t>0</t>
  </si>
  <si>
    <t>575</t>
  </si>
  <si>
    <t>9</t>
  </si>
  <si>
    <t>Hosny, A; Parmar, C; Quackenbush, J; Schwartz, LH; Aerts, HJWL</t>
  </si>
  <si>
    <t>Artificial intelligence (AI) algorithms, particularly deep learning, have demonstrated remarkable progress in image-recognition tasks. Methods ranging from convolutional neural networks to variational autoencoders have found myriad applications in the medical image analysis field, propelling it forward at a rapid pace. Historically, in radiology practice, trained physicians visually assessed medical images for the detection, characterization and monitoring of diseases. AI methods excel at automatically recognizing complex patterns in imaging data and providing quantitative, rather than qualitative, assessments of radiographic characteristics. In this Opinion article, we establish a general understanding of AI methods, particularly those pertaining to image-based tasks. We explore how these methods could impact multiple facets of radiology, with a general focus on applications in oncology, and demonstrate ways in which these methods are advancing the field. Finally, we discuss the challenges facing clinical implementation and provide our perspective on how the domain could be advanced.</t>
  </si>
  <si>
    <t>Hosny, Ahmed; Parmar, Chintan; Quackenbush, John; Schwartz, Lawrence H.; Aerts, Hugo J. W. L.</t>
  </si>
  <si>
    <t/>
  </si>
  <si>
    <t>Science Citation Index Expanded (SCI-EXPANDED)</t>
  </si>
  <si>
    <t>Aerts, HJWL (corresponding author), Harvard Med Sch, Dana Farber Canc Inst, Dept Radiat Oncol, Boston, MA 02115 USA.; Aerts, HJWL (corresponding author), Harvard Med Sch, Brigham &amp; Womens Hosp, Dana Farber Canc Inst, Dept Radiol, Boston, MA 02115 USA.</t>
  </si>
  <si>
    <t>Hugo_Aerts@dfci.harvard.edu</t>
  </si>
  <si>
    <t>US National Institutes of Health [NIH-USA U24CA194354, NIH-USA U01CA190234]</t>
  </si>
  <si>
    <t>US National Institutes of Health (United States Department of Health &amp; Human Services, National Institutes of Health (NIH) - USA)</t>
  </si>
  <si>
    <t>The authors acknowledge financial support from the US National Institutes of Health (NIH-USA U24CA194354 and NIH-USA U01CA190234).</t>
  </si>
  <si>
    <t>[Hosny, Ahmed; Parmar, Chintan; Aerts, Hugo J. W. L.] Harvard Med Sch, Dana Farber Canc Inst, Dept Radiat Oncol, Boston, MA 02115 USA; [Quackenbush, John] Dana Farber Canc Inst, Dept Biostat &amp; Computat Biol, Boston, MA 02115 USA; [Quackenbush, John] Dana Farber Canc Inst, Dept Canc Biol, Boston, MA 02115 USA; [Schwartz, Lawrence H.] Columbia Univ Coll Phys &amp; Surg, Dept Radiol, New York, NY 10032 USA; [Schwartz, Lawrence H.] New York Presbyterian Hosp, Dept Radiol, New York, NY USA; [Aerts, Hugo J. W. L.] Harvard Med Sch, Brigham &amp; Womens Hosp, Dana Farber Canc Inst, Dept Radiol, Boston, MA 02115 USA</t>
  </si>
  <si>
    <t>Harvard University; Harvard University Medical Affiliates; Dana-Farber Cancer Institute; Harvard University; Harvard University Medical Affiliates; Dana-Farber Cancer Institute; Cornell University; Weill Cornell Medicine; NewYork-Presbyterian Hospital; Harvard University; Harvard Medical School; Harvard University Medical Affiliates; Brigham &amp; Women's Hospital; Dana-Farber Cancer Institute</t>
  </si>
  <si>
    <t>J</t>
  </si>
  <si>
    <t>Artificial intelligence in radiology</t>
  </si>
  <si>
    <t>NATURE REVIEWS CANCER</t>
  </si>
  <si>
    <t>English</t>
  </si>
  <si>
    <t>Review</t>
  </si>
  <si>
    <t>COMPUTER-AIDED DIAGNOSIS; MACHINE LEARNING-METHODS; NEURAL-NETWORKS; DEEP; CANCER; SEGMENTATION; RADIOMICS; INFORMATION; ACCURACY; METASTASIS</t>
  </si>
  <si>
    <t>Quackenbush, John/JJD-1148-2023; Aerts, Hugo/ABF-2821-2020; Parmar, Chintan/J-2977-2019</t>
  </si>
  <si>
    <t>Quackenbush, John/0000-0002-2702-5879; Aerts, Hugo/0000-0002-2122-2003; Parmar, Chintan/0000-0002-2140-814X</t>
  </si>
  <si>
    <t>122</t>
  </si>
  <si>
    <t>2617</t>
  </si>
  <si>
    <t>3196</t>
  </si>
  <si>
    <t>37</t>
  </si>
  <si>
    <t>1200</t>
  </si>
  <si>
    <t>NATURE PORTFOLIO</t>
  </si>
  <si>
    <t>BERLIN</t>
  </si>
  <si>
    <t>HEIDELBERGER PLATZ 3, BERLIN, 14197, GERMANY</t>
  </si>
  <si>
    <t>1474-175X</t>
  </si>
  <si>
    <t>1474-1768</t>
  </si>
  <si>
    <t>NAT REV CANCER</t>
  </si>
  <si>
    <t>Nat. Rev. Cancer</t>
  </si>
  <si>
    <t>AUG 2018</t>
  </si>
  <si>
    <t>2018</t>
  </si>
  <si>
    <t>18</t>
  </si>
  <si>
    <t>8</t>
  </si>
  <si>
    <t>500</t>
  </si>
  <si>
    <t>510</t>
  </si>
  <si>
    <t>10.1038/s41568-018-0016-5</t>
  </si>
  <si>
    <t>http://dx.doi.org/10.1038/s41568-018-0016-5</t>
  </si>
  <si>
    <t>11</t>
  </si>
  <si>
    <t>Oncology</t>
  </si>
  <si>
    <t>GN9YJ</t>
  </si>
  <si>
    <t>29777175</t>
  </si>
  <si>
    <t>WOS:000439569600010</t>
  </si>
  <si>
    <t>View Record in Web of Science</t>
  </si>
  <si>
    <t>Green Submitted</t>
  </si>
  <si>
    <t>N</t>
  </si>
  <si>
    <t>Y</t>
  </si>
  <si>
    <t>2026-08-25</t>
  </si>
  <si>
    <t>74</t>
  </si>
  <si>
    <t>327</t>
  </si>
  <si>
    <t>Ma, J; He, YT; Li, FF; Han, L; You, CY; Wang, B</t>
  </si>
  <si>
    <t>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plans.Segmentation is an important fundamental task in medical image analysis. Here the authors show a deep learning model for efficient and accurate segmentation across a wide range of medical image modalities and anatomies.</t>
  </si>
  <si>
    <t>Ma, Jun; He, Yuting; Li, Feifei; Han, Lin; You, Chenyu; Wang, Bo</t>
  </si>
  <si>
    <t>Wang, B (corresponding author), Univ Hlth Network, Peter Munk Cardiac Ctr, Toronto, ON, Canada.; Wang, B (corresponding author), Univ Toronto, Dept Lab Med &amp; Pathobiol, Toronto, ON, Canada.; Wang, B (corresponding author), Vector Inst, Toronto, ON, Canada.; Wang, B (corresponding author), Univ Toronto, Dept Comp Sci, Toronto, ON, Canada.; Wang, B (corresponding author), UHN AI Hub, Toronto, ON, Canada.</t>
  </si>
  <si>
    <t>bowang@vectorinstitute.ai</t>
  </si>
  <si>
    <t>Canadian Network for Research and Innovation in Machining Technology, Natural Sciences and Engineering Research Council of Canada (NSERC Canadian Network for Research and Innovation in Machining Technology) [RGPIN-2020-06189, DGECR-2020-00294]; Natural Sciences and Engineering Research Council of Canada (NSERC); CIFAR AI Chair programs; Digital Research Alliance of Canada</t>
  </si>
  <si>
    <t>Canadian Network for Research and Innovation in Machining Technology, Natural Sciences and Engineering Research Council of Canada (NSERC Canadian Network for Research and Innovation in Machining Technology) (Natural Sciences and Engineering Research Council of Canada (NSERC)); Natural Sciences and Engineering Research Council of Canada (NSERC) (Natural Sciences and Engineering Research Council of Canada (NSERC)); CIFAR AI Chair programs; Digital Research Alliance of Canada</t>
  </si>
  <si>
    <t>This work was supported by the Natural Sciences and Engineering Research Council of Canada (NSERC, RGPIN-2020-06189 and DGECR-2020-00294) and CIFAR AI Chair programs. The authors of this paper highly appreciate all the data owners for providing public medical images to the community. We also thank Meta AI for making the source code of segment anything publicly available to the community. This research was enabled in part by computing resources provided by the Digital Research Alliance of Canada.</t>
  </si>
  <si>
    <t>[Ma, Jun; Li, Feifei; Wang, Bo] Univ Hlth Network, Peter Munk Cardiac Ctr, Toronto, ON, Canada; [Ma, Jun; Wang, Bo] Univ Toronto, Dept Lab Med &amp; Pathobiol, Toronto, ON, Canada; [Ma, Jun; Wang, Bo] Vector Inst, Toronto, ON, Canada; [He, Yuting] Western Univ, Dept Comp Sci, London, ON, Canada; [Han, Lin] NYU, Tandon Sch Engn, New York, NY USA; [You, Chenyu] Yale Univ, Dept Elect Engn, New Haven, CT USA; [Wang, Bo] Univ Toronto, Dept Comp Sci, Toronto, ON, Canada; [Wang, Bo] UHN AI Hub, Toronto, ON, Canada</t>
  </si>
  <si>
    <t>University of Toronto; University Health Network Toronto; Peter Munk Cardiac Centre; University of Toronto; Vector Institute for Artificial Intelligence; Western University (University of Western Ontario); New York University; New York University Tandon School of Engineering; Yale University; University of Toronto</t>
  </si>
  <si>
    <t>Segment anything in medical images</t>
  </si>
  <si>
    <t>NATURE COMMUNICATIONS</t>
  </si>
  <si>
    <t>Article</t>
  </si>
  <si>
    <t>he, yuting/HLX-6751-2023; ma, jun/LHA-0128-2024; Wang, Bo/HDO-6738-2022; you, chenyu/AFK-5803-2022</t>
  </si>
  <si>
    <t>ma, jun/0000-0002-9739-0855; Wang, Bo/0000-0002-9620-3413; you, chenyu/0000-0001-8365-7822</t>
  </si>
  <si>
    <t>47</t>
  </si>
  <si>
    <t>2222</t>
  </si>
  <si>
    <t>2443</t>
  </si>
  <si>
    <t>98</t>
  </si>
  <si>
    <t>833</t>
  </si>
  <si>
    <t>2041-1723</t>
  </si>
  <si>
    <t>NAT COMMUN</t>
  </si>
  <si>
    <t>Nat. Commun.</t>
  </si>
  <si>
    <t>JAN 22 2024</t>
  </si>
  <si>
    <t>2024</t>
  </si>
  <si>
    <t>15</t>
  </si>
  <si>
    <t>1</t>
  </si>
  <si>
    <t>654</t>
  </si>
  <si>
    <t>10.1038/s41467-024-44824-z</t>
  </si>
  <si>
    <t>http://dx.doi.org/10.1038/s41467-024-44824-z</t>
  </si>
  <si>
    <t>Multidisciplinary Sciences</t>
  </si>
  <si>
    <t>Science &amp; Technology - Other Topics</t>
  </si>
  <si>
    <t>FU5C3</t>
  </si>
  <si>
    <t>38253604</t>
  </si>
  <si>
    <t>WOS:001148371500004</t>
  </si>
  <si>
    <t>gold; Green Submitted</t>
  </si>
  <si>
    <t>243</t>
  </si>
  <si>
    <t>2</t>
  </si>
  <si>
    <t>Abdar, M; Pourpanah, F; Hussain, S; Rezazadegan, D; Liu, L; Ghavamzadeh, M; Fieguth, P; Cao, XC; Khosravi, A; Acharya, UR; Makarenkov, V; Nahavandi, S</t>
  </si>
  <si>
    <t>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 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</si>
  <si>
    <t>Abdar, Moloud; Pourpanah, Farhad; Hussain, Sadiq; Rezazadegan, Dana; Liu, Li; Ghavamzadeh, Mohammad; Fieguth, Paul; Cao, Xiaochun; Khosravi, Abbas; Acharya, U. Rajendra; Makarenkov, Vladimir; Nahavandi, Saeid</t>
  </si>
  <si>
    <t>Abdar, M (corresponding author), Deakin Univ, Inst Intelligent Syst Res &amp; Innovat IISRI, Geelong, Vic, Australia.</t>
  </si>
  <si>
    <t>li.liu@oulu.fi; abbas.khosravi@deakin.edu.au; pfieguth@uwaterloo.ca; aru@np.edu.sg; drezazadegan@swin.edu.au; caoxiaochun@iie.ac.cn; sadiq@dibru.ac.in; ghavamza@google.com; m.abdar1987@gmail.com; farhad.086@gmail.com; makarenkov.vladimir@uqam.ca; saeid.nahavandi@deakin.edu.au</t>
  </si>
  <si>
    <t>[Abdar, Moloud; Khosravi, Abbas; Nahavandi, Saeid] Deakin Univ, Inst Intelligent Syst Res &amp; Innovat IISRI, Geelong, Vic, Australia; [Pourpanah, Farhad] Shenzhen Univ, Coll Math &amp; Stat, Guangdong Key Lab Intelligent Informat Proc, Shenzhen, Peoples R China; [Hussain, Sadiq] Dibrugarh Univ, Dibrugarh, Assam, India; [Rezazadegan, Dana] Swinburne Univ Technol, Dept Comp Sci &amp; Software Engn, Melbourne, Vic, Australia; [Liu, Li] Univ Oulu, Ctr Machine Vis &amp; Signal Anal, Oulu, Finland; [Fieguth, Paul] Univ Waterloo, Dept Syst Design Engn, Waterloo, ON, Canada; [Cao, Xiaochun] Chinese Acad Sci, Inst Informat Engn, State Key Lab Informat Secur, Beijing, Peoples R China; [Acharya, U. Rajendra] Ngee Ann Polytech, Dept Elect &amp; Comp Engn, Singapore, Singapore; [Acharya, U. Rajendra] SUSS Univ, Sch Sci &amp; Technol, Dept Biomed Engn, Singapore, Singapore; [Acharya, U. Rajendra] Asia Univ, Dept Biomed Informat &amp; Med Engn, Taichung, Taiwan; [Makarenkov, Vladimir] Univ Quebec Montreal, Dept Comp Sci, Montreal, PQ, Canada</t>
  </si>
  <si>
    <t>Deakin University; Shenzhen University; Dibrugarh University; Swinburne University of Technology; University of Oulu; University of Waterloo; Chinese Academy of Sciences; Institute of Information Engineering, CAS; Singapore University of Social Sciences (SUSS); Asia University Taiwan; University of Quebec; University of Quebec Montreal</t>
  </si>
  <si>
    <t>A review of uncertainty quantification in deep learning: Techniques, applications and challenges</t>
  </si>
  <si>
    <t>INFORMATION FUSION</t>
  </si>
  <si>
    <t>Artificial intelligence; Uncertainty quantification; Deep learning; Machine learning; Bayesian statistics; Ensemble learning</t>
  </si>
  <si>
    <t>MEDICAL IMAGE SEGMENTATION; NEURAL-NETWORKS; VARIATIONAL INFERENCE; MOLECULAR-PROPERTIES; MACHINE; MODEL; NET; INFORMATION; TEMPERATURE; PREDICTION</t>
  </si>
  <si>
    <t>Liu, Li/JQW-6992-2023; Cao, Xiaochun/PJT-3362-2026; Pourpanah, Farhad/W-5356-2019; Nahavandi, Saeid/AAE-5536-2022; Acharya, U Rajendra/E-3791-2010; Khosravi, Abbas/AAQ-8102-2021; Hussain, Sadiq/ABA-9849-2020; Abdar, Moloud/B-8451-2017</t>
  </si>
  <si>
    <t>Cao, Xiaochun/0000-0001-7141-708X; Pourpanah, Farhad/0000-0002-7122-9975; Acharya, U Rajendra/0000-0003-2689-8552; Fieguth, Paul/0000-0001-7260-2260; Rezazadegan, Dana/0000-0002-0097-3801; Khosravi, Abbas/0000-0001-6927-0744; Hussain, Sadiq/0000-0002-9840-4796; Abdar, Moloud/0000-0002-3059-6357</t>
  </si>
  <si>
    <t>716</t>
  </si>
  <si>
    <t>2140</t>
  </si>
  <si>
    <t>2516</t>
  </si>
  <si>
    <t>112</t>
  </si>
  <si>
    <t>1421</t>
  </si>
  <si>
    <t>ELSEVIER</t>
  </si>
  <si>
    <t>AMSTERDAM</t>
  </si>
  <si>
    <t>RADARWEG 29, 1043 NX AMSTERDAM, NETHERLANDS</t>
  </si>
  <si>
    <t>1566-2535</t>
  </si>
  <si>
    <t>1872-6305</t>
  </si>
  <si>
    <t>INFORM FUSION</t>
  </si>
  <si>
    <t>Inf. Fusion</t>
  </si>
  <si>
    <t>DEC 2021</t>
  </si>
  <si>
    <t>2021</t>
  </si>
  <si>
    <t>76</t>
  </si>
  <si>
    <t>297</t>
  </si>
  <si>
    <t>10.1016/j.inffus.2021.05.008</t>
  </si>
  <si>
    <t>http://dx.doi.org/10.1016/j.inffus.2021.05.008</t>
  </si>
  <si>
    <t>JUN 2021</t>
  </si>
  <si>
    <t>55</t>
  </si>
  <si>
    <t>Computer Science, Artificial Intelligence; Computer Science, Theory &amp; Methods</t>
  </si>
  <si>
    <t>Computer Science</t>
  </si>
  <si>
    <t>UA0PU</t>
  </si>
  <si>
    <t>WOS:000684868400005</t>
  </si>
  <si>
    <t>hybrid; Green Submitted</t>
  </si>
  <si>
    <t>79</t>
  </si>
  <si>
    <t>444</t>
  </si>
  <si>
    <t>5</t>
  </si>
  <si>
    <t>Rajpurkar, P; Chen, E; Banerjee, O; Topol, EJ</t>
  </si>
  <si>
    <t>AI has the potential to reshape medicine and make healthcare more accurate, efficient and accessible; this Review discusses recent progress, opportunities and challenges toward achieving this goal.Artificial intelligence (AI) is poised to broadly reshape medicine, potentially improving the experiences of both clinicians and patients. We discuss key findings from a 2-year weekly effort to track and share key developments in medical AI. We cover prospective studies and advances in medical image analysis, which have reduced the gap between research and deployment. We also address several promising avenues for novel medical AI research, including non-image data sources, unconventional problem formulations and human-AI collaboration. Finally, we consider serious technical and ethical challenges in issues spanning from data scarcity to racial bias. As these challenges are addressed, AI's potential may be realized, making healthcare more accurate, efficient and accessible for patients worldwide.</t>
  </si>
  <si>
    <t>Rajpurkar, Pranav; Chen, Emma; Banerjee, Oishi; Topol, Eric J.</t>
  </si>
  <si>
    <t>Topol, EJ (corresponding author), Scripps Translat Sci Inst, San Diego, CA 92037 USA.</t>
  </si>
  <si>
    <t>etopol@scripps.edu</t>
  </si>
  <si>
    <t>US National Institutes of Health [UL1TR002550]; National Center for Advancing Translational Sciences [UL1TR002550] Funding Source: NIH RePORTER</t>
  </si>
  <si>
    <t>US National Institutes of Health (United States Department of Health &amp; Human Services, National Institutes of Health (NIH) - USA, Office of the Administrator (NIH)); National Center for Advancing Translational Sciences (United States Department of Health &amp; Human Services, National Institutes of Health (NIH) - USA, NIH National Center for Advancing Translational Sciences (NCATS))</t>
  </si>
  <si>
    <t>We thank A. Tamkin and N. Phillips for their feedback. E.J.T. receives funding support from US National Institutes of Health grant UL1TR002550.</t>
  </si>
  <si>
    <t>[Rajpurkar, Pranav] Harvard Univ, Dept Biomed Informat, Cambridge, MA 02138 USA; [Chen, Emma; Banerjee, Oishi] Stanford Univ, Dept Comp Sci, Stanford, CA 94305 USA; [Topol, Eric J.] Scripps Translat Sci Inst, San Diego, CA 92037 USA</t>
  </si>
  <si>
    <t>Harvard University; Harvard Medical School; Stanford University</t>
  </si>
  <si>
    <t>AI in health and medicine</t>
  </si>
  <si>
    <t>NATURE MEDICINE</t>
  </si>
  <si>
    <t>ARTIFICIAL-INTELLIGENCE; DIABETIC-RETINOPATHY; IMAGING DATA; DEEP; SYSTEM; PREDICTION; CANCER; CLASSIFICATION; PERFORMANCE; VALIDATION</t>
  </si>
  <si>
    <t>Topol, Eric/JOZ-4372-2023</t>
  </si>
  <si>
    <t>Chen, Emma/0000-0002-7528-5229; Topol, Eric/0000-0002-1478-4729; Rajpurkar, Pranav/0000-0002-8030-3727</t>
  </si>
  <si>
    <t>114</t>
  </si>
  <si>
    <t>2023</t>
  </si>
  <si>
    <t>2454</t>
  </si>
  <si>
    <t>135</t>
  </si>
  <si>
    <t>1381</t>
  </si>
  <si>
    <t>1078-8956</t>
  </si>
  <si>
    <t>1546-170X</t>
  </si>
  <si>
    <t>NAT MED</t>
  </si>
  <si>
    <t>Nat. Med.</t>
  </si>
  <si>
    <t>JAN 2022</t>
  </si>
  <si>
    <t>2022</t>
  </si>
  <si>
    <t>28</t>
  </si>
  <si>
    <t>31</t>
  </si>
  <si>
    <t>38</t>
  </si>
  <si>
    <t>10.1038/s41591-021-01614-0</t>
  </si>
  <si>
    <t>http://dx.doi.org/10.1038/s41591-021-01614-0</t>
  </si>
  <si>
    <t>Biochemistry &amp; Molecular Biology; Cell Biology; Medicine, Research &amp; Experimental</t>
  </si>
  <si>
    <t>Biochemistry &amp; Molecular Biology; Cell Biology; Research &amp; Experimental Medicine</t>
  </si>
  <si>
    <t>ZE7IJ</t>
  </si>
  <si>
    <t>35058619</t>
  </si>
  <si>
    <t>WOS:000745382100001</t>
  </si>
  <si>
    <t>20</t>
  </si>
  <si>
    <t>544</t>
  </si>
  <si>
    <t>3</t>
  </si>
  <si>
    <t>De Fauw, J; Ledsam, JR; Romera-Paredes, B; Nikolov, S; Tomasev, N; Blackwell, S; Askham, H; Glorot, X; O'Donoghue, B; Visentin, D; van den Driessche, G; Lakshminarayanan, B; Meyer, C; Mackinder, F; Bouton, S; Ayoub, K; Chopra, R; King, D; Karthikesalingam, A; Hughes, CO; Raine, R; Hughes, J; Sim, DA; Egan, C; Tufail, A; Montgomery, H; Hassabis, D; Rees, G; Back, T; Khaw, PT; Suleyman, M; Cornebise, J; Keane, PA; Ronneberger, O</t>
  </si>
  <si>
    <t>The volume and complexity of diagnostic imaging is increasing at a pace faster than the availability of human expertise to interpret it. Artificial intelligence has shown great promise in classifying two-dimensional photographs of some common diseases and typically relies on databases of millions of annotated images. Until now, the challenge of reaching the performance of expert clinicians in a real-world clinical pathway with three-dimensional diagnostic scans has remained unsolved. Here, we apply a novel deep learning architecture to a clinically heterogeneous set of three-dimensional optical coherence tomography scans from patients referred to a major eye hospital. We demonstrate performance in making a referral recommendation that reaches or exceeds that of experts on a range of sight-threatening retinal diseases after training on only 14,884 scans. Moreover, we demonstrate that the tissue segmentations produced by our architecture act as a device-independent representation; referral accuracy is maintained when using tissue segmentations from a different type of device. Our work removes previous barriers to wider clinical use without prohibitive training data requirements across multiple pathologies in a real-world setting.</t>
  </si>
  <si>
    <t>De Fauw, Jeffrey; Ledsam, Joseph R.; Romera-Paredes, Bernardino; Nikolov, Stanislav; Tomasev, Nenad; Blackwell, Sam; Askham, Harry; Glorot, Xavier; O'Donoghue, Brendan; Visentin, Daniel; van den Driessche, George; Lakshminarayanan, Balaji; Meyer, Clemens; Mackinder, Faith; Bouton, Simon; Ayoub, Kareem; Chopra, Reena; King, Dominic; Karthikesalingam, Alan; Hughes, Cian O.; Raine, Rosalind; Hughes, Julian; Sim, Dawn A.; Egan, Catherine; Tufail, Adnan; Montgomery, Hugh; Hassabis, Demis; Rees, Geraint; Back, Trevor; Khaw, Peng T.; Suleyman, Mustafa; Cornebise, Julien; Keane, Pearse A.; Ronneberger, Olaf</t>
  </si>
  <si>
    <t>Ronneberger, O (corresponding author), DeepMind, London, England.; Keane, PA (corresponding author), Moorfields Eye Hosp, NIHR Biomed Res Ctr, London, England.; Keane, PA (corresponding author), UCL Inst Ophthalmol, London, England.</t>
  </si>
  <si>
    <t>pearse.keane@moorfields.nhs.uk; olafr@deepmind.com</t>
  </si>
  <si>
    <t>NIHR Clinician Scientist Award [NIHR-CS-2014-14-023]; NIHR Biomedical Research Centre at Moorfields Eye Hospital NHS Foundation Trust; UCL Institute of Ophthalmology; NIHR Moorfields Clinical Research Facility; College of Optometrists, United Kingdom; National Institute for Health Research [NF-SI-0616-10001, CS-2014-14-023, NF-SI-0512-10101, CL-2010-18-004] Funding Source: researchfish; Wellcome Trust [100227/Z/12/Z] Funding Source: researchfish</t>
  </si>
  <si>
    <t>NIHR Clinician Scientist Award; NIHR Biomedical Research Centre at Moorfields Eye Hospital NHS Foundation Trust; UCL Institute of Ophthalmology; NIHR Moorfields Clinical Research Facility; College of Optometrists, United Kingdom; National Institute for Health Research (National Institutes of Health Research (NIHR)); Wellcome Trust (Wellcome Trust)</t>
  </si>
  <si>
    <t>We thank K. Kavukcuoglu, A. Zisserman, M. Jaderberg, K. Simonyan for discussions, A. Cain and M. Cant for work on the visuals, D. Mitchell and M. Johnson for infrastructure and systems administration, J. Morgan and OpenEyes for providing the electronic health record records, T. Peto, P. Blows, A. O'Shea and the NIHR Clinical Research Facility for work on the labeling, T. Heeran, M. Lukic, K. Kortum, K. Fasler, S. Wagner and N. Pontikos for work on the labeling, E. Steele, V. Louw, S. Gill and the rest of Moorfields IT team for work on the data collection and deidentification, S. Al-Abed and N. Smith for Moorfields technical advice at project initiation, R. Wood and D. Corder at Softwire for engineering support at Moorfields, R. Ogbe and the Moorfields Information Governance team for support, M. Hassard for Moorfields research and development support, K. Bonstein and the National Institute for Health Research (NIHR) for support at the Moorfields Biomedical Research Centre (BRC), J. Besley for legal assistance, E. Manna for patient engagement and support, and the rest of the DeepMind team for their support, ideas and encouragement. P.A.K. is supported by an NIHR Clinician Scientist Award (NIHR-CS-2014-14-023). D.A.S., A.T., C.E. and P.T.K. are supported by the NIHR Biomedical Research Centre at Moorfields Eye Hospital NHS Foundation Trust and UCL Institute of Ophthalmology and the NIHR Moorfields Clinical Research Facility. The views expressed are those of the author(s) and not necessarily those of the NHS, the NIHR or the Department of Health. R.C. receives studentship support from the College of Optometrists, United Kingdom.</t>
  </si>
  <si>
    <t>[De Fauw, Jeffrey; Ledsam, Joseph R.; Romera-Paredes, Bernardino; Nikolov, Stanislav; Tomasev, Nenad; Blackwell, Sam; Askham, Harry; Glorot, Xavier; O'Donoghue, Brendan; Visentin, Daniel; van den Driessche, George; Lakshminarayanan, Balaji; Meyer, Clemens; Mackinder, Faith; Bouton, Simon; Ayoub, Kareem; King, Dominic; Karthikesalingam, Alan; Hughes, Cian O.; Hassabis, Demis; Back, Trevor; Suleyman, Mustafa; Cornebise, Julien; Ronneberger, Olaf] DeepMind, London, England; [Chopra, Reena; Hughes, Julian; Sim, Dawn A.; Egan, Catherine; Tufail, Adnan; Khaw, Peng T.; Keane, Pearse A.] Moorfields Eye Hosp, NIHR Biomed Res Ctr, London, England; [Chopra, Reena; Hughes, Julian; Sim, Dawn A.; Egan, Catherine; Tufail, Adnan; Khaw, Peng T.; Keane, Pearse A.] UCL Inst Ophthalmol, London, England; [Hughes, Cian O.; Raine, Rosalind; Montgomery, Hugh; Rees, Geraint; Cornebise, Julien] UCL, London, England</t>
  </si>
  <si>
    <t>Alphabet Inc.; DeepMind; University of London; University College London; Moorfields Eye Hospital NHS Foundation Trust; University of London; University College London; University of London; University College London</t>
  </si>
  <si>
    <t>Clinically applicable deep learning for diagnosis and referral in retinal disease</t>
  </si>
  <si>
    <t>OPTICAL COHERENCE TOMOGRAPHY; FULLY AUTOMATED DETECTION; DIABETIC MACULAR EDEMA; IMAGING BIOMARKERS; DEGENERATION; CLASSIFICATION; SEGMENTATION; DELAY; PREVALENCE; IMAGES</t>
  </si>
  <si>
    <t>Egan, Catherine/JEZ-3725-2023; Keane, Pearse/AAE-5709-2019; Chopra, Reena/JLK-9488-2023; Montgomery, Hugh/L-1229-2019; Lakshminarayanan, Balaji/J-1566-2016; Rees, Geraint/C-1493-2008</t>
  </si>
  <si>
    <t>Egan, Catherine/0000-0001-5593-1169; Keane, Pearse/0000-0002-9239-745X; Chopra, Reena/0000-0002-4264-8329; Tufail, Adnan/0000-0001-6131-7640; Montgomery, Hugh/0000-0001-8797-5019; Raine, Rosalind/0000-0003-0904-749X; Glorot, Xavier/0000-0002-6729-2189; Khaw, Sir Peng Tee/0000-0002-8087-2268; Ledsam, Joseph/0000-0001-9917-7196</t>
  </si>
  <si>
    <t>43</t>
  </si>
  <si>
    <t>1808</t>
  </si>
  <si>
    <t>2079</t>
  </si>
  <si>
    <t>466</t>
  </si>
  <si>
    <t>SEP 2018</t>
  </si>
  <si>
    <t>24</t>
  </si>
  <si>
    <t>1342</t>
  </si>
  <si>
    <t>+</t>
  </si>
  <si>
    <t>10.1038/s41591-018-0107-6</t>
  </si>
  <si>
    <t>http://dx.doi.org/10.1038/s41591-018-0107-6</t>
  </si>
  <si>
    <t>12</t>
  </si>
  <si>
    <t>GT0XF</t>
  </si>
  <si>
    <t>30104768</t>
  </si>
  <si>
    <t>WOS:000444174100015</t>
  </si>
  <si>
    <t>357</t>
  </si>
  <si>
    <t>Kelly, CJ; Karthikesalingam, A; Suleyman, M; Corrado, G; King, D</t>
  </si>
  <si>
    <t>Background: Artificial intelligence (AI) research in healthcare is accelerating rapidly, with potential applications being demonstrated across various domains of medicine. However, there are currently limited examples of such techniques being successfully deployed into clinical practice. This article explores the main challenges and limitations of AI in healthcare, and considers the steps required to translate these potentially transformative technologies from research to clinical practice.Main body: Key challenges for the translation of AI systems in healthcare include those intrinsic to the science of machine learning, logistical difficulties in implementation, and consideration of the barriers to adoption as well as of the necessary sociocultural or pathway changes. Robust peer-reviewed clinical evaluation as part of randomised controlled trials should be viewed as the gold standard for evidence generation, but conducting these in practice may not always be appropriate or feasible. Performance metrics should aim to capture real clinical applicability and be understandable to intended users. Regulation that balances the pace of innovation with the potential for harm, alongside thoughtful post-market surveillance, is required to ensure that patients are not exposed to dangerous interventions nor deprived of access to beneficial innovations. Mechanisms to enable direct comparisons of AI systems must be developed, including the use of independent, local and representative test sets. Developers of AI algorithms must be vigilant to potential dangers, including dataset shift, accidental fitting of confounders, unintended discriminatory bias, the challenges of generalisation to new populations, and the unintended negative consequences of new algorithms on health outcomes.Conclusion: The safe and timely translation of AI research into clinically validated and appropriately regulated systems that can benefit everyone is challenging. Robust clinical evaluation, using metrics that are intuitive to clinicians and ideally go beyond measures of technical accuracy to include quality of care and patient outcomes, is essential. Further work is required (1) to identify themes of algorithmic bias and unfairness while developing mitigations to address these, (2) to reduce brittleness and improve generalisability, and (3) to develop methods for improved interpretability of machine learning predictions. If these goals can be achieved, the benefits for patients are likely to be transformational.</t>
  </si>
  <si>
    <t>Kelly, Christopher J.; Karthikesalingam, Alan; Suleyman, Mustafa; Corrado, Greg; King, Dominic</t>
  </si>
  <si>
    <t>Science Citation Index Expanded (SCI-EXPANDED); Social Science Citation Index (SSCI)</t>
  </si>
  <si>
    <t>Kelly, CJ (corresponding author), Google Hlth, London, England.</t>
  </si>
  <si>
    <t>cjkelly@google.com</t>
  </si>
  <si>
    <t>Google LLC</t>
  </si>
  <si>
    <t>Google LLC (Google Incorporated)</t>
  </si>
  <si>
    <t>Google LLC.</t>
  </si>
  <si>
    <t>[Kelly, Christopher J.; Karthikesalingam, Alan; King, Dominic] Google Hlth, London, England; [Suleyman, Mustafa] DeepMind, London, England; [Corrado, Greg] Google Hlth, Mountain View, CA USA</t>
  </si>
  <si>
    <t>Alphabet Inc.; DeepMind</t>
  </si>
  <si>
    <t>Key challenges for delivering clinical impact with artificial intelligence</t>
  </si>
  <si>
    <t>BMC MEDICINE</t>
  </si>
  <si>
    <t>Artificial intelligence; Machine learning; Algorithms; Translation; Evaluation; Regulation</t>
  </si>
  <si>
    <t>DEEP-LEARNING ALGORITHM; DIABETIC-RETINOPATHY; HEALTH; CLASSIFICATION; PREDICTION; VALIDATION; TRIPLE; CARE; AIM</t>
  </si>
  <si>
    <t>Kelly, Christopher John/0000-0002-1246-844X</t>
  </si>
  <si>
    <t>97</t>
  </si>
  <si>
    <t>1724</t>
  </si>
  <si>
    <t>2124</t>
  </si>
  <si>
    <t>32</t>
  </si>
  <si>
    <t>BMC</t>
  </si>
  <si>
    <t>LONDON</t>
  </si>
  <si>
    <t>CAMPUS, 4 CRINAN ST, LONDON N1 9XW, ENGLAND</t>
  </si>
  <si>
    <t>1741-7015</t>
  </si>
  <si>
    <t>BMC MED</t>
  </si>
  <si>
    <t>BMC Med.</t>
  </si>
  <si>
    <t>OCT 29 2019</t>
  </si>
  <si>
    <t>2019</t>
  </si>
  <si>
    <t>17</t>
  </si>
  <si>
    <t>195</t>
  </si>
  <si>
    <t>10.1186/s12916-019-1426-2</t>
  </si>
  <si>
    <t>http://dx.doi.org/10.1186/s12916-019-1426-2</t>
  </si>
  <si>
    <t>Medicine, General &amp; Internal</t>
  </si>
  <si>
    <t>General &amp; Internal Medicine</t>
  </si>
  <si>
    <t>KE2WD</t>
  </si>
  <si>
    <t>31665002</t>
  </si>
  <si>
    <t>WOS:000508420300001</t>
  </si>
  <si>
    <t>gold; Green Accepted</t>
  </si>
  <si>
    <t>453</t>
  </si>
  <si>
    <t>6</t>
  </si>
  <si>
    <t>van Calster, B; McLernon, DJ; van Smeden, M; Wynants, L; Steyerberg, EW</t>
  </si>
  <si>
    <t>Background: The assessment of calibration performance of risk prediction models based on regression or more flexible machine learning algorithms receives little attention.Main text: Herein, we argue that this needs to change immediately because poorly calibrated algorithms can be misleading and potentially harmful for clinical decision-making. We summarize how to avoid poor calibration at algorithm development and how to assess calibration at algorithm validation, emphasizing balance between model complexity and the available sample size. At external validation, calibration curves require sufficiently large samples. Algorithm updating should be considered for appropriate support of clinical practice.Conclusion: Efforts are required to avoid poor calibration when developing prediction models, to evaluate calibration when validating models, and to update models when indicated. The ultimate aim is to optimize the utility of predictive analytics for shared decision-making and patient counseling.</t>
  </si>
  <si>
    <t>van Calster, Ben; McLernon, David J.; van Smeden, Maarten; Wynants, Laure; Steyerberg, Ewout W.</t>
  </si>
  <si>
    <t>van Calster, B (corresponding author), Katholieke Univ Leuven, Dept Dev &amp; Regenerat, Herestr 49 Box 805, B-3000 Leuven, Belgium.; van Calster, B (corresponding author), Leiden Univ, Med Ctr, Dept Biomed Data Sci, Leiden, Netherlands.</t>
  </si>
  <si>
    <t>ben.vancalster@kuleuven.be</t>
  </si>
  <si>
    <t>Research Foundation - Flanders (FWO) [G0B4716N]; Internal Funds KU Leuven [C24/15/037]</t>
  </si>
  <si>
    <t>Research Foundation - Flanders (FWO) (FWO); Internal Funds KU Leuven</t>
  </si>
  <si>
    <t>This work was funded by the Research Foundation - Flanders (FWO; grant G0B4716N) and Internal Funds KU Leuven (grant C24/15/037). The funders had no role in study design, data collection, data analysis, interpretation of results, or writing of the manuscript.</t>
  </si>
  <si>
    <t>[van Calster, Ben; Wynants, Laure] Katholieke Univ Leuven, Dept Dev &amp; Regenerat, Herestr 49 Box 805, B-3000 Leuven, Belgium; [van Calster, Ben; van Smeden, Maarten; Steyerberg, Ewout W.] Leiden Univ, Med Ctr, Dept Biomed Data Sci, Leiden, Netherlands; [McLernon, David J.] Univ Aberdeen, Med Stat Team, Inst Appl Hlth Sci, Sch Med Med Sci &amp; Nutr, Aberdeen, Scotland; [van Smeden, Maarten] Leiden Univ, Med Ctr, Dept Clin Epidemiol, Leiden, Netherlands; [Wynants, Laure] Maastricht Univ, Dept Epidemiol, CAPHRI Care &amp; Publ Hlth Res Inst, Maastricht, Netherlands</t>
  </si>
  <si>
    <t>KU Leuven; Leiden University - Excl LUMC; Leiden University; Leiden University Medical Center (LUMC); University of Aberdeen; Leiden University; Leiden University - Excl LUMC; Leiden University Medical Center (LUMC); Maastricht University</t>
  </si>
  <si>
    <t>STRATOS Initiative</t>
  </si>
  <si>
    <t>Calibration: the Achilles heel of predictive analytics</t>
  </si>
  <si>
    <t>Calibration; Risk prediction models; Predictive analytics; Overfitting; Heterogeneity; Model performance</t>
  </si>
  <si>
    <t>LOGISTIC-REGRESSION MODELS; OVARIAN-CANCER; VALIDATION; IMPACT; IVF</t>
  </si>
  <si>
    <t>McLernon, David/D-5167-2012; van Smeden, Maarten/Y-7034-2019; Steyerberg, Ewout/C-1509-2018; Van Calster, Ben/F-9150-2010; Wynants, Laure/AAA-2723-2020</t>
  </si>
  <si>
    <t>McLernon, David/0000-0001-8905-2429; van Smeden, Maarten/0000-0002-5529-1541; Steyerberg, Ewout/0000-0002-7787-0122; Van Calster, Ben/0000-0003-1613-7450; Wynants, Laure/0000-0002-3037-122X</t>
  </si>
  <si>
    <t>1647</t>
  </si>
  <si>
    <t>1810</t>
  </si>
  <si>
    <t>10</t>
  </si>
  <si>
    <t>44</t>
  </si>
  <si>
    <t>DEC 16 2019</t>
  </si>
  <si>
    <t>230</t>
  </si>
  <si>
    <t>10.1186/s12916-019-1466-7</t>
  </si>
  <si>
    <t>http://dx.doi.org/10.1186/s12916-019-1466-7</t>
  </si>
  <si>
    <t>7</t>
  </si>
  <si>
    <t>KH8BV</t>
  </si>
  <si>
    <t>31842878</t>
  </si>
  <si>
    <t>WOS:000510874900001</t>
  </si>
  <si>
    <t>gold; Green Submitted; Green Published; Green Accepted</t>
  </si>
  <si>
    <t>119</t>
  </si>
  <si>
    <t>286</t>
  </si>
  <si>
    <t>He, JX; Baxter, SL; Xu, J; Xu, JM; Zhou, XT; Zhang, K</t>
  </si>
  <si>
    <t>The development of artificial intelligence (AI)-based technologies in medicine is advancing rapidly, but real-world clinical implementation has not yet become a reality. Here we review some of the key practical issues surrounding the implementation of AI into existing clinical workflows, including data sharing and privacy, transparency of algorithms, data standardization, and interoperability across multiple platforms, and concern for patient safety. We summarize the current regulatory environment in the United States and highlight comparisons with other regions in the world, notably Europe and China.</t>
  </si>
  <si>
    <t>He, Jianxing; Baxter, Sally L.; Xu, Jie; Xu, Jiming; Zhou, Xingtao; Zhang, Kang</t>
  </si>
  <si>
    <t>He, JX; Zhang, K (corresponding author), Guangzhou Med Univ, China State Key Lab, Affiliated Hosp 1, Dept Thorac Surg Oncol, Guangzhou, Guangdong, Peoples R China.; He, JX; Zhang, K (corresponding author), Natl Clin Res Ctr Resp Dis, Guangzhou, Guangdong, Peoples R China.; He, JX; Zhang, K (corresponding author), Guangzhou Regenerat Med &amp; Hlth Guangdong Lab, Guangzhou, Guangdong, Peoples R China.; Zhang, K (corresponding author), Univ Calif San Diego, Shiley Eye Inst, La Jolla, CA 92093 USA.; Zhang, K (corresponding author), Univ Calif San Diego, Inst Engn Med, La Jolla, CA 92093 USA.; Zhang, K (corresponding author), San Diego Vet Affairs Hlth Syst, La Jolla, CA 92161 USA.</t>
  </si>
  <si>
    <t>hejx@vip.163.com; kang.zhang@gmail.com</t>
  </si>
  <si>
    <t>Guangzhou Medical University, Guangzhou Regenerative Medicine and Health Guangdong Laboratory [B185004102, B185004075]; National Library of Medicine [T15LM011271] Funding Source: NIH RePORTER</t>
  </si>
  <si>
    <t>Guangzhou Medical University, Guangzhou Regenerative Medicine and Health Guangdong Laboratory; National Library of Medicine (United States Department of Health &amp; Human Services, National Institutes of Health (NIH) - USA, NIH National Library of Medicine (NLM))</t>
  </si>
  <si>
    <t>This study was funded in part by the Innovative team (B185004102) and Backbone talent (B185004075) training program for high-level universities of Guangzhou Medical University, Guangzhou Regenerative Medicine and Health Guangdong Laboratory.</t>
  </si>
  <si>
    <t>[He, Jianxing; Zhang, Kang] Guangzhou Med Univ, China State Key Lab, Affiliated Hosp 1, Dept Thorac Surg Oncol, Guangzhou, Guangdong, Peoples R China; [He, Jianxing; Zhang, Kang] Natl Clin Res Ctr Resp Dis, Guangzhou, Guangdong, Peoples R China; [He, Jianxing; Zhang, Kang] Guangzhou Regenerat Med &amp; Hlth Guangdong Lab, Guangzhou, Guangdong, Peoples R China; [Baxter, Sally L.; Zhang, Kang] Univ Calif San Diego, Shiley Eye Inst, La Jolla, CA 92093 USA; [Baxter, Sally L.; Zhang, Kang] Univ Calif San Diego, Inst Engn Med, La Jolla, CA 92093 USA; [Baxter, Sally L.] Univ Calif San Diego, Dept Biomed Informat, La Jolla, CA 92093 USA; [Baxter, Sally L.; Zhang, Kang] San Diego Vet Affairs Hlth Syst, La Jolla, CA 92161 USA; [Xu, Jie] Capital Med Univ, Beijing Ophthalmol &amp; Visual Sci Key Lab, Beijing Inst Ophthalmol, Beijing Tongren Eye Ctr,Beijing Tongren Hosp, Beijing, Peoples R China; [Xu, Jiming] Yidu Cloud Technol Inc, Beijing, Peoples R China; [Zhou, Xingtao] Fudan Univ, Eye &amp; ENT Hosp, Dept Ophthalmol, Shanghai, Peoples R China</t>
  </si>
  <si>
    <t>Guangzhou Medical University; Bioland Lab; University of California System; University of California San Diego; University of California System; University of California San Diego; University of California System; University of California San Diego; Capital Medical University; Fudan University</t>
  </si>
  <si>
    <t>The practical implementation of artificial intelligence technologies in medicine</t>
  </si>
  <si>
    <t>CLASSIFICATION</t>
  </si>
  <si>
    <t>Xu, Jie/AIE-0524-2022; Zhang, Kang/Y-2740-2019</t>
  </si>
  <si>
    <t>Baxter, Sally/0000-0002-5271-7690; He, Jianxing/0000-0003-1737-8192</t>
  </si>
  <si>
    <t>36</t>
  </si>
  <si>
    <t>1464</t>
  </si>
  <si>
    <t>1875</t>
  </si>
  <si>
    <t>23</t>
  </si>
  <si>
    <t>815</t>
  </si>
  <si>
    <t>JAN 2019</t>
  </si>
  <si>
    <t>25</t>
  </si>
  <si>
    <t>30</t>
  </si>
  <si>
    <t>10.1038/s41591-018-0307-0</t>
  </si>
  <si>
    <t>http://dx.doi.org/10.1038/s41591-018-0307-0</t>
  </si>
  <si>
    <t>HG5OR</t>
  </si>
  <si>
    <t>30617336</t>
  </si>
  <si>
    <t>WOS:000455027700017</t>
  </si>
  <si>
    <t>125</t>
  </si>
  <si>
    <t>373</t>
  </si>
  <si>
    <t>Bi, WL; Hosny, A; Schabath, MB; Giger, ML; Birkbak, NJ; Mehrtash, A; Allison, T; Arnaout, O; Abbosh, C; Dunn, IF; Mak, RH; Tamimi, RM; Tempany, CM; Swanton, C; Hoffmann, U; Schwartz, LH; Gillies, RJ; Huang, RY; Aerts, HJWL</t>
  </si>
  <si>
    <t>Judgement, as one of the core tenets of medicine, relies upon the integration of multilayered data with nuanced decision making. Cancer offers a unique context for medical decisions given not only its variegated forms with evolution of disease but also the need to take into account the individual condition of patients, their ability to receive treatment, and their responses to treatment. Challenges remain in the accurate detection, characterization, and monitoring of cancers despite improved technologies. Radiographic assessment of disease most commonly relies upon visual evaluations, the interpretations of which may be augmented by advanced computational analyses. In particular, artificial intelligence (AI) promises to make great strides in the qualitative interpretation of cancer imaging by expert clinicians, including volumetric delineation of tumors over time, extrapolation of the tumor genotype and biological course from its radiographic phenotype, prediction of clinical outcome, and assessment of the impact of disease and treatment on adjacent organs. AI may automate processes in the initial interpretation of images and shift the clinical workflow of radiographic detection, management decisions on whether or not to administer an intervention, and subsequent observation to a yet to be envisioned paradigm. Here, the authors review the current state of AI as applied to medical imaging of cancer and describe advances in 4 tumor types (lung, brain, breast, and prostate) to illustrate how common clinical problems are being addressed. Although most studies evaluating AI applications in oncology to date have not been vigorously validated for reproducibility and generalizability, the results do highlight increasingly concerted efforts in pushing AI technology to clinical use and to impact future directions in cancer care.</t>
  </si>
  <si>
    <t>Bi, Wenya Linda; Hosny, Ahmed; Schabath, Matthew B.; Giger, Maryellen L.; Birkbak, Nicolai J.; Mehrtash, Alireza; Allison, Tavis; Arnaout, Omar; Abbosh, Christopher; Dunn, Ian F.; Mak, Raymond H.; Tamimi, Rulla M.; Tempany, Clare M.; Swanton, Charles; Hoffmann, Udo; Schwartz, Lawrence H.; Gillies, Robert J.; Huang, Raymond Y.; Aerts, Hugo J. W. L.</t>
  </si>
  <si>
    <t>Aerts, HJWL (corresponding author), Harvard Med Sch, Dana Farber Canc Inst, Brigham &amp; Womens Hosp, Harvard Inst Med, HIM 343,77 Ave Louis Pasteur, Boston, MA 02115 USA.</t>
  </si>
  <si>
    <t>hugo_aerts@dfci.harvard.edu</t>
  </si>
  <si>
    <t>National Institutes of Health (NIH) [U24 CA194354, U01 CA19023, U01CA195564, U01 CA189240, P41 EB015898, U01 CA 195564, R01 CA166945, U01 CA143062, U01 CA200464, R01 CA18645, U01 CA196405]; Natural Sciences and Engineering Research Council of Canada; Canadian Institutes of Health Research; Francis Crick Institute [FC001169]; UK Medical Research Council [FC001169]; Wellcome Trust; Cancer Research UK (CRUK); (CRUK Cancer Immunotherapy Catalyst Network); CRUK Lung Cancer Centre of Excellence, Stand Up 2 Cancer; Rosetrees and Stoneygate Trusts; NovoNordisk Foundation [16584]; National Institute for Health Research Biomedical Research Center at University College London Hospitals; CRUK University College London Experimental Cancer Medicine Center; MEDIAN Technologies, Riverain Medical; Mitsubishi; Varian Medical Systems; AstraZeneca; InSightec Inc; Gilead Sciences; Profound Medical; Pfizer; Bristol-Myers Squibb (BMS); Boehringer Ingelheim; Servier; Roche-Genentech [051893, 051892, PCT/GB2018, 052004]; Daiichi Sankyo; Roche; Kowa Ltd; Agios Pharmaceuticals; Novo Nordisk Fonden [NNF15OC0016584] Funding Source: researchfish; The Francis Crick Institute [10169] Funding Source: researchfish; National Cancer Institute [U01CA200464] Funding Source: NIH RePORTER</t>
  </si>
  <si>
    <t>National Institutes of Health (NIH) (United States Department of Health &amp; Human Services, National Institutes of Health (NIH) - USA); Natural Sciences and Engineering Research Council of Canada (Natural Sciences and Engineering Research Council of Canada (NSERC), CGIAR); Canadian Institutes of Health Research (Canadian Institutes of Health Research (CIHR)); Francis Crick Institute; UK Medical Research Council (UK Research &amp; Innovation (UKRI), Medical Research Council UK (MRC)); Wellcome Trust (Wellcome Trust); Cancer Research UK (CRUK) (Cancer Research UK); (CRUK Cancer Immunotherapy Catalyst Network); CRUK Lung Cancer Centre of Excellence, Stand Up 2 Cancer; Rosetrees and Stoneygate Trusts; NovoNordisk Foundation (Novo Nordisk Foundation); National Institute for Health Research Biomedical Research Center at University College London Hospitals; CRUK University College London Experimental Cancer Medicine Center; MEDIAN Technologies, Riverain Medical; Mitsubishi; Varian Medical Systems; AstraZeneca (AstraZeneca); InSightec Inc; Gilead Sciences (Gilead Sciences); Profound Medical; Pfizer (Pfizer); Bristol-Myers Squibb (BMS) (Bristol-Myers Squibb); Boehringer Ingelheim (Boehringer Ingelheim); Servier (Servier); Roche-Genentech (Roche Holding, Genentech); Daiichi Sankyo (Daiichi Sankyo Company Limited); Roche (Roche Holding); Kowa Ltd; Agios Pharmaceuticals; Novo Nordisk Fonden (Novo Nordisk Foundation); The Francis Crick Institute; National Cancer Institute (United States Department of Health &amp; Human Services, National Institutes of Health (NIH) - USA, NIH National Cancer Institute (NCI))</t>
  </si>
  <si>
    <t>This work was funded in part by the following grants from the National Institutes of Health (NIH): U24 CA194354 and U01 CA19023 (Hugo J. W. L. Aerts); U01CA195564, U01 CA189240, and P41 EB015898 (Clare M. Tempany); U01 CA 195564, R01 CA166945, U01 CA189240 (Maryellen L. Giger); and U01 CA143062, U01 CA200464, R01 CA18645 (subcontract) and U01 CA196405 (subcontract) (Robert J. Gillies and Matthew B. Schabath). In addition, funding support was received from by the Natural Sciences and Engineering Research Council of Canada and the Canadian Institutes of Health Research. Charles Swanton is supported by the Francis Crick Institute (FC001169 and FC001202), the UK Medical Research Council (FC001169 and FC001202), the Wellcome Trust (FC001169 and FC001202), Cancer Research UK (CRUK) (the TRACERx and CRUK Cancer Immunotherapy Catalyst Network), the CRUK Lung Cancer Centre of Excellence, Stand Up 2 Cancer, the Rosetrees and Stoneygate Trusts, the NovoNordisk Foundation (16584), the National Institute for Health Research Biomedical Research Center at University College London Hospitals, and the CRUK University College London Experimental Cancer Medicine Center. Maryellen L. Giger reports shares and equity holdings in Quantitative Insights (cofounder); licensing royalties and stock ownership in R2/Hologic; stock ownership in Qview; and royalties from Hologic, GE Medical Systems, MEDIAN Technologies, Riverain Medical, Mitsubishi, and Toshiba for patents on medical imaging with artificial intelligence. Christopher Abbosh reports personal fees from Achilles Therapeutics, Novartis, and Roche Diagnostics outside the submitted work and has 2 patents pending based on circulating tumor DNA detection of lung cancer recurrence (methods for lung cancer detection and method for detecting tumor recurrence). Raymond H. Mak reports an institutional grant to his institution from Varian Medical Systems and personal fees from AstraZeneca and NewRT, all outside the submitted work. Clare M. Tempany reports clinical trial support from InSightec Inc and Gilead Sciences and personal fees from Profound Medical, all outside the submitted work. Charles Swanton reports grants from Pfizer, AstraZeneca, Ventana, and Bristol-Myers Squibb (BMS) during the conduct of the study; personal fees from Boehringer Ingelheim, Novartis, Eli Lilly, Servier, Novartis, Roche-Genentech, GlaxoSmithKline, Pfizer, BMS, Celgene, AstraZeneca, Illumina, and the Sarah Canon Research Institute outside the submitted work; stock options in GRAIL, APOGEN Biotechnologies, EPIC Bioscience, and Achilles Therapeutics (cofounder); and has patents issued (PCT/EP2016 of 059401 and PCT/EP2016 of 071471) and patents pending (PCT/GB2018 of 051893, PCT/GB2018 of 051892, and PCT/GB2018 of 052004). Lawrence H. Schwartz reports funding for Data Safety and Endpoint Committee Membership from Merck, Daiichi Sankyo, and Boehringer Ingelheim and personal fees from Roche and Novartis, all outside the submitted work. Robert J. Gillies reports stock options from HealthMyne Inc and grants and personal fees from Helix Biopharma, all outside the submitted work. Udo Hoffmann reports institutional research grants from Medimmune, Kowa Ltd, and HeartFlow Inc, all outside the submitted work. Raymond Y. Huang has received research support from Agios Pharmaceuticals. Hugo J. W. L. Aerts reports shares from Genospace and Sphera, outside of thesubmitted work. The remaining authors made no disclosures.</t>
  </si>
  <si>
    <t>[Bi, Wenya Linda; Arnaout, Omar; Dunn, Ian F.] Harvard Med Sch, Brigham &amp; Womens Hosp, Dana Farber Canc Inst, Neurosurg,Dept Neurosurg, Boston, MA 02115 USA; [Hosny, Ahmed; Mak, Raymond H.; Aerts, Hugo J. W. L.] Harvard Med Sch, Dept Radiat Oncol, Brigham &amp; Womens Hosp, Dana Farber Canc Inst, Boston, MA 02115 USA; [Schabath, Matthew B.] H Lee Moffitt Canc Ctr &amp; Res Inst, Dept Canc Epidemiol, Tampa, FL USA; [Giger, Maryellen L.] Univ Chicago, Dept Radiol, Radiol, Chicago, IL 60637 USA; [Birkbak, Nicolai J.; Abbosh, Christopher; Swanton, Charles] Francis Crick Inst, London, England; [Birkbak, Nicolai J.; Abbosh, Christopher; Swanton, Charles] UCL, Inst Canc, London, England; [Mehrtash, Alireza; Huang, Raymond Y.; Aerts, Hugo J. W. L.] Harvard Med Sch, Dept Radiol, Brigham &amp; Womens Hosp, Dana Farber Canc Inst, Boston, MA 02115 USA; [Mehrtash, Alireza] Univ British Columbia, Dept Elect &amp; Comp Engn, Vancouver, BC, Canada; [Allison, Tavis] Columbia Univ, Coll Phys &amp; Surg, Dept Radiol, New York, NY USA; [Allison, Tavis; Schwartz, Lawrence H.] New York Presbyterian Hosp, Dept Radiol, New York, NY USA; [Tamimi, Rulla M.] Harvard Med Sch, Brigham &amp; Womens Hosp, Dept Med, Dana Farber Canc Inst, Boston, MA 02115 USA; [Tempany, Clare M.] Harvard Med Sch, Brigham &amp; Womens Hosp, Dana Farber Canc Inst, Radiol,Dept Radiol, Boston, MA 02115 USA; [Hoffmann, Udo] Massachusetts Gen Hosp, Dept Radiol, Radiol, Boston, MA USA; [Hoffmann, Udo] Harvard Med Sch, Boston, MA 02115 USA; [Schwartz, Lawrence H.] Columbia Univ, Coll Phys &amp; Surg, Dept Radiol, Radiol, New York, NY USA; [Gillies, Robert J.] H Lee Moffitt Canc Ctr &amp; Res Inst, Dept Canc Physiol, Radiol, Tampa, FL USA; [Aerts, Hugo J. W. L.] MUMC, AI Med Radiol &amp; Nucl Med, GROW, Maastricht, Netherlands</t>
  </si>
  <si>
    <t>Harvard University; Harvard Medical School; Harvard University Medical Affiliates; Brigham &amp; Women's Hospital; Dana-Farber Cancer Institute; Harvard University; Harvard Medical School; Harvard University Medical Affiliates; Dana-Farber Cancer Institute; Brigham &amp; Women's Hospital; H Lee Moffitt Cancer Center &amp; Research Institute; University of Chicago; Francis Crick Institute; University of London; University College London; Harvard University; Harvard Medical School; Harvard University Medical Affiliates; Brigham &amp; Women's Hospital; Dana-Farber Cancer Institute; University of British Columbia; Columbia University; Cornell University; Weill Cornell Medicine; NewYork-Presbyterian Hospital; Harvard University; Harvard Medical School; Harvard University Medical Affiliates; Brigham &amp; Women's Hospital; Dana-Farber Cancer Institute; Harvard University; Harvard Medical School; Harvard University Medical Affiliates; Brigham &amp; Women's Hospital; Dana-Farber Cancer Institute; Harvard University; Harvard University Medical Affiliates; Massachusetts General Hospital; Harvard University; Harvard Medical School; Columbia University; H Lee Moffitt Cancer Center &amp; Research Institute; Maastricht University</t>
  </si>
  <si>
    <t>Artificial intelligence in cancer imaging: Clinical challenges and applications</t>
  </si>
  <si>
    <t>CA-A CANCER JOURNAL FOR CLINICIANS</t>
  </si>
  <si>
    <t>artificial intelligence; cancer imaging; clinical challenges; deep learning; radiomics</t>
  </si>
  <si>
    <t>COMPUTER-AIDED DETECTION; DIGITAL BREAST TOMOSYNTHESIS; BACKGROUND PARENCHYMAL ENHANCEMENT; CONVOLUTIONAL NEURAL-NETWORK; MULTI-PARAMETRIC MRI; DETECTION CAD SYSTEM; HIGH-GRADE GLIOMAS; PROSTATE-CANCER; LUNG-CANCER; PULMONARY NODULES</t>
  </si>
  <si>
    <t>/HRC-5292-2023; Schabath, Matthew/J-3763-2016; Swanton, Charles/AEY-0113-2022; Aerts, Hugo/ABF-2821-2020; Giger, Maryellen/AAH-1908-2021; Huang, Raymond/AFN-4922-2022</t>
  </si>
  <si>
    <t>Mehrtash, Alireza/0000-0003-3703-5330; Aerts, Hugo/0000-0002-2122-2003; Mak, Raymond/0000-0002-8754-0565; Birkbak, Nicolai/0000-0003-1613-9587; Huang, Raymond/0000-0001-7661-797X; Gillies, Robert/0000-0002-8888-7747</t>
  </si>
  <si>
    <t>218</t>
  </si>
  <si>
    <t>1456</t>
  </si>
  <si>
    <t>1743</t>
  </si>
  <si>
    <t>1059</t>
  </si>
  <si>
    <t>WILEY</t>
  </si>
  <si>
    <t>HOBOKEN</t>
  </si>
  <si>
    <t>111 RIVER ST, HOBOKEN 07030-5774, NJ USA</t>
  </si>
  <si>
    <t>0007-9235</t>
  </si>
  <si>
    <t>1542-4863</t>
  </si>
  <si>
    <t>CA-CANCER J CLIN</t>
  </si>
  <si>
    <t>CA-Cancer J. Clin.</t>
  </si>
  <si>
    <t>MAR-APR 2019</t>
  </si>
  <si>
    <t>69</t>
  </si>
  <si>
    <t>127</t>
  </si>
  <si>
    <t>157</t>
  </si>
  <si>
    <t>10.3322/caac.21552</t>
  </si>
  <si>
    <t>http://dx.doi.org/10.3322/caac.21552</t>
  </si>
  <si>
    <t>HN8VT</t>
  </si>
  <si>
    <t>30720861</t>
  </si>
  <si>
    <t>WOS:000460475700005</t>
  </si>
  <si>
    <t>gold; Green Published; Green Submitted</t>
  </si>
  <si>
    <t>26</t>
  </si>
  <si>
    <t>300</t>
  </si>
  <si>
    <t>Lundervold, AS; Lundervold, A</t>
  </si>
  <si>
    <t>What has happened in machine learning lately, and what does it mean for the future of medical image analysis? Machine learning has witnessed a tremendous amount of attention over the last few years. The current boom started around 2009 when so-called deep artificial neural networks began outperforming other established models on a number of important benchmarks. Deep neural networks are now the state-of-the-art machine learning models across a variety of areas, from image analysis to natural language processing, and widely deployed in academia and industry. These developments have a huge potential for medical imaging technology, medical data analysis, medical diagnostics and healthcare in general, slowly being realized. We provide a short overview of recent advances and some associated challenges in machine learning applied to medical image processing and image analysis. As this has become a very broad and fast expanding field we will not survey the entire landscape of applications, but put particular focus on deep learning in MRI.Our aim is threefold: (i) give a brief introduction to deep learning with pointers to core references; (ii) indicate how deep learning has been applied to the entire MRI processing chain, from acquisition to image retrieval, from segmentation to disease prediction; (iii) provide a starting point for people interested in experimenting and perhaps contributing to the field of deep learning for medical imaging by pointing out good educational resources, state-of-the-art open-source code, and interesting sources of data and problems related medical imaging.</t>
  </si>
  <si>
    <t>Lundervold, Alexander Selvikvag; Lundervold, Arvid</t>
  </si>
  <si>
    <t>Lundervold, AS (corresponding author), Haukeland Hosp, Mohn Med Imaging &amp; Visualizat Ctr MMIV, Bergen, Norway.</t>
  </si>
  <si>
    <t>mfyal@uib.no; allu@hvl.no</t>
  </si>
  <si>
    <t>Bergen Research Foundation through the project "Computational medical imaging and machine learning methods, infrastructure and applications"</t>
  </si>
  <si>
    <t>We thank Renate Griiner for useful discussions. The anonymous reviewers gave us excellent constructive feedback that led to several improvements throughout the article. Our work was financially supported by the Bergen Research Foundation through the project "Computational medical imaging and machine learning methods, infrastructure and applications".</t>
  </si>
  <si>
    <t>[Lundervold, Alexander Selvikvag; Lundervold, Arvid] Haukeland Hosp, Mohn Med Imaging &amp; Visualizat Ctr MMIV, Bergen, Norway; [Lundervold, Alexander Selvikvag] Western Norway Univ Appl Sci, Dept Comp Math &amp; Phys, Bergen, Norway; [Lundervold, Arvid] Univ Bergen, Dept Biomed, Neuroinformat &amp; Image Anal Lab, Bergen, Norway; [Lundervold, Arvid] Western Norway Univ Appl Sci, Dept Hlth &amp; Functioning, Bergen, Norway</t>
  </si>
  <si>
    <t>University of Bergen; Haukeland University Hospital; Western Norway University of Applied Sciences; University of Bergen; Western Norway University of Applied Sciences</t>
  </si>
  <si>
    <t>An overview of deep learning in medical imaging focusing on MRI</t>
  </si>
  <si>
    <t>ZEITSCHRIFT FUR MEDIZINISCHE PHYSIK</t>
  </si>
  <si>
    <t>Machine learning; Deep learning; Medical imaging; MRI</t>
  </si>
  <si>
    <t>CONVOLUTIONAL NEURAL-NETWORKS; MULTILAYER FEEDFORWARD NETWORKS; GENERATIVE ADVERSARIAL NETWORKS; PROSPECTIVE MOTION CORRECTION; MAGNETIC-RESONANCE IMAGES; OF-THE-ART; BRAIN MRI; MULTISPECTRAL ANALYSIS; ARTIFICIAL-INTELLIGENCE; ATTENUATION CORRECTION</t>
  </si>
  <si>
    <t>Lundervold, Arvid/0000-0002-0032-4182; Lundervold, Alexander/0000-0001-8663-4247</t>
  </si>
  <si>
    <t>358</t>
  </si>
  <si>
    <t>1374</t>
  </si>
  <si>
    <t>1692</t>
  </si>
  <si>
    <t>19</t>
  </si>
  <si>
    <t>878</t>
  </si>
  <si>
    <t>0939-3889</t>
  </si>
  <si>
    <t>1876-4436</t>
  </si>
  <si>
    <t>Z MED PHYS</t>
  </si>
  <si>
    <t>Z. Med. Phys.</t>
  </si>
  <si>
    <t>29</t>
  </si>
  <si>
    <t>SI</t>
  </si>
  <si>
    <t>102</t>
  </si>
  <si>
    <t>10.1016/j.zemedi.2018.11.002</t>
  </si>
  <si>
    <t>http://dx.doi.org/10.1016/j.zemedi.2018.11.002</t>
  </si>
  <si>
    <t>Radiology, Nuclear Medicine &amp; Medical Imaging</t>
  </si>
  <si>
    <t>IA9SN</t>
  </si>
  <si>
    <t>30553609</t>
  </si>
  <si>
    <t>WOS:000469897200003</t>
  </si>
  <si>
    <t>hybrid; Green Published; Green Submitted</t>
  </si>
  <si>
    <t>386</t>
  </si>
  <si>
    <t>4</t>
  </si>
  <si>
    <t>Rivera, SC; Liu, XX; Chan, AW; Denniston, AK; Calvert, MJ</t>
  </si>
  <si>
    <t>The SPIRIT 2013 statement aims to improve the completeness of clinical trial protocol reporting by providing evidence-based recommendations for the minimum set of items to be addressed. This guidance has been instrumental in promoting transparent evaluation of new interventions. More recently, there has been a growing recognition that interventions involving artificial intelligence (AI) need to undergo rigorous, prospective evaluation to demonstrate their impact on health outcomes. The SPIRIT-AI (Standard Protocol Items: Recommendations for Interventional Trials-Artificial Intelligence) extension is a new reporting guideline for clinical trial protocols evaluating interventions with an AI component. It was developed in parallel with its companion statement for trial reports: CONSORT-AI (Consolidated Standards of Reporting Trials-Artificial Intelligence). Both guidelines were developed through a staged consensus process involving literature review and expert consultation to generate 26 candidate items, which were consulted upon by an international multi-stakeholder group in a two-stage Delphi survey (103 stakeholders), agreed upon in a consensus meeting (31 stakeholders) and refined through a checklist pilot (34 participants). The SPIRIT-AI extension includes 15 new items that were considered sufficiently important for clinical trial protocols of AI interventions. These new items should be routinely reported in addition to the core SPIRIT 2013 items. SPIRIT-AI recommends that investigators provide clear descriptions of the AI intervention, including instructions and skills required for use, the setting in which the AI intervention will be integrated, considerations for the handling of input and output data, the human-AI interaction and analysis of error cases. SPIRIT-AI will help promote transparency and completeness for clinical trial protocols for AI interventions. Its use will assist editors and peer reviewers, as well as the general readership, to understand, interpret, and critically appraise the design and risk of bias for a planned clinical trial.</t>
  </si>
  <si>
    <t>Rivera, Samantha Cruz; Liu, Xiaoxuan; Chan, An-Wen; Denniston, Alastair K.; Calvert, Melanie J.</t>
  </si>
  <si>
    <t>Denniston, AK (corresponding author), Univ Birmingham, Coll Med &amp; Dent Sci, Inst Inflammat &amp; Ageing, Birmingham B15 2TT, W Midlands, England.</t>
  </si>
  <si>
    <t>a.denniston@bham.ac.uk</t>
  </si>
  <si>
    <t>Wellcome Trust Institutional Strategic Support Fund: Digital Health Pilot Grant; Research England (part of UK Research and Innovation); Health Data Research UK; Alan Turing Institute; University of Birmingham, UK; NIHR Birmingham Biomedical Research Centre; NIHR Surgical Reconstruction and Microbiology Research Centre; NIHR ARC West Midlands at the University of Birmingham; University Hospitals Birmingham NHS Foundation Trust; Innovate UK (part of UK Research and Innovation); Health Foundation; Macmillan Cancer Support; UCB Pharma; University of Ottawa Research Chair; US Food and Drug Administration (FDA); Office of the Director at the National Library of Medicine (NLM), US National Institutes of Health (NIH); NIH [7K01HL141771-02]; UKRI Future Leaders Fellowship; Moorfields Eye Charity Career Development Award; Engineering and Physical Sciences Research Council; UK Research and Innovation (UKRI); Accenture; Warwick Impact Fund; European Regional Development Fund; Alan Turing Institute [TU/ASG/R-SPEH-113] Funding Source: researchfish; Medical Research Council [HDR-9002, MC_PC_19005] Funding Source: researchfish; National Institute for Health Research [CS-2014-14-023] Funding Source: researchfish; National Eye Institute [K23EY029246] Funding Source: NIH RePORTER; National Heart Lung and Blood Institute [K01HL141771] Funding Source: NIH RePORTER; FLF [MR/T019050/1] Funding Source: UKRI; ISCF [MC_PC_19005] Funding Source: UKRI</t>
  </si>
  <si>
    <t>Wellcome Trust Institutional Strategic Support Fund: Digital Health Pilot Grant (Wellcome Trust); Research England (part of UK Research and Innovation) (UK Research &amp; Innovation (UKRI)); Health Data Research UK; Alan Turing Institute; University of Birmingham, UK (University of Birmingham); NIHR Birmingham Biomedical Research Centre; NIHR Surgical Reconstruction and Microbiology Research Centre; NIHR ARC West Midlands at the University of Birmingham (University of Birmingham); University Hospitals Birmingham NHS Foundation Trust; Innovate UK (part of UK Research and Innovation) (UK Research &amp; Innovation (UKRI), Innovate UK); Health Foundation; Macmillan Cancer Support; UCB Pharma (UCB Pharma SA); University of Ottawa Research Chair (University of Ottawa); US Food and Drug Administration (FDA); Office of the Director at the National Library of Medicine (NLM), US National Institutes of Health (NIH); NIH (United States Department of Health &amp; Human Services, National Institutes of Health (NIH) - USA); UKRI Future Leaders Fellowship (UK Research &amp; Innovation (UKRI)); Moorfields Eye Charity Career Development Award; Engineering and Physical Sciences Research Council (UK Research &amp; Innovation (UKRI), Engineering &amp; Physical Sciences Research Council (EPSRC)); UK Research and Innovation (UKRI) (UK Research &amp; Innovation (UKRI)); Accenture; Warwick Impact Fund (University of Warwick); European Regional Development Fund (European Union (EU)); Alan Turing Institute; Medical Research Council (UK Research &amp; Innovation (UKRI), Medical Research Council UK (MRC)); National Institute for Health Research (National Institutes of Health Research (NIHR)); National Eye Institute (United States Department of Health &amp; Human Services, National Institutes of Health (NIH) - USA, NIH National Eye Institute (NEI)); National Heart Lung and Blood Institute (United States Department of Health &amp; Human Services, National Institutes of Health (NIH) - USA, NIH National Heart Lung &amp; Blood Institute (NHLBI)); FLF (UK Research &amp; Innovation (UKRI)); ISCF (UK Research &amp; Innovation (UKRI))</t>
  </si>
  <si>
    <t>We thank the participants who were involved in the Delphi study and Pilot study (Supplementary Note), Eliot Marston for providing strategic support (University of Birmingham, Birmingham, UK), and Charlotte Radovanovic (University Hospitals Birmingham NHS Foundation Trust, UK) and Anita Walker (University of Birmingham, UK) for administrative support. The views expressed in this publication are those of the authors, Delphi participants and stakeholder participants and may not represent the views of the broader stakeholder group or host institution. This work was funded by a Wellcome Trust Institutional Strategic Support Fund: Digital Health Pilot Grant, Research England (part of UK Research and Innovation), Health Data Research UK, and the Alan Turing Institute. The study was sponsored by the University of Birmingham, UK. The study funders and sponsors had no role in the design and conduct of the study; collection, management, analysis and interpretation of the data; preparation, review or approval of the manuscript; or decision to submit the manuscript for publication. MJC is a National Institute for Health Research (NIHR) Senior Investigator and receives funding from the NIHR Birmingham Biomedical Research Centre; the NIHR Surgical Reconstruction and Microbiology Research Centre and NITHR ARC West Midlands at the University of Birmingham and University Hospitals Birmingham NHS Foundation Trust; Health Data Research UK; Innovate UK (part of UK Research and Innovation); the Health Foundation; Macmillan Cancer Support; and UCB Pharma. ADa and JJD are also NIHR Senior Investigators. The views expressed in this article are those of the author(s) and not necessarily those of the NIHR, or the Department of Health and Social Care. DM is supported by a University of Ottawa Research Chair. MKEZ is supported by the US Food and Drug Administration (FDA), and DP is supported in part by the Office of the Director at the National Library of Medicine (NLM), US National Institutes of Health (NIH). AB is supported by an NIH award 7K01HL141771-02. PAK received grants from UKRI Future Leaders Fellowship and from Moorfields Eye Charity Career Development Award. SJV received funding from the Engineering and Physical Sciences Research Council, UK Research and Innovation (UKRI), Accenture, Warwick Impact Fund, Health Data Research UK, and European Regional Development Fund. SR is an employee of the UKRI. This article may not be consistent with NIH and/or FDA's views or policies. It reflects only the views and opinions of the authors.</t>
  </si>
  <si>
    <t>[Rivera, Samantha Cruz; Denniston, Alastair K.; Calvert, Melanie J.] Univ Birmingham, Ctr Patient Reported Outcome Res, Inst Appl Hlth Res, Birmingham, W Midlands, England; [Liu, Xiaoxuan; Denniston, Alastair K.] Univ Birmingham, Acad Unit Ophthalmol, Inst Inflammat &amp; Ageing, Coll Med &amp; Dent Sci, Birmingham, W Midlands, England; [Rivera, Samantha Cruz; Liu, Xiaoxuan; Denniston, Alastair K.; Calvert, Melanie J.] Univ Birmingham, Birmingham Hlth Partners Ctr Regulatory Sci &amp; Inn, Birmingham, W Midlands, England; [Liu, Xiaoxuan; Denniston, Alastair K.] Univ Hosp Birmingham NHS Fdn Trust, Dept Ophthalmol, Birmingham, W Midlands, England; [Liu, Xiaoxuan] Moorfields Eye Hosp NHS Fdn Trust, London, England; [Denniston, Alastair K.] Moorfields Hosp London NHS Fdn Trust, Natl Inst Hlth Res, Biomed Res Ctr ForOphthalmol, London, England; [Denniston, Alastair K.] UCL, Inst Ophthalmol, London, England; [Liu, Xiaoxuan; Denniston, Alastair K.; Calvert, Melanie J.] Hlth Data Res UK, London, England; [Calvert, Melanie J.] Univ Birmingham, Natl Inst Hlth Res, Surg Reconstruct &amp; Microbiol Ctr, Birmingham, W Midlands, England; [Calvert, Melanie J.] Univ Birmingham, Natl Inst Hlth Res, Birmingham Biomed Res Ctr, Birmingham, W Midlands, England; [Calvert, Melanie J.] Univ Hosp Birmingham NHS Fdn Trust Birmingham, Birmingham, W Midlands, England; [Calvert, Melanie J.] Natl Inst Hlth Res, Appl Res Collaborat West Midlands, Birmingham, W Midlands, England; [Chan, An-Wen] Univ Toronto, WomensColl Res Inst, Womens Coll Hosp, Dept Med, Toronto, ON, Canada</t>
  </si>
  <si>
    <t>University of Birmingham; University of Birmingham; University of Birmingham; University of Birmingham; University of London; University College London; Moorfields Eye Hospital NHS Foundation Trust; University of London; University College London; University of Birmingham; University of Birmingham; University Hospital Birmingham NHS Foundation Trust; University of Toronto; Womens College Hospital</t>
  </si>
  <si>
    <t>SPIRIT-Al CONSORT-Al Working Grp</t>
  </si>
  <si>
    <t>Guidelines for clinical trial protocols for interventions involving artificial intelligence: the SPIRIT-AI extension</t>
  </si>
  <si>
    <t>LANCET DIGITAL HEALTH</t>
  </si>
  <si>
    <t>SYSTEM; PREDICTION; STATEMENT; CANCER</t>
  </si>
  <si>
    <t>Calvert, Melanie/F-7055-2011; Chan, An-Wen/JPX-0277-2023; Denniston, Alastair/ABD-1238-2020</t>
  </si>
  <si>
    <t>50</t>
  </si>
  <si>
    <t>1356</t>
  </si>
  <si>
    <t>94</t>
  </si>
  <si>
    <t>2589-7500</t>
  </si>
  <si>
    <t>LANCET DIGIT HEALTH</t>
  </si>
  <si>
    <t>Lancet Digit. Health</t>
  </si>
  <si>
    <t>OCT 2020</t>
  </si>
  <si>
    <t>2020</t>
  </si>
  <si>
    <t>E549</t>
  </si>
  <si>
    <t>E560</t>
  </si>
  <si>
    <t>10.1016/S2589-7500(20)30219-3</t>
  </si>
  <si>
    <t>http://dx.doi.org/10.1016/S2589-7500(20)30219-3</t>
  </si>
  <si>
    <t>Medical Informatics; Medicine, General &amp; Internal</t>
  </si>
  <si>
    <t>Medical Informatics; General &amp; Internal Medicine</t>
  </si>
  <si>
    <t>OF3XN</t>
  </si>
  <si>
    <t>32908284</t>
  </si>
  <si>
    <t>WOS:000581145100012</t>
  </si>
  <si>
    <t>gold; Green Accepted; Green Submitted</t>
  </si>
  <si>
    <t>Liu, XX; Rivera, SC; Moher, D; Calvert, MJ; Denniston, AK</t>
  </si>
  <si>
    <t>The CONSORT 2010 statement provides minimum guidelines for reporting randomised trials. Its widespread use has been instrumental in ensuring transparency in the evaluation of new interventions. More recently, there has been a growing recognition that interventions involving artificial intelligence (AI) need to undergo rigorous, prospective evaluation to demonstrate impact on health outcomes. The CONSORT-AI (Consolidated Standards of Reporting Trials-Artificial Intelligence) extension is a new reporting guideline for clinical trials evaluating interventions with an AI component. It was developed in parallel with its companion statement for clinical trial protocols: SPIRIT-AI (Standard Protocol Items: Recommendations for Interventional Trials-Artificial Intelligence). Both guidelines were developed through a staged consensus process involving literature review and expert consultation to generate 29 candidate items, which were assessed by an international multi-stakeholder group in a two-stage Delphi survey (103 stakeholders), agreed upon in a two-day consensus meeting (31 stakeholders), and refined through a checklist pilot (34 participants). The CONSORT-AI extension includes 14 new items that were considered sufficiently important for AI interventions that they should be routinely reported in addition to the core CONSORT 2010 items. CONSORT-AI recommends that investigators provide clear descriptions of the AI intervention, including instructions and skills required for use, the setting in which the AI intervention is integrated, the handling of inputs and outputs of the AI intervention, the human-AI interaction and provision of an analysis of error cases. CONSORT-AI will help promote transparency and completeness in reporting clinical trials for AI interventions. It will assist editors and peer reviewers, as well as the general readership, to understand, interpret, and critically appraise the quality of clinical trial design and risk of bias in the reported outcomes.</t>
  </si>
  <si>
    <t>Liu, Xiaoxuan; Rivera, Samantha Cruz; Moher, David; Calvert, Melanie J.; Denniston, Alastair K.</t>
  </si>
  <si>
    <t>Wellcome Trust Institutional Strategic Support Fund: Digital Health Pilot Grant; Research England (part of UK Research and Innovation); Health Data Research UK; Alan Turing Institute; University of Birmingham, UK; NIHR Birmingham Biomedical Research Centre; NIHR Surgical Reconstruction and Microbiology Research Centre; NIHR ARC West Midlands at the University of Birmingham; University Hospitals Birmingham NHS Foundation Trust; Health Foundation; Innovate UK (part of UK Research and Innovation); Macmillan Cancer Support; UCB Pharma; University of Ottawa Research Chair; US Food and Drug Administration (FDA); Office of the Director at the National Library of Medicine (NLM), US National Institutes of Health (NIH); NIH [7K01HL141771-02]; UKRI Future Leaders Fellowship; Moorfields Eye Charity Career Development Award; Engineering and Physical Sciences Research Council; UK Research and Innovation (UKRI); Accenture; Warwick Impact Fund; European Regional Development Fund; ISCF [MC_PC_19005] Funding Source: UKRI; Alan Turing Institute [TU/ASG/R-SPEH-113] Funding Source: researchfish; Medical Research Council [HDR-9002, MC_PC_19005] Funding Source: researchfish; National Institute for Health Research [CS-2014-14-023] Funding Source: researchfish; National Eye Institute [K23EY029246] Funding Source: NIH RePORTER; National Heart Lung and Blood Institute [K01HL141771] Funding Source: NIH RePORTER</t>
  </si>
  <si>
    <t>Wellcome Trust Institutional Strategic Support Fund: Digital Health Pilot Grant (Wellcome Trust); Research England (part of UK Research and Innovation) (UK Research &amp; Innovation (UKRI)); Health Data Research UK; Alan Turing Institute; University of Birmingham, UK (University of Birmingham); NIHR Birmingham Biomedical Research Centre; NIHR Surgical Reconstruction and Microbiology Research Centre; NIHR ARC West Midlands at the University of Birmingham (University of Birmingham); University Hospitals Birmingham NHS Foundation Trust; Health Foundation; Innovate UK (part of UK Research and Innovation) (UK Research &amp; Innovation (UKRI), Innovate UK); Macmillan Cancer Support; UCB Pharma (UCB Pharma SA); University of Ottawa Research Chair (University of Ottawa); US Food and Drug Administration (FDA); Office of the Director at the National Library of Medicine (NLM), US National Institutes of Health (NIH); NIH (United States Department of Health &amp; Human Services, National Institutes of Health (NIH) - USA); UKRI Future Leaders Fellowship (UK Research &amp; Innovation (UKRI)); Moorfields Eye Charity Career Development Award; Engineering and Physical Sciences Research Council (UK Research &amp; Innovation (UKRI), Engineering &amp; Physical Sciences Research Council (EPSRC)); UK Research and Innovation (UKRI) (UK Research &amp; Innovation (UKRI)); Accenture; Warwick Impact Fund (University of Warwick); European Regional Development Fund (European Union (EU)); ISCF (UK Research &amp; Innovation (UKRI)); Alan Turing Institute; Medical Research Council (UK Research &amp; Innovation (UKRI), Medical Research Council UK (MRC)); National Institute for Health Research (National Institutes of Health Research (NIHR)); National Eye Institute (United States Department of Health &amp; Human Services, National Institutes of Health (NIH) - USA, NIH National Eye Institute (NEI)); National Heart Lung and Blood Institute (United States Department of Health &amp; Human Services, National Institutes of Health (NIH) - USA, NIH National Heart Lung &amp; Blood Institute (NHLBI))</t>
  </si>
  <si>
    <t>We thank the participants who were involved in the Delphi study and Pilot study (Supplementary Note), Eliot Marston for providing strategic support (University of Birmingham, Birmingham, UK), and Charlotte Radovanovic (University Hospitals Birmingham NHS Foundation Trust, UK) and Anita Walker (University of Birmingham, UK) for administrative support. The views expressed in this publication are those of the authors, Delphi participants and stakeholder participants and may not represent the views of the broader stakeholder group or host institution. This work was funded by a Wellcome Trust Institutional Strategic Support Fund: Digital Health Pilot Grant, Research England (part of UK Research and Innovation), Health Data Research UK, and the Alan Turing Institute. The study was sponsored by the University of Birmingham, UK. The study funders and sponsors had no role in the design and conduct of the study; collection, management, analysis and interpretation of the data; preparation, review or approval of the manuscript; or decision to submit the manuscript for publication. MJC is a National Institute for Health Research (NIHR) Senior Investigator and receives funding from the NIHR Birmingham Biomedical Research Centre; the NIHR Surgical Reconstruction and Microbiology Research Centre and NIHR ARC West Midlands at the University of Birmingham and University Hospitals Birmingham NHS Foundation Trust; Health Data Research UK; Innovate UK (part of UK Research and Innovation); the Health Foundation; Macmillan Cancer Support; and UCB Pharma. ADa and JJD are also NIHR Senior Investigators. The views expressed in this article are those of the author(s) and not necessarily those of the NIHR, or the Department of Health and Social Care. DM is supported by a University of Ottawa Research Chair. MKEZ is supported by the US Food and Drug Administration (FDA), and DP is supported in part by the Office of the Director at the National Library of Medicine (NLM), US National Institutes of Health (NIH). AB is supported by an NIH award 7K01HL141771-02. PAK received grants from UKRI Future Leaders Fellowship and from Moorfields Eye Charity Career Development Award. SJV received funding from the Engineering and Physical Sciences Research Council, UK Research and Innovation (UKRI), Accenture, Warwick Impact Fund, Health Data Research UK, and European Regional Development Fund. SR is an employee of the UKRI. This article may not be consistent with NIH and/or FDA's views or policies. It reflects only the views and opinions of the authors.</t>
  </si>
  <si>
    <t>[Liu, Xiaoxuan; Denniston, Alastair K.] Univ Birmingham, Acad Unit Ophthalmol, Inst Inflammat &amp; Ageing, Coll Med &amp; Dent Sci, Birmingham, W Midlands, England; [Rivera, Samantha Cruz; Calvert, Melanie J.; Denniston, Alastair K.] Univ Birmingham, Ctr Patient Reported Outcome Res, Inst Appl Hlth Res, Birmingham, W Midlands, England; [Liu, Xiaoxuan; Rivera, Samantha Cruz; Calvert, Melanie J.; Denniston, Alastair K.] Univ Birmingham, Birrningham Hlth Partners Ctr Regulatory Sci &amp; In, Birmingham, W Midlands, England; [Liu, Xiaoxuan; Denniston, Alastair K.] Univ Hosp Birmingham NHS Fdn Trust, Dept Ophthalmol, Birmingham, W Midlands, England; [Liu, Xiaoxuan] Moorfields Eye Hosp NHS Fdn Trust, London, England; [Denniston, Alastair K.] Moorfields Eye Hosp London NHS Fdn Trust, Natl Inst Hlth Res, Biomed Res Ctr Ophthalmol, London, England; [Denniston, Alastair K.] UCL, Inst Ophthalmol, London, England; [Liu, Xiaoxuan; Calvert, Melanie J.; Denniston, Alastair K.] Hlth Data Res UK, London, England; [Moher, David] Ottawa Hosp, Ctr Journalol, Clin Epidemiol Program, Res Inst, Ottawa, ON, Canada; [Calvert, Melanie J.] Univ Birmingham, Natl Inst Hlth Res, Surg Reconstruct &amp; Microbiol Ctr, Birmingham, W Midlands, England; [Calvert, Melanie J.] Univ Birmingham, Natl Inst Hlth Res, Birmingham Biomed Res Ctr, Birmingham, W Midlands, England; [Calvert, Melanie J.] Univ Hosp Birmingham NHS Fdn Trust, Birmingham, W Midlands, England; [Calvert, Melanie J.] Inst Hlth Res, Appl Res Collaborat West Midlands, Birmingham, W Midlands, England; [Moher, David] Univ Ottawa, Sch Epidemiol &amp; Publ Hlth, Ottawa, ON, Canada</t>
  </si>
  <si>
    <t>University of Birmingham; University of Birmingham; University of Birmingham; University of Birmingham; University of London; University College London; Moorfields Eye Hospital NHS Foundation Trust; University of London; University College London; University of London; University College London; University of Ottawa; Ottawa Hospital Research Institute; University of Birmingham; University of Birmingham; University of Birmingham; University of Ottawa</t>
  </si>
  <si>
    <t>Reporting guidelines for clinical trial reports for interventions involving artificial intelligence: the CONSORT-AI extension</t>
  </si>
  <si>
    <t>RANDOMIZED-TRIALS; HEALTH-CARE; SYSTEM; QUALITY; PREDICTION; STATEMENT; CANCER</t>
  </si>
  <si>
    <t>Calvert, Melanie/F-7055-2011; Liu, Xiaoxuan/ABD-1238-2020; Moher, David/I-3408-2019; Denniston, Alastair/ABD-1238-2020</t>
  </si>
  <si>
    <t>Calvert, Melanie/0000-0002-1856-837X; Liu, Xiaoxuan/0000-0002-1286-0038; Liu, Xiaoxuan/0000-0002-1286-0038; Denniston, Alastair/0000-0001-7849-0087</t>
  </si>
  <si>
    <t>60</t>
  </si>
  <si>
    <t>1187</t>
  </si>
  <si>
    <t>1407</t>
  </si>
  <si>
    <t>14</t>
  </si>
  <si>
    <t>113</t>
  </si>
  <si>
    <t>E537</t>
  </si>
  <si>
    <t>E548</t>
  </si>
  <si>
    <t>10.1016/S2589-7500(20)30218-1</t>
  </si>
  <si>
    <t>http://dx.doi.org/10.1016/S2589-7500(20)30218-1</t>
  </si>
  <si>
    <t>32909959</t>
  </si>
  <si>
    <t>WOS:000581145100011</t>
  </si>
  <si>
    <t>192</t>
  </si>
  <si>
    <t>Holzinger, A; Langs, G; Denk, H; Zatloukal, K; Müller, H</t>
  </si>
  <si>
    <t>Explainable artificial intelligence (AI) is attracting much interest in medicine. Technically, the problem of explainability is as old as AI itself and classic AI represented comprehensible retraceable approaches. However, their weakness was in dealing with uncertainties of the real world. Through the introduction of probabilistic learning, applications became increasingly successful, but increasingly opaque. Explainable AI deals with the implementation of transparency and traceability of statistical black-box machine learning methods, particularly deep learning (DL). We argue that there is a need to go beyond explainable AI. To reach a level of explainable medicine we need causability. In the same way that usability encompasses measurements for the quality of use, causability encompasses measurements for the quality of explanations. In this article, we provide some necessary definitions to discriminate between explainability and causability as well as a use-case of DL interpretation and of human explanation in histopathology. The main contribution of this article is the notion of causability, which is differentiated from explainability in that causability is a property of a person, while explainability is a property of a system This article is categorized under: Fundamental Concepts of Data and Knowledge &gt; Human Centricity and User Interaction</t>
  </si>
  <si>
    <t>Holzinger, Andreas; Langs, Georg; Denk, Helmut; Zatloukal, Kurt; Mueller, Heimo</t>
  </si>
  <si>
    <t>Holzinger, A (corresponding author), Med Univ Graz, Inst Med Informat Stat &amp; Documentat, A-8036 Graz, Austria.</t>
  </si>
  <si>
    <t>andreas.holzinger@medunigraz.at</t>
  </si>
  <si>
    <t>FeatureCloud [826078]; Hochschulraum-Infrastrukturmittelfonds; MEFO; Austrian Science Fund FWF [I2714-B31]; EU under H2020 [765148]; Austrian Science Fund (FWF) [I2714] Funding Source: Austrian Science Fund (FWF)</t>
  </si>
  <si>
    <t>FeatureCloud; Hochschulraum-Infrastrukturmittelfonds; MEFO; Austrian Science Fund FWF (Austrian Science Fund (FWF)); EU under H2020; Austrian Science Fund (FWF) (Austrian Science Fund (FWF))</t>
  </si>
  <si>
    <t>FeatureCloud, Grant/Award Number: 826078 H2020 EU Project; Hochschulraum-Infrastrukturmittelfonds; MEFO, Grant/Award Number: MEFO-Graz; This work was partially supported by the Austrian Science Fund FWF (I2714-B31) and the EU under H2020 (765148)</t>
  </si>
  <si>
    <t>[Holzinger, Andreas; Mueller, Heimo] Med Univ Graz, Inst Med Informat Stat &amp; Documentat, A-8036 Graz, Austria; [Langs, Georg] Med Univ Vienna, Computat Imaging Res Lab, Dept Biomed Imaging &amp; Image Guided Therapy, Vienna, Austria; [Denk, Helmut; Zatloukal, Kurt; Mueller, Heimo] Med Univ Graz, Inst Pathol, Graz, Austria</t>
  </si>
  <si>
    <t>Medical University of Graz; Medical University of Vienna; Medical University of Graz</t>
  </si>
  <si>
    <t>Causability and explainability of artificial intelligence in medicine</t>
  </si>
  <si>
    <t>WILEY INTERDISCIPLINARY REVIEWS-DATA MINING AND KNOWLEDGE DISCOVERY</t>
  </si>
  <si>
    <t>artificial intelligence; causability; explainability; explainable AI; histopathology; medicine</t>
  </si>
  <si>
    <t>NEURAL-NETWORKS; DEEP; USABILITY; CANCER</t>
  </si>
  <si>
    <t>Müller, Heimo/GQH-6478-2022; HOLZINGER, Andreas/E-9530-2010</t>
  </si>
  <si>
    <t>Langs, Georg/0000-0002-5536-6873; Müller, Heimo/0000-0002-9691-4872; HOLZINGER, Andreas/0000-0002-6786-5194</t>
  </si>
  <si>
    <t>85</t>
  </si>
  <si>
    <t>1178</t>
  </si>
  <si>
    <t>1427</t>
  </si>
  <si>
    <t>462</t>
  </si>
  <si>
    <t>1942-4787</t>
  </si>
  <si>
    <t>1942-4795</t>
  </si>
  <si>
    <t>WIRES DATA MIN KNOWL</t>
  </si>
  <si>
    <t>Wiley Interdiscip. Rev.-Data Mining Knowl. Discov.</t>
  </si>
  <si>
    <t>JUL 2019</t>
  </si>
  <si>
    <t>e1312</t>
  </si>
  <si>
    <t>10.1002/widm.1312</t>
  </si>
  <si>
    <t>http://dx.doi.org/10.1002/widm.1312</t>
  </si>
  <si>
    <t>13</t>
  </si>
  <si>
    <t>IC9HP</t>
  </si>
  <si>
    <t>32089788</t>
  </si>
  <si>
    <t>WOS:000471293100005</t>
  </si>
  <si>
    <t>455</t>
  </si>
  <si>
    <t>Hsieh, CY; Su, CC; Shao, SC; Sung, SF; Lin, SJ; Yang, YHK; Lai, ECC</t>
  </si>
  <si>
    <t>Taiwan's National Health Insurance Research Database (NHIRD) exemplifies a population-level data source for generating real-world evidence to support clinical decisions and health care policy-making. Like with all claims databases, there have been some validity concerns of studies using the NHIRD, such as the accuracy of diagnosis codes and issues around unmeasured confounders. Endeavors to validate diagnosed codes or to develop methodologic approaches to address unmeasured confounders have largely increased the reliability of NHIRD studies. Recently, Taiwan's Ministry of Health and Welfare (MOHW) established a Health and Welfare Data Center (HWDC), a data repository site that centralizes the NHIRD and about 70 other health-related databases for data management and analyses. To strengthen the protection of data privacy, investigators are required to conduct on-site analysis at an HWDC through remote connection to MOHW servers. Although the tight regulation of this on-site analysis has led to inconvenience for analysts and has increased time and costs required for research, the HWDC has created opportunities for enriched dimensions of study by linking across the NHIRD and other databases. In the near future, researchers will have greater opportunity to distill knowledge from the NHIRD linked to hospital-based electronic medical records databases containing unstructured patient-level information by using artificial intelligence techniques, including machine learning and natural language processes. We believe that NHIRD with multiple data sources could represent a powerful research engine with enriched dimensions and could serve as a guiding light for real-world evidence-based medicine in Taiwan.</t>
  </si>
  <si>
    <t>Hsieh, Cheng-Yang; Su, Chien-Chou; Shao, Shih-Chieh; Sung, Sheng-Feng; Lin, Swu-Jane; Yang, Yea-Huei Kao; Lai, Edward Chia-Cheng</t>
  </si>
  <si>
    <t>Lai, ECC (corresponding author), Natl Cheng Kung Univ, Inst Clin Pharm &amp; Pharmaceut Sci, Sch Pharm, Coll Med, 1,Univ Rd, Tainan 701, Taiwan.</t>
  </si>
  <si>
    <t>edward_lai@mail.ncku.edu.tw</t>
  </si>
  <si>
    <t>Ministry of Science and Technology of Taiwan [107-2320-B-006-070-MY3]</t>
  </si>
  <si>
    <t>Ministry of Science and Technology of Taiwan (National Science &amp; Technology Council (NSTC) Taiwan)</t>
  </si>
  <si>
    <t>This work was supported by Ministry of Science and Technology of Taiwan (107-2320-B-006-070-MY3). The authors thank Health Data Science Center, National Cheng Kung University Hospital for providing administrative support. The funding institutions of this study had no further role in the collection, analysis, and interpretation of data, the writing of this paper, or the decision to submit it for publication.</t>
  </si>
  <si>
    <t>[Hsieh, Cheng-Yang; Su, Chien-Chou; Shao, Shih-Chieh; Yang, Yea-Huei Kao; Lai, Edward Chia-Cheng] Natl Cheng Kung Univ, Inst Clin Pharm &amp; Pharmaceut Sci, Sch Pharm, Coll Med, 1,Univ Rd, Tainan 701, Taiwan; [Hsieh, Cheng-Yang] Tainan Sin Lau Hosp, Dept Neurol, Tainan, Taiwan; [Shao, Shih-Chieh] Chang Gung Mem Hosp, Dept Pharm, Keelung, Taiwan; [Sung, Sheng-Feng] Chiayi Christian Hosp, Div Neurol, Dept Internal Med, Ditmanson Med Fdn, Chiayi, Taiwan; [Sung, Sheng-Feng] Natl Chung Cheng Univ, Dept Informat Management, Chiayi, Chiayi, Taiwan; [Sung, Sheng-Feng] Natl Chung Cheng Univ, Inst Healthcare Informat Management, Chiayi, Chiayi, Taiwan; [Lin, Swu-Jane] Univ Illinois, Coll Pharm, Dept Pharm Syst Outcomes &amp; Policy, Chicago, IL USA; [Lai, Edward Chia-Cheng] Natl Cheng Kung Univ Hosp, Dept Pharm, Tainan, Taiwan</t>
  </si>
  <si>
    <t>National Cheng Kung University; Chang Gung Memorial Hospital; Chia-Yi Christian Hospital; National Chung Cheng University; National Chung Cheng University; University of Illinois System; University of Illinois Chicago; University of Illinois Chicago Hospital; National Cheng Kung University; National Cheng Kung University Hospital</t>
  </si>
  <si>
    <t>Taiwan's National Health Insurance Research Database: past and future</t>
  </si>
  <si>
    <t>CLINICAL EPIDEMIOLOGY</t>
  </si>
  <si>
    <t>Health and Welfare Data Center of Taiwan; real-world data; big data analysis; validation; database cross-linkage</t>
  </si>
  <si>
    <t>ADVERSE DRUG-REACTIONS; STROKE SEVERITY INDEX; ISCHEMIC-STROKE; RISK-FACTORS; ASSOCIATION; VALIDATION; MULTICOUNTRY; PERFORMANCE; INHIBITORS; INFECTION</t>
  </si>
  <si>
    <t>Hsieh, Cheng-Yang/W-4841-2019; Shao, Shih-Chieh/AGJ-3165-2022</t>
  </si>
  <si>
    <t>Lai, Edward Chia-Cheng/0000-0002-5852-7652; Sung, Sheng-Feng/0000-0002-6253-8813; Hsieh, Cheng-Yang/0000-0002-8772-4073; Lin, Swu-Jane/0000-0003-0953-9988; Su, Chien-Chou/0000-0001-5046-125X; Shao, Shih-Chieh/0000-0003-4867-6686</t>
  </si>
  <si>
    <t>52</t>
  </si>
  <si>
    <t>1121</t>
  </si>
  <si>
    <t>1138</t>
  </si>
  <si>
    <t>151</t>
  </si>
  <si>
    <t>DOVE MEDICAL PRESS LTD</t>
  </si>
  <si>
    <t>ALBANY</t>
  </si>
  <si>
    <t>PO BOX 300-008, ALBANY, AUCKLAND 0752, NEW ZEALAND</t>
  </si>
  <si>
    <t>1179-1349</t>
  </si>
  <si>
    <t>CLIN EPIDEMIOL</t>
  </si>
  <si>
    <t>Clin. Epidemiol.</t>
  </si>
  <si>
    <t>349</t>
  </si>
  <si>
    <t>10.2147/CLEP.S196293</t>
  </si>
  <si>
    <t>http://dx.doi.org/10.2147/CLEP.S196293</t>
  </si>
  <si>
    <t>Public, Environmental &amp; Occupational Health</t>
  </si>
  <si>
    <t>HX0XG</t>
  </si>
  <si>
    <t>31118821</t>
  </si>
  <si>
    <t>WOS:000467113200001</t>
  </si>
  <si>
    <t>247</t>
  </si>
  <si>
    <t>Liu, XX; Faes, L; Kale, AU; Wagner, SK; Fu, DJ; Bruynseels, A; Mahendiran, T; Moraes, G; Shamdas, M; Kern, C; Ledsam, JR; Schmid, MK; Balaskas, K; Topol, EJ; Bachmann, LM; Keane, PA; Denniston, AK</t>
  </si>
  <si>
    <t>Background Deep learning offers considerable promise for medical diagnostics. We aimed to evaluate the diagnostic accuracy of deep learning algorithms versus health-care professionals in classifying diseases using medical imaging.Methods In this systematic review and meta-analysis, we searched Ovid-MEDLINE, Embase, Science Citation Index, and Conference Proceedings Citation Index for studies published from Jan 1,2012, to June 6,2019. Studies comparing the diagnostic performance of deep learning models and health-care professionals based on medical imaging, for any disease, were included. We excluded studies that used medical waveform data graphics material or investigated the accuracy of image segmentation rather than disease classification. We extracted binary diagnostic accuracy data and constructed contingency tables to derive the outcomes of interest: sensitivity and specificity. Studies undertaking an out-of-sample external validation were included in a meta -analysis, using a unified hierarchical model. This study is registered with PROSPERO, CRD42018091176.Findings Our search identified 31587 studies, of which 82 (describing 147 patient cohorts) were included. 69 studies provided enough data to construct contingency tables, enabling calculation of test accuracy, with sensitivity ranging from 9.7% to 100.0% (mean 79.1%, SD 0.2) and specificity ranging from 38.9% to 100.0% (mean 88.3%, SD 0.1). An out-of-sample external validation was done in 25 studies, of which 14 made the comparison between deep learning models and health-care professionals in the same sample. Comparison of the performance between health-care professionals in these 14 studies, when restricting the analysis to the contingency table for each study reporting the highest accuracy, found a pooled sensitivity of 87.0% (95% CI 83.0-90.2) for deep learning models and 86.4% (79.9-91.0) for health-care professionals, and a pooled specificity of 92.5% (95% CI 85.1-96.4) for deep learning models and 90. 5% (80.6-95.7) for health-care professionals.Interpretation Our review found the diagnostic performance of deep learning models to be equivalent to that of health-care professionals. However, a major finding of the review is that few studies presented externally validated results or compared the performance of deep learning models and health-care professionals using the same sample. Additionally, poor reporting is prevalent in deep learning studies, which limits reliable interpretation of the reported diagnostic accuracy. New reporting standards that address specific challenges of deep learning could improve future studies, enabling greater confidence in the results of future evaluations of this promising technology. Copyright (C) 2019 The Author(s). Published by Elsevier Ltd.</t>
  </si>
  <si>
    <t>Liu, Xiaoxuan; Faes, Livia; Kale, Aditya U.; Wagner, Siegfried K.; Fu, Dun Jack; Bruynseels, Alice; Mahendiran, Thushika; Moraes, Gabriella; Shamdas, Mohith; Kern, Christoph; Ledsam, Joseph R.; Schmid, Martin K.; Balaskas, Konstantinos; Topol, Eric J.; Bachmann, Lucas M.; Keane, Pearse A.; Denniston, Alastair K.</t>
  </si>
  <si>
    <t>Denniston, AK (corresponding author), Univ Birmingham, Univ Hosp Birmingham NHS Fdn Trust, Birmingham B15 2TH, W Midlands, England.</t>
  </si>
  <si>
    <t>Academy of Medical Sciences (AMS) [AMS-SGCL6-Keane] Funding Source: researchfish; Fight for Sight [1381] Funding Source: researchfish; Medical Research Council [HDR-9002, MC_PC_19005] Funding Source: researchfish; National Institute for Health Research [CL-2010-18-004, CS-2014-14-023] Funding Source: researchfish; Wellcome Trust [200141/Z/15/Z] Funding Source: researchfish; ISCF [MC_PC_19005] Funding Source: UKRI</t>
  </si>
  <si>
    <t>Academy of Medical Sciences (AMS) (Academy of Medical Sciences (AMS)); Fight for Sight; Medical Research Council (UK Research &amp; Innovation (UKRI), Medical Research Council UK (MRC)); National Institute for Health Research (National Institutes of Health Research (NIHR)); Wellcome Trust (Wellcome Trust); ISCF (UK Research &amp; Innovation (UKRI))</t>
  </si>
  <si>
    <t>[Liu, Xiaoxuan; Kale, Aditya U.; Bruynseels, Alice; Mahendiran, Thushika; Denniston, Alastair K.] Univ Hosp Birmingham NHS Fdn Trust, Dept Ophthalmol, Birmingham, W Midlands, England; [Liu, Xiaoxuan; Shamdas, Mohith; Denniston, Alastair K.] Univ Birmingham, Acad Unit Ophthalmol, Inst Inflammat &amp; Ageing, Coll Med &amp; Dent Sci, Birmingham, W Midlands, England; [Denniston, Alastair K.] Univ Birmingham, Ctr Patient Reported Outcome Res, Inst Appl Hlth Res, Birmingham, W Midlands, England; [Liu, Xiaoxuan; Faes, Livia; Fu, Dun Jack; Moraes, Gabriella; Kern, Christoph; Balaskas, Konstantinos] Moorfields Eye Hosp NHS Fdn Trust, Med Retina Dept, London, England; [Faes, Livia; Schmid, Martin K.] Cantonal Hosp Lucerne, Eye Clin, Luzern, Switzerland; [Wagner, Siegfried K.; Balaskas, Konstantinos; Keane, Pearse A.; Denniston, Alastair K.] Moorfields Eye Hosp NHS Fdn Trust, NIHR Biomed Res Ctr Ophthalmol, London, England; [Wagner, Siegfried K.; Balaskas, Konstantinos; Keane, Pearse A.; Denniston, Alastair K.] UCL Inst Ophthalmol, London, England; [Kern, Christoph] Ludwig Maximilian Univ Munich, Univ Eye Hosp, Munich, Germany; [Ledsam, Joseph R.] DeepMind, London, England; [Topol, Eric J.] Scripps Res Translat Inst, La Jolla, CA USA; [Bachmann, Lucas M.] Res Consultants, Medignit, Zurich, Switzerland; [Liu, Xiaoxuan; Keane, Pearse A.; Denniston, Alastair K.] Hlth Data Res UK, London, England</t>
  </si>
  <si>
    <t>University of Birmingham; University of Birmingham; University of Birmingham; University of London; University College London; Moorfields Eye Hospital NHS Foundation Trust; Lucerne Cantonal Hospital; University of London; University College London; Moorfields Eye Hospital NHS Foundation Trust; University of London; University College London; University of Munich; Alphabet Inc.; DeepMind</t>
  </si>
  <si>
    <t>A comparison of deep learning performance against health-care professionals in detecting diseases from medical imaging: a systematic review and meta-analysis</t>
  </si>
  <si>
    <t>CONVOLUTIONAL NEURAL-NETWORK; ARTIFICIAL-INTELLIGENCE; CLASSIFICATION; DIAGNOSIS; ACCURACY; ULTRASONOGRAPHY; DISTINCTION; HEMORRHAGE; ALGORITHM; NODULES</t>
  </si>
  <si>
    <t>Balaskas, Konstantinos/ABD-5979-2020; Denniston, Alastair/ABD-1238-2020; Liu, Xiaoxuan/ABD-1238-2020; Bachmann, Lucas/C-9686-2011; Topol, Eric/JOZ-4372-2023; Keane, Pearse/AAE-5709-2019; Wagner, Siegfried/HNR-9338-2023; /M-3802-2014</t>
  </si>
  <si>
    <t>Denniston, Alastair/0000-0001-7849-0087; Shaas, Mohith/0000-0001-6059-964X; Kale, Aditya Uday/0000-0002-2186-1446; Liu, Xiaoxuan/0000-0002-1286-0038; Topol, Eric/0000-0002-1478-4729; Keane, Pearse/0000-0002-9239-745X; Liu, Xiaoxuan/0000-0002-1286-0038; Ledsam, Joseph/0000-0001-9917-7196</t>
  </si>
  <si>
    <t>115</t>
  </si>
  <si>
    <t>1106</t>
  </si>
  <si>
    <t>1145</t>
  </si>
  <si>
    <t>271</t>
  </si>
  <si>
    <t>OCT 2019</t>
  </si>
  <si>
    <t>E271</t>
  </si>
  <si>
    <t>E297</t>
  </si>
  <si>
    <t>10.1016/S2589-7500(19)30123-2</t>
  </si>
  <si>
    <t>http://dx.doi.org/10.1016/S2589-7500(19)30123-2</t>
  </si>
  <si>
    <t>27</t>
  </si>
  <si>
    <t>LD2NQ</t>
  </si>
  <si>
    <t>WOS:000525871300011</t>
  </si>
  <si>
    <t>61</t>
  </si>
  <si>
    <t>Seymour, CW; Kennedy, JN; Wang, S; Chang, CCH; Elliott, CF; Xu, ZY; Berry, S; Clermont, G; Cooper, G; Gomez, H; Huang, DT; Kellum, JA; Mi, Q; Opal, SM; Talisa, V; van der Poll, T; Visweswaran, S; Vodovotz, Y; Weiss, JC; Yealy, DM; Yende, S; Angus, DC</t>
  </si>
  <si>
    <t>IMPORTANCE Sepsis is a heterogeneous syndrome. Identification of distinct clinical phenotypes may allow more precise therapy and improve care.OBJECTIVE To derive sepsis phenotypes from clinical data, determine their reproducibility and correlation with host-response biomarkers and clinical outcomes, and assess the potential causal relationship with results from randomized clinical trials (RCTs).DESIGN, SETTINGS, AND PARTICIPANTS Retrospective analysis of data sets using statistical, machine learning, and simulation tools. Phenotypes were derived among 20 189 total patients (16 552 unique patients) who met Sepsis-3 criteria within 6 hours of hospital presentation at 12 Pennsylvania hospitals (2010-2012) using consensus k means clustering applied to 29 variables. Reproducibility and correlation with biological parameters and clinical outcomes were assessed in a second database (2013-2014; n = 43 086 total patients and n = 31 160 unique patients), in a prospective cohort study of sepsis due to pneumonia (n = 583), and in 3 sepsis RCTs (n = 4737).EXPOSURES All clinical and laboratory variables in the electronic health record.MAIN OUTCOMES AND MEASURES Derived phenotype (alpha, beta, gamma, and delta) frequency, host-response biomarkers, 28-day and 365-day mortality, and RCT simulation outputs.RESULTS The derivation cohort included 20 189 patients with sepsis (mean age, 64 [SD, 17] years; 10 022 [50%] male; mean maximum 24-hour Sequential Organ Failure Assessment [SOFA] score, 3.9 [SD, 2.4]). The validation cohort included 43 086 patients (mean age, 67 [SD, 17] years; 21 993 [51%] male; mean maximum 24-hour SOFA score, 3.6 [SD, 2.0]). Of the 4 derived phenotypes, the a phenotype was the most common (n = 6625; 33%) and included patients with the lowest administration of a vasopressor; in the beta phenotype (n = 5512; 27%), patients were older and had more chronic illness and renal dysfunction; in the gamma phenotype (n = 5385; 27%), patients had more inflammation and pulmonary dysfunction; and in the delta phenotype (n = 2667; 13%), patients had more liver dysfunction and septic shock. Phenotype distributions were similar in the validation cohort. There were consistent differences in biomarker patterns by phenotype. In the derivation cohort, cumulative 28-day mortality was 287 deaths of 5691 unique patients (5%) for the alpha phenotype; 561 of 4420 (13%) for the beta phenotype; 1031 of 4318 (24%) for the gamma phenotype; and 897 of 2223 (40%) for the delta phenotype. Across all cohorts and trials, 28-day and 365-day mortality were highest among the delta phenotype vs the other 3 phenotypes (P&lt;.001). In simulation models, the proportion of RCTs reporting benefit, harm, or no effect changed considerably (eg, varying the phenotype frequencies within an RCT of early goal-directed therapy changed the results from &gt;33% chance of benefit to &gt;60% chance of harm).CONCLUSIONS AND RELEVANCE In this retrospective analysis of data sets from patients with sepsis, 4 clinical phenotypes were identified that correlated with host-response patterns and clinical outcomes, and simulations suggested these phenotypes may help in understanding heterogeneity of treatment effects. Further research is needed to determine the utility of these phenotypes in clinical care and for informing trial design and interpretation.</t>
  </si>
  <si>
    <t>Seymour, Christopher W.; Kennedy, Jason N.; Wang, Shu; Chang, Chung-Chou H.; Elliott, Corrine F.; Xu, Zhongying; Berry, Scott; Clermont, Gilles; Cooper, Gregory; Gomez, Hernando; Huang, David T.; Kellum, John A.; Mi, Qi; Opal, Steven M.; Talisa, Victor; van der Poll, Tom; Visweswaran, Shyam; Vodovotz, Yoram; Weiss, Jeremy C.; Yealy, Donald M.; Yende, Sachin; Angus, Derek C.</t>
  </si>
  <si>
    <t>Seymour, CW (corresponding author), Univ Pittsburgh, Sch Med, Keystone Bldg,3520 Fifth Ave,Ste 100, Pittsburgh, PA 15261 USA.</t>
  </si>
  <si>
    <t>seymourcw@upmc.edu</t>
  </si>
  <si>
    <t>National Institutes of Health [R35GM119519, P50GM076659, R34GM102696, R01GM101197, GM107231, R01LM012095, K08GM117310-01A1, GM61992]; National Institute of General Medical Sciences [R01 GM61992]; National Institute of General Medical Sciences [R35GM119519] Funding Source: NIH RePORTER</t>
  </si>
  <si>
    <t>National Institutes of Health (United States Department of Health &amp; Human Services, National Institutes of Health (NIH) - USA); National Institute of General Medical Sciences (United States Department of Health &amp; Human Services, National Institutes of Health (NIH) - USA, NIH National Institute of General Medical Sciences (NIGMS)); National Institute of General Medical Sciences (United States Department of Health &amp; Human Services, National Institutes of Health (NIH) - USA, NIH National Institute of General Medical Sciences (NIGMS))</t>
  </si>
  <si>
    <t>Drs Seymour, Gomez, Huang, Kellum, Visweswaran, Vodovotz, and Angus were supported in part by grants R35GM119519, P50GM076659, R34GM102696, R01GM101197, GM107231, R01LM012095, K08GM117310-01A1, and GM61992 from the National Institutes of Health. The GenIMS Study was funded by grant R01 GM61992 from the National Institute of General Medical Sciences with additional support from GlaxoSmithKline for enrollment and clinical data collection.</t>
  </si>
  <si>
    <t>[Seymour, Christopher W.; Kennedy, Jason N.; Clermont, Gilles; Gomez, Hernando; Huang, David T.; Kellum, John A.; Yende, Sachin; Angus, Derek C.] Univ Pittsburgh, Sch Med, Dept Crit Care Med, Pittsburgh, PA USA; [Seymour, Christopher W.; Gomez, Hernando; Huang, David T.; Yealy, Donald M.] Univ Pittsburgh, Sch Med, Dept Emergency Med, Pittsburgh, PA USA; [Seymour, Christopher W.; Kennedy, Jason N.; Chang, Chung-Chou H.; Clermont, Gilles; Gomez, Hernando; Huang, David T.; Kellum, John A.; Yende, Sachin; Angus, Derek C.] Univ Pittsburgh, Sch Med, Clin Res Invest &amp; Syst Modeling Acute Illness Ctr, Pittsburgh, PA USA; [Wang, Shu; Chang, Chung-Chou H.; Xu, Zhongying; Talisa, Victor] Univ Pittsburgh, Grad Sch Publ Hlth, Dept Biostat, Pittsburgh, PA 15261 USA; [Chang, Chung-Chou H.; Angus, Derek C.] Univ Pittsburgh, Sch Med, Dept Med, Pittsburgh, PA 15213 USA; [Elliott, Corrine F.; Berry, Scott] Berry Consultants, Austin, TX USA; [Cooper, Gregory; Visweswaran, Shyam] Univ Pittsburgh, Dept Biomed Informat, Pittsburgh, PA USA; [Mi, Qi] Univ Pittsburgh, Dept Sports Med &amp; Nutr, Pittsburgh, PA USA; [Opal, Steven M.] Rhode Isl Hosp, Dept Med, Infect Dis Div, Providence, RI 02903 USA; [van der Poll, Tom] Univ Amsterdam, Amsterdam Univ Med Ctr, Ctr Expt &amp; Mol Med, Amsterdam, Netherlands; [Vodovotz, Yoram] Univ Pittsburgh, Dept Surg, Pittsburgh, PA USA; [Weiss, Jeremy C.] Carnegie Mellon Univ, Machine Learning Dept, Pittsburgh, PA 15213 USA; [Yende, Sachin] Vet Affairs Pittsburgh Healthcare Syst, Pittsburgh, PA USA</t>
  </si>
  <si>
    <t>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 Pennsylvania Commonwealth System of Higher Education (PCSHE); University of Pittsburgh; Berry Consultants, LLC; Pennsylvania Commonwealth System of Higher Education (PCSHE); University of Pittsburgh; Pennsylvania Commonwealth System of Higher Education (PCSHE); University of Pittsburgh; Lifespan Health Rhode Island; Rhode Island Hospital; University of Amsterdam; Pennsylvania Commonwealth System of Higher Education (PCSHE); University of Pittsburgh; Carnegie Mellon University; US Department of Veterans Affairs; Veterans Health Administration (VHA); VA Pittsburgh Healthcare System</t>
  </si>
  <si>
    <t>Derivation, Validation, and Potential Treatment Implications of Novel Clinical Phenotypes for Sepsis</t>
  </si>
  <si>
    <t>JAMA-JOURNAL OF THE AMERICAN MEDICAL ASSOCIATION</t>
  </si>
  <si>
    <t>GOAL-DIRECTED THERAPY; LATENT CLASS ANALYSIS; MORTALITY; RISK; DEFINITIONS; ADULTS; TRIAL</t>
  </si>
  <si>
    <t>Kellum, John/HCH-2944-2022; Kennedy, Jason/AAG-8399-2020; Gomez, Hernando/ABB-4589-2020; Angus, Derek/E-9671-2012</t>
  </si>
  <si>
    <t>Elliott, Corrine/0000-0001-7935-9945; Kellum, John/0000-0003-1995-2653; Talisa, Victor/0000-0001-5246-0349; Wang, Shu/0000-0001-9813-6069</t>
  </si>
  <si>
    <t>1104</t>
  </si>
  <si>
    <t>1308</t>
  </si>
  <si>
    <t>155</t>
  </si>
  <si>
    <t>AMER MEDICAL ASSOC</t>
  </si>
  <si>
    <t>CHICAGO</t>
  </si>
  <si>
    <t>330 N WABASH AVE, STE 39300, CHICAGO, IL 60611-5885 USA</t>
  </si>
  <si>
    <t>0098-7484</t>
  </si>
  <si>
    <t>1538-3598</t>
  </si>
  <si>
    <t>JAMA-J AM MED ASSOC</t>
  </si>
  <si>
    <t>JAMA-J. Am. Med. Assoc.</t>
  </si>
  <si>
    <t>MAY 28 2019</t>
  </si>
  <si>
    <t>321</t>
  </si>
  <si>
    <t>2003</t>
  </si>
  <si>
    <t>2017</t>
  </si>
  <si>
    <t>10.1001/jama.2019.5791</t>
  </si>
  <si>
    <t>http://dx.doi.org/10.1001/jama.2019.5791</t>
  </si>
  <si>
    <t>IA1CQ</t>
  </si>
  <si>
    <t>31104070</t>
  </si>
  <si>
    <t>WOS:000469297300022</t>
  </si>
  <si>
    <t>Bronze; Green Submitted</t>
  </si>
  <si>
    <t>16</t>
  </si>
  <si>
    <t>211</t>
  </si>
  <si>
    <t>Ghassemi, M; Oakden-Rayner, L; Beam, AL</t>
  </si>
  <si>
    <t>The black-box nature of current artificial intelligence (AI) has caused some to question whether AI must be explainable to be used in high-stakes scenarios such as medicine. It has been argued that explainable AI will engender trust with the health-care workforce, provide transparency into the AI decision making process, and potentially mitigate various kinds of bias. In this Viewpoint, we argue that this argument represents a false hope for explainable AI and that current explainability methods are unlikely to achieve these goals for patient-level decision support. We provide an overview of current explainability techniques and highlight how various failure cases can cause problems for decision making for individual patients. In the absence of suitable explainability methods, we advocate for rigorous internal and external validation of AI models as a more direct means of achieving the goals often associated with explainability, and we caution against having explainability be a requirement for clinically deployed models.</t>
  </si>
  <si>
    <t>Ghassemi, Marzyeh; Oakden-Rayner, Luke; Beam, Andrew L.</t>
  </si>
  <si>
    <t>Beam, AL (corresponding author), Harvard TH Chan Sch Publ Hlth, Dept Epidemiol, Boston, MA 02115 USA.</t>
  </si>
  <si>
    <t>andrew_beam@hms.harvard.edu</t>
  </si>
  <si>
    <t>National Heart, Lung, and Blood Institute [7K01HL141771-02]; National Heart Lung and Blood Institute [K01HL141771] Funding Source: NIH RePORTER</t>
  </si>
  <si>
    <t>National Heart, Lung, and Blood Institute (United States Department of Health &amp; Human Services, National Institutes of Health (NIH) - USA, NIH National Heart Lung &amp; Blood Institute (NHLBI)); National Heart Lung and Blood Institute (United States Department of Health &amp; Human Services, National Institutes of Health (NIH) - USA, NIH National Heart Lung &amp; Blood Institute (NHLBI))</t>
  </si>
  <si>
    <t>The authors wish to thank Pranav Rajpurkar for the permission to reprint figure 1, Jindong Gu for permission to reprint figure 2, and Julius Adebayo for permission to use a modified figure in the appendix. ALB was supported by the National Heart, Lung, and Blood Institute (7K01HL141771-02) .</t>
  </si>
  <si>
    <t>[Ghassemi, Marzyeh] MIT, Dept Elect Engn &amp; Comp Sci, Cambridge, MA 02139 USA; [Ghassemi, Marzyeh] MIT, Inst Med &amp; Evaluat Sci, 77 Massachusetts Ave, Cambridge, MA 02139 USA; [Ghassemi, Marzyeh] Vector Inst, Toronto, ON, Canada; [Oakden-Rayner, Luke] Univ Adelaide, Australian Inst Machine Learning, Adelaide, SA, Australia; [Beam, Andrew L.] Harvard TH Chan Sch Publ Hlth, CAUSALab, Boston, MA USA; [Beam, Andrew L.] Harvard TH Chan Sch Publ Hlth, Dept Epidemiol, Boston, MA 02115 USA; [Beam, Andrew L.] Harvard Med Sch, Dept Biomed Informat, Boston, MA 02115 USA</t>
  </si>
  <si>
    <t>Massachusetts Institute of Technology (MIT); Massachusetts Institute of Technology (MIT); Vector Institute for Artificial Intelligence; Adelaide University; University of Adelaide; Harvard University; Harvard T.H. Chan School of Public Health; Harvard University; Harvard T.H. Chan School of Public Health; Harvard University; Harvard Medical School</t>
  </si>
  <si>
    <t>The false hope of current approaches to explainable artificial in health care</t>
  </si>
  <si>
    <t>AUTOMATION BIAS; INTELLIGENCE</t>
  </si>
  <si>
    <t>Beam, Andrew/HKE-7517-2023</t>
  </si>
  <si>
    <t>Ghassemi, Marzyeh/0000-0001-6349-7251; Oakden-Rayner, Lauren/0000-0001-5471-5202</t>
  </si>
  <si>
    <t>1045</t>
  </si>
  <si>
    <t>1293</t>
  </si>
  <si>
    <t>306</t>
  </si>
  <si>
    <t>NOV 2021</t>
  </si>
  <si>
    <t>E745</t>
  </si>
  <si>
    <t>E750</t>
  </si>
  <si>
    <t>XE9DS</t>
  </si>
  <si>
    <t>34711379</t>
  </si>
  <si>
    <t>WOS:000723682800012</t>
  </si>
  <si>
    <t>62</t>
  </si>
  <si>
    <t>272</t>
  </si>
  <si>
    <t>Ngiam, KY; Khor, IW</t>
  </si>
  <si>
    <t>Analysis of big data by machine learning offers considerable advantages for assimilation and evaluation of large amounts of complex health-care data. However, to effectively use machine learning tools in health care, several limitations must be addressed and key issues considered, such as its clinical implementation and ethics in health-care delivery. Advantages of machine learning include flexibility and scalability compared with traditional biostatistical methods, which makes it deployable for many tasks, such as risk stratification, diagnosis and classification, and survival predictions. Another advantage of machine learning algorithms is the ability to analyse diverse data types (eg, demographic data, laboratory findings, imaging data, and doctors' free-text notes) and incorporate them into predictions for disease risk, diagnosis, prognosis, and appropriate treatments. Despite these advantages, the application of machine learning in health-care delivery also presents unique challenges that require data preprocessing, model training, and refinement of the system with respect to the actual clinical problem. Also crucial are ethical considerations, which include medico-legal implications, doctors' understanding of machine learning tools, and data privacy and security. In this Review, we discuss some of the benefits and challenges of big data and machine learning in health care.</t>
  </si>
  <si>
    <t>Ngiam, Kee Yuan; Khor, Ing Wei</t>
  </si>
  <si>
    <t>Ngiam, KY (corresponding author), Natl Univ Hlth Syst, Corp Off, Singapore 119228, Singapore.</t>
  </si>
  <si>
    <t>kee_yuan_ngiam@nuhs.edu.sg</t>
  </si>
  <si>
    <t>[Ngiam, Kee Yuan] Natl Univ Singapore, Yong Loo Lin Sch Med, Dept Surg, Singapore, Singapore; [Khor, Ing Wei] Natl Univ Singapore, Yong Loo Lin Sch Med, Dept Med, Singapore, Singapore; [Ngiam, Kee Yuan] Natl Univ Singapore Hosp, Univ Surg Cluster, Div Gen Surg Thyroid &amp; Endocrine Surg, Singapore, Singapore; [Ngiam, Kee Yuan] Natl Univ Hlth Syst, Corp Off, Singapore 119228, Singapore</t>
  </si>
  <si>
    <t>National University of Singapore; National University of Singapore; National University of Singapore; National University of Singapore</t>
  </si>
  <si>
    <t>Big data and machine learning algorithms for health-care delivery</t>
  </si>
  <si>
    <t>LANCET ONCOLOGY</t>
  </si>
  <si>
    <t>Editorial Material</t>
  </si>
  <si>
    <t>ARTIFICIAL-INTELLIGENCE</t>
  </si>
  <si>
    <t>Ngiam, Kee/S-5501-2017</t>
  </si>
  <si>
    <t>59</t>
  </si>
  <si>
    <t>1027</t>
  </si>
  <si>
    <t>1217</t>
  </si>
  <si>
    <t>244</t>
  </si>
  <si>
    <t>ELSEVIER SCIENCE INC</t>
  </si>
  <si>
    <t>NEW YORK</t>
  </si>
  <si>
    <t>STE 800, 230 PARK AVE, NEW YORK, NY 10169 USA</t>
  </si>
  <si>
    <t>1470-2045</t>
  </si>
  <si>
    <t>1474-5488</t>
  </si>
  <si>
    <t>LANCET ONCOL</t>
  </si>
  <si>
    <t>Lancet Oncol.</t>
  </si>
  <si>
    <t>MAY 2019</t>
  </si>
  <si>
    <t>E262</t>
  </si>
  <si>
    <t>E273</t>
  </si>
  <si>
    <t>10.1016/S1470-2045(19)30149-4</t>
  </si>
  <si>
    <t>http://dx.doi.org/10.1016/S1470-2045(19)30149-4</t>
  </si>
  <si>
    <t>HW0OF</t>
  </si>
  <si>
    <t>31044724</t>
  </si>
  <si>
    <t>WOS:000466380000034</t>
  </si>
  <si>
    <t>66</t>
  </si>
  <si>
    <t>367</t>
  </si>
  <si>
    <t>Sun, R; Limkin, EJ; Vakalopoulou, M; Dercle, L; Champiat, S; Han, SR; Verlingue, L; Brandao, D; Lancia, A; Ammari, S; Hollebecque, A; Scoazec, JY; Marabelle, A; Massard, C; Soria, JC; Robert, C; Paragios, N; Deutsch, E; Ferté, C</t>
  </si>
  <si>
    <t>Background Because responses of patients with cancer to immunotherapy can vary in success, innovative predictors of response to treatment are urgently needed to improve treatment outcomes. We aimed to develop and independently validate a radiomics-based biomarker of tumour-infiltrating CD8 cells in patients included in phase 1 trials of anti-programmed cell death protein (PD)-1 or anti-programmed cell death ligand 1 (PD-L1) monotherapy. We also aimed to evaluate the association between the biomarker, and tumour immune phenotype and clinical outcomes of these patients.Methods In this retrospective multicohort study, we used four independent cohorts of patients with advanced solid tumours to develop and validate a radiomic signature predictive of immunotherapy response by combining contrast-enhanced CT images and RNA-seq genomic data from tumour biopsies to assess CD8 cell tumour infiltration. To develop the radiomic signature of CD8 cells, we used the CT images and RNA sequencing data of 135 patients with advanced solid malignant tumours who had been enrolled into the MOSCATO trial between May 1, 2012, and March 31, 2016, in France (training set). The genomic data, which are based on the CD8B gene, were used to estimate the abundance of CD8 cells in the samples and data were then aligned with the images to generate the radiomic signatures. The concordance of the radiomic signature (primary endpoint) was validated in a Cancer Genome Atlas [TGCA] database dataset including 119 patients who had available baseline preoperative imaging data and corresponding transcriptomic data on June 30, 2017. From 84 input variables used for the machine-learning method (78 radiomic features, five location variables, and one technical variable), a radiomics-based predictor of the CD8 cell expression signature was built by use of machine learning (elastic-net regularised regression method). Two other independent cohorts of patients with advanced solid tumours were used to evaluate this predictor. The immune phenotype internal cohort (n=100), were randomly selected from the Gustave Roussy Cancer Campus database of patient medical records based on previously described, extreme tumour-immune phenotypes: immune-inflamed (with dense CD8 cell infiltration) or immune-desert (with low CD8 cell infiltration), irrespective of treatment delivered; these data were used to analyse the correlation of the immune phenotype with this biomarker. Finally, the immunotherapy-treated dataset (n=137) of patients recruited from Dec 1, 2011, to Jan 31, 2014, at the Gustave Roussy Cancer Campus, who had been treated with anti-PD-1 and anti-PD-L1 monotherapy in phase 1 trials, was used to assess the predictive value of this biomarker in terms of clinical outcome.Findings We developed a radiomic signature for CD8 cells that included eight variables, which was validated with the gene expression signature of CD8 cells in the TCGA dataset (area under the curve [AUC] = 0.67; 95% CI 0.57-0.77; p = 0.0019). In the cohort with assumed immune phenotypes, the signature was also able to discriminate inflamed tumours from immune-desert tumours (0.76; 0.66-0.86; p &lt; 0.0001). In patients treated with anti-PD-1 and PD-L1, a high baseline radiomic score (relative to the median) was associated with a higher proportion of patients who achieved an objective response at 3 months (vs those with progressive disease or stable disease; p = 0.049) and a higher proportion of patients who had an objective response (vs those with progressive disease or stable disease; p = 0.025) or stable disease (vs those with progressive disease; p = 0.013) at 6 months. A high baseline radiomic score was also associated with improved overall survival in univariate (median overall survival 24.3 months in the high radiomic score group, 95% CI 18.63-42.1; vs 11.5 months in the low radiomic score group, 7.98-15.6; hazard ratio 0.58, 95% CI 0.39 - 0.87; p = 0.0081) and multivariate analyses (0 .52, 0.35 - 0.79; p = 0.0022).Interpretation The radiomic signature of CD8 cells was validated in three independent cohorts. This imaging predictor provided a promising way to predict the immune phenotype of tumours and to infer clinical outcomes for patients with cancer who had been treated with anti-PD-1 and PD-L1. Our imaging biomarker could be useful in estimating CD8 cell count and predicting clinical outcomes of patients treated with immunotherapy, when validated by further prospective randomised trials. Copyright (C) 2018 Elsevier Ltd. All rights reserved.</t>
  </si>
  <si>
    <t>Sun, Roger; Limkin, Elaine Johanna; Vakalopoulou, Maria; Dercle, Laurent; Champiat, Stephane; Han, Shan Rong; Verlingue, Loic; Brandao, David; Lancia, Andrea; Ammari, Samy; Hollebecque, Antoine; Scoazec, Jean-Yves; Marabelle, Aurelien; Massard, Christophe; Soria, Jean-Charles; Robert, Charlotte; Paragios, Nikos; Deutsch, Eric; Ferte, Charles</t>
  </si>
  <si>
    <t>Deutsch, E (corresponding author), Dept Radiat Oncol, Gustave Roussy Canc Campus, F-94805 Villejuif, France.</t>
  </si>
  <si>
    <t>eric.deutsch@gustaveroussy.fr</t>
  </si>
  <si>
    <t>Fondation pour la Recherche Medicale; SIRIC-SOCRATE 2.0, French Society of Radiation Oncology</t>
  </si>
  <si>
    <t>Fondation pour la Recherche Medicale (Fondation pour la Recherche Medicale); SIRIC-SOCRATE 2.0, French Society of Radiation Oncology</t>
  </si>
  <si>
    <t>Fondation pour la Recherche Medicale, and SIRIC-SOCRATE 2.0, French Society of Radiation Oncology.</t>
  </si>
  <si>
    <t>[Sun, Roger; Limkin, Elaine Johanna; Vakalopoulou, Maria; Lancia, Andrea; Robert, Charlotte; Paragios, Nikos; Deutsch, Eric; Ferte, Charles] Gustave Roussy Cent Supelec Therapanacea, Ctr Artificial Intelligence Radiat Therapy &amp; Onco, Gustave Roussy Canc Campus, Villejuif, France; [Vakalopoulou, Maria; Paragios, Nikos] Univ Paris Saclay, Ctr Visual Comp, Gif Sur Yvette, France; [Sun, Roger; Limkin, Elaine Johanna; Lancia, Andrea; Robert, Charlotte; Deutsch, Eric; Ferte, Charles] Paris Sud Univ, INSERM, Radi Team, Mol Radiotherapy U1030, Gustave Roussy Canc Campus, Villejuif, France; [Dercle, Laurent] Paris Sud Univ, INSERM, Immunol Tumours &amp; Immunotherapy U1015, Gustave Roussy Canc Campus, Villejuif, France; [Brandao, David] Paris Sud Univ, INSERM, Haematol &amp; Pathol U1170, Gustave Roussy Canc Campus, Villejuif, France; Univ Paris Saclay, Villejuif, France; [Sun, Roger; Limkin, Elaine Johanna; Deutsch, Eric] Dept Radiat Oncol, Gustave Roussy Canc Campus, F-94805 Villejuif, France; [Dercle, Laurent] Dept Nucl Med &amp; Endocrine Oncol, Gustave Roussy Canc Campus, Villejuif, France; [Champiat, Stephane; Verlingue, Loic; Hollebecque, Antoine; Marabelle, Aurelien; Massard, Christophe; Soria, Jean-Charles; Deutsch, Eric] Dept Drug Dev, Gustave Roussy Canc Campus, Villejuif, France; [Ammari, Samy] Dept Radiol, Gustave Roussy Canc Campus, Villejuif, France; [Scoazec, Jean-Yves] Dept Pathol, Gustave Roussy Canc Campus, Villejuif, France; [Robert, Charlotte] Med Phys Unit, Gustave Roussy Canc Campus, Villejuif, France; [Han, Shan Rong] North Franche Comte Hosp, Dept Pathol, Trevenans, France; [Lancia, Andrea] Tor Vergata Gen Hosp, Dept Diagnost Imaging Mol Imaging Intervent Radio, Rome, Italy; [Scoazec, Jean-Yves; Soria, Jean-Charles; Robert, Charlotte; Deutsch, Eric] Paris Sud Univ, Fac Med, Le Kremlin Bicetre, France</t>
  </si>
  <si>
    <t>UNICANCER; Universite Paris Saclay; Gustave Roussy; Universite Paris Saclay; Universite Paris Saclay; Institut National de la Sante et de la Recherche Medicale (Inserm); UNICANCER; Gustave Roussy; Universite Paris Saclay; UNICANCER; Institut National de la Sante et de la Recherche Medicale (Inserm); Gustave Roussy; UNICANCER; Universite Paris Saclay; Institut National de la Sante et de la Recherche Medicale (Inserm); Gustave Roussy; Universite Paris Saclay; UNICANCER; Gustave Roussy; UNICANCER; Gustave Roussy; UNICANCER; Gustave Roussy; UNICANCER; Gustave Roussy; UNICANCER; Gustave Roussy; UNICANCER; Gustave Roussy; University of Rome Tor Vergata; Policlin Tor Vergata; Universite Paris Saclay</t>
  </si>
  <si>
    <t>A radiomics approach to assess tumour-infiltrating CD8 cells and response to anti-PD-1 or anti-PD-L1 immunotherapy: an imaging biomarker, retrospective multicohort study</t>
  </si>
  <si>
    <t>TEXTURE ANALYSIS; IMMUNE; PATHOLOGY; PEMBROLIZUMAB; EXPRESSION; SELECTION; ONCOLOGY; ANTIBODY; ARCHIVE; GENOME</t>
  </si>
  <si>
    <t>lancia, andrea/AAF-6938-2019; marabelle, aurelien/AAP-3791-2021; Robert, Caroline/G-6157-2018; Hollebecque, Antoine/M-2695-2013; Sun, Roger/IUP-9871-2023; Dercle, Laurent/C-9740-2018; massard, christophe/HTQ-3843-2023; Champiat, Stephane/O-4780-2014; Soria, Jean-Charles/F-3619-2014</t>
  </si>
  <si>
    <t>Limkin, Elaine Johanna/0000-0002-7976-3718; lancia, andrea/0000-0001-6106-7725; marabelle, aurelien/0000-0002-5816-3019; Hollebecque, Antoine/0000-0003-2869-7551; Sun, Roger/0000-0001-9866-6449; Dercle, Laurent/0000-0002-1322-0710</t>
  </si>
  <si>
    <t>51</t>
  </si>
  <si>
    <t>1019</t>
  </si>
  <si>
    <t>1137</t>
  </si>
  <si>
    <t>249</t>
  </si>
  <si>
    <t>1180</t>
  </si>
  <si>
    <t>1191</t>
  </si>
  <si>
    <t>10.1016/S1470-2045(18)30413-3</t>
  </si>
  <si>
    <t>http://dx.doi.org/10.1016/S1470-2045(18)30413-3</t>
  </si>
  <si>
    <t>GS1JL</t>
  </si>
  <si>
    <t>30120041</t>
  </si>
  <si>
    <t>WOS:000443278100039</t>
  </si>
  <si>
    <t>33</t>
  </si>
  <si>
    <t>Ting, DSW; Pasquale, LR; Peng, L; Campbell, JP; Lee, AY; Raman, R; Tan, GSW; Schmetterer, L; Keane, PA; Wong, TY</t>
  </si>
  <si>
    <t>Artificial intelligence (AI) based on deep learning (DL) has sparked tremendous global interest in recent years. DL has been widely adopted in image recognition, speech recognition and natural language processing, but is only beginning to impact on healthcare. In ophthalmology, DL has been applied to fundus photographs, optical coherence tomography and visual fields, achieving robust classification performance in the detection of diabetic retinopathy and retinopathy of prematurity, the glaucoma-like disc, macular oedema and age-related macular degeneration. DL in ocular imaging may be used in conjunction with telemedicine as a possible solution to screen, diagnose and monitor major eye diseases for patients in primary care and community settings. Nonetheless, there are also potential challenges with DL application in ophthalmology, including clinical and technical challenges, explainability of the algorithm results, medicolegal issues, and physician and patient acceptance of the AI 'black-box' algorithms. DL could potentially revolutionise how ophthalmology is practised in the future. This review provides a summary of the state-of-the-art DL systems described for ophthalmic applications, potential challenges in clinical deployment and the path forward.</t>
  </si>
  <si>
    <t>Ting, Daniel Shu Wei; Pasquale, Louis R.; Peng, Lily; Campbell, John Peter; Lee, Aaron Y.; Raman, Rajiv; Tan, Gavin Siew Wei; Schmetterer, Leopold; Keane, Pearse A.; Wong, Tien Yin</t>
  </si>
  <si>
    <t>Ting, DSW (corresponding author), Singapore Natl Eye Ctr, Duke NUS Med Sch, Ophthalmol, Singapore 168751, Singapore.</t>
  </si>
  <si>
    <t>daniel.ting.s.w@singhealth.com.sg</t>
  </si>
  <si>
    <t>National Medical Research Council (NMRC), Ministry of Health (MOH), Singapore National Health Innovation Center, Innovation to Develop Grant [NHIC-I2D-1409022]; SingHealth Foundation Research Grant [SHF/FG648S/2015]; Tanoto Foundation; Singapore Epidemiology of Eye Diseases; NMRC, MOH [0796/2003, IRG07nov013, IRG09nov014, STaR/0003/2008, STaR/2013, CG/SERI/2010]; Biomedical Research Council [08/1/35/19/550, 09/1/35/19/616]; Singapore Integrated Diabetic Retinopathy Programme (SiDRP); MOH, Singapore [AIC/RPDD/SIDRP/SERI/FY2013/0018, AIC/HPD/FY2016/0912]; National Institutes of Health [K12 EY027720, R01EY019474, P30EY10572, P41EB015896]; National Science Foundation [SCH-1622542, SCH-1622536, SCH-1622679]; Research to Prevent Blindness; UK National Institute for Health Research (NIHR) Clinician Scientist Award [NIHR-CS--2014-12-023]; National Institute for Health Research [CL-2010-18-004, CS-2014-14-023] Funding Source: researchfish; National Eye Institute [K12EY027720, P30EY010572] Funding Source: NIH RePORTER</t>
  </si>
  <si>
    <t>National Medical Research Council (NMRC), Ministry of Health (MOH), Singapore National Health Innovation Center, Innovation to Develop Grant (Ministry of Health - Singapore, National Medical Research Council, Singapore); SingHealth Foundation Research Grant (SingHealth); Tanoto Foundation; Singapore Epidemiology of Eye Diseases; NMRC, MOH; Biomedical Research Council (Agency for Science Technology &amp; Research (A*STAR)); Singapore Integrated Diabetic Retinopathy Programme (SiDRP); MOH, Singapore (Ministry of Health - Singapore); National Institutes of Health (United States Department of Health &amp; Human Services, National Institutes of Health (NIH) - USA); National Science Foundation (National Science Foundation (NSF)); Research to Prevent Blindness (Research to Prevent Blindness (RPB)); UK National Institute for Health Research (NIHR) Clinician Scientist Award (National Institutes of Health Research (NIHR)); National Institute for Health Research (National Institutes of Health Research (NIHR)); National Eye Institute (United States Department of Health &amp; Human Services, National Institutes of Health (NIH) - USA, NIH National Eye Institute (NEI))</t>
  </si>
  <si>
    <t>This project received funding from the National Medical Research Council (NMRC), Ministry of Health (MOH), Singapore National Health Innovation Center, Innovation to Develop Grant (NHIC-I2D-1409022), SingHealth Foundation Research Grant (SHF/FG648S/2015), and the Tanoto Foundation, and unrestricted donations to the Retina Division, Johns Hopkins University School of Medicine. For the Singapore Epidemiology of Eye Diseases (SEED) study, we received funding from NMRC, MOH (grants 0796/2003, IRG07nov013, IRG09nov014, STaR/0003/2008 and STaR/2013; CG/SERI/2010) and Biomedical Research Council (grants 08/1/35/19/550 and 09/1/35/19/616). The Singapore Integrated Diabetic Retinopathy Programme (SiDRP) received funding from the MOH, Singapore (grants AIC/RPDD/SIDRP/SERI/FY2013/0018 and AIC/HPD/FY2016/0912). In USA, it is supported by the National Institutes of Health (K12 EY027720, R01EY019474, P30EY10572, P41EB015896), by the National Science Foundation (SCH-1622542, SCH-1622536, SCH-1622679) and by unrestricted departmental funding from Research to Prevent Blindness. PAK is supported by a UK National Institute for Health Research (NIHR) Clinician Scientist Award (NIHR-CS--2014-12-023). The views expressed are those of the authors and not necessarily those of the NHS, the NIHR or the Department of Health.</t>
  </si>
  <si>
    <t>[Ting, Daniel Shu Wei; Tan, Gavin Siew Wei; Schmetterer, Leopold; Wong, Tien Yin] Natl Univ Singapore, Singapore Eye Res Inst, Singapore Natl Eye Ctr, Duke NUS Med Sch, Singapore, Singapore; [Pasquale, Louis R.] Mt Sinai Hosp, Dept Ophthalmol, New York, NY 10029 USA; [Peng, Lily] Google AI Healthcare, Mountain View, CA USA; [Campbell, John Peter] Oregon Hlth &amp; Sci Univ, Casey Eye Inst, Portland, OR 97201 USA; [Lee, Aaron Y.] Univ Washington, Sch Med, Dept Ophthalmol, Seattle, WA 98195 USA; [Raman, Rajiv] Sankara Nethralaya, Vitreoretinal Dept, Chennai, Tamil Nadu, India; [Schmetterer, Leopold] Nanyang Technol Univ, Lee Kong Chian Sch Med, Dept Ophthalmol, Singapore, Singapore; [Schmetterer, Leopold] Med Univ Vienna, Dept Clin Pharmacol, Vienna, Austria; [Schmetterer, Leopold] Med Univ Vienna, Ctr Med Phys &amp; Biomed Engn, Vienna, Austria; [Keane, Pearse A.] Moorfields Eye Hosp, Vitreoretinal Serv, London, England</t>
  </si>
  <si>
    <t>National University of Singapore; Singapore National Eye Center; Icahn School of Medicine at Mount Sinai; Oregon Health &amp; Science University; University of Washington; University of Washington Seattle; Nanyang Technological University; Medical University of Vienna; Medical University of Vienna; University of London; University College London; Moorfields Eye Hospital NHS Foundation Trust</t>
  </si>
  <si>
    <t>Artificial intelligence and deep learning in ophthalmology</t>
  </si>
  <si>
    <t>BRITISH JOURNAL OF OPHTHALMOLOGY</t>
  </si>
  <si>
    <t>imaging; retina; glaucoma; telemedicine; public health</t>
  </si>
  <si>
    <t>MAJOR RISK-FACTORS; DIABETIC-RETINOPATHY; MACULAR DEGENERATION; GLOBAL PREVALENCE; AUTOMATIC SEGMENTATION; INTRAOCULAR-PRESSURE; GLAUCOMA PROGRESSION; NEURAL-NETWORKS; RETINAL LAYER; PREMATURITY</t>
  </si>
  <si>
    <t>Keane, Pearse/AAE-5709-2019; Wong, Tien Y/AAC-9724-2020; Schmetterer, Leopold/KIE-1924-2024; Lee, Aaron/AAT-2839-2020; Raman, Rajiv/A-7234-2009; Ting, Daniel/QOC-0597-2026; Tan, Gavin/HNS-5461-2023</t>
  </si>
  <si>
    <t>Keane, Pearse/0000-0002-9239-745X; Pasquale, Louis R/0000-0002-5835-3496; Wong, Tien Y/0000-0002-8448-1264; Bidwai, Pooja Vishal/0000-0002-3077-4395; Schmetterer, Leopold/0000-0002-7189-1707; Lee, Aaron/0000-0002-7452-1648</t>
  </si>
  <si>
    <t>72</t>
  </si>
  <si>
    <t>1017</t>
  </si>
  <si>
    <t>1190</t>
  </si>
  <si>
    <t>630</t>
  </si>
  <si>
    <t>BMJ PUBLISHING GROUP</t>
  </si>
  <si>
    <t>BRITISH MED ASSOC HOUSE, TAVISTOCK SQUARE, LONDON WC1H 9JR, ENGLAND</t>
  </si>
  <si>
    <t>0007-1161</t>
  </si>
  <si>
    <t>1468-2079</t>
  </si>
  <si>
    <t>BRIT J OPHTHALMOL</t>
  </si>
  <si>
    <t>Br. J. Ophthalmol.</t>
  </si>
  <si>
    <t>FEB 2019</t>
  </si>
  <si>
    <t>103</t>
  </si>
  <si>
    <t>167</t>
  </si>
  <si>
    <t>175</t>
  </si>
  <si>
    <t>10.1136/bjophthalmol-2018-313173</t>
  </si>
  <si>
    <t>http://dx.doi.org/10.1136/bjophthalmol-2018-313173</t>
  </si>
  <si>
    <t>Ophthalmology</t>
  </si>
  <si>
    <t>HL8YJ</t>
  </si>
  <si>
    <t>30361278</t>
  </si>
  <si>
    <t>WOS:000459028400003</t>
  </si>
  <si>
    <t>166</t>
  </si>
  <si>
    <t>Esteva, A; Chou, K; Yeung, S; Naik, N; Madani, A; Mottaghi, A; Liu, Y; Topol, E; Dean, J; Socher, R</t>
  </si>
  <si>
    <t>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</si>
  <si>
    <t>Esteva, Andre; Chou, Katherine; Yeung, Serena; Naik, Nikhil; Madani, Ali; Mottaghi, Ali; Liu, Yun; Topol, Eric; Dean, Jeff; Socher, Richard</t>
  </si>
  <si>
    <t>Esteva, A (corresponding author), Salesforce AI Res, San Francisco, CA 94105 USA.</t>
  </si>
  <si>
    <t>andre.esteva@gmail.com</t>
  </si>
  <si>
    <t>[Esteva, Andre; Naik, Nikhil; Madani, Ali; Socher, Richard] Salesforce AI Res, San Francisco, CA 94105 USA; [Chou, Katherine; Liu, Yun; Dean, Jeff] Google Res, Mountain View, CA USA; [Yeung, Serena; Mottaghi, Ali] Stanford Univ, Stanford, CA 94305 USA; [Topol, Eric] Scripps Res Translat Inst, La Jolla, CA USA</t>
  </si>
  <si>
    <t>Salesforce; Alphabet Inc.; Google Incorporated; Stanford University</t>
  </si>
  <si>
    <t>Deep learning-enabled medical computer vision</t>
  </si>
  <si>
    <t>NPJ DIGITAL MEDICINE</t>
  </si>
  <si>
    <t>CONVOLUTIONAL NEURAL-NETWORK; ARTIFICIAL-INTELLIGENCE; DIABETIC-RETINOPATHY; DIGITAL MEDICINE; SKIN-CANCER; RECOGNITION; IMAGES; CLASSIFICATION; DERMATOLOGISTS; SEGMENTATION</t>
  </si>
  <si>
    <t>Topol, Eric J./JOZ-4372-2023</t>
  </si>
  <si>
    <t>Liu, Yun/0000-0003-4079-8275; Yeung-Levy, Serena/0000-0003-0529-0628</t>
  </si>
  <si>
    <t>893</t>
  </si>
  <si>
    <t>1093</t>
  </si>
  <si>
    <t>638</t>
  </si>
  <si>
    <t>2398-6352</t>
  </si>
  <si>
    <t>NPJ DIGIT MED</t>
  </si>
  <si>
    <t>npj Digit. Med.</t>
  </si>
  <si>
    <t>JAN 8 2021</t>
  </si>
  <si>
    <t>10.1038/s41746-020-00376-2</t>
  </si>
  <si>
    <t>http://dx.doi.org/10.1038/s41746-020-00376-2</t>
  </si>
  <si>
    <t>Health Care Sciences &amp; Services; Medical Informatics</t>
  </si>
  <si>
    <t>PW0LZ</t>
  </si>
  <si>
    <t>33420381</t>
  </si>
  <si>
    <t>WOS:000610370300001</t>
  </si>
  <si>
    <t>223</t>
  </si>
  <si>
    <t>Sidey-Gibbons, JAM; Sidey-Gibbons, CJ</t>
  </si>
  <si>
    <t>BackgroundFollowing visible successes on a wide range of predictive tasks, machine learning techniques are attracting substantial interest from medical researchers and clinicians. We address the need for capacity development in this area by providing a conceptual introduction to machine learning alongside a practical guide to developing and evaluating predictive algorithms using freely-available open source software and public domain data.MethodsWe demonstrate the use of machine learning techniques by developing three predictive models for cancer diagnosis using descriptions of nuclei sampled from breast masses. These algorithms include regularized General Linear Model regression (GLMs), Support Vector Machines (SVMs) with a radial basis function kernel, and single-layer Artificial Neural Networks. The publicly-available dataset describing the breast mass samples (N=683) was randomly split into evaluation (n=456) and validation (n=227) samples.We trained algorithms on data from the evaluation sample before they were used to predict the diagnostic outcome in the validation dataset. We compared the predictions made on the validation datasets with the real-world diagnostic decisions to calculate the accuracy, sensitivity, and specificity of the three models. We explored the use of averaging and voting ensembles to improve predictive performance. We provide a step-by-step guide to developing algorithms using the open-source R statistical programming environment.ResultsThe trained algorithms were able to classify cell nuclei with high accuracy (.94 -.96), sensitivity (.97 -.99), and specificity (.85 -.94). Maximum accuracy (.96) and area under the curve (.97) was achieved using the SVM algorithm. Prediction performance increased marginally (accuracy =.97, sensitivity =.99, specificity =.95) when algorithms were arranged into a voting ensemble.ConclusionsWe use a straightforward example to demonstrate the theory and practice of machine learning for clinicians and medical researchers. The principals which we demonstrate here can be readily applied to other complex tasks including natural language processing and image recognition.</t>
  </si>
  <si>
    <t>Sidey-Gibbons, Jenni A. M.; Sidey-Gibbons, Chris J.</t>
  </si>
  <si>
    <t>Sidey-Gibbons, CJ (corresponding author), Harvard Med Sch, Dept Surg, 25 Shattuck St, Boston, MA 01225 USA.; Sidey-Gibbons, CJ (corresponding author), Brigham &amp; Womens Hosp, Dept Surg, 75 Francis St, Boston, MA 01225 USA.</t>
  </si>
  <si>
    <t>cgibbons2@bwh.harvard.edu</t>
  </si>
  <si>
    <t>National Institute for Health Research Trainees Coordinating Centre Fellowships [NIHR-PDF-2014-07-028, NIHR-CDF-2017-10-19]; National Institute for Health Research [CDF-2017-10-019] Funding Source: researchfish; National Institutes of Health Research (NIHR) [CDF-2017-10-019] Funding Source: National Institutes of Health Research (NIHR)</t>
  </si>
  <si>
    <t>National Institute for Health Research Trainees Coordinating Centre Fellowships; National Institute for Health Research (National Institutes of Health Research (NIHR)); National Institutes of Health Research (NIHR) (National Institutes of Health Research (NIHR))</t>
  </si>
  <si>
    <t>CSG was funded by National Institute for Health Research Trainees Coordinating Centre Fellowships (NIHR-PDF-2014-07-028 and NIHR-CDF-2017-10-19). The funders had no role in the design or execution of this study.</t>
  </si>
  <si>
    <t>[Sidey-Gibbons, Jenni A. M.] Univ Cambridge, Dept Engn, Trumpington St, Cambridge CB2 1PZ, England; [Sidey-Gibbons, Chris J.] Harvard Med Sch, Dept Surg, 25 Shattuck St, Boston, MA 01225 USA; [Sidey-Gibbons, Chris J.] Brigham &amp; Womens Hosp, Dept Surg, 75 Francis St, Boston, MA 01225 USA; [Sidey-Gibbons, Chris J.] Univ Cambridge, Psychometr Ctr, Trumpington St, Cambridge CB2 1AG, England</t>
  </si>
  <si>
    <t>University of Cambridge; Harvard University; Harvard Medical School; Harvard University; Harvard University Medical Affiliates; Brigham &amp; Women's Hospital; University of Cambridge</t>
  </si>
  <si>
    <t>Machine learning in medicine: a practical introduction</t>
  </si>
  <si>
    <t>BMC MEDICAL RESEARCH METHODOLOGY</t>
  </si>
  <si>
    <t>Medical informatics; Classification; Supervised machine learning; Programming languages; Diagnosis; Computer-assisted; Decision making; Computer-assisted</t>
  </si>
  <si>
    <t>DIAGNOSIS; CANCER</t>
  </si>
  <si>
    <t>879</t>
  </si>
  <si>
    <t>1060</t>
  </si>
  <si>
    <t>1471-2288</t>
  </si>
  <si>
    <t>BMC MED RES METHODOL</t>
  </si>
  <si>
    <t>BMC Med. Res. Methodol.</t>
  </si>
  <si>
    <t>MAR 19 2019</t>
  </si>
  <si>
    <t>64</t>
  </si>
  <si>
    <t>10.1186/s12874-019-0681-4</t>
  </si>
  <si>
    <t>http://dx.doi.org/10.1186/s12874-019-0681-4</t>
  </si>
  <si>
    <t>Health Care Sciences &amp; Services</t>
  </si>
  <si>
    <t>HQ3SA</t>
  </si>
  <si>
    <t>30890124</t>
  </si>
  <si>
    <t>WOS:000462329600001</t>
  </si>
  <si>
    <t>Mittelstadt, B</t>
  </si>
  <si>
    <t>Artificial intelligence (AI) ethics is now a global topic of discussion in academic and policy circles. At least 84 public-private initiatives have produced statements describing high-level principles, values and other tenets to guide the ethical development, deployment and governance of AI. According to recent meta-analyses, AI ethics has seemingly converged on a set of principles that closely resemble the four classic principles of medical ethics. Despite the initial credibility granted to a principled approach to AI ethics by the connection to principles in medical ethics, there are reasons to be concerned about its future impact on AI development and governance. Significant differences exist between medicine and AI development that suggest a principled approach for the latter may not enjoy success comparable to the former. Compared to medicine, AI development lacks (1) common aims and fiduciary duties, (2) professional history and norms, (3) proven methods to translate principles into practice, and (4) robust legal and professional accountability mechanisms. These differences suggest we should not yet celebrate consensus around high-level principles that hide deep political and normative disagreement. AI ethics initiatives have seemingly converged on a set of principles that closely resemble the four classic principles of medical ethics. Despite this, Brent Mittelstadt highlights important differences between medical practice and AI development that suggest a principled approach may not work in the case of AI.</t>
  </si>
  <si>
    <t>Mittelstadt, Brent</t>
  </si>
  <si>
    <t>Mittelstadt, B (corresponding author), Univ Oxford, Oxford Internet Inst, Oxford, England.; Mittelstadt, B (corresponding author), Alan Turing Inst, British Lib, London, England.</t>
  </si>
  <si>
    <t>brent.mittelstadt@oii.ox.ac.uk</t>
  </si>
  <si>
    <t>Alan Turing Institute (EPSRC); British Academy; EPSRC [EP/N510129/1] Funding Source: UKRI; Engineering and Physical Sciences Research Council [EP/N510129/1] Funding Source: researchfish</t>
  </si>
  <si>
    <t>Alan Turing Institute (EPSRC) (UK Research &amp; Innovation (UKRI), Engineering &amp; Physical Sciences Research Council (EPSRC)); British Academy (British Academy); EPSRC (UK Research &amp; Innovation (UKRI), Engineering &amp; Physical Sciences Research Council (EPSRC)); Engineering and Physical Sciences Research Council (UK Research &amp; Innovation (UKRI), Engineering &amp; Physical Sciences Research Council (EPSRC))</t>
  </si>
  <si>
    <t>The author would like to thank S. Wachter, B. Prainsack and B. Stahl for their insightful feedback, which that has immensely improved the quality of this work. Financial support for this work was provided by the Alan Turing Institute (EPSRC) and the British Academy.</t>
  </si>
  <si>
    <t>[Mittelstadt, Brent] Univ Oxford, Oxford Internet Inst, Oxford, England; [Mittelstadt, Brent] Alan Turing Inst, British Lib, London, England</t>
  </si>
  <si>
    <t>University of Oxford; Alan Turing Institute</t>
  </si>
  <si>
    <t>Principles alone cannot guarantee ethical AI</t>
  </si>
  <si>
    <t>NATURE MACHINE INTELLIGENCE</t>
  </si>
  <si>
    <t>VALUES; CODES; BIOETHICS; MEDICINE</t>
  </si>
  <si>
    <t>82</t>
  </si>
  <si>
    <t>869</t>
  </si>
  <si>
    <t>1281</t>
  </si>
  <si>
    <t>46</t>
  </si>
  <si>
    <t>471</t>
  </si>
  <si>
    <t>2522-5839</t>
  </si>
  <si>
    <t>NAT MACH INTELL</t>
  </si>
  <si>
    <t>Nat. Mach. Intell.</t>
  </si>
  <si>
    <t>NOV 2019</t>
  </si>
  <si>
    <t>501</t>
  </si>
  <si>
    <t>507</t>
  </si>
  <si>
    <t>10.1038/s42256-019-0114-4</t>
  </si>
  <si>
    <t>http://dx.doi.org/10.1038/s42256-019-0114-4</t>
  </si>
  <si>
    <t>Computer Science, Artificial Intelligence; Computer Science, Interdisciplinary Applications</t>
  </si>
  <si>
    <t>NR0PL</t>
  </si>
  <si>
    <t>WOS:000571266000006</t>
  </si>
  <si>
    <t>Schwendicke, F; Samek, W; Krois, J</t>
  </si>
  <si>
    <t>The term "artificial intelligence" (AI) refers to the idea of machines being capable of performing human tasks. A subdomain of AI is machine learning (ML), which "learns" intrinsic statistical patterns in data to eventually cast predictions on unseen data. Deep learning is a ML technique using multi-layer mathematical operations for learning and inferring on complex data like imagery. This succinct narrative review describes the application, limitations and possible future of AI-based dental diagnostics, treatment planning, and conduct, for example, image analysis, prediction making, record keeping, as well as dental research and discovery. AI-based applications will streamline care, relieving the dental workforce from laborious routine tasks, increasing health at lower costs for a broader population, and eventually facilitate personalized, predictive, preventive, and participatory dentistry. However, AI solutions have not by large entered routine dental practice, mainly due to 1) limited data availability, accessibility, structure, and comprehensiveness, 2) lacking methodological rigor and standards in their development, 3) and practical questions around the value and usefulness of these solutions, but also ethics and responsibility. Any AI application in dentistry should demonstrate tangible value by, for example, improving access to and quality of care, increasing efficiency and safety of services, empowering and enabling patients, supporting medical research, or increasing sustainability. Individual privacy, rights, and autonomy need to be put front and center; a shift from centralized to distributed/federated learning may address this while improving scalability and robustness. Lastly, trustworthiness into, and generalizability of, dental AI solutions need to be guaranteed; the implementation of continuous human oversight and standards grounded in evidence-based dentistry should be expected. Methods to visualize, interpret, and explain the logic behind AI solutions will contribute ("explainable AI"). Dental education will need to accompany the introduction of clinical AI solutions by fostering digital literacy in the future dental workforce.</t>
  </si>
  <si>
    <t>Schwendicke, F.; Samek, W.; Krois, J.</t>
  </si>
  <si>
    <t>Schwendicke, F (corresponding author), Charite Univ Med Berlin, Dept Operat &amp; Prevent Dent, Assmannshauser Str 4-6, D-14197 Berlin, Germany.</t>
  </si>
  <si>
    <t>falk.schwendicke@charite.de</t>
  </si>
  <si>
    <t>[Schwendicke, F.; Krois, J.] Charite Univ Med Berlin, Dept Operat &amp; Prevent Dent, Assmannshauser Str 4-6, D-14197 Berlin, Germany; [Samek, W.] Fraunhofer Heinrich Hertz Inst, Dept Video Coding &amp; Analyt, Berlin, Germany</t>
  </si>
  <si>
    <t>Free University of Berlin; Charite Universitatsmedizin Berlin; Humboldt University of Berlin; Charite Universitatsmedizin Berlin; Fraunhofer Gesellschaft</t>
  </si>
  <si>
    <t>Artificial Intelligence in Dentistry: Chances and Challenges</t>
  </si>
  <si>
    <t>JOURNAL OF DENTAL RESEARCH</t>
  </si>
  <si>
    <t>decision-making; diagnostic systems; informatics; dental; deep learning; machine learning</t>
  </si>
  <si>
    <t>Samek, Wojciech/AAZ-2156-2021</t>
  </si>
  <si>
    <t>Samek, Wojciech/0000-0002-6283-3265; Krois, Joachim/0000-0002-6010-8940; Schwendicke, Falk/0000-0003-1223-1669</t>
  </si>
  <si>
    <t>861</t>
  </si>
  <si>
    <t>1091</t>
  </si>
  <si>
    <t>22</t>
  </si>
  <si>
    <t>371</t>
  </si>
  <si>
    <t>SAGE PUBLICATIONS INC</t>
  </si>
  <si>
    <t>THOUSAND OAKS</t>
  </si>
  <si>
    <t>2455 TELLER RD, THOUSAND OAKS, CA 91320 USA</t>
  </si>
  <si>
    <t>0022-0345</t>
  </si>
  <si>
    <t>1544-0591</t>
  </si>
  <si>
    <t>J DENT RES</t>
  </si>
  <si>
    <t>J. Dent. Res.</t>
  </si>
  <si>
    <t>JUL 2020</t>
  </si>
  <si>
    <t>99</t>
  </si>
  <si>
    <t>769</t>
  </si>
  <si>
    <t>774</t>
  </si>
  <si>
    <t>0022034520915714</t>
  </si>
  <si>
    <t>10.1177/0022034520915714</t>
  </si>
  <si>
    <t>http://dx.doi.org/10.1177/0022034520915714</t>
  </si>
  <si>
    <t>APR 2020</t>
  </si>
  <si>
    <t>Dentistry, Oral Surgery &amp; Medicine</t>
  </si>
  <si>
    <t>MB0UR</t>
  </si>
  <si>
    <t>32315260</t>
  </si>
  <si>
    <t>WOS:000527892000001</t>
  </si>
  <si>
    <t>Rajkomar, A; Hardt, M; Howell, MD; Corrado, G; Chin, MH</t>
  </si>
  <si>
    <t>Machine learning is used increasingly in clinical care to improve diagnosis, treatment selection, and health system efficiency. Because machine-learning models learn from historically collected data, populations that have experienced human and structural biases in the past-called protected groups-are vulnerable to harm by incorrect predictions or withholding of resources. This article describes how model design, biases in data, and the interactions of model predictions with clinicians and patients may exacerbate health care disparities. Rather than simply guarding against these harms passively, machine-learning systems should be used proactively to advance health equity. For that goal to be achieved, principles of distributive justice must be incorporated into model design, deployment, and evaluation. The article describes several technical implementations of distributive justice-specifically those that ensure equality in patient outcomes, performance, and resource allocation-and guides clinicians as to when they should prioritize each principle. Machine learning is providing increasingly sophisticated decision support and population-level monitoring, and it should encode principles of justice to ensure that models benefit all patients.</t>
  </si>
  <si>
    <t>Rajkomar, Alvin; Hardt, Michaela; Howell, Michael D.; Corrado, Greg; Chin, Marshall H.</t>
  </si>
  <si>
    <t>Rajkomar, A (corresponding author), Google LLC, 1600 Amphitheatre Way, Mountain View, CA 94043 USA.</t>
  </si>
  <si>
    <t>alvinrajkomar@google.com</t>
  </si>
  <si>
    <t>Chicago Center for Diabetes Translation Research [NIDDK P30 DK092949]; Robert Wood Johnson Foundation Finding Answers: Solving Disparities Through Payment and Delivery Reform Program Office; Merck Foundation Bridging the Gap: Reducing Disparities in Diabetes Care National Program Office; National Institute of Diabetes and Digestive and Kidney Diseases [P30DK092949] Funding Source: NIH RePORTER</t>
  </si>
  <si>
    <t>Chicago Center for Diabetes Translation Research; Robert Wood Johnson Foundation Finding Answers: Solving Disparities Through Payment and Delivery Reform Program Office; Merck Foundation Bridging the Gap: Reducing Disparities in Diabetes Care National Program Office; National Institute of Diabetes and Digestive and Kidney Diseases (United States Department of Health &amp; Human Services, National Institutes of Health (NIH) - USA, NIH National Institute of Diabetes &amp; Digestive &amp; Kidney Diseases (NIDDK))</t>
  </si>
  <si>
    <t>Dr. Chin was supported in part by the Chicago Center for Diabetes Translation Research (grant NIDDK P30 DK092949), Robert Wood Johnson Foundation Finding Answers: Solving Disparities Through Payment and Delivery Reform Program Office, and Merck Foundation Bridging the Gap: Reducing Disparities in Diabetes Care National Program Office.</t>
  </si>
  <si>
    <t>[Rajkomar, Alvin; Hardt, Michaela; Howell, Michael D.; Corrado, Greg] Google, Mountain View, CA USA; [Rajkomar, Alvin] Univ Calif San Francisco, San Francisco, CA 94143 USA; [Chin, Marshall H.] Univ Chicago, 5841 South Maryland Ave,MC2007, Chicago, IL 60637 USA; [Rajkomar, Alvin; Hardt, Michaela; Howell, Michael D.; Corrado, Greg] Google LLC, 1600 Amphitheatre Way, Mountain View, CA 94043 USA</t>
  </si>
  <si>
    <t>Alphabet Inc.; Google Incorporated; University of California System; University of California San Francisco; University of Chicago; Alphabet Inc.; Google Incorporated</t>
  </si>
  <si>
    <t>Ensuring Fairness in Machine Learning to Advance Health Equity</t>
  </si>
  <si>
    <t>ANNALS OF INTERNAL MEDICINE</t>
  </si>
  <si>
    <t>ETHNIC DISPARITIES; HIGH-RISK; ANALYTICS; BIAS</t>
  </si>
  <si>
    <t>Howell, Michael/B-8065-2009</t>
  </si>
  <si>
    <t>825</t>
  </si>
  <si>
    <t>1001</t>
  </si>
  <si>
    <t>AMER COLL PHYSICIANS</t>
  </si>
  <si>
    <t>PHILADELPHIA</t>
  </si>
  <si>
    <t>INDEPENDENCE MALL WEST 6TH AND RACE ST, PHILADELPHIA, PA 19106-1572, UNITED STATES</t>
  </si>
  <si>
    <t>0003-4819</t>
  </si>
  <si>
    <t>1539-3704</t>
  </si>
  <si>
    <t>ANN INTERN MED</t>
  </si>
  <si>
    <t>Ann. Intern. Med.</t>
  </si>
  <si>
    <t>DEC 18 2018</t>
  </si>
  <si>
    <t>169</t>
  </si>
  <si>
    <t>866</t>
  </si>
  <si>
    <t>10.7326/M18-1990</t>
  </si>
  <si>
    <t>http://dx.doi.org/10.7326/M18-1990</t>
  </si>
  <si>
    <t>HF2JB</t>
  </si>
  <si>
    <t>30508424</t>
  </si>
  <si>
    <t>WOS:000454061700018</t>
  </si>
  <si>
    <t>184</t>
  </si>
  <si>
    <t>Nagendran, M; Chen, Y; Lovejoy, CA; Gordon, AC; Komorowski, M; Harvey, H; Topol, EJ; Ioannidis, JPA; Collins, GS; Maruthappu, M</t>
  </si>
  <si>
    <t>OBJECTIVETo systematically examine the design, reporting standards, risk of bias, and claims of studies comparing the performance of diagnostic deep learning algorithms for medical imaging with that of expert clinicians.DESIGNSystematic review.DATA SOURCESMedline, Embase, Cochrane Central Register of Controlled Trials, and the World Health Organization trial registry from 2010 to June 2019.ELIGIBILITY CRITERIA FOR SELECTING STUDIESRandomised trial registrations and non-randomised studies comparing the performance of a deep learning algorithm in medical imaging with a contemporary group of one or more expert clinicians. Medical imaging has seen a growing interest in deep learning research. The main distinguishing feature of convolutional neural networks (CNNs) in deep learning is that when CNNs are fed with raw data, they develop their own representations needed for pattern recognition. The algorithm learns for itself the features of an image that are important for classification rather than being told by humans which features to use. The selected studies aimed to use medical imaging for predicting absolute risk of existing disease or classification into diagnostic groups (eg, disease or non-disease). For example, raw chest radiographs tagged with a label such as pneumothorax or no pneumothorax and the CNN learning which pixel patterns suggest pneumothorax.REVIEW METHODSAdherence to reporting standards was assessed by using CONSORT (consolidated standards of reporting trials) for randomised studies and TRIPOD (transparent reporting of a multivariable prediction model for individual prognosis or diagnosis) for non-randomised studies. Risk of bias was assessed by using the Cochrane risk of bias tool for randomised studies and PROBAST (prediction model risk of bias assessment tool) for non-randomised studies.RESULTSOnly 10 records were found for deep learning randomised clinical trials, two of which have been published (with low risk of bias, except for lack of blinding, and high adherence to reporting standards) and eight are ongoing. Of 81 non-randomised clinical trials identified, only nine were prospective and just six were tested in a real world clinical setting. The median number of experts in the comparator group was only four (interquartile range 2-9). Full access to all datasets and code was severely limited (unavailable in 95% and 93% of studies, respectively). The overall risk of bias was high in 58 of 81 studies and adherence to reporting standards was suboptimal (&lt;50% adherence for 12 of 29 TRIPOD items). 61 of 81 studies stated in their abstract that performance of artificial intelligence was at least comparable to (or better than) that of clinicians. Only 31 of 81 studies (38%) stated that further prospective studies or trials were required.CONCLUSIONSFew prospective deep learning studies and randomised trials exist in medical imaging. Most nonrandomised trials are not prospective, are at high risk of bias, and deviate from existing reporting standards. Data and code availability are lacking in most studies, and human comparator groups are often small. Future studies should diminish risk of bias, enhance real world clinical relevance, improve reporting and transparency, and appropriately temper conclusions.STUDY REGISTRATIONPROSPERO CRD42019123605.</t>
  </si>
  <si>
    <t>Nagendran, Myura; Chen, Yang; Lovejoy, Christopher A.; Gordon, Anthony C.; Komorowski, Matthieu; Harvey, Hugh; Topol, Eric J.; Ioannidis, John P. A.; Collins, Gary S.; Maruthappu, Mahiben</t>
  </si>
  <si>
    <t>Nagendran, M (corresponding author), Imperial Coll London, Intens Care, St Marys Campus,Praed St, London W2 1NY, England.</t>
  </si>
  <si>
    <t>nagendran@imperial.ac.uk</t>
  </si>
  <si>
    <t>National Institute for Health Research (NIHR) academic clinical fellowships; UK NIHR research professor award [RP-2015-06-018]; NIHR Imperial Biomedical Research Centre; Laura and John Arnold Foundation; NIHR Oxford Biomedical Research Centre; Cancer Research UK [C49297/A27294]; Cancer Research UK [16895] Funding Source: researchfish; National Institute for Health Research [RP-2015-06-018] Funding Source: researchfish</t>
  </si>
  <si>
    <t>National Institute for Health Research (NIHR) academic clinical fellowships (National Institutes of Health Research (NIHR)); UK NIHR research professor award; NIHR Imperial Biomedical Research Centre; Laura and John Arnold Foundation; NIHR Oxford Biomedical Research Centre (National Institutes of Health Research (NIHR)); Cancer Research UK (Cancer Research UK); Cancer Research UK (Cancer Research UK); National Institute for Health Research (National Institutes of Health Research (NIHR))</t>
  </si>
  <si>
    <t>There is no specific funding for this study. MN and YC are supported by National Institute for Health Research (NIHR) academic clinical fellowships. ACG is funded by a UK NIHR research professor award (RP-2015-06-018). MN and ACG are both supported by the NIHR Imperial Biomedical Research Centre. The Meta-Research Innovation Center at Stanford (METRICS) has been funded by a grant from the Laura and John Arnold Foundation. GSC is supported by the NIHR Oxford Biomedical Research Centre and Cancer Research UK (grant C49297/A27294).</t>
  </si>
  <si>
    <t>[Nagendran, Myura; Gordon, Anthony C.] Imperial Coll London, Dept Surg &amp; Canc, Div Anaesthet Pain Med &amp; Intens Care, London, England; [Chen, Yang] UCL, Inst Cardiovasc Sci, London, England; [Lovejoy, Christopher A.; Maruthappu, Mahiben] Cera Care, London, England; [Gordon, Anthony C.] Imperial Coll Healthcare NHS Trust, Ctr Perioperat &amp; Crit Care Res, London, England; [Komorowski, Matthieu] Imperial Coll London, Dept Bioengn, London, England; [Harvey, Hugh] Hardian Hlth, London, England; [Topol, Eric J.] Scripps Res Translat Inst, La Jolla, CA USA; [Ioannidis, John P. A.] Stanford Univ, Dept Med, Stanford, CA 94305 USA; [Ioannidis, John P. A.] Stanford Univ, Dept Hlth Res &amp; Policy, Stanford, CA 94305 USA; [Ioannidis, John P. A.] Stanford Univ, Dept Biomed Data Sci, Stanford, CA 94305 USA; [Ioannidis, John P. A.] Stanford Univ, Dept Stat, Stanford, CA 94305 USA; [Ioannidis, John P. A.] Stanford Univ, Meta Res Innovat Ctr Stanford METRICS, Stanford, CA 94305 USA; [Collins, Gary S.] Univ Oxford, Ctr Stat Med, Oxford, England; [Collins, Gary S.] Oxford Univ Hosp NHS Trust, NIHR Oxford Biomed Res Ctr, Oxford, England</t>
  </si>
  <si>
    <t>Imperial College London; University of London; University College London; Imperial College London; Imperial College London; Stanford University; Stanford Medicine; Stanford University; Stanford Medicine; Stanford University; Stanford University; Stanford University; University of Oxford; University of Oxford; Oxford University Hospitals NHS Foundation Trust</t>
  </si>
  <si>
    <t>Artificial intelligence versus clinicians: systematic review of design, reporting standards, and claims of deep learning studies</t>
  </si>
  <si>
    <t>BMJ-BRITISH MEDICAL JOURNAL</t>
  </si>
  <si>
    <t>PREDICTION MODEL; REDUCING WASTE; APPLICABILITY; EXPLANATION; PROBAST; RISK; BIAS; TOOL; FDA</t>
  </si>
  <si>
    <t>Topol, Eric/JOZ-4372-2023; Gordon, Anthony/A-3472-2012; Chen, Yang/ABF-7660-2021; Collins, Gary/A-2258-2014; Ioannidis, John P/G-9836-2011</t>
  </si>
  <si>
    <t>Topol, Eric/0000-0002-1478-4729; Nagendran, Myura/0000-0002-4656-5096; Lovejoy, Christopher Anew/0000-0003-0919-1264; Gordon, Anthony/0000-0002-0419-547X; Komorowski, Matthieu/0000-0003-0559-5747; Chen, Yang/0000-0001-6032-3387; Collins, Gary/0000-0002-2772-2316; Ioannidis, John P/0000-0003-3118-6859</t>
  </si>
  <si>
    <t>41</t>
  </si>
  <si>
    <t>807</t>
  </si>
  <si>
    <t>967</t>
  </si>
  <si>
    <t>149</t>
  </si>
  <si>
    <t>0959-535X</t>
  </si>
  <si>
    <t>1756-1833</t>
  </si>
  <si>
    <t>BMJ-BRIT MED J</t>
  </si>
  <si>
    <t>BMJ-British Medical Journal</t>
  </si>
  <si>
    <t>MAR 25 2020</t>
  </si>
  <si>
    <t>368</t>
  </si>
  <si>
    <t>m689</t>
  </si>
  <si>
    <t>10.1136/bmj.m689</t>
  </si>
  <si>
    <t>http://dx.doi.org/10.1136/bmj.m689</t>
  </si>
  <si>
    <t>LA2DX</t>
  </si>
  <si>
    <t>32213531</t>
  </si>
  <si>
    <t>WOS:000523764500002</t>
  </si>
  <si>
    <t>hybrid; Green Submitted; Green Published</t>
  </si>
  <si>
    <t>107</t>
  </si>
  <si>
    <t>Cascella, M; Montomoli, J; Bellini, V; Bignami, E</t>
  </si>
  <si>
    <t>This paper aims to highlight the potential applications and limits of a large language model (LLM) in healthcare. ChatGPT is a recently developed LLM that was trained on a massive dataset of text for dialogue with users. Although AI-based language models like ChatGPT have demonstrated impressive capabilities, it is uncertain how well they will perform in real-world scenarios, particularly in fields such as medicine where high-level and complex thinking is necessary. Furthermore, while the use of ChatGPT in writing scientific articles and other scientific outputs may have potential benefits, important ethical concerns must also be addressed. Consequently, we investigated the feasibility of ChatGPT in clinical and research scenarios: (1) support of the clinical practice, (2) scientific production, (3) misuse in medicine and research, and (4) reasoning about public health topics. Results indicated that it is important to recognize and promote education on the appropriate use and potential pitfalls of AI-based LLMs in medicine.</t>
  </si>
  <si>
    <t>Cascella, Marco; Montomoli, Jonathan; Bellini, Valentina; Bignami, Elena</t>
  </si>
  <si>
    <t>Bignami, E (corresponding author), Univ Parma, Dept Med &amp; Surg, Anesthesiol Crit Care &amp; Pain Med Div, Viale Gramsci 14, I-43126 Parma, Italy.</t>
  </si>
  <si>
    <t>elenagiovanna.bignami@unipr.it</t>
  </si>
  <si>
    <t>Universita degli Studi di Parma within the CRUI-CARE Agreement</t>
  </si>
  <si>
    <t>No funds, grants, or other support was received.Open access funding provided by Universita degli Studi di Parma within the CRUI-CARE Agreement.Open access funding provided by Universita degli Studi di Parma within the CRUI-CARE Agreement.</t>
  </si>
  <si>
    <t>[Cascella, Marco] Fdn Pascale, Ist Nazl Tumori, Dept Anesthesia &amp; Crit Care, IRCCS, Via Mariano Semmola, 53, I-80131 Naples, Italy; [Montomoli, Jonathan] AUSL Romagna, Infermi Hosp, Dept Anesthesia &amp; Intens Care, Viale Settembrini 2, I-47923 Rimini, Italy; [Bellini, Valentina; Bignami, Elena] Univ Parma, Dept Med &amp; Surg, Anesthesiol Crit Care &amp; Pain Med Div, Viale Gramsci 14, I-43126 Parma, Italy</t>
  </si>
  <si>
    <t>Fondazione IRCCS Istituto Nazionale Tumori Milan; IRCCS Fondazione Pascale; AUSL della Romagna; Hospital of Rimini; University of Parma</t>
  </si>
  <si>
    <t>Evaluating the Feasibility of ChatGPT in Healthcare: An Analysis of Multiple Clinical and Research Scenarios</t>
  </si>
  <si>
    <t>JOURNAL OF MEDICAL SYSTEMS</t>
  </si>
  <si>
    <t>Artificial intelligence; ChatGPT; Medicine; Clinical resaerch</t>
  </si>
  <si>
    <t>TRIAL</t>
  </si>
  <si>
    <t>Cascella, Marco/N-1316-2018; Montomoli, Jonathan/H-2997-2019</t>
  </si>
  <si>
    <t>Cascella, Marco/0000-0002-5236-3132; Montomoli, Jonathan/0000-0002-4028-9588</t>
  </si>
  <si>
    <t>793</t>
  </si>
  <si>
    <t>954</t>
  </si>
  <si>
    <t>945</t>
  </si>
  <si>
    <t>SPRINGER</t>
  </si>
  <si>
    <t>ONE NEW YORK PLAZA, SUITE 4600, NEW YORK, NY, UNITED STATES</t>
  </si>
  <si>
    <t>0148-5598</t>
  </si>
  <si>
    <t>1573-689X</t>
  </si>
  <si>
    <t>J MED SYST</t>
  </si>
  <si>
    <t>J. Med. Syst.</t>
  </si>
  <si>
    <t>MAR 4 2023</t>
  </si>
  <si>
    <t>10.1007/s10916-023-01925-4</t>
  </si>
  <si>
    <t>http://dx.doi.org/10.1007/s10916-023-01925-4</t>
  </si>
  <si>
    <t>9O5IH</t>
  </si>
  <si>
    <t>36869927</t>
  </si>
  <si>
    <t>WOS:000943634800001</t>
  </si>
  <si>
    <t>hybrid; Green Accepted</t>
  </si>
  <si>
    <t>369</t>
  </si>
  <si>
    <t>Klein, EA; Richards, D; Cohn, A; Tummala, M; Lapham, R; Cosgrove, D; Chung, G; Clement, J; Gao, J; Hunkapiller, N; Jamshidi, A; Kurtzman, KN; Seiden, M; Swanton, C; Liu, MC</t>
  </si>
  <si>
    <t>Background: A multi-cancer early detection (MCED) test used to complement existing screening could increase the number of cancers detected through population screening, potentially improving clinical outcomes. The Circulating Cell-free Genome Atlas study (CCGA; NCT02889978) was a prospective, case-controlled, observational study and demonstrated that a blood-based MCED test utilizing cell-free DNA (cfDNA) sequencing in combination with machine learning could detect cancer signals across multiple cancer types and predict cancer signal origin (CSO) with high accuracy. The objective of this third and final CCGA substudy was to validate an MCED test version further refined for use as a screening tool.Patients and methods: This pre-specified substudy included 4077 participants in an independent validation set (cancer: n = 2823; non-cancer: n = 1254, non-cancer status confirmed at year-one follow-up). Specificity, sensitivity, and CSO prediction accuracy were measured.Results: Specificity for cancer signal detection was 99.5% [95% confidence interval (CI): 99.0% to 99.8%]. Overall sensitivity for cancer signal detection was 51.5% (49.6% to 53.3%); sensitivity increased with stage [stage I: 16.8% (14.5% to 19.5%), stage II: 40.4% (36.8% to 44.1%), stage III: 77.0% (73.4% to 80.3%), stage IV: 90.1% (87.5% to 92.2%)]. Stage I-III sensitivity was 67.6% (64.4% to 70.6%) in 12 pre-specified cancers that account for approximately two-thirds of annual USA cancer deaths and was 40.7% (38.7% to 42.9%) in all cancers. Cancer signals were detected across &gt;50 cancer types. Overall accuracy of CSO prediction in true positives was 88.7% (87.0% to 90.2%).Conclusion: In this pre-specified, large-scale, clinical validation substudy, the MCED test demonstrated high specificity and accuracy of CSO prediction and detected cancer signals across a wide diversity of cancers. These results support the feasibility of this blood-based MCED test as a complement to existing single-cancer screening tests.</t>
  </si>
  <si>
    <t>Klein, E. A.; Richards, D.; Cohn, A.; Tummala, M.; Lapham, R.; Cosgrove, D.; Chung, G.; Clement, J.; Gao, J.; Hunkapiller, N.; Jamshidi, A.; Kurtzman, K. N.; Seiden, M., V; Swanton, C.; Liu, M. C.</t>
  </si>
  <si>
    <t>Klein, EA (corresponding author), Cleveland Clin, Glickman Urol &amp; Kidney Inst, 9500 Euclid Ave,Mail Code Q10-1, Cleveland, OH 44195 USA.</t>
  </si>
  <si>
    <t>kleine@ccf.org</t>
  </si>
  <si>
    <t>GRAIL, Inc.; The Francis Crick Institute [10169] Funding Source: researchfish</t>
  </si>
  <si>
    <t>GRAIL, Inc.; The Francis Crick Institute</t>
  </si>
  <si>
    <t>This work was supported by GRAIL, Inc., and GRAIL, Inc. was involved in the study's design, conduct, data collection, analysis and interpretation, and reporting (no grant number).</t>
  </si>
  <si>
    <t>[Klein, E. A.] Cleveland Clin, Glickman Urol &amp; Kidney Inst, 9500 Euclid Ave,Mail Code Q10-1, Cleveland, OH 44195 USA; [Richards, D.] US Oncol Network, Tyler, TX USA; [Cohn, A.] US Oncol Network, Denver, CO USA; [Tummala, M.] Mercy Clin Canc Ctr, Springfield, IL USA; [Lapham, R.] Spartanburg Reg Healthcare Syst, Spartanburg, SC USA; [Cosgrove, D.] Compass Oncol, Vancouver, BC, Canada; [Chung, G.] Christ Hosp Hlth Network, Cincinnati, OH USA; [Clement, J.] Hartford HealthCare Canc Inst, Hartford, CT USA; [Gao, J.; Hunkapiller, N.; Jamshidi, A.; Kurtzman, K. N.] GRAIL Inc, Menlo Pk, CA USA; [Seiden, M., V] US Oncol Res, The Woodlands, TX USA; [Swanton, C.] Francis Crick Inst, London, England; [Swanton, C.] Univ Coll London Canc Inst, London, England; [Liu, M. C.] Mayo Clin, Rochester, MN USA</t>
  </si>
  <si>
    <t>Cleveland Clinic Foundation; Christ Hospital - Ohio; US Oncology Network; Francis Crick Institute; University of London; University College London; Mayo Clinic</t>
  </si>
  <si>
    <t>Clinical validation of a targeted methylation-based multi-cancer early detection test using an independent validation set</t>
  </si>
  <si>
    <t>ANNALS OF ONCOLOGY</t>
  </si>
  <si>
    <t>cancer; multi-cancer early detection; liquid biopsy; methylation; cell-free nucleic acids; machine learning</t>
  </si>
  <si>
    <t>OVERDIAGNOSIS; PERFORMANCE; UPDATE</t>
  </si>
  <si>
    <t>Swanton, Charles/AEY-0113-2022; Seiden, Michael/HMD-4979-2023</t>
  </si>
  <si>
    <t>Klein, Eric A/0000-0002-1783-0698; Swanton, Charles/0000-0002-4299-3018</t>
  </si>
  <si>
    <t>49</t>
  </si>
  <si>
    <t>791</t>
  </si>
  <si>
    <t>0923-7534</t>
  </si>
  <si>
    <t>1569-8041</t>
  </si>
  <si>
    <t>ANN ONCOL</t>
  </si>
  <si>
    <t>Ann. Oncol.</t>
  </si>
  <si>
    <t>SEP 2021</t>
  </si>
  <si>
    <t>1167</t>
  </si>
  <si>
    <t>1177</t>
  </si>
  <si>
    <t>10.1016/j.annonc.2021.05.806</t>
  </si>
  <si>
    <t>http://dx.doi.org/10.1016/j.annonc.2021.05.806</t>
  </si>
  <si>
    <t>AUG 2021</t>
  </si>
  <si>
    <t>UE3XE</t>
  </si>
  <si>
    <t>34176681</t>
  </si>
  <si>
    <t>WOS:000687824100012</t>
  </si>
  <si>
    <t>Torous, J; Bucci, S; Bell, IH; Kessing, L; Faurholt-Jepsen, M; Whelan, P; Carvalho, AF; Keshavan, M; Linardon, J; Firth, J</t>
  </si>
  <si>
    <t>As the COVID-19 pandemic has largely increased the utilization of telehealth, mobile mental health technologies - such as smartphone apps, vir-tual reality, chatbots, and social media - have also gained attention. These digital health technologies offer the potential of accessible and scalable interventions that can augment traditional care. In this paper, we provide a comprehensive update on the overall field of digital psychiatry, covering three areas. First, we outline the relevance of recent technological advances to mental health research and care, by detailing how smartphones, social media, artificial intelligence and virtual reality present new opportunities for "digital phenotyping" and remote intervention. Second, we review the current evidence for the use of these new technological approaches across different mental health contexts, covering their emerging efficacy in self-management of psychological well-being and early intervention, along with more nascent research supporting their use in clinical management of long-term psychiatric conditions - including major depression; anxiety, bipolar and psychotic disorders; and eating and substance use disorders - as well as in child and adolescent mental health care. Third, we discuss the most pressing challenges and opportunities towards real-world implementation, using the Integrated Promoting Action on Research Implementation in Health Services (i-PARIHS) framework to explain how the innovations themselves, the recipients of these innovations, and the context surrounding innovations all must be considered to facilitate their adoption and use in mental health care systems. We conclude that the new technological capabilities of smartphones, artificial intelligence, social media and virtual reality are already changing mental health care in unforeseen and exciting ways, each accompanied by an early but promising evidence base. We point out that further efforts towards strengthening implementation are needed, and detail the key issues at the patient, provider and policy levels which must now be addressed for digital health technologies to truly improve mental health research and treatment in the future.</t>
  </si>
  <si>
    <t>Torous, John; Bucci, Sandra; Bell, Imogen H.; Kessing, Lars, V; Faurholt-Jepsen, Maria; Whelan, Pauline; Carvalho, Andre F.; Keshavan, Matcheri; Linardon, Jake; Firth, Joseph</t>
  </si>
  <si>
    <t>Torous, J (corresponding author), Harvard Med Sch, Beth Israel Deaconess Med Ctr, Div Digital Psychiat, Boston, MA 02115 USA.; Torous, J (corresponding author), Harvard Med Sch, Massachusetts Mental Hlth Ctr, Beth Israel Deaconess Med Ctr, Boston, MA 02115 USA.</t>
  </si>
  <si>
    <t>University of Manchester Presidential Fellowship [P123958]; UK Research and Innovation Future Leaders Fellowship [MR/T021780/1]; Natalie Mental Health Foundation; US National Institute of Mental Health [K23MH116130]; American Psychiatric Association Foundation; National Institute for Health Research (NIHR) Research Professorship; National Institute of Mental Health [K23MH116130] Funding Source: NIH RePORTER; FLF [MR/T021780/1] Funding Source: UKRI</t>
  </si>
  <si>
    <t>University of Manchester Presidential Fellowship; UK Research and Innovation Future Leaders Fellowship (UK Research &amp; Innovation (UKRI)); Natalie Mental Health Foundation; US National Institute of Mental Health (United States Department of Health &amp; Human Services, National Institutes of Health (NIH) - USA, NIH National Institute of Mental Health (NIMH)); American Psychiatric Association Foundation; National Institute for Health Research (NIHR) Research Professorship; National Institute of Mental Health (United States Department of Health &amp; Human Services, National Institutes of Health (NIH) - USA, NIH National Institute of Mental Health (NIMH)); FLF (UK Research &amp; Innovation (UKRI))</t>
  </si>
  <si>
    <t>J. Firth is supported by a University of Manchester Presidential Fellowship (P123958) and a UK Research and Innovation Future Leaders Fellowship (MR/T021780/1). J. Torous and M. Keshavan receive support from the Natalie Mental Health Foundation. J. Torous receives support from the US National Institute of Mental Health (K23MH116130) and the American Psychiatric Association Foundation. S. Bucci is supported by a National Institute for Health Research (NIHR) Research Professorship.</t>
  </si>
  <si>
    <t>[Torous, John; Keshavan, Matcheri] Harvard Med Sch, Beth Israel Deaconess Med Ctr, Div Digital Psychiat, Boston, MA 02115 USA; [Torous, John; Keshavan, Matcheri] Harvard Med Sch, Massachusetts Mental Hlth Ctr, Beth Israel Deaconess Med Ctr, Boston, MA 02115 USA; [Bucci, Sandra; Whelan, Pauline] Greater Manchester Mental Hlth NHS Fdn Trust, Digital Res Unit, Manchester, Lancs, England; [Bucci, Sandra; Whelan, Pauline] Univ Manchester, Ctr Hlth Informat, Manchester, Lancs, England; [Bell, Imogen H.] Orygen, Melbourne, Vic, Australia; [Bell, Imogen H.] Univ Melbourne, Ctr Youth Mental Hlth, Melbourne, Vic, Australia; [Kessing, Lars, V; Faurholt-Jepsen, Maria] Rigshosp, Psychiat Ctr Copenhagen, Copenhagen, Denmark; [Kessing, Lars, V; Faurholt-Jepsen, Maria] Copenhagen Affect Disorder Res Ctr, Copenhagen, Denmark; [Carvalho, Andre F.] Univ Toronto, Dept Psychiat, Toronto, ON, Canada; [Carvalho, Andre F.] Ctr Addict &amp; Mental Hlth CAMH, Toronto, ON, Canada; [Carvalho, Andre F.] Deakin Univ, IMPACT Innovat Mental &amp; Phys Hlth &amp; Clin Treatmen, Geelong, Vic, Australia; [Linardon, Jake] Deakin Univ, Ctr Social &amp; Early Emot Dev, Burwood, Vic, Australia; [Linardon, Jake] Deakin Univ, Sch Psychol, Burwood, Vic, Australia; [Firth, Joseph] Univ Manchester, Div Psychol &amp; Mental Hlth, Manchester, Lancs, England; [Firth, Joseph] Western Sydney Univ, NICM Hlth Res Inst, Westmead, NSW, Australia</t>
  </si>
  <si>
    <t>Harvard University; Harvard Medical School; Harvard University Medical Affiliates; Beth Israel Deaconess Medical Center; Harvard University; Harvard Medical School; Harvard University Medical Affiliates; Beth Israel Deaconess Medical Center; University of Manchester; Orygen, The National Centre of Excellence in Youth Mental Health; University of Melbourne; Orygen, The National Centre of Excellence in Youth Mental Health; University of Copenhagen; Rigshospitalet; Copenhagen University Hospital; University of Toronto; University of Toronto; Centre for Addiction &amp; Mental Health - Canada; Deakin University; Deakin University; Deakin University; University of Manchester; Western Sydney University</t>
  </si>
  <si>
    <t>The growing field of digital psychiatry: current evidence and the future of apps, social media, chatbots, and virtual reality</t>
  </si>
  <si>
    <t>WORLD PSYCHIATRY</t>
  </si>
  <si>
    <t>mHealth; digital health; psychiatry; mental health; smartphone apps; virtual reality; social media; chatbots; digital phenotyping; implementation</t>
  </si>
  <si>
    <t>MENTAL-HEALTH PROBLEMS; ECOLOGICAL MOMENTARY ASSESSMENT; COGNITIVE-BEHAVIORAL THERAPY; GUIDED SELF-HELP; BIPOLAR DISORDER; SMARTPHONE APPS; CONVERSATIONAL AGENTS; SINGLE-BLIND; LOW-INCOME; INTERVENTIONS</t>
  </si>
  <si>
    <t>Firth, Joseph/JOZ-1679-2023; Bell, Imogen/N-9512-2019; Carvalho, Andre/AEZ-4001-2022; Kessing, Lars/JNS-2493-2023; Torous, John/AFN-7229-2022; linardon, jake/LSK-9739-2024; Faurholt-Jepsen, Maria/H-3005-2016</t>
  </si>
  <si>
    <t>Firth, Joseph/0000-0002-0618-2752; Whelan, Pauline/0000-0001-8689-3919; Bucci, Sandra/0000-0002-6197-5333; Kessing, Lars/0000-0001-9377-9436; Faurholt-Jepsen, Maria/0000-0002-0462-6444</t>
  </si>
  <si>
    <t>235</t>
  </si>
  <si>
    <t>917</t>
  </si>
  <si>
    <t>35</t>
  </si>
  <si>
    <t>619</t>
  </si>
  <si>
    <t>1723-8617</t>
  </si>
  <si>
    <t>2051-5545</t>
  </si>
  <si>
    <t>World Psychiatry</t>
  </si>
  <si>
    <t>OCT 2021</t>
  </si>
  <si>
    <t>318</t>
  </si>
  <si>
    <t>335</t>
  </si>
  <si>
    <t>10.1002/wps.20883</t>
  </si>
  <si>
    <t>http://dx.doi.org/10.1002/wps.20883</t>
  </si>
  <si>
    <t>Psychiatry</t>
  </si>
  <si>
    <t>UO0RU</t>
  </si>
  <si>
    <t>34505369</t>
  </si>
  <si>
    <t>WOS:000694412400003</t>
  </si>
  <si>
    <t>Bronze; Green Submitted; Green Published</t>
  </si>
  <si>
    <t>140</t>
  </si>
  <si>
    <t>Roberts, M; Driggs, D; Thorpe, M; Gilbey, J; Yeung, MC; Ursprung, S; Aviles-Rivero, AI; Etmann, C; McCague, C; Beer, L; Weir-McCall, JR; Teng, ZZ; Gkrania-Klotsas, E; Rudd, JHF; Sala, E; Schönlieb, CB</t>
  </si>
  <si>
    <t>Many machine learning-based approaches have been developed for the prognosis and diagnosis of COVID-19 from medical images and this Analysis identifies over 2,200 relevant published papers and preprints in this area. After initial screening, 62 studies are analysed and the authors find they all have methodological flaws standing in the way of clinical utility. The authors have several recommendations to address these issues.Machine learning methods offer great promise for fast and accurate detection and prognostication of coronavirus disease 2019 (COVID-19) from standard-of-care chest radiographs (CXR) and chest computed tomography (CT) images. Many articles have been published in 2020 describing new machine learning-based models for both of these tasks, but it is unclear which are of potential clinical utility. In this systematic review, we consider all published papers and preprints, for the period from 1 January 2020 to 3 October 2020, which describe new machine learning models for the diagnosis or prognosis of COVID-19 from CXR or CT images. All manuscripts uploaded to bioRxiv, medRxiv and arXiv along with all entries in EMBASE and MEDLINE in this timeframe are considered. Our search identified 2,212 studies, of which 415 were included after initial screening and, after quality screening, 62 studies were included in this systematic review. Our review finds that none of the models identified are of potential clinical use due to methodological flaws and/or underlying biases. This is a major weakness, given the urgency with which validated COVID-19 models are needed. To address this, we give many recommendations which, if followed, will solve these issues and lead to higher-quality model development and well-documented manuscripts.</t>
  </si>
  <si>
    <t>Roberts, Michael; Driggs, Derek; Thorpe, Matthew; Gilbey, Julian; Yeung, Michael; Ursprung, Stephan; Aviles-Rivero, Angelica I.; Etmann, Christian; McCague, Cathal; Beer, Lucian; Weir-McCall, Jonathan R.; Teng, Zhongzhao; Gkrania-Klotsas, Effrossyni; Rudd, James H. F.; Sala, Evis; Schonlieb, Carola-Bibiane</t>
  </si>
  <si>
    <t>Roberts, M (corresponding author), Univ Cambridge, Dept Appl Math &amp; Theoret Phys, Cambridge, England.; Roberts, M (corresponding author), AstraZeneca, Oncol R&amp;D, Cambridge, England.</t>
  </si>
  <si>
    <t>michael.roberts@maths.cam.ac.uk</t>
  </si>
  <si>
    <t>Intel; AstraZeneca; European Research Council under the European Union [777826]; Wellcome Trust; Mark Foundation for Cancer Research; Cancer Research UK Cambridge Centre [C9685/A25177]; British Heart Foundation; NIHR Cambridge Biomedical Research Centre; HEFCE; Lyzeum Ltd.; Gates Cambridge Trust; Cambridge International Trust; EPSRC Cambridge Mathematics of Information in Healthcare Hub [EP/T017961/1]; Cantab Capital Institute for the Mathematics of Information; Leverhulme Trust; EPSRC [EP/S026045/1, EP/T003553/1]; Wellcome Innovator Award [RG98755]; European Union [777826 NoMADS, 691070 CHiPS]; Alan Turing Institute; EPSRC [EP/T017961/1, EP/N014588/1, EP/S026045/1] Funding Source: UKRI; GCRF [EP/T003553/1] Funding Source: UKRI; MRC [1966157] Funding Source: UKRI; Engineering and Physical Sciences Research Council [EP/T017961/1, EP/T003553/1, EP/S026045/1, EP/N014588/1] Funding Source: researchfish; Medical Research Council [1966157, G0701652] Funding Source: researchfish; Wellcome Trust [209553/Z/17/Z] Funding Source: researchfish</t>
  </si>
  <si>
    <t>Intel (Intel Corporation); AstraZeneca (AstraZeneca); European Research Council under the European Union (European Research Council (ERC)); Wellcome Trust (Wellcome Trust); Mark Foundation for Cancer Research; Cancer Research UK Cambridge Centre; British Heart Foundation (British Heart Foundation); NIHR Cambridge Biomedical Research Centre (National Institutes of Health Research (NIHR)); HEFCE (UK Research &amp; Innovation (UKRI), Higher Education Funding Council for England (HEFCE)); Lyzeum Ltd.; Gates Cambridge Trust; Cambridge International Trust; EPSRC Cambridge Mathematics of Information in Healthcare Hub; Cantab Capital Institute for the Mathematics of Information; Leverhulme Trust (Leverhulme Trust); EPSRC (UK Research &amp; Innovation (UKRI), Engineering &amp; Physical Sciences Research Council (EPSRC)); Wellcome Innovator Award (Wellcome Trust); European Union (European Union (EU)); Alan Turing Institute; EPSRC (UK Research &amp; Innovation (UKRI), Engineering &amp; Physical Sciences Research Council (EPSRC)); GCRF (UK Research &amp; Innovation (UKRI)); MRC (UK Research &amp; Innovation (UKRI), Medical Research Council UK (MRC)); Engineering and Physical Sciences Research Council (UK Research &amp; Innovation (UKRI), Engineering &amp; Physical Sciences Research Council (EPSRC)); Medical Research Council (UK Research &amp; Innovation (UKRI), Medical Research Council UK (MRC)); Wellcome Trust (Wellcome Trust)</t>
  </si>
  <si>
    <t>M.R. acknowledges the support of his supervisors M. Patel and A. Reynolds at AstraZeneca. The AIX-COVNET collaboration also acknowledges the support of Intel in supporting the collaboration. There is no direct funding source for this study; however, the following authors do report indirect funding as follows: AstraZeneca (M.R.), European Research Council under the European Union's Horizon 2020 research and innovation programme grant agreement no. 777826 (M.T.), Wellcome Trust (C.E, C.M., J.H.F.R.), The Mark Foundation for Cancer Research (L.B., E.S.), Cancer Research UK Cambridge Centre (C9685/A25177) (L.B., E.S., C.-B.S.), British Heart Foundation (Z.T., J.H.F.R.), the NIHR Cambridge Biomedical Research Centre (Z.T., J.H.F.R.), HEFCE (J.H.F.R.), Lyzeum Ltd. (J.G.), The Gates Cambridge Trust (D.D.), the Cambridge International Trust (S.U.), the EPSRC Cambridge Mathematics of Information in Healthcare Hub EP/T017961/1 (A.I.A.-R., J.H.F.R., C.-B.S.) and the Cantab Capital Institute for the Mathematics of Information (A.I.A.-R, C.-B.S.). In addition, C.-B.S. acknowledges support from the Leverhulme Trust project on `Breaking the non-convexity barrier', the Philip Leverhulme Prize, the EPSRC grants EP/S026045/1 and EP/T003553/1, the Wellcome Innovator Award RG98755, European Union Horizon 2020 research and innovation programmes under the Marie Sklodowska-Curie grant agreement no. 777826 NoMADS and no. 691070 CHiPS and the Alan Turing Institute. All authors had full access to all the data in the study and the corresponding author had final responsibility for the decision to submit for publication.</t>
  </si>
  <si>
    <t>[Roberts, Michael; Driggs, Derek; Gilbey, Julian; Aviles-Rivero, Angelica I.; Etmann, Christian; Schonlieb, Carola-Bibiane] Univ Cambridge, Dept Appl Math &amp; Theoret Phys, Cambridge, England; [Roberts, Michael] AstraZeneca, Oncol R&amp;D, Cambridge, England; [Thorpe, Matthew] Univ Manchester, Dept Math, Manchester, Lancs, England; [Yeung, Michael; Ursprung, Stephan; McCague, Cathal; Beer, Lucian; Weir-McCall, Jonathan R.; Teng, Zhongzhao; Sala, Evis] Univ Cambridge, Dept Radiol, Cambridge, England; [Ursprung, Stephan; McCague, Cathal; Sala, Evis] Univ Cambridge, Canc Res UK Cambridge Ctr, Cambridge, England; [Weir-McCall, Jonathan R.] Royal Papworth Hosp, Royal Papworth Hosp NHS Fdn Trust, Cambridge, England; [Gkrania-Klotsas, Effrossyni] Cambridge Univ Hosp NHS Trust, Dept Infect Dis, Cambridge, England; [Rudd, James H. F.] Univ Cambridge, Dept Med, Cambridge, England</t>
  </si>
  <si>
    <t>University of Cambridge; AstraZeneca; University of Manchester; University of Cambridge; University of Cambridge; CRUK Cambridge Institute; Cancer Research UK; Papworth Hospital; University of Cambridge</t>
  </si>
  <si>
    <t>AIX-COVNET</t>
  </si>
  <si>
    <t>Common pitfalls and recommendations for using machine learning to detect and prognosticate for COVID-19 using chest radiographs and CT scans</t>
  </si>
  <si>
    <t>PREDICTION; IMAGES; RISK; TOOL</t>
  </si>
  <si>
    <t>Roberts, Michael/ADG-3667-2022; Sala, Evis/AAD-7265-2019; Gilbey, Julian/KUC-9469-2024; Weir-McCall, Jonathan Richard/AAH-3637-2020; Gkrania-Klotsas, Effrossyni/AAT-8424-2021; Beer, Lucian/OON-4865-2025; Teng, Zhongzhao/JLM-5279-2023</t>
  </si>
  <si>
    <t>Roberts, Michael/0000-0002-3484-5031; Gilbey, Julian/0000-0002-5987-5261; Beer, Lucian/0000-0003-4388-7580; Yeung, Michael/0000-0001-8700-9144; Ursprung, Stephan/0000-0003-2476-178X; Weir-McCall, Jonathan Richard/0000-0001-5842-842X; Gkrania-Klotsas, Effrossyni/0000-0002-0930-8330; McCague, Cathal/0000-0002-9588-267X; Rudd, James/0000-0003-2243-3117</t>
  </si>
  <si>
    <t>744</t>
  </si>
  <si>
    <t>881</t>
  </si>
  <si>
    <t>165</t>
  </si>
  <si>
    <t>MAR 2021</t>
  </si>
  <si>
    <t>199</t>
  </si>
  <si>
    <t>217</t>
  </si>
  <si>
    <t>10.1038/s42256-021-00307-0</t>
  </si>
  <si>
    <t>http://dx.doi.org/10.1038/s42256-021-00307-0</t>
  </si>
  <si>
    <t>QY9SW</t>
  </si>
  <si>
    <t>WOS:000630122800002</t>
  </si>
  <si>
    <t>207</t>
  </si>
  <si>
    <t>Zhou, YK; Chia, MA; Wagner, SK; Ayhan, MS; Williamson, DJ; Struyven, RR; Liu, TM; Xu, MC; Lozano, MG; Woodward-Court, P; Kihara, Y; Altmann, A; Lee, AY; Topol, EJ; Denniston, AK; Alexander, DC; Keane, PA</t>
  </si>
  <si>
    <t>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1.6million unlabelled images by self-supervised learning and then adapted to disease detection tasks with explicit labels.</t>
  </si>
  <si>
    <t>Zhou, Yukun; Chia, Mark A.; Wagner, Siegfried K.; Ayhan, Murat S.; Williamson, Dominic J.; Struyven, Robbert R.; Liu, Timing; Xu, Moucheng; Lozano, Mateo G.; Woodward-Court, Peter; Kihara, Yuka; Altmann, Andre; Lee, Aaron Y.; Topol, Eric J.; Denniston, Alastair K.; Alexander, Daniel C.; Keane, Pearse A.</t>
  </si>
  <si>
    <t>Zhou, YK (corresponding author), UCL, Ctr Med Image Comp, London, England.; Zhou, YK; Keane, PA (corresponding author), Moorfields Eye Hosp NHS Fdn Trust, NIHR Biomed Res Ctr, London, England.; Zhou, YK (corresponding author), UCL, Dept Med Phys &amp; Biomed Engn, London, England.; Zhou, YK; Keane, PA (corresponding author), UCL, Inst Ophthalmol, London, England.</t>
  </si>
  <si>
    <t>yukun.zhou.19@ucl.ac.uk; p.keane@ucl.ac.uk</t>
  </si>
  <si>
    <t>Engineering and Physical Sciences Research Council [EP/M020533/1, EP/R014019/1, EP/V034537/1]; NIHR UCLH Biomedical Research Centre; Medical Research Council Clinical Research Training Fellowship [MR/TR000953/1]; Moorfields Eye Charity Career Development Award [R190028A]; UK Research &amp; Innovation Future Leaders Fellowship [MR/T019050/1]; EPSRC [EP/V034537/1, EP/M020533/1] Funding Source: UKRI; FLF [MR/T019050/1] Funding Source: UKRI; GCRF [EP/R014019/1] Funding Source: UKRI; ISCF [MC_PC_19005] Funding Source: UKRI; MRC [MR/K003364/1, MC_UU_00007/10] Funding Source: UKRI; Engineering and Physical Sciences Research Council [EP/M020533/1] Funding Source: researchfish; Medical Research Council [MC_UU_00007/10, MR/K003364/1, MC_PC_19005] Funding Source: researchfish; National Institute for Health Research [NF-SI-0515-10020] Funding Source: researchfish</t>
  </si>
  <si>
    <t>Engineering and Physical Sciences Research Council (UK Research &amp; Innovation (UKRI), Engineering &amp; Physical Sciences Research Council (EPSRC)); NIHR UCLH Biomedical Research Centre; Medical Research Council Clinical Research Training Fellowship (UK Research &amp; Innovation (UKRI), Medical Research Council UK (MRC)); Moorfields Eye Charity Career Development Award; UK Research &amp; Innovation Future Leaders Fellowship (UK Research &amp; Innovation (UKRI)); EPSRC (UK Research &amp; Innovation (UKRI), Engineering &amp; Physical Sciences Research Council (EPSRC)); FLF (UK Research &amp; Innovation (UKRI)); GCRF (UK Research &amp; Innovation (UKRI)); ISCF (UK Research &amp; Innovation (UKRI)); MRC (UK Research &amp; Innovation (UKRI), Medical Research Council UK (MRC)); Engineering and Physical Sciences Research Council (UK Research &amp; Innovation (UKRI), Engineering &amp; Physical Sciences Research Council (EPSRC)); Medical Research Council (UK Research &amp; Innovation (UKRI), Medical Research Council UK (MRC)); National Institute for Health Research (National Institutes of Health Research (NIHR))</t>
  </si>
  <si>
    <t>We thank P. Rawlinson for project management, C. Green and L. Wickham for information governance expertise, and A. Wenban, S. St John-Green and M. Barnfield for information technology support. This work is supported by Engineering and Physical Sciences Research Council grant nos. EP/M020533/1, EP/R014019/1 and EP/V034537/1, as well as the NIHR UCLH Biomedical Research Centre. S.K.W. is supported by a Medical Research Council Clinical Research Training Fellowship (grant no. MR/TR000953/1). P.A.K. is supported by a Moorfields Eye Charity Career Development Award (grant no. R190028A) and a UK Research &amp; Innovation Future Leaders Fellowship (grant no. MR/T019050/1). For the purpose of open access, the author has applied a Creative Commons Attribution (CC BY) licence to any Author Accepted Manuscript version arising.</t>
  </si>
  <si>
    <t>[Zhou, Yukun; Ayhan, Murat S.; Williamson, Dominic J.; Struyven, Robbert R.; Xu, Moucheng; Woodward-Court, Peter; Altmann, Andre; Alexander, Daniel C.] UCL, Ctr Med Image Comp, London, England; [Zhou, Yukun; Chia, Mark A.; Wagner, Siegfried K.; Ayhan, Murat S.; Williamson, Dominic J.; Struyven, Robbert R.; Liu, Timing; Lozano, Mateo G.; Woodward-Court, Peter; Keane, Pearse A.] Moorfields Eye Hosp NHS Fdn Trust, NIHR Biomed Res Ctr, London, England; [Zhou, Yukun; Xu, Moucheng; Altmann, Andre] UCL, Dept Med Phys &amp; Biomed Engn, London, England; [Zhou, Yukun; Chia, Mark A.; Wagner, Siegfried K.; Ayhan, Murat S.; Williamson, Dominic J.; Struyven, Robbert R.; Keane, Pearse A.] UCL, Inst Ophthalmol, London, England; [Lozano, Mateo G.] Univ A Coruna, Dept Comp Sci, La Coruna, Spain; [Woodward-Court, Peter] UCL, Inst Hlth Informat, London, England; [Kihara, Yuka; Lee, Aaron Y.] Univ Washington, Dept Ophthalmol, Seattle, WA 98195 USA; [Kihara, Yuka; Lee, Aaron Y.] Univ Washington, Roger &amp; Angie Karalis Johnson Retina Ctr, Seattle, WA 98195 USA; [Topol, Eric J.] Scripps Res, Dept Mol Med, La Jolla, CA USA; [Denniston, Alastair K.] Univ Birmingham, Acad Unit Ophthalmol, Birmingham, W Midlands, England; [Denniston, Alastair K.] Univ Hosp Birmingham NHS Fdn Trust, Birmingham, W Midlands, England; [Alexander, Daniel C.] UCL, Dept Comp Sci, London, England</t>
  </si>
  <si>
    <t>University of London; University College London; University of London; University College London; Moorfields Eye Hospital NHS Foundation Trust; University of London; University College London; University of London; University College London; Universidade da Coruna; University of London; University College London; University of Washington; University of Washington Seattle; University of Washington; University of Washington Seattle; Scripps Research Institute; University of Birmingham; University of Birmingham; University of London; University College London</t>
  </si>
  <si>
    <t>UK Biobank Eye &amp; Vision Consortium</t>
  </si>
  <si>
    <t>A foundation model for generalizable disease detection from retinal images</t>
  </si>
  <si>
    <t>NATURE</t>
  </si>
  <si>
    <t>CLASSIFICATION; PERFORMANCE; AGE</t>
  </si>
  <si>
    <t>Wagner, Siegfried/HNR-9338-2023; Alexander, Daniel/AGU-5484-2022; Keane, Pearse/AAE-5709-2019; Altmann, Andre/ABF-1675-2020; Gende, Mateo/AAE-4533-2022; Topol, Eric J./JOZ-4372-2023; Doney, Alexander/AGU-5484-2022; Woodward-Court, Peter/OFM-9301-2025; Chia, Mark/JPE-6549-2023; Denniston, Alastair/ABD-1238-2020; Lee, Aaron/AAT-2839-2020; Struyven, Robbert Roel/ODK-4220-2025; Zhou, Yukun/AAA-1341-2022; Alexander, Daniel/AAA-1341-2022</t>
  </si>
  <si>
    <t>Alexander, Daniel/0000-0003-2439-350X; Keane, Pearse/0000-0002-9239-745X; Williaon, Dominic/0000-0001-5219-9312; Altmann, Andre/0000-0002-9265-2393; Doney, Alexander/0000-0002-6210-5620; Woodward-Court, Peter/0000-0002-7913-1403; Denniston, Alastair/0000-0001-7849-0087; Lascaratos, Gerassimos/0000-0001-5936-1431; Lee, Aaron/0000-0002-7452-1648; Struyven, Robbert Roel/0000-0002-2201-859X; Zhou, Yukun/0000-0002-0840-6422; Alexander, Daniel/0000-0003-2439-350X; Liu, Timing/0000-0003-2834-3040</t>
  </si>
  <si>
    <t>738</t>
  </si>
  <si>
    <t>830</t>
  </si>
  <si>
    <t>0028-0836</t>
  </si>
  <si>
    <t>1476-4687</t>
  </si>
  <si>
    <t>Nature</t>
  </si>
  <si>
    <t>OCT 5 2023</t>
  </si>
  <si>
    <t>622</t>
  </si>
  <si>
    <t>7981</t>
  </si>
  <si>
    <t>156</t>
  </si>
  <si>
    <t>10.1038/s41586-023-06555-x</t>
  </si>
  <si>
    <t>http://dx.doi.org/10.1038/s41586-023-06555-x</t>
  </si>
  <si>
    <t>SEP 2023</t>
  </si>
  <si>
    <t>CJ0P8</t>
  </si>
  <si>
    <t>37704728</t>
  </si>
  <si>
    <t>WOS:001078664900019</t>
  </si>
  <si>
    <t>228</t>
  </si>
  <si>
    <t>Dwyer, DB; Falkai, P; Koutsouleris, N</t>
  </si>
  <si>
    <t>Machine learning approaches for clinical psychology and psychiatry explicitly focus on learning statistical functions from multidimensional data sets to make generalizable predictions about individuals. The goal of this review is to provide an accessible understanding of why this approach is important for future practice given its potential to augment decisions associated with the diagnosis, prognosis, and treatment of people suffering from mental illness using clinical and biological data. To this end, the limitations of current statistical paradigms in mental health research are critiqued, and an introduction is provided to critical machine learning methods used in clinical studies. A selective literature review is then presented aiming to reinforce the usefulness of machine learning methods and provide evidence of their potential. In the context of promising initial results, the current limitations of machine learning approaches are addressed, and considerations for future clinical translation are outlined.</t>
  </si>
  <si>
    <t>Dwyer, Dominic B.; Falkai, Peter; Koutsouleris, Nikolaos</t>
  </si>
  <si>
    <t>Book Citation Index – Social Sciences &amp; Humanities (BKCI-SSH); Book Citation Index – Science (BKCI-S); Science Citation Index Expanded (SCI-EXPANDED); Social Science Citation Index (SSCI)</t>
  </si>
  <si>
    <t>Dwyer, DB (corresponding author), Ludwig Maximilians Univ Munchen, Dept Psychiat &amp; Psychotherapy, Sect Neurodiagnost Applicat, D-80638 Munich, Germany.</t>
  </si>
  <si>
    <t>nikolaos.koutsouleris@med.uni-muenchen.de; dominic.dwyer@med.uni-muenchen.de; peter.falkai@med.uni-muenchen.de</t>
  </si>
  <si>
    <t>[Dwyer, Dominic B.; Falkai, Peter; Koutsouleris, Nikolaos] Ludwig Maximilians Univ Munchen, Dept Psychiat &amp; Psychotherapy, Sect Neurodiagnost Applicat, D-80638 Munich, Germany</t>
  </si>
  <si>
    <t>University of Munich</t>
  </si>
  <si>
    <t>Widiger, T; Cannon, TD</t>
  </si>
  <si>
    <t>Machine Learning Approaches for Clinical Psychology and Psychiatry</t>
  </si>
  <si>
    <t>ANNUAL REVIEW OF CLINICAL PSYCHOLOGY, VOL 14</t>
  </si>
  <si>
    <t>Annual Review of Clinical Psychology</t>
  </si>
  <si>
    <t>Article; Book Chapter</t>
  </si>
  <si>
    <t>machine learning; personalized medicine; translational psychiatry; artificial intelligence; mental health; clinical psychology; psychiatry</t>
  </si>
  <si>
    <t>ULTRA-HIGH-RISK; DETECTING NEUROIMAGING BIOMARKERS; PREDICTING TREATMENT RESPONSE; COGNITIVE-BEHAVIORAL THERAPY; MAJOR DEPRESSIVE DISORDER; PATTERN-CLASSIFICATION; 1ST-EPISODE PSYCHOSIS; IMAGING BIOMARKERS; CROSS-VALIDATION; PANIC DISORDER</t>
  </si>
  <si>
    <t>Dwyer, Dominic/Z-1225-2018; Koutsouleris, Nikolaos/MHR-0254-2025; Falkai, Peter/E-3273-2017</t>
  </si>
  <si>
    <t>Dwyer, Dominic/0000-0003-3949-5867; Falkai, Peter/0000-0003-2873-8667</t>
  </si>
  <si>
    <t>153</t>
  </si>
  <si>
    <t>723</t>
  </si>
  <si>
    <t>837</t>
  </si>
  <si>
    <t>515</t>
  </si>
  <si>
    <t>ANNUAL REVIEWS</t>
  </si>
  <si>
    <t>PALO ALTO</t>
  </si>
  <si>
    <t>4139 EL CAMINO WAY, PO BOX 10139, PALO ALTO, CA 94303-0897 USA</t>
  </si>
  <si>
    <t>1548-5943</t>
  </si>
  <si>
    <t>ANNU REV CLIN PSYCHO</t>
  </si>
  <si>
    <t>Annu. Rev. Clin. Psychol.</t>
  </si>
  <si>
    <t>91</t>
  </si>
  <si>
    <t>118</t>
  </si>
  <si>
    <t>10.1146/annurev-clinpsy-032816045037</t>
  </si>
  <si>
    <t>http://dx.doi.org/10.1146/annurev-clinpsy-032816045037</t>
  </si>
  <si>
    <t>Psychology, Clinical; Psychology</t>
  </si>
  <si>
    <t>Psychology</t>
  </si>
  <si>
    <t>BK2KR</t>
  </si>
  <si>
    <t>29401044</t>
  </si>
  <si>
    <t>WOS:000433057100004</t>
  </si>
  <si>
    <t>142</t>
  </si>
  <si>
    <t>Willemink, MJ; Koszek, WA; Hardell, C; Wu, J; Fleischmann, D; Harvey, H; Folio, LR; Summers, RM; Rubin, DL; Lungren, MP</t>
  </si>
  <si>
    <t>Artificial intelligence (AI) continues to garter substantial interest in medical imaging. The potential applications are vast and include the entirety of the. medical imaging life cycle from image exertion to diagnosis to outcome prediction. The chief obstacles to development and clinical implementation of AI algorithms include availability of sufficiently large, curated, and representative training data that includes expert labeling (eg, annotations). Current supervised AI methods require a curation proem for data to optimally train, validate, and test algorithms. Currently, most and research group industry have limited data access based on small sample sizes from small geographic areas. In addition, die preparation of data is a costly and time-intensive process, the results of which ate algorithms with limited utility and poor generalization. In this article, the authors describe fundamental steps for preparing medical imaging data in AI algorithm development, explain current limitations to data curation, and explore new approaches to address the problem of data availability. (C) RSNA, 2020</t>
  </si>
  <si>
    <t>Willemink, Martin J.; Koszek, Wojciech A.; Hardell, Cailin; Wu, Jie; Fleischmann, Dominik; Harvey, Hugh; Folio, Les R.; Summers, Ronald M.; Rubin, Daniel L.; Lungren, Matthew P.</t>
  </si>
  <si>
    <t>Willemink, MJ (corresponding author), Stanford Univ, Sch Med, Dept Radiol, 300 Pasteur Dr,S-072, Stanford, CA 94305 USA.; Willemink, MJ (corresponding author), Segmed, Menlo Pk, CA 94025 USA.</t>
  </si>
  <si>
    <t>willemink@stanford.edu</t>
  </si>
  <si>
    <t>Intramural Research Program of the National Institutes of Health (NIH) Clinical Center; National Library of Medicine of the NIH [R01LM012966]; Stanford Child Health Research Institute (Stanford NIH-National Center for Advancing Translational Sciences Clinical and Translational Science Awards) [UL1 TR001085]; National Cancer Institute of the NIH [U01CA142555, 1U01CA190214, 1U01CA187947, 1U01CA242879]; National Cancer Institute [U01CA242879] Funding Source: NIH RePORTER; National Library of Medicine [R01LM012966] Funding Source: NIH RePORTER</t>
  </si>
  <si>
    <t>Intramural Research Program of the National Institutes of Health (NIH) Clinical Center (United States Department of Health &amp; Human Services, National Institutes of Health (NIH) - USA, Office of the Administrator (NIH)); National Library of Medicine of the NIH; Stanford Child Health Research Institute (Stanford NIH-National Center for Advancing Translational Sciences Clinical and Translational Science Awards); National Cancer Institute of the NIH (United States Department of Health &amp; Human Services, National Institutes of Health (NIH) - USA, NIH National Cancer Institute (NCI)); National Cancer Institute (United States Department of Health &amp; Human Services, National Institutes of Health (NIH) - USA, NIH National Cancer Institute (NCI)); National Library of Medicine (United States Department of Health &amp; Human Services, National Institutes of Health (NIH) - USA, NIH National Library of Medicine (NLM))</t>
  </si>
  <si>
    <t>Supported in part by the Intramural Research Program of the National Institutes of Health (NIH) Clinical Center, the National Library of Medicine of the NIH (R01LM012966), Stanford Child Health Research Institute (Stanford NIH-National Center for Advancing Translational Sciences Clinical and Translational Science Awards [UL1 TR001085]), and the National Cancer Institute of the NIH (U01CA142555, 1U01CA190214, 1U01CA187947, 1U01CA242879).</t>
  </si>
  <si>
    <t>[Willemink, Martin J.; Fleischmann, Dominik; Rubin, Daniel L.; Lungren, Matthew P.] Stanford Univ, Sch Med, Dept Radiol, 300 Pasteur Dr,S-072, Stanford, CA 94305 USA; [Willemink, Martin J.; Koszek, Wojciech A.; Hardell, Cailin; Wu, Jie] Segmed, Menlo Pk, CA 94025 USA; [Wu, Jie] Stanford Univ, Sch Engn, Stanford, CA 94305 USA; [Harvey, Hugh] UCL, Inst Cognit Neurosci, London, England; [Folio, Les R.] Natl Inst Hlth Clin Ctr, Radiol &amp; Imaging Sci, Bethesda, MD USA; [Summers, Ronald M.] NIH, Imaging Biomarkers &amp; Comp Aided Diag Lab, Clin Ctr, Bldg 10, Bethesda, MD 20892 USA; [Rubin, Daniel L.] Stanford Univ, Sch Med, Dept Biomed Data Sci, Stanford, CA 94305 USA; [Lungren, Matthew P.] Stanford Ctr Artificial Intelligence Med &amp; Imagin, Stanford, CA USA</t>
  </si>
  <si>
    <t>Stanford University; Stanford Medicine; Stanford University; University of London; University College London; National Institutes of Health (NIH) - USA; NIH Clinical Center (CC); National Institutes of Health (NIH) - USA; NIH Clinical Center (CC); Stanford University; Stanford Medicine</t>
  </si>
  <si>
    <t>Preparing Medical Imaging Data for Machine Learning</t>
  </si>
  <si>
    <t>RADIOLOGY</t>
  </si>
  <si>
    <t>COMPUTER-AIDED DETECTION; ARTIFICIAL-INTELLIGENCE; DE-IDENTIFICATION; RADIOLOGY REPORTS; CT COLONOGRAPHY; PERFORMANCE; VALIDATION; SYSTEM; ALGORITHM; PLATFORM</t>
  </si>
  <si>
    <t>Summers, Ronald/AAX-6290-2021; Willemink, Martin/GRX-4798-2022; Wu, Jie/OMM-8357-2025; Folio, Les/AAO-5456-2021</t>
  </si>
  <si>
    <t>Koszek, Wojciech/0000-0002-8949-8858; Fleischmann, Dominik/0000-0003-0715-0952; Willemink, Martin/0000-0002-6991-6557; Lungren, Matthew/0000-0002-8591-5861</t>
  </si>
  <si>
    <t>108</t>
  </si>
  <si>
    <t>705</t>
  </si>
  <si>
    <t>829</t>
  </si>
  <si>
    <t>RADIOLOGICAL SOC NORTH AMERICA (RSNA)</t>
  </si>
  <si>
    <t>OAK BROOK</t>
  </si>
  <si>
    <t>820 JORIE BLVD, SUITE 200, OAK BROOK, ILLINOIS, UNITED STATES</t>
  </si>
  <si>
    <t>0033-8419</t>
  </si>
  <si>
    <t>Radiology</t>
  </si>
  <si>
    <t>295</t>
  </si>
  <si>
    <t>10.1148/radiol.2020192224</t>
  </si>
  <si>
    <t>http://dx.doi.org/10.1148/radiol.2020192224</t>
  </si>
  <si>
    <t>KV1EC</t>
  </si>
  <si>
    <t>32068507</t>
  </si>
  <si>
    <t>WOS:000520166000002</t>
  </si>
  <si>
    <t>Mihai, S; Yaqoob, M; Hung, DV; Davis, W; Towakel, P; Raza, M; Karamanoglu, M; Barn, B; Shetve, D; Prasad, RV; Venkataraman, H; Trestian, R; Nguyen, HX</t>
  </si>
  <si>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</si>
  <si>
    <t>Mihai, Stefan; Yaqoob, Mahnoor; Hung, Dang, V; Davis, William; Towakel, Praveer; Raza, Mohsin; Karamanoglu, Mehmet; Barn, Balbir; Shetve, Dattaprasad; Prasad, Raja, V; Venkataraman, Hrishikesh; Trestian, Ramona; Nguyen, Huan X.</t>
  </si>
  <si>
    <t>Trestian, R (corresponding author), Middlesex Univ, London Digital Twin Res Ctr, London NW4 4BT, England.</t>
  </si>
  <si>
    <t>m.karamanoglu@mdx.ac.uk; my365@live.mdx.ac.uk; h.nguyen@mdx.ac.uk; b.barn@mdx.ac.uk; wd085@live.mdx.ac.uk; mohsin.raza@edgehill.ac.uk; hungdv@nuce.edu.vn; yrv.prasad@iiits.in; pt445@live.mdx.ac.uk; sm3488@live.mdx.ac.uk; hvraman@iiits.in; dattaprasad.s@iiits.in; r.trestian@mdx.ac.uk</t>
  </si>
  <si>
    <t>U.K.-India Education and Research Initiative (UKIERI) [DST UKIERI-2018-19-011]; British Council's Institutional Links through the Newton Programme Vietnam Partnership [429715093]; British Council Indonesia's Going Global Partnerships Programme; U.K. Department of Business, Energy and Industrial Strategy; VinGroup Innovation Fund (VinIF) [VINIF.2021.DA00192]</t>
  </si>
  <si>
    <t>U.K.-India Education and Research Initiative (UKIERI); British Council's Institutional Links through the Newton Programme Vietnam Partnership; British Council Indonesia's Going Global Partnerships Programme; U.K. Department of Business, Energy and Industrial Strategy; VinGroup Innovation Fund (VinIF)</t>
  </si>
  <si>
    <t>This work was supported in part by the U.K.-India Education and Research Initiative (UKIERI) under Grant DST UKIERI-2018-19-011; in part by the British Council's Institutional Links through the Newton Programme Vietnam Partnership under Grant 429715093; and in part by the British Council Indonesia's Going Global Partnerships Programme (2022-2024). The fund in the programmes delivered by the British Council was provided by the U.K. Department of Business, Energy and Industrial Strategy. The work of Huan X. Nguyen was supported by the VinGroup Innovation Fund (VinIF) under Grant VINIF.2021.DA00192. (Corresponding author: Ramona Trestian.)</t>
  </si>
  <si>
    <t>[Mihai, Stefan; Yaqoob, Mahnoor; Davis, William; Towakel, Praveer; Karamanoglu, Mehmet; Barn, Balbir; Trestian, Ramona; Nguyen, Huan X.] Middlesex Univ, London Digital Twin Res Ctr, London NW4 4BT, England; [Hung, Dang, V] Natl Univ Civil Engn, Dept Civil Engn, Hanoi 0000, Vietnam; [Raza, Mohsin] Edge Hill Univ, Dept Comp Sci, Ormskirk L39 4QP, England; [Shetve, Dattaprasad; Prasad, Raja, V; Venkataraman, Hrishikesh] Indian Inst Informat Technol, Sri City 517646, India</t>
  </si>
  <si>
    <t>Middlesex University; Edge Hill University</t>
  </si>
  <si>
    <t>Digital Twins: A Survey on Enabling Technologies, Challenges, Trends and Future Prospects</t>
  </si>
  <si>
    <t>IEEE COMMUNICATIONS SURVEYS AND TUTORIALS</t>
  </si>
  <si>
    <t>Digital twin; digital transformation; smart manufacturing; industry 4.0; structural health monitoring; 5G</t>
  </si>
  <si>
    <t>CYBER-PHYSICAL SYSTEMS; PREDICTIVE MAINTENANCE; ANOMALY DETECTION; FAULT-DIAGNOSIS; REMOTE-CONTROL; FRAMEWORK; IOT; CLOUD; NETWORKS; AGENT</t>
  </si>
  <si>
    <t>Barn, Balbir/PVD-9731-2026; Raza, Mohsin/HSF-1982-2023; /AAG-1670-2019; Trestian, Ramona/AAC-9309-2021; Nguyen, Huan Xuan/GYA-0145-2022</t>
  </si>
  <si>
    <t>Yaqoob, Mahnoor/0000-0002-0223-6936; Davis, William/0000-0002-7834-8758; Raza, Mohsin/0000-0002-7351-9749; Karamanoglu, Mehmet/0000-0002-5049-2993; Nguyen, Huan Xuan/0000-0002-4105-2558</t>
  </si>
  <si>
    <t>704</t>
  </si>
  <si>
    <t>794</t>
  </si>
  <si>
    <t>48</t>
  </si>
  <si>
    <t>527</t>
  </si>
  <si>
    <t>IEEE-INST ELECTRICAL ELECTRONICS ENGINEERS INC</t>
  </si>
  <si>
    <t>PISCATAWAY</t>
  </si>
  <si>
    <t>445 HOES LANE, PISCATAWAY, NJ 08855-4141 USA</t>
  </si>
  <si>
    <t>1553-877X</t>
  </si>
  <si>
    <t>IEEE COMMUN SURV TUT</t>
  </si>
  <si>
    <t>IEEE Commun. Surv. Tutor.</t>
  </si>
  <si>
    <t>2255</t>
  </si>
  <si>
    <t>2291</t>
  </si>
  <si>
    <t>10.1109/COMST.2022.3208773</t>
  </si>
  <si>
    <t>http://dx.doi.org/10.1109/COMST.2022.3208773</t>
  </si>
  <si>
    <t>Computer Science, Information Systems; Telecommunications</t>
  </si>
  <si>
    <t>Computer Science; Telecommunications</t>
  </si>
  <si>
    <t>8L3LB</t>
  </si>
  <si>
    <t>WOS:000923685400011</t>
  </si>
  <si>
    <t>Slack, D; Hilgard, S; Jia, E; Singh, S; Lakkaraju, H</t>
  </si>
  <si>
    <t>As machine learning black boxes are increasingly being deployed in domains such as healthcare and criminal justice, there is growing emphasis on building tools and techniques for explaining these black boxes in an interpretable manner. Such explanations are being leveraged by domain experts to diagnose systematic errors and underlying biases of black boxes. In this paper, we demonstrate that post hoc explanations techniques that rely on input perturbations, such as LIME and SHAP, are not reliable. Specifically, we propose a novel scaffolding technique that effectively hides the biases of any given classifier by allowing an adversarial entity to craft an arbitrary desired explanation. Our approach can be used to scaffold any biased classifier in such a way that its predictions on the input data distribution still remain biased, but the post hoc explanations of the scaffolded classifier look innocuous. Using extensive evaluation with multiple real world datasets (including COMPAS), we demonstrate how extremely biased (racist) classifiers crafted by our framework can easily fool popular explanation techniques such as LIME and SHAP into generating innocuous explanations which do not reflect the underlying biases.</t>
  </si>
  <si>
    <t>Slack, Dylan; Hilgard, Sophie; Jia, Emily; Singh, Sameer; Lakkaraju, Himabindu</t>
  </si>
  <si>
    <t>Conference Proceedings Citation Index - Science (CPCI-S); Conference Proceedings Citation Index - Social Science &amp; Humanities (CPCI-SSH)</t>
  </si>
  <si>
    <t>Slack, D (corresponding author), Univ Calif Irvine, Irvine, CA 92697 USA.</t>
  </si>
  <si>
    <t>dslack@uci.edu; hlakkaraju@seas.harvard.edu; ash798@g.harvard.edu; sameer@uci.edu; ejia@college.harvard.edu</t>
  </si>
  <si>
    <t>Allen Institute for Artificial Intelligence (AI2); NSF [IIS-1756023]; Google</t>
  </si>
  <si>
    <t>Allen Institute for Artificial Intelligence (AI2); NSF (National Science Foundation (NSF)); Google (Google Incorporated)</t>
  </si>
  <si>
    <t>We would like to thank the anonymous reviewers for their feedback, and Scott Lundberg for insightful discussions. This work is supported in part by the Allen Institute for Artificial Intelligence (AI2), NSF award #IIS-1756023, and Google. The views expressed are those of the authors and do not reflect the official policy or position of the funding agencies.</t>
  </si>
  <si>
    <t>[Slack, Dylan; Singh, Sameer] Univ Calif Irvine, Irvine, CA 92697 USA; [Hilgard, Sophie; Jia, Emily; Lakkaraju, Himabindu] Harvard Univ, Cambridge, MA 02138 USA</t>
  </si>
  <si>
    <t>University of California System; University of California Irvine; Harvard University</t>
  </si>
  <si>
    <t>C</t>
  </si>
  <si>
    <t>ACM</t>
  </si>
  <si>
    <t>Fooling LIME and SHAP: Adversarial Attacks on Post hoc Explanation Methods</t>
  </si>
  <si>
    <t>PROCEEDINGS OF THE 3RD AAAI/ACM CONFERENCE ON AI, ETHICS, AND SOCIETY AIES 2020</t>
  </si>
  <si>
    <t>Proceedings Paper</t>
  </si>
  <si>
    <t>3rd AAAI/ACM Conference on AI, Ethics, and Society (AIES)</t>
  </si>
  <si>
    <t>FEB 07-08, 2020</t>
  </si>
  <si>
    <t>New York, NY</t>
  </si>
  <si>
    <t>Assoc Comp Machinery; AAAI; ACM SIGAI</t>
  </si>
  <si>
    <t>black box explanations; model interpretability; bias detection; adversarial attacks</t>
  </si>
  <si>
    <t>Singh, Sameer/0000-0003-0621-6323</t>
  </si>
  <si>
    <t>696</t>
  </si>
  <si>
    <t>812</t>
  </si>
  <si>
    <t>ASSOC COMPUTING MACHINERY</t>
  </si>
  <si>
    <t>1601 Broadway, 10th Floor, NEW YORK, NY, UNITED STATES</t>
  </si>
  <si>
    <t>978-1-4503-7110-0</t>
  </si>
  <si>
    <t>180</t>
  </si>
  <si>
    <t>186</t>
  </si>
  <si>
    <t>10.1145/3375627.3375830</t>
  </si>
  <si>
    <t>http://dx.doi.org/10.1145/3375627.3375830</t>
  </si>
  <si>
    <t>Computer Science, Artificial Intelligence; Ethics; Social Issues</t>
  </si>
  <si>
    <t>Computer Science; Social Sciences - Other Topics; Social Issues</t>
  </si>
  <si>
    <t>BW1OJ</t>
  </si>
  <si>
    <t>WOS:001108779100037</t>
  </si>
  <si>
    <t>Bronze</t>
  </si>
  <si>
    <t>147</t>
  </si>
  <si>
    <t>Wiens, J; Saria, S; Sendak, M; Ghassemi, M; Liu, VX; Doshi-Velez, F; Jung, K; Heller, K; Kale, D; Saeed, M; Ossorio, PN; Thadaney-Israni, S; Goldenberg, A</t>
  </si>
  <si>
    <t>Interest in machine-learning applications within medicine has been growing, but few studies have progressed to deployment in patient care. We present a framework, context and ultimately guidelines for accelerating the translation of machine-learning-based interventions in health care. To be successful, translation will require a team of engaged stakeholders and a systematic process from beginning (problem formulation) to end (widespread deployment).</t>
  </si>
  <si>
    <t>Wiens, Jenna; Saria, Suchi; Sendak, Mark; Ghassemi, Marzyeh; Liu, Vincent X.; Doshi-Velez, Finale; Jung, Kenneth; Heller, Katherine; Kale, David; Saeed, Mohammed; Ossorio, Pilar N.; Thadaney-Israni, Sonoo; Goldenberg, Anna</t>
  </si>
  <si>
    <t>Wiens, J (corresponding author), Univ Michigan, Dept Elect Engn &amp; Comp Sci, Ann Arbor, MI 48109 USA.</t>
  </si>
  <si>
    <t>wiensj@umich.edu; anna.goldenberg@utoronto.ca</t>
  </si>
  <si>
    <t>[Wiens, Jenna] Univ Michigan, Dept Elect Engn &amp; Comp Sci, Ann Arbor, MI 48109 USA; [Saria, Suchi] Johns Hopkins Univ, Dept Comp Sci, Whiting Sch Engn, Baltimore, MD 21218 USA; [Saria, Suchi] Johns Hopkins Univ, Dept Stat, Whiting Sch Engn, Baltimore, MD 21218 USA; [Saria, Suchi] Johns Hopkins Univ, Dept Hlth Policy &amp; Management, Bloomberg Sch Publ Hlth, Baltimore, MD 21218 USA; [Saria, Suchi] Bayesian Hlth, New York, NY USA; [Sendak, Mark] Duke Univ, Sch Med, Duke Inst Hlth Innovat, Durham, NC USA; [Ghassemi, Marzyeh; Goldenberg, Anna] Univ Toronto, Dept Comp Sci, Toronto, ON, Canada; [Ghassemi, Marzyeh] Univ Toronto, Dept Med, Toronto, ON, Canada; [Ghassemi, Marzyeh; Goldenberg, Anna] Vector Inst, Toronto, ON, Canada; [Liu, Vincent X.] Kaiser Permanente, Div Res, Oakland, CA USA; [Doshi-Velez, Finale] Harvard Univ, Sch Engn &amp; Appl Sci, Cambridge, MA 02138 USA; [Jung, Kenneth] Stanford Univ, Ctr Biomed Informat Res, Stanford, CA 94305 USA; [Heller, Katherine] Google Inc, Mountain View, CA USA; [Heller, Katherine] Duke Univ, Dept Stat Sci, Durham, NC USA; [Kale, David] Univ Southern Calif, Inst Informat Sci, Los Angeles, CA USA; [Saeed, Mohammed] Univ Michigan, Dept Internal Med, Ann Arbor, MI 48109 USA; [Ossorio, Pilar N.] Univ Wisconsin, Sch Law, Madison, WI 53706 USA; [Thadaney-Israni, Sonoo] Stanford Univ, Presence &amp; Program Bedside Med, Stanford, CA 94305 USA; [Goldenberg, Anna] SickKids Res Inst, Toronto, ON, Canada</t>
  </si>
  <si>
    <t>University of Michigan System; University of Michigan; Johns Hopkins University; Johns Hopkins University; Johns Hopkins University; Johns Hopkins Bloomberg School of Public Health; Duke University; University of Toronto; University of Toronto; Vector Institute for Artificial Intelligence; Kaiser Permanente; Harvard University; Stanford University; Alphabet Inc.; Google Incorporated; Duke University; University of Southern California; University of Michigan System; University of Michigan; University of Wisconsin System; University of Wisconsin Madison; Stanford University; University of Toronto; Hospital for Sick Children (SickKids)</t>
  </si>
  <si>
    <t>Do no harm: a roadmap for responsible machine learning for health care</t>
  </si>
  <si>
    <t>Saria, Suchi/D-1809-2013; liu, V/KIA-9904-2024</t>
  </si>
  <si>
    <t>Sendak, Mark/0000-0001-5828-4497; Ghassemi, Marzyeh/0000-0001-6349-7251</t>
  </si>
  <si>
    <t>693</t>
  </si>
  <si>
    <t>914</t>
  </si>
  <si>
    <t>57</t>
  </si>
  <si>
    <t>SEP 2019</t>
  </si>
  <si>
    <t>1337</t>
  </si>
  <si>
    <t>1340</t>
  </si>
  <si>
    <t>10.1038/s41591-019-0548-6</t>
  </si>
  <si>
    <t>http://dx.doi.org/10.1038/s41591-019-0548-6</t>
  </si>
  <si>
    <t>IW2TC</t>
  </si>
  <si>
    <t>31427808</t>
  </si>
  <si>
    <t>WOS:000484832800014</t>
  </si>
  <si>
    <t>21</t>
  </si>
  <si>
    <t>53</t>
  </si>
  <si>
    <t>Ezugwu, AE; Ikotun, AM; Oyelade, OO; Abualigah, L; Agushaka, JO; Eke, CI; Akinyelu, AA</t>
  </si>
  <si>
    <t>Clustering is an essential tool in data mining research and applications. It is the subject of active research in many fields of study, such as computer science, data science, statistics, pattern recognition, artificial intelligence, and machine learning. Several clustering techniques have been proposed and implemented, and most of them successfully find excellent quality or optimal clustering results in the domains mentioned earlier. However, there has been a gradual shift in the choice of clustering methods among domain experts and practitioners alike, which is precipitated by the fact that most traditional clustering algorithms still depend on the number of clusters provided a priori. These conventional clustering algorithms cannot effectively handle real-world data clustering analysis problems where the number of clusters in data objects cannot be easily identified. Also, they cannot effectively manage problems where the optimal number of clusters for a high-dimensional dataset cannot be easily determined. Therefore, there is a need for improved, flexible, and efficient clustering techniques. Recently, a variety of efficient clustering algorithms have been proposed in the literature, and these algorithms produced good results when evaluated on real-world clustering problems. This study presents an up-to-date systematic and comprehensive review of traditional and state-of-the-art clustering techniques for different domains. This survey considers clustering from a more practical perspective. It shows the outstanding role of clustering in various disciplines, such as education, marketing, medicine, biology, and bioinformatics. It also discusses the application of clustering to different fields attracting intensive efforts among the scientific community, such as big data, artificial intelligence, and robotics. This survey paper will be beneficial for both practitioners and researchers. It will serve as a good reference point for researchers and practitioners to design improved and efficient state-of-the-art clustering algorithms.</t>
  </si>
  <si>
    <t>Ezugwu, Absalom E.; Ikotun, Abiodun M.; Oyelade, Olaide O.; Abualigah, Laith; Agushaka, Jeffery O.; Eke, Christopher I.; Akinyelu, Andronicus A.</t>
  </si>
  <si>
    <t>Ezugwu, AE (corresponding author), Univ KwaZulu Natal, Sch Comp Sci, Pietermaritzburg Campus, ZA-3201 Pietermaritzburg, South Africa.; Abualigah, L (corresponding author), Amman Arab Univ, Fac Comp Sci &amp; Informat, Amman 11953, Jordan.</t>
  </si>
  <si>
    <t>218088307@stu.ukzn.ac.za; AkinyeluAA@ufs.ac.za; Ezugwua@ukzn.ac.za; oyeladeo@ukzn.ac.za; laythdyabat@aau.edu.jo; 220078470@stu.ukzn.ac.za; eke.ifeanyi@fulafia.edu.ng</t>
  </si>
  <si>
    <t>[Ezugwu, Absalom E.; Ikotun, Abiodun M.; Oyelade, Olaide O.; Agushaka, Jeffery O.] Univ KwaZulu Natal, Sch Comp Sci, Pietermaritzburg Campus, ZA-3201 Pietermaritzburg, South Africa; [Abualigah, Laith] Amman Arab Univ, Fac Comp Sci &amp; Informat, Amman 11953, Jordan; [Abualigah, Laith] Univ Sains Malaysia, Sch Comp Sci, George Town 11800, Pulau Pinang, Malaysia; [Eke, Christopher I.] Fed Univ Lafia, Fac Nat Sci, Dept Comp Sci, Lafia, Nigeria; [Akinyelu, Andronicus A.] Univ Free State, Dept Comp Sci &amp; Informat, ZA-9301 Bloemfontein, South Africa</t>
  </si>
  <si>
    <t>University of Kwazulu Natal; Universiti Sains Malaysia; University of the Free State</t>
  </si>
  <si>
    <t>A comprehensive survey of clustering algorithms: State-of-the-art machine learning applications, taxonomy, challenges, and future research prospects</t>
  </si>
  <si>
    <t>ENGINEERING APPLICATIONS OF ARTIFICIAL INTELLIGENCE</t>
  </si>
  <si>
    <t>Clustering; Clustering algorithms; partitioning; Data mining; Hierarchical clustering; Automatic clustering; K-Means; Optimization algorithms; Machine learning; Unsupervised learning; Supervised learning; Clustering; Clustering algorithms; partitioning; Data mining; Hierarchical clustering; Automatic clustering; K-Means; Optimization algorithms; Machine learning; Unsupervised learning; Supervised learning</t>
  </si>
  <si>
    <t>PARTICLE SWARM OPTIMIZATION; VARIABLE NEIGHBORHOOD SEARCH; ANT COLONY OPTIMIZATION; FLOW-CYTOMETRY DATA; TIME-SERIES DATA; K-MEANS; WHALE OPTIMIZATION; IMAGE SEGMENTATION; GENETIC ALGORITHM; MODE-SEEKING</t>
  </si>
  <si>
    <t>Ikotun, Abiodun/HJG-6378-2022; Ezugwu, Absalom El-Shamir/HTN-9866-2023; Agushaka, Ovre/AEI-6796-2022; Abualigah, Laith/ABC-9695-2020</t>
  </si>
  <si>
    <t>Ezugwu, Absalom El-Shamir/0000-0002-3721-3400; Abualigah, Laith/0000-0002-2203-4549; Eke, Christopher/0000-0003-1325-2875</t>
  </si>
  <si>
    <t>454</t>
  </si>
  <si>
    <t>681</t>
  </si>
  <si>
    <t>792</t>
  </si>
  <si>
    <t>627</t>
  </si>
  <si>
    <t>PERGAMON-ELSEVIER SCIENCE LTD</t>
  </si>
  <si>
    <t>OXFORD</t>
  </si>
  <si>
    <t>THE BOULEVARD, LANGFORD LANE, KIDLINGTON, OXFORD OX5 1GB, ENGLAND</t>
  </si>
  <si>
    <t>0952-1976</t>
  </si>
  <si>
    <t>1873-6769</t>
  </si>
  <si>
    <t>ENG APPL ARTIF INTEL</t>
  </si>
  <si>
    <t>Eng. Appl. Artif. Intell.</t>
  </si>
  <si>
    <t>APR 2022</t>
  </si>
  <si>
    <t>110</t>
  </si>
  <si>
    <t>104743</t>
  </si>
  <si>
    <t>10.1016/j.engappai.2022.104743</t>
  </si>
  <si>
    <t>http://dx.doi.org/10.1016/j.engappai.2022.104743</t>
  </si>
  <si>
    <t>FEB 2022</t>
  </si>
  <si>
    <t>Automation &amp; Control Systems; Computer Science, Artificial Intelligence; Engineering, Multidisciplinary; Engineering, Electrical &amp; Electronic</t>
  </si>
  <si>
    <t>Automation &amp; Control Systems; Computer Science; Engineering</t>
  </si>
  <si>
    <t>1G1WM</t>
  </si>
  <si>
    <t>WOS:000795645300004</t>
  </si>
  <si>
    <t>253</t>
  </si>
  <si>
    <t>van der Laak, J; Litjens, G; Ciompi, F</t>
  </si>
  <si>
    <t>Recent advances in machine learning techniques have created opportunities to improve medical diagnostics, but implementing these advances in the clinic will not be without challenge.Machine learning techniques have great potential to improve medical diagnostics, offering ways to improve accuracy, reproducibility and speed, and to ease workloads for clinicians. In the field of histopathology, deep learning algorithms have been developed that perform similarly to trained pathologists for tasks such as tumor detection and grading. However, despite these promising results, very few algorithms have reached clinical implementation, challenging the balance between hope and hype for these new techniques. This Review provides an overview of the current state of the field, as well as describing the challenges that still need to be addressed before artificial intelligence in histopathology can achieve clinical value.</t>
  </si>
  <si>
    <t>van der Laak, Jeroen; Litjens, Geert; Ciompi, Francesco</t>
  </si>
  <si>
    <t>van der Laak, J (corresponding author), Radboud Univ Nijmegen Med Ctr, Dept Pathol, Nijmegen, Netherlands.; van der Laak, J (corresponding author), Linkoping Univ, Ctr Med Image Sci &amp; Visualizat, Linkoping, Sweden.</t>
  </si>
  <si>
    <t>jeroen.vanderlaak@radboudumc.nl</t>
  </si>
  <si>
    <t>[van der Laak, Jeroen; Litjens, Geert; Ciompi, Francesco] Radboud Univ Nijmegen Med Ctr, Dept Pathol, Nijmegen, Netherlands; [van der Laak, Jeroen] Linkoping Univ, Ctr Med Image Sci &amp; Visualizat, Linkoping, Sweden</t>
  </si>
  <si>
    <t>Radboud University Nijmegen; Linkoping University</t>
  </si>
  <si>
    <t>Deep learning in histopathology: the path to the clinic</t>
  </si>
  <si>
    <t>TUMOR-INFILTRATING LYMPHOCYTES; ARTIFICIAL-INTELLIGENCE; BREAST-CANCER; COMPUTATIONAL PATHOLOGY; MITOSIS DETECTION; PROSTATE-CANCER; SEGMENTATION; PREDICTION; CLASSIFICATION; VALIDATION</t>
  </si>
  <si>
    <t>Ciompi, Francesco/P-5598-2015; Litjens, Geert/A-2319-2016; van der Laak, Jeroen/IVV-5737-2023</t>
  </si>
  <si>
    <t>Ciompi, Francesco/0000-0001-8327-9606; Litjens, Geert/0000-0003-1554-1291; Hương, Lương Thị Mỹ/0000-0003-1174-9829; van der Laak, Jeroen/0000-0001-7982-0754</t>
  </si>
  <si>
    <t>144</t>
  </si>
  <si>
    <t>675</t>
  </si>
  <si>
    <t>MAY 2021</t>
  </si>
  <si>
    <t>775</t>
  </si>
  <si>
    <t>784</t>
  </si>
  <si>
    <t>10.1038/s41591-021-01343-4</t>
  </si>
  <si>
    <t>http://dx.doi.org/10.1038/s41591-021-01343-4</t>
  </si>
  <si>
    <t>SC5GH</t>
  </si>
  <si>
    <t>33990804</t>
  </si>
  <si>
    <t>WOS:000650698900017</t>
  </si>
  <si>
    <t>Park, SH; Han, K</t>
  </si>
  <si>
    <t>The use of artificial intelligence in medicine is currently an issue of great interest, especially with regard to the diagnostic or predictive analysis of medical images. Adoption of an artificial intelligence tool in clinical practice requires careful confirmation of its clinical utility. Herein, the authors explain key methodology points involved in a clinical evaluation of artificial intelligence technology for use in medicine, especially high-dimensional or overparameterized diagnostic or predictive models in which artificial deep neural networks are used, mainly from the standpoints of clinical epidemiology and biostatistics. First, statistical methods for assessing the discrimination and calibration performances of a diagnostic or predictive model are summarized. Next, the effects of disease manifestation spectrum and disease prevalence on the performance results are explained, followed by a discussion of the difference between evaluating the performance with use of internal and external datasets, the importance of using an adequate external dataset obtained from a well-defined clinical cohort to avoid overestimating the clinical performance as a result of overfitting in high-dimensional or overparameterized classification model and spectrum bias, and the essentials for achieving a more robust clinical evaluation. Finally, the authors review the role of clinical trials and observational outcome studies for ultimate clinical verification of diagnostic or predictive artificial intelligence tools through patient outcomes, beyond performance metrics, and how to design such studies. (C) RSNA, 2018</t>
  </si>
  <si>
    <t>Park, Seong Ho; Han, Kyunghwa</t>
  </si>
  <si>
    <t>Park, SH (corresponding author), Univ Ulsan, Asan Med Ctr, Coll Med, Dept Radiol, 88 Olymp Ro 43 Gil, Seoul 05505, South Korea.; Park, SH (corresponding author), Univ Ulsan, Asan Med Ctr, Res Inst Radiol, Coll Med, 88 Olymp Ro 43 Gil, Seoul 05505, South Korea.</t>
  </si>
  <si>
    <t>parksh.radiology@gmail.com</t>
  </si>
  <si>
    <t>Industrial Strategic Technology Development Program - Ministry of Trade, Industry and Energy [10072064]</t>
  </si>
  <si>
    <t>Industrial Strategic Technology Development Program - Ministry of Trade, Industry and Energy</t>
  </si>
  <si>
    <t>S.H.P. supported by the Industrial Strategic Technology Development Program (grant 10072064) funded by the Ministry of Trade, Industry and Energy.</t>
  </si>
  <si>
    <t>[Park, Seong Ho] Univ Ulsan, Asan Med Ctr, Coll Med, Dept Radiol, 88 Olymp Ro 43 Gil, Seoul 05505, South Korea; [Park, Seong Ho] Univ Ulsan, Asan Med Ctr, Res Inst Radiol, Coll Med, 88 Olymp Ro 43 Gil, Seoul 05505, South Korea; [Han, Kyunghwa] Yonsei Univ, Res Inst Radiol Sci, Coll Med, Dept Radiol, Seoul, South Korea</t>
  </si>
  <si>
    <t>University of Ulsan; Asan Medical Center; University of Ulsan; Asan Medical Center; Yonsei University; Yonsei University Health System</t>
  </si>
  <si>
    <t>Methodologic Guide for Evaluating Clinical Performance and Effect of Artificial Intelligence Technology for Medical Diagnosis and Prediction</t>
  </si>
  <si>
    <t>CLASSIFICATION; DESIGN; INFANT; MODELS; SYSTEM</t>
  </si>
  <si>
    <t>Han, Kyunghwa/0000-0002-5687-7237</t>
  </si>
  <si>
    <t>56</t>
  </si>
  <si>
    <t>670</t>
  </si>
  <si>
    <t>768</t>
  </si>
  <si>
    <t>226</t>
  </si>
  <si>
    <t>1527-1315</t>
  </si>
  <si>
    <t>MAR 2018</t>
  </si>
  <si>
    <t>800</t>
  </si>
  <si>
    <t>809</t>
  </si>
  <si>
    <t>10.1148/radiol.2017171920</t>
  </si>
  <si>
    <t>http://dx.doi.org/10.1148/radiol.2017171920</t>
  </si>
  <si>
    <t>FW8LC</t>
  </si>
  <si>
    <t>29309734</t>
  </si>
  <si>
    <t>WOS:000425583200006</t>
  </si>
  <si>
    <t>Pudjihartono, N; Fadason, T; Kempa-Liehr, AW; O'Sullivan, JM</t>
  </si>
  <si>
    <t>Machine learning has shown utility in detecting patterns within large, unstructured, and complex datasets. One of the promising applications of machine learning is in precision medicine, where disease risk is predicted using patient genetic data. However, creating an accurate prediction model based on genotype data remains challenging due to the so-called "curse of dimensionality" (i.e., extensively larger number of features compared to the number of samples). Therefore, the generalizability of machine learning models benefits from feature selection, which aims to extract only the most "informative" features and remove noisy "non-informative," irrelevant and redundant features. In this article, we provide a general overview of the different feature selection methods, their advantages, disadvantages, and use cases, focusing on the detection of relevant features (i.e., SNPs) for disease risk prediction.</t>
  </si>
  <si>
    <t>Pudjihartono, Nicholas; Fadason, Tayaza; Kempa-Liehr, Andreas W.; O'Sullivan, Justin M.</t>
  </si>
  <si>
    <t>Emerging Sources Citation Index (ESCI)</t>
  </si>
  <si>
    <t>O'Sullivan, JM (corresponding author), Univ Auckland, Liggins Inst, Auckland, New Zealand.; O'Sullivan, JM (corresponding author), Maurice Wilkins Ctr Mol Biodiscovery, Auckland, New Zealand.; Kempa-Liehr, AW (corresponding author), Univ Auckland, Dept Engn Sci, Auckland, New Zealand.; O'Sullivan, JM (corresponding author), Univ Southampton, MRC Lifecourse Epidemiol Unit, Southampton, England.; O'Sullivan, JM (corresponding author), ASTAR, Singapore Inst Clin Sci, Singapore, Singapore.; O'Sullivan, JM (corresponding author), Garvan Inst Med Res, Australian Parkinsons Mission, Sydney, NSW, Australia.</t>
  </si>
  <si>
    <t>justin.osullivan@auckland.ac.nz; a.kempa-liehr@auckland.ac.nz</t>
  </si>
  <si>
    <t>NP received a University of Auckland PhD Scholarship. TF and JOS were funded by a grant from the Dines Family Foundation.; University of Auckland PhD Scholarship - Dines Family Foundation</t>
  </si>
  <si>
    <t>NP received a University of Auckland PhD Scholarship. TF and JOS were funded by a grant from the Dines Family Foundation.</t>
  </si>
  <si>
    <t>[Pudjihartono, Nicholas; Fadason, Tayaza; O'Sullivan, Justin M.] Univ Auckland, Liggins Inst, Auckland, New Zealand; [Fadason, Tayaza; O'Sullivan, Justin M.] Maurice Wilkins Ctr Mol Biodiscovery, Auckland, New Zealand; [Kempa-Liehr, Andreas W.] Univ Auckland, Dept Engn Sci, Auckland, New Zealand; [O'Sullivan, Justin M.] Univ Southampton, MRC Lifecourse Epidemiol Unit, Southampton, England; [O'Sullivan, Justin M.] ASTAR, Singapore Inst Clin Sci, Singapore, Singapore; [O'Sullivan, Justin M.] Garvan Inst Med Res, Australian Parkinsons Mission, Sydney, NSW, Australia</t>
  </si>
  <si>
    <t>University of Auckland; University of Auckland; University of Auckland; University of Southampton; Agency for Science Technology &amp; Research (A*STAR); A*STAR - Singapore Institute for Clinical Sciences (SICS); Garvan Institute of Medical Research</t>
  </si>
  <si>
    <t>A Review of Feature Selection Methods for Machine Learning-Based Disease Risk Prediction</t>
  </si>
  <si>
    <t>FRONTIERS IN BIOINFORMATICS</t>
  </si>
  <si>
    <t>machine learing; feature selection (FS); risk prediction; disease risk prediction; statistical approaches</t>
  </si>
  <si>
    <t>GENOME-WIDE ASSOCIATION; ROBUST FEATURE-SELECTION; FALSE DISCOVERY RATE; RANDOM FORESTS; MUTUAL INFORMATION; GENE; RELEVANCE; LOCI; GWAS; DIMENSIONALITY</t>
  </si>
  <si>
    <t>Fadason, Tayaza/AAI-5484-2020; Kempa-Liehr, Andreas/D-6257-2014; O'Sullivan, Justin/HDO-1639-2022</t>
  </si>
  <si>
    <t>Pudjihartono, Nicholas/0000-0003-3258-0014</t>
  </si>
  <si>
    <t>133</t>
  </si>
  <si>
    <t>642</t>
  </si>
  <si>
    <t>753</t>
  </si>
  <si>
    <t>96</t>
  </si>
  <si>
    <t>FRONTIERS MEDIA SA</t>
  </si>
  <si>
    <t>LAUSANNE</t>
  </si>
  <si>
    <t>AVENUE DU TRIBUNAL FEDERAL 34, LAUSANNE, CH-1015, SWITZERLAND</t>
  </si>
  <si>
    <t>2673-7647</t>
  </si>
  <si>
    <t>FRONT BIOINFORM</t>
  </si>
  <si>
    <t>Front. Bioinform.</t>
  </si>
  <si>
    <t>JUN 27 2022</t>
  </si>
  <si>
    <t>927312</t>
  </si>
  <si>
    <t>10.3389/fbinf.2022.927312</t>
  </si>
  <si>
    <t>http://dx.doi.org/10.3389/fbinf.2022.927312</t>
  </si>
  <si>
    <t>Mathematical &amp; Computational Biology</t>
  </si>
  <si>
    <t>U5VT3</t>
  </si>
  <si>
    <t>36304293</t>
  </si>
  <si>
    <t>WOS:001085486100001</t>
  </si>
  <si>
    <t>Seyyed-Kalantari, L; Zhang, HR; McDermott, MBA; Chen, IY; Ghassemi, M</t>
  </si>
  <si>
    <t>Artificial intelligence algorithms trained using chest X-rays consistently underdiagnose pulmonary abnormalities or diseases in historically under-served patient populations, raising ethical concerns about the clinical use of such algorithms.Artificial intelligence (AI) systems have increasingly achieved expert-level performance in medical imaging applications. However, there is growing concern that such AI systems may reflect and amplify human bias, and reduce the quality of their performance in historically under-served populations such as female patients, Black patients, or patients of low socioeconomic status. Such biases are especially troubling in the context of underdiagnosis, whereby the AI algorithm would inaccurately label an individual with a disease as healthy, potentially delaying access to care. Here, we examine algorithmic underdiagnosis in chest X-ray pathology classification across three large chest X-ray datasets, as well as one multi-source dataset. We find that classifiers produced using state-of-the-art computer vision techniques consistently and selectively underdiagnosed under-served patient populations and that the underdiagnosis rate was higher for intersectional under-served subpopulations, for example, Hispanic female patients. Deployment of AI systems using medical imaging for disease diagnosis with such biases risks exacerbation of existing care biases and can potentially lead to unequal access to medical treatment, thereby raising ethical concerns for the use of these models in the clinic.</t>
  </si>
  <si>
    <t>Seyyed-Kalantari, Laleh; Zhang, Haoran; McDermott, Matthew B. A.; Chen, Irene Y.; Ghassemi, Marzyeh</t>
  </si>
  <si>
    <t>Seyyed-Kalantari, L (corresponding author), Univ Toronto, Toronto, ON, Canada.; Seyyed-Kalantari, L (corresponding author), Vector Inst, Toronto, ON, Canada.</t>
  </si>
  <si>
    <t>laleh@cs.toronto.edu</t>
  </si>
  <si>
    <t>Natural Sciences and Engineering Research Council of Canada (NSERC) [PDF-516984]; Microsoft Research; Canadian Institute for Advanced Research (CIFAR); NSERC Discovery Grant</t>
  </si>
  <si>
    <t>Natural Sciences and Engineering Research Council of Canada (NSERC) (Natural Sciences and Engineering Research Council of Canada (NSERC)); Microsoft Research (Microsoft); Canadian Institute for Advanced Research (CIFAR) (Canadian Institute for Advanced Research (CIFAR)); NSERC Discovery Grant (Natural Sciences and Engineering Research Council of Canada (NSERC))</t>
  </si>
  <si>
    <t>The authors thank M. Haider for helpful discussions and acknowledge the support of the Natural Sciences and Engineering Research Council of Canada (NSERC, grant PDF-516984 to L.S.-K.), Microsoft Research (M.G.), Canadian Institute for Advanced Research (CIFAR) (M.G.) and an NSERC Discovery Grant (to M.G.). The authors also thank Vector Institute for providing high-performance computing platforms.</t>
  </si>
  <si>
    <t>[Seyyed-Kalantari, Laleh] Univ Toronto, Toronto, ON, Canada; [Seyyed-Kalantari, Laleh; Ghassemi, Marzyeh] Vector Inst, Toronto, ON, Canada; [Zhang, Haoran; McDermott, Matthew B. A.; Chen, Irene Y.; Ghassemi, Marzyeh] MIT, 77 Massachusetts Ave, Cambridge, MA 02139 USA</t>
  </si>
  <si>
    <t>University of Toronto; Vector Institute for Artificial Intelligence; Massachusetts Institute of Technology (MIT)</t>
  </si>
  <si>
    <t>Underdiagnosis bias of artificial intelligence algorithms applied to chest radiographs in under-served patient populations</t>
  </si>
  <si>
    <t>HEALTH; DISPARITIES; CARE</t>
  </si>
  <si>
    <t>McDermott, Matthew/AAW-9648-2020</t>
  </si>
  <si>
    <t>Zhang, Haoran/0000-0003-1027-9976; Chen, Irene/0000-0003-0173-9133; Ghassemi, Marzyeh/0000-0001-6349-7251</t>
  </si>
  <si>
    <t>640</t>
  </si>
  <si>
    <t>749</t>
  </si>
  <si>
    <t>67</t>
  </si>
  <si>
    <t>2176</t>
  </si>
  <si>
    <t>10.1038/s41591-021-01595-0</t>
  </si>
  <si>
    <t>http://dx.doi.org/10.1038/s41591-021-01595-0</t>
  </si>
  <si>
    <t>XP3FG</t>
  </si>
  <si>
    <t>34893776</t>
  </si>
  <si>
    <t>WOS:000729031100002</t>
  </si>
  <si>
    <t>123</t>
  </si>
  <si>
    <t>Taye, MM</t>
  </si>
  <si>
    <t>In recent years, deep learning (DL) has been the most popular computational approach in the field of machine learning (ML), achieving exceptional results on a variety of complex cognitive tasks, matching or even surpassing human performance. Deep learning technology, which grew out of artificial neural networks (ANN), has become a big deal in computing because it can learn from data. The ability to learn enormous volumes of data is one of the benefits of deep learning. In the past few years, the field of deep learning has grown quickly, and it has been used successfully in a wide range of traditional fields. In numerous disciplines, including cybersecurity, natural language processing, bioinformatics, robotics and control, and medical information processing, deep learning has outperformed well-known machine learning approaches. In order to provide a more ideal starting point from which to create a comprehensive understanding of deep learning, also, this article aims to provide a more detailed overview of the most significant facets of deep learning, including the most current developments in the field. Moreover, this paper discusses the significance of deep learning and the various deep learning techniques and networks. Additionally, it provides an overview of real-world application areas where deep learning techniques can be utilised. We conclude by identifying possible characteristics for future generations of deep learning modelling and providing research suggestions. On the same hand, this article intends to provide a comprehensive overview of deep learning modelling that can serve as a resource for academics and industry people alike. Lastly, we provide additional issues and recommended solutions to assist researchers in comprehending the existing research gaps. Various approaches, deep learning architectures, strategies, and applications are discussed in this work.</t>
  </si>
  <si>
    <t>Taye, Mohammad Mustafa</t>
  </si>
  <si>
    <t>Taye, MM (corresponding author), Philadelphia Univ, Data Sci &amp; Artificial Intelligence, Amman 19392, Jordan.</t>
  </si>
  <si>
    <t>mtaye@philadelphia.edu.jo</t>
  </si>
  <si>
    <t>[Taye, Mohammad Mustafa] Philadelphia Univ, Data Sci &amp; Artificial Intelligence, Amman 19392, Jordan</t>
  </si>
  <si>
    <t>Philadelphia University Jordan</t>
  </si>
  <si>
    <t>Understanding of Machine Learning with Deep Learning: Architectures, Workflow, Applications and Future Directions</t>
  </si>
  <si>
    <t>COMPUTERS</t>
  </si>
  <si>
    <t>machine learning (ML); deep learning (DL); recurrent neural network (RNN); convolutional neural networks (CNN) artificial intelligence (AI)</t>
  </si>
  <si>
    <t>CONVOLUTIONAL NEURAL-NETWORKS; ALGORITHM</t>
  </si>
  <si>
    <t>Taye, Mohammad/0009-0000-9248-7423</t>
  </si>
  <si>
    <t>87</t>
  </si>
  <si>
    <t>629</t>
  </si>
  <si>
    <t>780</t>
  </si>
  <si>
    <t>172</t>
  </si>
  <si>
    <t>MDPI</t>
  </si>
  <si>
    <t>BASEL</t>
  </si>
  <si>
    <t>MDPI AG, Grosspeteranlage 5, CH-4052 BASEL, SWITZERLAND</t>
  </si>
  <si>
    <t>2073-431X</t>
  </si>
  <si>
    <t>Computers</t>
  </si>
  <si>
    <t>APR 25 2023</t>
  </si>
  <si>
    <t>10.3390/computers12050091</t>
  </si>
  <si>
    <t>http://dx.doi.org/10.3390/computers12050091</t>
  </si>
  <si>
    <t>Computer Science, Interdisciplinary Applications</t>
  </si>
  <si>
    <t>H7OK6</t>
  </si>
  <si>
    <t>WOS:000997810700001</t>
  </si>
  <si>
    <t>Elendu, C; Amaechi, DC; Okatta, AU; Amaechi, EC; Elendu, TC; Ezeh, CP; Elendu, ID</t>
  </si>
  <si>
    <t>Simulation-based training (SBT) has emerged as a transformative approach in medical education, significantly enhancing healthcare professionals' learning experience and clinical competency. This article explores the impact of SBT, tracing its historical development and examining the various types of simulations utilized today, including high-fidelity mannequins, virtual reality environments, standardized patients, and hybrid simulations. These methods offer a safe and controlled environment for students to practice and hone technical and non-technical skills, ultimately improving patient safety and clinical outcomes. The benefits of SBT are manifold, including enhanced skill acquisition, error reduction, and the opportunity for repeated practice without risk to actual patients. Immediate feedback and structured debriefing further solidify learning, making Simulation an invaluable tool in medical education. However, the implementation of SBT is challenging. It requires substantial financial investment, specialized equipment, and trained faculty. Additionally, there are concerns about the realism of simulations and the transferability of skills to real-world clinical settings. Despite these challenges, numerous case studies and empirical research underscore the effectiveness of SBT compared to traditional methods. Looking ahead, advancements in technology, such as artificial intelligence and improved virtual reality applications, promise to enhance the efficacy and accessibility of simulation training. The integration of Simulation with other training modalities and its adoption in diverse global contexts highlight its potential to revolutionize medical education worldwide. This article affirms the crucial role of SBT in preparing the next generation of healthcare professionals and its ongoing evolution driven by technological innovations.</t>
  </si>
  <si>
    <t>Elendu, Chukwuka; Amaechi, Dependable C.; Okatta, Alexander U.; Amaechi, Emmanuel C.; Elendu, Tochi C.; Ezeh, Chiamaka P.; Elendu, Ijeoma D.</t>
  </si>
  <si>
    <t>Elendu, C (corresponding author), Fed Univ Teaching Hosp, Owerri 460281, Nigeria.</t>
  </si>
  <si>
    <t>priscaezeh400@gmail.com; emmanuelamaechi700@gmail.com; okattaalexander@gmail.com; elenduchukwuka@yahoo.com; divinityijeoma@gmail.com</t>
  </si>
  <si>
    <t>[Elendu, Chukwuka] Fed Univ Teaching Hosp, Owerri 460281, Nigeria; [Amaechi, Dependable C.] Igbinedion Univ, Okada, Nigeria; [Okatta, Alexander U.; Elendu, Tochi C.; Elendu, Ijeoma D.] Imo State Univ, Owerri, Nigeria; [Amaechi, Emmanuel C.] Madonna Univ, Elele, Nigeria; [Ezeh, Chiamaka P.] Univ Port Harcourt, Choba, Nigeria</t>
  </si>
  <si>
    <t>University of Port Harcourt</t>
  </si>
  <si>
    <t>The impact of simulation-based training in medical education: A review</t>
  </si>
  <si>
    <t>MEDICINE</t>
  </si>
  <si>
    <t>clinical skills; healthcare simulation; medical education; patient safety; simulation-based training</t>
  </si>
  <si>
    <t>VIRTUAL-REALITY; COMPETENCE ASSESSMENT; CLINICAL EDUCATION; HEALTH-CARE; TECHNOLOGY; HISTORY; QUALITY</t>
  </si>
  <si>
    <t>, Chukwuka Elendu/ITW-0861-2023</t>
  </si>
  <si>
    <t>, Chukwuka Elendu/0000-0002-0249-1865</t>
  </si>
  <si>
    <t>618</t>
  </si>
  <si>
    <t>80</t>
  </si>
  <si>
    <t>LIPPINCOTT WILLIAMS &amp; WILKINS</t>
  </si>
  <si>
    <t>TWO COMMERCE SQ, 2001 MARKET ST, PHILADELPHIA, PA 19103 USA</t>
  </si>
  <si>
    <t>0025-7974</t>
  </si>
  <si>
    <t>1536-5964</t>
  </si>
  <si>
    <t>Medicine (Baltimore)</t>
  </si>
  <si>
    <t>JUL 5 2024</t>
  </si>
  <si>
    <t>e38813</t>
  </si>
  <si>
    <t>10.1097/MD.0000000000038813</t>
  </si>
  <si>
    <t>http://dx.doi.org/10.1097/MD.0000000000038813</t>
  </si>
  <si>
    <t>XW9Z4</t>
  </si>
  <si>
    <t>38968472</t>
  </si>
  <si>
    <t>WOS:001264845300017</t>
  </si>
  <si>
    <t>65</t>
  </si>
  <si>
    <t>Ho, Y; Wookey, S</t>
  </si>
  <si>
    <t>In this paper, we propose a new metric to measure goodness-of-fit for classifiers: the Real World Cost function. This metric factors in information about a real world problem, such as financial impact, that other measures like accuracy or F1 do not. This metric is also more directly interpretable for users. To optimize for this metric, we introduce the Real-World-Weight Cross-Entropy loss function, in both binary classification and single-label multiclass classification variants. Both variants allow direct input of real world costs as weights. For single-label, multiclass classification, our loss function also allows direct penalization of probabilistic false positives, weighted by label, during the training of a machine learning model. We compare the design of our loss function to the binary cross-entropy and categorical cross-entropy functions, as well as their weighted variants, to discuss the potential for improvement in handling a variety of known shortcomings of machine learning, ranging from imbalanced classes to medical diagnostic error to reinforcement of social bias. We create scenarios that emulate those issues using the MNIST data set and demonstrate empirical results of our new loss function. Finally, we discuss our intuition about why this approach works and sketch a proof based on Maximum Likelihood Estimation.</t>
  </si>
  <si>
    <t>Ho, Yaoshiang; Wookey, Samuel</t>
  </si>
  <si>
    <t>Ho, Y (corresponding author), ThinkyAI Res, Los Angeles, CA 90027 USA.</t>
  </si>
  <si>
    <t>yaoshang@thinky.ai</t>
  </si>
  <si>
    <t>[Ho, Yaoshiang; Wookey, Samuel] ThinkyAI Res, Los Angeles, CA 90027 USA</t>
  </si>
  <si>
    <t>The Real-World-Weight Cross-Entropy Loss Function: Modeling the Costs of Mislabeling</t>
  </si>
  <si>
    <t>IEEE ACCESS</t>
  </si>
  <si>
    <t>Machine learning; class imbalance; oversampling; undersampling; ethnic stereotypes; social bias; maximum likelihood estimation; cross-entropy; softmax</t>
  </si>
  <si>
    <t>Ho, Yaoshiang/0000-0003-0822-6269</t>
  </si>
  <si>
    <t>739</t>
  </si>
  <si>
    <t>146</t>
  </si>
  <si>
    <t>2169-3536</t>
  </si>
  <si>
    <t>IEEE Access</t>
  </si>
  <si>
    <t>4806</t>
  </si>
  <si>
    <t>4813</t>
  </si>
  <si>
    <t>10.1109/ACCESS.2019.2962617</t>
  </si>
  <si>
    <t>http://dx.doi.org/10.1109/ACCESS.2019.2962617</t>
  </si>
  <si>
    <t>Computer Science, Information Systems; Engineering, Electrical &amp; Electronic; Telecommunications</t>
  </si>
  <si>
    <t>Computer Science; Engineering; Telecommunications</t>
  </si>
  <si>
    <t>ML9LW</t>
  </si>
  <si>
    <t>WOS:000549783300002</t>
  </si>
  <si>
    <t>86</t>
  </si>
  <si>
    <t>Singhal, K; Tu, T; Gottweis, J; Sayres, R; Wulczyn, E; Amin, M; Hou, L; Clark, K; Pfohl, SR; Cole-Lewis, H; Neal, D; Rashid, QM; Schaekermann, M; Wang, A; Dash, D; Chen, JH; Shah, NH; Lachgar, S; Mansfield, PA; Prakash, S; Green, B; Dominowska, E; Arcas, BAY; Tomasev, N; Liu, Y; Wong, R; Semturs, C; Mahdavi, SS; Barral, JK; Webster, DR; Corrado, GS; Matias, Y; Azizi, S; Karthikesalingam, A; Natarajan, V</t>
  </si>
  <si>
    <t>Large language models (LLMs) have shown promise in medical question answering, with Med-PaLM being the first to exceed a 'passing' score in United States Medical Licensing Examination style questions. However, challenges remain in long-form medical question answering and handling real-world workflows. Here, we present Med-PaLM 2, which bridges these gaps with a combination of base LLM improvements, medical domain fine-tuning and new strategies for improving reasoning and grounding through ensemble refinement and chain of retrieval. Med-PaLM 2 scores up to 86.5% on the MedQA dataset, improving upon Med-PaLM by over 19%, and demonstrates dramatic performance increases across MedMCQA, PubMedQA and MMLU clinical topics datasets. Our detailed human evaluations framework shows that physicians prefer Med-PaLM 2 answers to those from other physicians on eight of nine clinical axes. Med-PaLM 2 also demonstrates significant improvements over its predecessor across all evaluation metrics, particularly on new adversarial datasets designed to probe LLM limitations (P &lt; 0.001). In a pilot study using real-world medical questions, specialists preferred Med-PaLM 2 answers to generalist physician answers 65% of the time. While specialist answers were still preferred overall, both specialists and generalists rated Med-PaLM 2 to be as safe as physician answers, demonstrating its growing potential in real-world medical applications.</t>
  </si>
  <si>
    <t>Singhal, Karan; Tu, Tao; Gottweis, Juraj; Sayres, Rory; Wulczyn, Ellery; Amin, Mohamed; Hou, Le; Clark, Kevin; Pfohl, Stephen R.; Cole-Lewis, Heather; Neal, Darlene; Rashid, Qazi Mamunur; Schaekermann, Mike; Wang, Amy; Dash, Dev; Chen, Jonathan H.; Shah, Nigam H.; Lachgar, Sami; Mansfield, Philip Andrew; Prakash, Sushant; Green, Bradley; Dominowska, Ewa; Aguera y Arcas, Blaise; Tomasev, Nenad; Liu, Yun; Wong, Renee; Semturs, Christopher; Mahdavi, S. Sara; Barral, Joelle K.; Webster, Dale R.; Corrado, Greg S.; Matias, Yossi; Azizi, Shekoofeh; Karthikesalingam, Alan; Natarajan, Vivek</t>
  </si>
  <si>
    <t>Karthikesalingam, A; Natarajan, V (corresponding author), Google Res, Mountain View, CA 94043 USA.; Azizi, S (corresponding author), Google DeepMind, Mountain View, CA 94043 USA.</t>
  </si>
  <si>
    <t>shekazizi@google.com; alankarthi@google.com; natviv@google.com</t>
  </si>
  <si>
    <t>Debra and Mark Leslie endowment for AI in Healthcare; NIH/National Institute of Allergy and Infectious Diseases [1R01AI17812101]; NIH-NCATS-Clinical AMP; Translational Science Award [UM1TR004921]; NIH/National Institute on Drug Abuse Clinical Trials Network [UG1DA015815-CTN-0136]; Stanford Bio-X Interdisciplinary Initiatives Seed Grants Program (IIP) [R12]; Gordon and Betty Moore Foundation [12409]; American Heart Association; Austrian Science Fund (FWF) [R12] Funding Source: Austrian Science Fund (FWF)</t>
  </si>
  <si>
    <t>Debra and Mark Leslie endowment for AI in Healthcare; NIH/National Institute of Allergy and Infectious Diseases (United States Department of Health &amp; Human Services, National Institutes of Health (NIH) - USA, NIH National Institute of Allergy &amp; Infectious Diseases (NIAID)); NIH-NCATS-Clinical AMP; Translational Science Award; NIH/National Institute on Drug Abuse Clinical Trials Network; Stanford Bio-X Interdisciplinary Initiatives Seed Grants Program (IIP); Gordon and Betty Moore Foundation (Gordon &amp; Betty Moore Foundation); American Heart Association (American Heart Association); Austrian Science Fund (FWF) (Austrian Science Fund (FWF))</t>
  </si>
  <si>
    <t>This project was an extensive collaboration between many teams at Google Research. We thank M. Howell, B. Babenko and N. Hammel for their feedback during our research. We are also grateful to J. Dean, J. Manyika, K. DeSalvo, Z. Ghahramani, D. Fleet, D. Eck and S. Kornblith for their support during the course of this project. We also thank B. Hatfield, S. Man, S. Sharma, G. Parakkal, G. Turner, J. Zitting, E. Rappaport, D. Steiner, J. Kemp, J. Hu, Y. Liu, J. Krause, K. Kulkarni, S. Thomas, K. Weber, A. Um'rani, A. Iurchenko, W. Vaughan, J. Wang, M. Shiels, L. Winer, M. Schwede, A. Chang, A. Kumar, M. Kumar, M. Gaynon, A. Mehta, D. Iberri, J. Ko, M. Schwede, J. Lee, T. Seddik and J. Wha-Rhee for their assistance. N.H.S. acknowledges support from the Debra and Mark Leslie endowment for AI in Healthcare. J.H.C. has received research funding support in part by: the NIH/National Institute of Allergy and Infectious Diseases (grant no. 1R01AI17812101); a NIH-NCATS-Clinical &amp; Translational Science Award (no. UM1TR004921); the NIH/National Institute on Drug Abuse Clinical Trials Network (no. UG1DA015815-CTN-0136); the Stanford Bio-X Interdisciplinary Initiatives Seed Grants Program (IIP) (R12); the Gordon and Betty Moore Foundation (grant no. 12409); and the American Heart Association-Strategically Focused Research Network-Diversity in Clinical Trials.</t>
  </si>
  <si>
    <t>[Singhal, Karan; Tu, Tao; Gottweis, Juraj; Sayres, Rory; Wulczyn, Ellery; Amin, Mohamed; Hou, Le; Pfohl, Stephen R.; Cole-Lewis, Heather; Neal, Darlene; Rashid, Qazi Mamunur; Schaekermann, Mike; Wang, Amy; Lachgar, Sami; Mansfield, Philip Andrew; Prakash, Sushant; Green, Bradley; Aguera y Arcas, Blaise; Liu, Yun; Wong, Renee; Semturs, Christopher; Webster, Dale R.; Corrado, Greg S.; Matias, Yossi; Karthikesalingam, Alan; Natarajan, Vivek] Google Res, Mountain View, CA 94043 USA; [Clark, Kevin; Dominowska, Ewa; Tomasev, Nenad; Mahdavi, S. Sara; Barral, Joelle K.; Azizi, Shekoofeh] Google DeepMind, Mountain View, CA 94043 USA; [Dash, Dev] Stanford Univ, Sch Med, Dept Emergency Med, Stanford, CA USA; [Chen, Jonathan H.] Stanford Univ, Stanford Ctr Biomed Informat Res, Stanford, CA USA; [Chen, Jonathan H.] Stanford Univ, Div Hosp Med, Stanford, CA USA; [Chen, Jonathan H.] Stanford Univ, Clin Excellence Res Ctr, Stanford, CA USA; [Shah, Nigam H.] Stanford Univ, Sch Med, Dept Med, Stanford, CA USA; [Shah, Nigam H.] Stanford Healthcare, Technol &amp; Digital Solut, Palo Alto, CA USA</t>
  </si>
  <si>
    <t>Alphabet Inc.; Google Incorporated; Alphabet Inc.; DeepMind; Stanford University; Stanford Medicine; Stanford Medicine; Stanford University; Stanford University; Stanford University; Stanford Medicine; Stanford University; Stanford Medicine</t>
  </si>
  <si>
    <t>Toward expert-level medical question answering with large language models</t>
  </si>
  <si>
    <t>LIMITS</t>
  </si>
  <si>
    <t>Natarajan, Vivek/AAG-4944-2021; Azizi, Shekoofeh/T-5465-2019</t>
  </si>
  <si>
    <t>Singhal, Karan/0009-0001-0286-609X; Cole-Lewis, Heather/0000-0002-7275-1810; Aguera y Arcas, Blaise/0000-0003-2256-9823; Dash, Debadutta/0000-0002-0223-1641; Pfohl, Stephen/0000-0003-0551-9664</t>
  </si>
  <si>
    <t>617</t>
  </si>
  <si>
    <t>701</t>
  </si>
  <si>
    <t>54</t>
  </si>
  <si>
    <t>173</t>
  </si>
  <si>
    <t>MAR 2025</t>
  </si>
  <si>
    <t>2025</t>
  </si>
  <si>
    <t>943</t>
  </si>
  <si>
    <t>950</t>
  </si>
  <si>
    <t>10.1038/s41591-024-03423-7</t>
  </si>
  <si>
    <t>http://dx.doi.org/10.1038/s41591-024-03423-7</t>
  </si>
  <si>
    <t>JAN 2025</t>
  </si>
  <si>
    <t>0KP2B</t>
  </si>
  <si>
    <t>39779926</t>
  </si>
  <si>
    <t>WOS:001393036000001</t>
  </si>
  <si>
    <t>190</t>
  </si>
  <si>
    <t>Hollon, TC; Pandian, B; Adapa, AR; Urias, E; Save, AV; Khalsa, SSS; Eichberg, DG; D'Amico, RS; Farooq, ZU; Lewis, S; Petridis, PD; Marie, T; Shah, AH; Garton, HJL; Maher, CO; Heth, JA; McKean, EL; Sullivan, SE; Hervey-Jumper, SL; Patil, PG; Thompson, BG; Sagher, O; McKhann, GM; Komotar, RJ; Ivan, ME; Snuderl, M; Otten, ML; Johnson, TD; Sisti, MB; Bruce, JN; Muraszko, KM; Trautman, J; Freudiger, CW; Canoll, P; Lee, H; Camelo-Piragua, S; Orringer, DA</t>
  </si>
  <si>
    <t>Intraoperative diagnosis is essential for providing safe and effective care during cancer surgery(1). The existing workflow for intraoperative diagnosis based on hematoxylin and eosin staining of processed tissue is time, resource and labor intensive(2,3). Moreover, interpretation of intraoperative histologic images is dependent on a contracting, unevenly distributed, pathology workforce(4). In the present study, we report a parallel workflow that combines stimulated Raman histology (SRH)(5-7), a label-free optical imaging method and deep convolutional neural networks (CNNs) to predict diagnosis at the bedside in near real-time in an automated fashion. Specifically, our CNNs, trained on over 2.5 million SRH images, predict brain tumor diagnosis in the operating room in under 150 s, an order of magnitude faster than conventional techniques (for example, 20-30 min)(2). In a multicenter, prospective clinical trial (n = 278), we demonstrated that CNN-based diagnosis of SRH images was noninferior to pathologist-based interpretation of conventional histologic images (overall accuracy, 94.6% versus 93.9%). Our CNNs learned a hierarchy of recognizable histologic feature representations to classify the major histopathologic classes of brain tumors. In addition, we implemented a semantic segmentation method to identify tumor-infiltrated diagnostic regions within SRH images. These results demonstrate how intraoperative cancer diagnosis can be streamlined, creating a complementary pathway for tissue diagnosis that is independent of a traditional pathology laboratory.A prospective, multicenter, case-control clinical trial evaluates the potential of artificial intelligence for providing accurate bedside diagnosis of patients with brain tumors.</t>
  </si>
  <si>
    <t>Hollon, Todd C.; Pandian, Balaji; Adapa, Arjun R.; Urias, Esteban; Save, Akshay V.; Khalsa, Siri Sahib S.; Eichberg, Daniel G.; D'Amico, Randy S.; Farooq, Zia U.; Lewis, Spencer; Petridis, Petros D.; Marie, Tamara; Shah, Ashish H.; Garton, Hugh J. L.; Maher, Cormac O.; Heth, Jason A.; McKean, Erin L.; Sullivan, Stephen E.; Hervey-Jumper, Shawn L.; Patil, Parag G.; Thompson, B. Gregory; Sagher, Oren; McKhann, Guy M.; Komotar, Ricardo J.; Ivan, Michael E.; Snuderl, Matija; Otten, Marc L.; Johnson, Timothy D.; Sisti, Michael B.; Bruce, Jeffrey N.; Muraszko, Karin M.; Trautman, Jay; Freudiger, Christian W.; Canoll, Peter; Lee, Honglak; Camelo-Piragua, Sandra; Orringer, Daniel A.</t>
  </si>
  <si>
    <t>Orringer, DA (corresponding author), Univ Michigan, Dept Neurosurg, Ann Arbor, MI 48109 USA.; Orringer, DA (corresponding author), NYU, Dept Neurosurg, 550 1St Ave, New York, NY 10016 USA.</t>
  </si>
  <si>
    <t>Daniel.Orringer@nyulangone.org</t>
  </si>
  <si>
    <t>National Institutes of Health National Cancer Institute [R01CA226527-02]; Neurosurgery Research Education Fund; Cook Family Foundation; University of Michigan MTRAC; National Cancer Institute [R01CA226527] Funding Source: NIH RePORTER; National Institute of Neurological Disorders and Stroke [K08NS110919] Funding Source: NIH RePORTER</t>
  </si>
  <si>
    <t>National Institutes of Health National Cancer Institute (United States Department of Health &amp; Human Services, National Institutes of Health (NIH) - USA, NIH National Cancer Institute (NCI)); Neurosurgery Research Education Fund; Cook Family Foundation; University of Michigan MTRAC (University of Michigan System); National Cancer Institute (United States Department of Health &amp; Human Services, National Institutes of Health (NIH) - USA, NIH National Cancer Institute (NCI)); National Institute of Neurological Disorders and Stroke (United States Department of Health &amp; Human Services, National Institutes of Health (NIH) - USA, NIH National Institute of Neurological Disorders &amp; Stroke (NINDS))</t>
  </si>
  <si>
    <t>We thank T. Cichonski for manuscript editing. This work was supported by the National Institutes of Health National Cancer Institute (grant no. R01CA226527-02), Neurosurgery Research Education Fund, University of Michigan MTRAC and The Cook Family Foundation.</t>
  </si>
  <si>
    <t>[Hollon, Todd C.; Khalsa, Siri Sahib S.; Garton, Hugh J. L.; Maher, Cormac O.; Heth, Jason A.; McKean, Erin L.; Sullivan, Stephen E.; Hervey-Jumper, Shawn L.; Patil, Parag G.; Thompson, B. Gregory; Sagher, Oren; Muraszko, Karin M.; Orringer, Daniel A.] Univ Michigan, Dept Neurosurg, Ann Arbor, MI 48109 USA; [Pandian, Balaji; Adapa, Arjun R.; Urias, Esteban; Lewis, Spencer] Univ Michigan, Sch Med, Ann Arbor, MI USA; [Save, Akshay V.; Petridis, Petros D.] Columbia Univ, Coll Phys &amp; Surg, New York, NY USA; [Eichberg, Daniel G.; Shah, Ashish H.; Komotar, Ricardo J.; Ivan, Michael E.] Univ Miami, Dept Neurol Surg, Miami, FL USA; [D'Amico, Randy S.; McKhann, Guy M.; Otten, Marc L.; Sisti, Michael B.; Bruce, Jeffrey N.] Columbia Univ, Dept Neurol Surg, New York, NY USA; [Farooq, Zia U.; Trautman, Jay; Freudiger, Christian W.] Invenio Imaging Inc, Santa Clara, CA USA; [Marie, Tamara] Columbia Univ, Dept Pediat Oncol, New York, NY USA; [McKean, Erin L.] Univ Michigan, Dept Otolaryngol, Ann Arbor, MI 48109 USA; [Snuderl, Matija] NYU, Dept Pathol, 550 1St Ave, New York, NY 10016 USA; [Johnson, Timothy D.] Univ Michigan, Sch Publ Hlth, Dept Biostat, Ann Arbor, MI 48109 USA; [Canoll, Peter] Columbia Univ, Dept Pathol &amp; Cell Biol, New York, NY USA; [Lee, Honglak] Univ Michigan, Dept Elect Engn &amp; Comp Sci, Ann Arbor, MI 48109 USA; [Camelo-Piragua, Sandra] Univ Michigan, Dept Pathol, Ann Arbor, MI 48109 USA; [Orringer, Daniel A.] NYU, Dept Neurosurg, 550 1St Ave, New York, NY 10016 USA; [Hervey-Jumper, Shawn L.] Univ Calif San Francisco, Dept Neurol Surg, San Francisco, CA USA</t>
  </si>
  <si>
    <t>University of Michigan System; University of Michigan; University of Michigan System; University of Michigan; Columbia University; University of Miami; Columbia University; Columbia University; University of Michigan System; University of Michigan; New York University; University of Michigan System; University of Michigan; Columbia University; University of Michigan System; University of Michigan; University of Michigan System; University of Michigan; New York University; University of California System; University of California San Francisco</t>
  </si>
  <si>
    <t>Near real-time intraoperative brain tumor diagnosis using stimulated Raman histology and deep neural networks</t>
  </si>
  <si>
    <t>CENTRAL-NERVOUS-SYSTEM; SCATTERING MICROSCOPY; UNITED-STATES; SKIN-CANCER; CLASSIFICATION; SURGERY; WORLD</t>
  </si>
  <si>
    <t>Petridis, Petros/HIR-6677-2022; Bruce, Jeffrey/AAC-5307-2022</t>
  </si>
  <si>
    <t>Camelopiragua, Sandra/0000-0002-9606-9402; Khalsa, Siri Sahib/0000-0003-0800-3866; Orringer, Daniel/0000-0001-6427-8376; Snuderl, Matija/0000-0003-0752-0917; McKean, Erin/0000-0002-7026-0903; Petridis, Petros/0000-0001-7608-5723; Hollon, Todd/0000-0001-5987-6531</t>
  </si>
  <si>
    <t>40</t>
  </si>
  <si>
    <t>616</t>
  </si>
  <si>
    <t>708</t>
  </si>
  <si>
    <t>343</t>
  </si>
  <si>
    <t>JAN 2020</t>
  </si>
  <si>
    <t>10.1038/s41591-019-0715-9</t>
  </si>
  <si>
    <t>http://dx.doi.org/10.1038/s41591-019-0715-9</t>
  </si>
  <si>
    <t>KG3GZ</t>
  </si>
  <si>
    <t>31907460</t>
  </si>
  <si>
    <t>WOS:000509831900026</t>
  </si>
  <si>
    <t>237</t>
  </si>
  <si>
    <t>Vora, LK; Gholap, AD; Jetha, K; Thakur, RRS; Solanki, HK; Chavda, VP</t>
  </si>
  <si>
    <t>Artificial intelligence (AI) has emerged as a powerful tool that harnesses anthropomorphic knowledge and provides expedited solutions to complex challenges. Remarkable advancements in AI technology and machine learning present a transformative opportunity in the drug discovery, formulation, and testing of pharmaceutical dosage forms. By utilizing AI algorithms that analyze extensive biological data, including genomics and proteomics, researchers can identify disease-associated targets and predict their interactions with potential drug candidates. This enables a more efficient and targeted approach to drug discovery, thereby increasing the likelihood of successful drug approvals. Furthermore, AI can contribute to reducing development costs by optimizing research and development processes. Machine learning algorithms assist in experimental design and can predict the pharmacokinetics and toxicity of drug candidates. This capability enables the prioritization and optimization of lead compounds, reducing the need for extensive and costly animal testing. Personalized medicine approaches can be facilitated through AI algorithms that analyze real-world patient data, leading to more effective treatment outcomes and improved patient adherence. This comprehensive review explores the wide-ranging applications of AI in drug discovery, drug delivery dosage form designs, process optimization, testing, and pharmacokinetics/pharmacodynamics (PK/PD) studies. This review provides an overview of various AI-based approaches utilized in pharmaceutical technology, highlighting their benefits and drawbacks. Nevertheless, the continued investment in and exploration of AI in the pharmaceutical industry offer exciting prospects for enhancing drug development processes and patient care.</t>
  </si>
  <si>
    <t>Vora, Lalitkumar K.; Gholap, Amol D.; Jetha, Keshava; Thakur, Raghu Raj Singh; Solanki, Hetvi K.; Chavda, Vivek P.</t>
  </si>
  <si>
    <t>Vora, LK (corresponding author), Queens Univ Belfast, Sch Pharm, 97 Lisburn Rd, Belfast BT9 7BL, North Ireland.; Chavda, VP (corresponding author), L M Coll Pharm, Dept Pharmaceut &amp; Pharmaceut Technol, Ahmadabad 380009, Gujarat, India.</t>
  </si>
  <si>
    <t>vivek7chavda@gmail.com; amolg@sjipr.edu.in; r.thakur@qub.ac.uk; l.vora@qub.ac.uk; keshavjetha@gmail.com</t>
  </si>
  <si>
    <t>[Vora, Lalitkumar K.; Thakur, Raghu Raj Singh] Queens Univ Belfast, Sch Pharm, 97 Lisburn Rd, Belfast BT9 7BL, North Ireland; [Gholap, Amol D.] St John Inst Pharm &amp; Res, Dept Pharmaceut, Palghat 401404, Maharashtra, India; [Jetha, Keshava; Chavda, Vivek P.] L M Coll Pharm, Dept Pharmaceut &amp; Pharmaceut Technol, Ahmadabad 380009, Gujarat, India; [Jetha, Keshava] Gujarat Technol Univ, Ph D Sect, Ahmadabad 382424, Gujarat, India; [Solanki, Hetvi K.] L M Coll Pharm, Pharm Sect, Ahmadabad 380009, Gujarat, India</t>
  </si>
  <si>
    <t>Queens University Belfast; Gujarat Technological University</t>
  </si>
  <si>
    <t>Artificial Intelligence in Pharmaceutical Technology and Drug Delivery Design</t>
  </si>
  <si>
    <t>PHARMACEUTICS</t>
  </si>
  <si>
    <t>artificial intelligence (AI); machine learning; drug discovery; formulation; dosage form testing; pharmacokinetics; pharmacodynamics; PBPK; QSAR</t>
  </si>
  <si>
    <t>NEURAL-NETWORKS; BAYESIAN-APPROACH; IN-VITRO; FORMULATION; OPTIMIZATION; OPPORTUNITIES; CHALLENGES; DISCOVERY; MEDICINES; EXOSOMES</t>
  </si>
  <si>
    <t>Gholap., M. Pharm, Amol/HTS-0004-2023; Gholap, Amol/HTS-0004-2023; Chavda, Vivek/ADR-8736-2022; Vora, Lalitkumar K/ABA-7080-2020</t>
  </si>
  <si>
    <t>Gholap., M. Pharm, Amol/0000-0003-4145-4060; Sodha, Devram/0009-0005-2988-5492; Chavda, Vivek/0000-0002-7701-8597; Thakur Singh, Raghu Raj/0000-0001-7582-2082; Vora, Lalitkumar K/0000-0001-8106-9066; Jetha, Keshava/0000-0003-4195-6087</t>
  </si>
  <si>
    <t>241</t>
  </si>
  <si>
    <t>596</t>
  </si>
  <si>
    <t>745</t>
  </si>
  <si>
    <t>418</t>
  </si>
  <si>
    <t>1999-4923</t>
  </si>
  <si>
    <t>Pharmaceutics</t>
  </si>
  <si>
    <t>JUL 2023</t>
  </si>
  <si>
    <t>1916</t>
  </si>
  <si>
    <t>10.3390/pharmaceutics15071916</t>
  </si>
  <si>
    <t>http://dx.doi.org/10.3390/pharmaceutics15071916</t>
  </si>
  <si>
    <t>Pharmacology &amp; Pharmacy</t>
  </si>
  <si>
    <t>N4EN0</t>
  </si>
  <si>
    <t>37514102</t>
  </si>
  <si>
    <t>WOS:001036563700001</t>
  </si>
  <si>
    <t>gold; Green Submitted; Green Published</t>
  </si>
  <si>
    <t>81</t>
  </si>
  <si>
    <t>Kaur, H; Pannu, HS; Malhi, AK</t>
  </si>
  <si>
    <t>In machine learning, the data imbalance imposes challenges to perform data analytics in almost all areas of real-world research. The raw primary data often suffers from the skewed perspective of data distribution of one class over the other as in the case of computer vision, information security, marketing, and medical science. The goal of this article is to present a comparative analysis of the approaches from the reference of data pre-processing, algorithmic and hybrid paradigms for contemporary imbalance data analysis techniques, and their comparative study in lieu of different data distribution and their application areas.</t>
  </si>
  <si>
    <t>Kaur, Harsurinder; Pannu, Husanbir Singh; Malhi, Avleen Kaur</t>
  </si>
  <si>
    <t>Kaur, H (corresponding author), Thapar Inst Engn &amp; Technol, CSED, Patiala 147004, Punjab, India.</t>
  </si>
  <si>
    <t>hspannu@thapar.edu; avleen@thapar.edu; hkaur_me16@thapar.edu</t>
  </si>
  <si>
    <t>[Kaur, Harsurinder; Pannu, Husanbir Singh; Malhi, Avleen Kaur] Thapar Inst Engn &amp; Technol, CSED, Patiala 147004, Punjab, India</t>
  </si>
  <si>
    <t>Thapar Institute of Engineering &amp; Technology</t>
  </si>
  <si>
    <t>A Systematic Review on Imbalanced Data Challenges in Machine Learning: Applications and Solutions</t>
  </si>
  <si>
    <t>ACM COMPUTING SURVEYS</t>
  </si>
  <si>
    <t>Data imbalance; machine learning; data analysis; sampling</t>
  </si>
  <si>
    <t>SUPPORT VECTOR MACHINE; FEATURE-SELECTION TECHNIQUES; RANDOM FOREST; INTRUSION DETECTION; FRAUD DETECTION; NEURAL-NETWORK; CLASSIFICATION PROBLEMS; TEXT CLASSIFICATION; SAMPLING APPROACH; DECISION TREE</t>
  </si>
  <si>
    <t>591</t>
  </si>
  <si>
    <t>432</t>
  </si>
  <si>
    <t>1601 Broadway, 10th Floor, NEW YORK, NY USA</t>
  </si>
  <si>
    <t>0360-0300</t>
  </si>
  <si>
    <t>1557-7341</t>
  </si>
  <si>
    <t>ACM COMPUT SURV</t>
  </si>
  <si>
    <t>ACM Comput. Surv.</t>
  </si>
  <si>
    <t>10.1145/3343440</t>
  </si>
  <si>
    <t>http://dx.doi.org/10.1145/3343440</t>
  </si>
  <si>
    <t>Computer Science, Theory &amp; Methods</t>
  </si>
  <si>
    <t>JC8UH</t>
  </si>
  <si>
    <t>WOS:000489551100015</t>
  </si>
  <si>
    <t>Wang, S; Kang, B; Ma, JL; Zeng, XJ; Xiao, MM; Guo, J; Cai, MJ; Yang, JY; Li, YD; Meng, XF; Xu, B</t>
  </si>
  <si>
    <t>Objective The outbreak of Severe Acute Respiratory Syndrome Coronavirus 2 (SARS-COV-2) has caused more than 26 million cases of Corona virus disease (COVID-19) in the world so far. To control the spread of the disease, screening large numbers of suspected cases for appropriate quarantine and treatment are a priority. Pathogenic laboratory testing is typically the gold standard, but it bears the burden of significant false negativity, adding to the urgent need of alternative diagnostic methods to combat the disease. Based on COVID-19 radiographic changes in CT images, this study hypothesized that artificial intelligence methods might be able to extract specific graphical features of COVID-19 and provide a clinical diagnosis ahead of the pathogenic test, thus saving critical time for disease control. Methods We collected 1065 CT images of pathogen-confirmed COVID-19 cases along with those previously diagnosed with typical viral pneumonia. We modified the inception transfer-learning model to establish the algorithm, followed by internal and external validation. Results The internal validation achieved a total accuracy of 89.5% with a specificity of 0.88 and sensitivity of 0.87. The external testing dataset showed a total accuracy of 79.3% with a specificity of 0.83 and sensitivity of 0.67. In addition, in 54 COVID-19 images, the first two nucleic acid test results were negative, and 46 were predicted as COVID-19 positive by the algorithm, with an accuracy of 85.2%. Conclusion These results demonstrate the proof-of-principle for using artificial intelligence to extract radiological features for timely and accurate COVID-19 diagnosis.</t>
  </si>
  <si>
    <t>Wang, Shuai; Kang, Bo; Ma, Jinlu; Zeng, Xianjun; Xiao, Mingming; Guo, Jia; Cai, Mengjiao; Yang, Jingyi; Li, Yaodong; Meng, Xiangfei; Xu, Bo</t>
  </si>
  <si>
    <t>Xu, B (corresponding author), Tianjin Med Univ Canc Inst &amp; Hosp, Dept Biochem &amp; Mol Biol, Natl Clin Res Ctr Canc,Minist Educ,Tianjin Clin R, Key Lab Canc Prevent &amp; Therapy,Key Lab Breast Can, Tianjin 300060, Peoples R China.; Meng, XF (corresponding author), Natl Supercomp Ctr Tianjin, Tianjin 300457, Peoples R China.; Xu, B (corresponding author), Chongqing Univ, Ctr Intelligent Oncol, Canc Hosp, Sch Med, Chongqing, Peoples R China.</t>
  </si>
  <si>
    <t>mengxf@nscc-tj.cn; xubo@tmu.edu.cn</t>
  </si>
  <si>
    <t>[Wang, Shuai; Xiao, Mingming; Xu, Bo] Tianjin Med Univ Canc Inst &amp; Hosp, Key Lab Canc Prevent &amp; Therapy,Key Lab Breast Can, Dept Biochem &amp; Mol Biol, Natl Clin Res Ctr Canc,Minist Educ,Tianjin Clin R, Tianjin 300060, Peoples R China; [Wang, Shuai] Tianjin Med Univ Canc Inst &amp; Hosp, Dept Hepatobiliary Oncol, Natl Clin Res Ctr Canc, Tianjin 300060, Peoples R China; [Kang, Bo] Tianjin Univ, Coll Intelligence &amp; Comp, Tianjin 300350, Peoples R China; [Kang, Bo; Guo, Jia; Meng, Xiangfei] Natl Supercomp Ctr Tianjin, Tianjin 300457, Peoples R China; [Ma, Jinlu; Cai, Mengjiao; Yang, Jingyi] Xi An Jiao Tong Univ, Affiliated Hosp 1, Dept Radiat Oncol, Xian, Peoples R China; [Zeng, Xianjun] Nanchang Univ First Hosp, Dept Radiol, Nanchang, Peoples R China; [Li, Yaodong] Xian Med Coll, Hosp 8, Dept Radiol, Xian, Peoples R China; [Xu, Bo] Chongqing Univ, Ctr Intelligent Oncol, Canc Hosp, Sch Med, Chongqing, Peoples R China</t>
  </si>
  <si>
    <t>Tianjin Medical University; Tianjin Medical University; Tianjin University; Xi'an Jiaotong University; Xi'an Medical University; Chongqing University</t>
  </si>
  <si>
    <t>A deep learning algorithm using CT images to screen for Corona virus disease (COVID-19)</t>
  </si>
  <si>
    <t>EUROPEAN RADIOLOGY</t>
  </si>
  <si>
    <t>COVID-19; Tomography; X-ray computed; Artificial intelligence; Deep learning; Diagnosis</t>
  </si>
  <si>
    <t>XU, Bo/KHY-3777-2024; MA, JINLU/NRA-9118-2025; Wang, Shuai/LVR-2798-2024</t>
  </si>
  <si>
    <t>580</t>
  </si>
  <si>
    <t>714</t>
  </si>
  <si>
    <t>0938-7994</t>
  </si>
  <si>
    <t>1432-1084</t>
  </si>
  <si>
    <t>EUR RADIOL</t>
  </si>
  <si>
    <t>Eur. Radiol.</t>
  </si>
  <si>
    <t>6096</t>
  </si>
  <si>
    <t>6104</t>
  </si>
  <si>
    <t>10.1007/s00330-021-07715-1</t>
  </si>
  <si>
    <t>http://dx.doi.org/10.1007/s00330-021-07715-1</t>
  </si>
  <si>
    <t>FEB 2021</t>
  </si>
  <si>
    <t>TG7NZ</t>
  </si>
  <si>
    <t>33629156</t>
  </si>
  <si>
    <t>WOS:000621338200001</t>
  </si>
  <si>
    <t>Dayan, I; Roth, HR; Zhong, AX; Harouni, A; Gentili, A; Abidin, AZ; Liu, A; Costa, AB; Wood, BJ; Tsai, CS; Wang, CH; Hsu, CN; Lee, CK; Ruan, PY; Xu, DG; Wu, DF; Huang, E; Kitamura, FC; Lacey, G; Corradi, GCD; Nino, G; Shin, HH; Obinata, H; Ren, H; Crane, JC; Tetreault, J; Guan, J; Garrett, JW; Kaggie, JD; Park, JG; Dreyer, K; Juluru, K; Kersten, K; Rockenbach, MABC; Linguraru, MG; Haider, MA; AbdelMaseeh, M; Rieke, N; Damasceno, PF; Silva, PMCE; Wang, PC; Xu, S; Kawano, S; Sriswasdi, S; Park, SY; Grist, TM; Buch, V; Jantarabenjakul, W; Wang, WC; Tak, WY; Li, X; Lin, XH; Kwon, YJ; Quraini, A; Feng, A; Priest, AN; Turkbey, B; Glicksberg, B; Bizzo, B; Kim, BS; Tor-Díez, C; Lee, CC; Hsu, CJ; Lin, C; Lai, CL; Hess, CP; Compas, C; Bhatia, D; Oermann, EK; Leibovitz, E; Sasaki, H; Mori, H; Yang, I; Sohn, JH; Murthy, KNK; Fu, LC; de Mendonca, MRF; Fralick, M; Kang, MK; Adil, M; Gangai, N; Vateekul, P; Elnajjar, P; Hickman, S; Majumdar, S; McLeod, SL; Reed, S; Gräf, S; Harmon, S; Kodama, T; Puthanakit, T; Mazzulli, T; de Lavor, VL; Rakvongthai, Y; Lee, YR; Wen, Y; Gilbert, FJ; Flores, MG; Li, QZ</t>
  </si>
  <si>
    <t>Federated learning (FL) is a method used for training artificial intelligence models with data from multiple sources while maintaining data anonymity, thus removing many barriers to data sharing. Here we used data from 20 institutes across the globe to train a FL model, called EXAM (electronic medical record (EMR) chest X-ray AI model), that predicts the future oxygen requirements of symptomatic patients with COVID-19 using inputs of vital signs, laboratory data and chest X-rays. EXAM achieved an average area under the curve (AUC) &gt;0.92 for predicting outcomes at 24 and 72 h from the time of initial presentation to the emergency room, and it provided 16% improvement in average AUC measured across all participating sites and an average increase in generalizability of 38% when compared with models trained at a single site using that site's data. For prediction of mechanical ventilation treatment or death at 24 h at the largest independent test site, EXAM achieved a sensitivity of 0.950 and specificity of 0.882. In this study, FL facilitated rapid data science collaboration without data exchange and generated a model that generalized across heterogeneous, unharmonized datasets for prediction of clinical outcomes in patients with COVID-19, setting the stage for the broader use of FL in healthcare.Federated learning, a method for training artificial intelligence algorithms that protects data privacy, was used to predict future oxygen requirements of symptomatic patients with COVID-19 using data from 20 different institutes across the globe.</t>
  </si>
  <si>
    <t>Dayan, Ittai; Roth, Holger R.; Zhong, Aoxiao; Harouni, Ahmed; Gentili, Amilcare; Abidin, Anas Z.; Liu, Andrew; Costa, Anthony Beardsworth; Wood, Bradford J.; Tsai, Chien-Sung; Wang, Chih-Hung; Hsu, Chun-Nan; Lee, C. K.; Ruan, Peiying; Xu, Daguang; Wu, Dufan; Huang, Eddie; Kitamura, Felipe Campos; Lacey, Griffin; de Antonio Corradi, Gustavo Cesar; Nino, Gustavo; Shin, Hao-Hsin; Obinata, Hirofumi; Ren, Hui; Crane, Jason C.; Tetreault, Jesse; Guan, Jiahui; Garrett, John W.; Kaggie, Joshua D.; Park, Jung Gil; Dreyer, Keith; Juluru, Krishna; Kersten, Kristopher; Rockenbach, Marcio Aloisio Bezerra Cavalcanti; Linguraru, Marius George; Haider, Masoom A.; AbdelMaseeh, Meena; Rieke, Nicola; Damasceno, Pablo F.; Silva, Pedro Mario Cruz E.; Wang, Pochuan; Xu, Sheng; Kawano, Shuichi; Sriswasdi, Sira; Park, Soo Young; Grist, Thomas M.; Buch, Varun; Jantarabenjakul, Watsamon; Wang, Weichung; Tak, Won Young; Li, Xiang; Lin, Xihong; Kwon, Young Joon; Quraini, Abood; Feng, Andrew; Priest, Andrew N.; Turkbey, Baris; Glicksberg, Benjamin; Bizzo, Bernardo; Kim, Byung Seok; Tor-Diez, Carlos; Lee, Chia-Cheng; Hsu, Chia-Jung; Lin, Chin; Lai, Chiu-Ling; Hess, Christopher P.; Compas, Colin; Bhatia, Deepeksha; Oermann, Eric K.; Leibovitz, Evan; Sasaki, Hisashi; Mori, Hitoshi; Yang, Isaac; Sohn, Jae Ho; Murthy, Krishna Nand Keshava; Fu, Li-Chen; Furtado de Mendonca, Matheus Ribeiro; Fralick, Mike; Kang, Min Kyu; Adil, Mohammad; Gangai, Natalie; Vateekul, Peerapon; Elnajjar, Pierre; Hickman, Sarah; Majumdar, Sharmila; McLeod, Shelley L.; Reed, Sheridan; Graf, Stefan; Harmon, Stephanie; Kodama, Tatsuya; Puthanakit, Thanyawee; Mazzulli, Tony; de Lavor, Vitor Lima; Rakvongthai, Yothin; Lee, Yu Rim; Wen, Yuhong; Gilbert, Fiona J.; Flores, Mona G.; Li, Quanzheng</t>
  </si>
  <si>
    <t>Flores, MG (corresponding author), NVIDIA, Santa Clara, CA 95051 USA.</t>
  </si>
  <si>
    <t>mflores@nvidia.com</t>
  </si>
  <si>
    <t>J. Brink, Department of Radiology, Massachusetts General Hospital, Harvard Medical School, Boston; M. Kalra, Department of Radiology, Massachusetts General Hospital, Harvard Medical School, Boston; N. Neumark, Center for Clinical Data Science, Massachusetts General Brigham, Boston; T. Schultz, Department of Radiology, Massachusetts General Hospital, Boston; N. Guo, Center for Advanced Medical Computing and Analysis, Department of Radiology, Massachusetts General Hospital, Harvard Medical School, Boston; J. K. Cramer, Director, QTIM lab at the Athinoula A. Martinos Center for Biomedical Imaging at MGH; S. Pomerantz, Department of Radiology, Massachusetts General Hospital, Harvard Medical School, Boston; G. Boland, Department of Radiology, Brigham and Women's Hospital, Harvard Medical School, Boston; W. Mayo-Smith, Department of Radiology, Brigham and Women's Hospital, Harvard Medical School, Boston; Ratchadapisek Sompoch Endowment Fund RA [001/63]; NIHR (Cambridge Biomedical Research Centre at the Cambridge University Hospitals NHS Foundation Trust); NIH; Doris Duke Charitable Foundation; American Association for Dental Research; Colgate-Palmolive Company; Genentech, alumni of student research programs; EPSRC [EP/N014588/1] Funding Source: UKRI; Engineering and Physical Sciences Research Council [EP/N014588/1] Funding Source: researchfish; National Institute for Health Research [NF-SI-0515-10067] Funding Source: researchfish; National Library of Medicine [R01LM013151] Funding Source: NIH RePORTER</t>
  </si>
  <si>
    <t>J. Brink, Department of Radiology, Massachusetts General Hospital, Harvard Medical School, Boston; M. Kalra, Department of Radiology, Massachusetts General Hospital, Harvard Medical School, Boston; N. Neumark, Center for Clinical Data Science, Massachusetts General Brigham, Boston; T. Schultz, Department of Radiology, Massachusetts General Hospital, Boston; N. Guo, Center for Advanced Medical Computing and Analysis, Department of Radiology, Massachusetts General Hospital, Harvard Medical School, Boston; J. K. Cramer, Director, QTIM lab at the Athinoula A. Martinos Center for Biomedical Imaging at MGH; S. Pomerantz, Department of Radiology, Massachusetts General Hospital, Harvard Medical School, Boston; G. Boland, Department of Radiology, Brigham and Women's Hospital, Harvard Medical School, Boston; W. Mayo-Smith, Department of Radiology, Brigham and Women's Hospital, Harvard Medical School, Boston; Ratchadapisek Sompoch Endowment Fund RA; NIHR (Cambridge Biomedical Research Centre at the Cambridge University Hospitals NHS Foundation Trust); NIH (United States Department of Health &amp; Human Services, National Institutes of Health (NIH) - USA); Doris Duke Charitable Foundation (Doris Duke Charitable Foundation (DDCF)); American Association for Dental Research; Colgate-Palmolive Company (Australian Wool Innovation); Genentech, alumni of student research programs; EPSRC (UK Research &amp; Innovation (UKRI), Engineering &amp; Physical Sciences Research Council (EPSRC)); Engineering and Physical Sciences Research Council (UK Research &amp; Innovation (UKRI), Engineering &amp; Physical Sciences Research Council (EPSRC)); National Institute for Health Research (National Institutes of Health Research (NIHR)); National Library of Medicine (United States Department of Health &amp; Human Services, National Institutes of Health (NIH) - USA, NIH National Library of Medicine (NLM))</t>
  </si>
  <si>
    <t>The views expressed in this study are those of the authors and not necessarily those of the NHS, the NIHR, the Department of Health and Social Care or any of the organizations associated with the authors. MGB thank the following individuals for their support: J. Brink, Department of Radiology, Massachusetts General Hospital, Harvard Medical School, Boston, MA; M. Kalra, Department of Radiology, Massachusetts General Hospital, Harvard Medical School, Boston, MA; N. Neumark, Center for Clinical Data Science, Massachusetts General Brigham, Boston, MA; T. Schultz, Department of Radiology, Massachusetts General Hospital, Boston, MA; N. Guo, Center for Advanced Medical Computing and Analysis, Department of Radiology, Massachusetts General Hospital, Harvard Medical School, Boston, MA; J. K. Cramer, Director, QTIM lab at the Athinoula A. Martinos Center for Biomedical Imaging at MGH; S. Pomerantz, Department of Radiology, Massachusetts General Hospital, Harvard Medical School, Boston, MA; G. Boland, Department of Radiology, Brigham and Women's Hospital, Harvard Medical School, Boston, MA; W. Mayo-Smith, Department of Radiology, Brigham and Women's Hospital, Harvard Medical School, Boston, MA. UCSF thank P. B. Storey, J. Chan and J. Block for implementing the UCSF FL client infrastructure, and W. Tellis for providing the source imaging repository for this work. The UCSF EMR and clinical notes for this study were accessed via the COVID-19 Research Data Mart, https://data.ucsf.edu/covid19.The Faculty of Medicine, Chulalongkorn University thank the Ratchadapisek Sompoch Endowment Fund RA (PO) (no. 001/63) for the collection and management of COVID-19-related clinical data and biological specimens for the Research Task Force, Faculty of Medicine, Chulalongkorn University. NIHR Cambridge Biomedical Research Centre thank A. Priest, who is supported by the NIHR (Cambridge Biomedical Research Centre at the Cambridge University Hospitals NHS Foundation Trust). National Taiwan University MeDA Lab and the MAHC and Taiwan National Health Insurance Administration thank the MOST Joint Research Center for AI technology, the All Vista Healthcare National Health Insurance Administration, Taiwan, the Ministry of Science and Technology, Taiwan and the National Center for Theoretical Sciences Mathematics Division. National Institutes of Health (NIH) acknowledge that the NIH Medical Research Scholars Program is a public-private partnership supported jointly by the NIH and by generous contributions to the Foundation for the NIH from the Doris Duke Charitable Foundation, the American Association for Dental Research, the Colgate-Palmolive Company, Genentech, alumni of student research programs and other individual supporters via contributions to the Foundation for the NIH.</t>
  </si>
  <si>
    <t>[Dayan, Ittai; Dreyer, Keith] MGH Radiol, Boston, MA USA; [Dayan, Ittai; Dreyer, Keith] Harvard Med Sch, Boston, MA 02115 USA; [Roth, Holger R.; Harouni, Ahmed; Abidin, Anas Z.; Liu, Andrew; Lee, C. K.; Ruan, Peiying; Xu, Daguang; Huang, Eddie; Lacey, Griffin; Tetreault, Jesse; Guan, Jiahui; Kersten, Kristopher; Rieke, Nicola; Silva, Pedro Mario Cruz E.; Quraini, Abood; Feng, Andrew; Compas, Colin; Bhatia, Deepeksha; Yang, Isaac; Adil, Mohammad; Wen, Yuhong; Flores, Mona G.] NVIDIA, Santa Clara, CA 95051 USA; [Zhong, Aoxiao; Wu, Dufan; Ren, Hui; Li, Xiang; Li, Quanzheng] Harvard Med Sch, Massachusetts Gen Hosp, Dept Radiol, Ctr Adv Med Comp &amp; Anal, Boston, MA 02115 USA; [Zhong, Aoxiao] Harvard Univ, Sch Engn &amp; Appl Sci, Boston, MA 02115 USA; [Gentili, Amilcare] San Diego VA Hlth Care Syst, San Diego, CA USA; [Costa, Anthony Beardsworth; Kwon, Young Joon] Icahn Sch Med Mt Sinai, Dept Neurosurg, New York, NY 10029 USA; [Wood, Bradford J.; Xu, Sheng; Reed, Sheridan] NIH, Radiol &amp; Imaging Sci Clin Ctr, Bldg 10, Bethesda, MD 20892 USA; [Wood, Bradford J.; Xu, Sheng; Turkbey, Baris; Reed, Sheridan; Harmon, Stephanie] NCI, NIH, Bethesda, MD 20892 USA; [Tsai, Chien-Sung] Triserv Gen Hosp, Natl Def Med Ctr, Dept Surg, Div Cardiovasc Surg, Taipei, Taiwan; [Wang, Chih-Hung] Triserv Gen Hosp, Natl Def Med Ctr, Dept Otolaryngol Head &amp; Neck Surg, Taipei, Taiwan; [Wang, Chih-Hung] Natl Def Med Ctr, Grad Inst Med Sci, Taipei, Taiwan; [Hsu, Chun-Nan] Univ Calif San Diego, Ctr Res Biol Syst, San Diego, CA 92103 USA; [Kitamura, Felipe Campos; de Antonio Corradi, Gustavo Cesar; Furtado de Mendonca, Matheus Ribeiro; de Lavor, Vitor Lima] DasaInova, Diagnost Amer SA, Barueri, Brazil; [Nino, Gustavo] Childrens Natl Hosp, Div Pediat Pulm &amp; Sleep Med, Washington, DC USA; [Shin, Hao-Hsin; Juluru, Krishna; Murthy, Krishna Nand Keshava; Gangai, Natalie; Elnajjar, Pierre] Mem Sloan Kettering Canc Ctr, 1275 York Ave, New York, NY 10021 USA; [Obinata, Hirofumi; Kawano, Shuichi; Sasaki, Hisashi; Mori, Hitoshi; Kodama, Tatsuya] Self Def Forces Cent Hosp, Tokyo, Japan; [Crane, Jason C.; Damasceno, Pablo F.; Hess, Christopher P.; Sohn, Jae Ho; Majumdar, Sharmila] Univ Calif San Francisco, Ctr Intelligent Imaging, Dept Radiol &amp; Biomed Imaging, San Francisco, CA 94143 USA; [Garrett, John W.; Grist, Thomas M.] Univ Wisconsin, Dept Radiol, Sch Med &amp; Publ Hlth, Madison, WI 53706 USA; [Garrett, John W.; Grist, Thomas M.] Univ Wisconsin, Dept Med Phys, Sch Med &amp; Publ Hlth, 1530 Med Sci Ctr, Madison, WI 53706 USA; [Kaggie, Joshua D.; Hickman, Sarah; Gilbert, Fiona J.] Univ Cambridge, NIHR Cambridge Biomed Resource Ctr, Dept Radiol, Cambridge, England; [Park, Jung Gil; Kang, Min Kyu] Yeungnam Univ, Dept Internal Med, Coll Med, Daegu, South Korea; [Dreyer, Keith; Rockenbach, Marcio Aloisio Bezerra Cavalcanti; Buch, Varun; Bizzo, Bernardo; Leibovitz, Evan] Massachusetts Gen Brigham, Ctr Clin Data Sci, Boston, MA USA; [Linguraru, Marius George; Tor-Diez, Carlos] Childrens Natl Hosp, Sheikh Zayed Inst Pediat Surg Innovat, Washington, DC USA; [Linguraru, Marius George] George Washington Univ, Dept Radiol, Sch Med &amp; Hlth Sci, Washington, DC USA; [Haider, Masoom A.] Univ Toronto, Joint Dept Med Imaging, Sinai Hlth Syst, Toronto, ON, Canada; [Haider, Masoom A.; AbdelMaseeh, Meena] Lunenfeld Tanenbaum Res Inst, Toronto, ON, Canada; [Wang, Pochuan; Wang, Weichung] Natl Taiwan Univ, MeDA Lab Inst Appl Math Sci, Taipei, Taiwan; [Wang, Pochuan; Wang, Weichung] Natl Taiwan Univ, Dept Comp Sci &amp; Informat Engn, Taipei, Taiwan; [Sriswasdi, Sira] Chulalongkorn Univ, Fac Med, Res Affairs, Bangkok, Thailand; [Sriswasdi, Sira] Chulalongkorn Univ, Fac Med, Ctr Artificial Intelligence Med, Bangkok, Thailand; [Park, Soo Young; Tak, Won Young; Lee, Yu Rim] Kyungpook Natl Univ, Sch Med, Dept Internal Med, Daegu, South Korea; [Grist, Thomas M.] Univ Wisconsin, Dept Biomed Engn, Sch Med &amp; Publ Hlth, Madison, WI USA; [Jantarabenjakul, Watsamon; Puthanakit, Thanyawee] Chulalongkorn Univ, Fac Med, Dept Pediat, Bangkok, Thailand; [Jantarabenjakul, Watsamon; Puthanakit, Thanyawee] King Chulalongkorn Mem Hosp, Thai Red Cross Emerging Infect Dis Clin Ctr, Bangkok, Thailand; [Lin, Xihong] Harvard Univ, Harvard TH Chan Sch Publ Hlth, Boston, MA 02115 USA; [Priest, Andrew N.] Cambridge Univ Hosp, NIHR Cambridge Biomed Resource Ctr, Dept Radiol, Cambridge, England; [Turkbey, Baris] NIH, Dept Radiol &amp; Imaging Sci, Bldg 10, Bethesda, MD 20892 USA; [Glicksberg, Benjamin] Icahn Sch Med Mt Sinai, Hass Plattner Inst Digital Hlth Mt Sinai, New York, NY 10029 USA; [Glicksberg, Benjamin] Icahn Sch Med Mt Sinai, Dept Genet &amp; Genom Sci, New York, NY 10029 USA; [Kim, Byung Seok] Catholic Univ Daegu, Dept Internal Med, Sch Med, Daegu, South Korea; [Lee, Chia-Cheng; Hsu, Chia-Jung] Triserv Gen Hosp, Natl Def Med Ctr, Planning &amp; Management Off, Taipei, Taiwan; [Lin, Chin] Natl Def Med Ctr, Sch Med, Taipei, Taiwan; [Lin, Chin] Natl Def Med Ctr, Sch Publ Hlth, Taipei, Taiwan; [Lin, Chin] Natl Def Med Ctr, Grad Inst Life Sci, Taipei, Taiwan; [Lai, Chiu-Ling] Natl Hlth Insurance Adm, Med Review &amp; Pharmaceut Benefits Div, Taipei, Taiwan; [Oermann, Eric K.] NYU Grossman Sch Med, Dept Neurosurg, New York, NY USA; [Fu, Li-Chen] Natl Taiwan Univ, MOST NTU All Vista Healthcare Ctr, Ctr Artificial Intelligence &amp; Adv Robot, Taipei, Taiwan; [Fralick, Mike] Sinai Hlth Syst, Div Gen Internal Med &amp; Geriatr Fralick, Toronto, ON, Canada; [Vateekul, Peerapon] Chulalongkorn Univ, Fac Engn, Dept Comp Engn, Bangkok, Thailand; [McLeod, Shelley L.] Sinai Hlth, Schwartz Reisman Emergency Med Inst, Toronto, ON, Canada; [McLeod, Shelley L.] Univ Toronto, Dept Family &amp; Community Med, Toronto, ON, Canada; [Graf, Stefan] Univ Cambridge, NIHR Cambridge Biomed Res Ctr, Dept Med, Cambridge, England; [Graf, Stefan] Univ Cambridge, NIHR Cambridge Biomed Res Ctr, NIHR BioResource Translat Res, Cambridge, England; [Harmon, Stephanie] NCI, Clin Res Directorate, Frederick Natl Lab Canc, Frederick, MD 21701 USA; [Mazzulli, Tony] Univ Hlth Network, Dept Microbiol, Sinai Hlth, Toronto, ON, Canada; [Mazzulli, Tony] Univ Toronto, Dept Lab Med &amp; Pathobiol, Toronto, ON, Canada; [Mazzulli, Tony] Publ Hlth Ontario Labs, Toronto, ON, Canada; [Rakvongthai, Yothin] Chulalongkorn Univ, Biomed Imaging Grp, Fac Med, Bangkok, Thailand; [Rakvongthai, Yothin] Chulalongkorn Univ, Fac Med, Dept Radiol, Div Nucl Med, Bangkok, Thailand</t>
  </si>
  <si>
    <t>Harvard University; Harvard Medical School; Nvidia Corporation; Harvard University; Harvard Medical School; Harvard University Medical Affiliates; Massachusetts General Hospital; Harvard University; Icahn School of Medicine at Mount Sinai; National Institutes of Health (NIH) - USA; National Institutes of Health (NIH) - USA; NIH National Cancer Institute (NCI); Tri-Service General Hospital; National Defense Medical University; National Defense Medical University; Tri-Service General Hospital; National Defense Medical University; University of California System; University of California San Diego; Children's National Health System; Memorial Sloan Kettering Cancer Center; University of California System; University of California San Francisco; University of Wisconsin System; University of Wisconsin Madison; University of Wisconsin System; University of Wisconsin Madison; University of Cambridge; Yeungnam University; Mass General Brigham; Children's National Health System; George Washington University; University of Toronto; Sinai Health System Toronto; Lunenfeld Tanenbaum Research Institute; University of Toronto; Sinai Health System Toronto; Lunenfeld Tanenbaum Research Institute; National Taiwan University; National Taiwan University; Chulalongkorn University; Chulalongkorn University; Kyungpook National University (KNU); University of Wisconsin System; University of Wisconsin Madison; Chulalongkorn University; Chulalongkorn University; Harvard University; Harvard T.H. Chan School of Public Health; University of Cambridge; National Institutes of Health (NIH) - USA; Icahn School of Medicine at Mount Sinai; Icahn School of Medicine at Mount Sinai; Catholic University of Daegu; Tri-Service General Hospital; National Defense Medical University; National Defense Medical University; National Defense Medical University; National Defense Medical University; National Taiwan University; University of Toronto; Sinai Health System Toronto; Lunenfeld Tanenbaum Research Institute; Chulalongkorn University; University of Toronto; Sinai Health System Toronto; University of Toronto; University of Cambridge; University of Cambridge; National Institutes of Health (NIH) - USA; NIH National Cancer Institute (NCI); Frederick National Laboratory for Cancer Research; University of Toronto; Sinai Health System Toronto; University Health Network Toronto; University of Toronto; Public Health Ontario; Chulalongkorn University; Chulalongkorn University</t>
  </si>
  <si>
    <t>Federated learning for predicting clinical outcomes in patients with COVID-19</t>
  </si>
  <si>
    <t>PRIVACY; CHALLENGES; MODELS</t>
  </si>
  <si>
    <t>Vateekul, Peerapon/AAW-6065-2021; Garrett, John/I-2402-2019; Costa, Anthony/C-5471-2009; Oermann, Eric/AAD-9729-2020; Glicksberg, Benjamin/I-9500-2019; Park, Jung/AAK-5167-2020; McLeod, Shelley/AAE-9636-2019; Hickman, Sarah/KBR-2557-2024; Kang, Min/U-8050-2018; Wu, Dufan/AFZ-1956-2022; Bezerra Cavalcanti Rockenbach, Marcio Aloisio/AAZ-3329-2020; Li, Xiang/J-6924-2019; Kaggie, Joshua/AAH-5762-2021; Gentili, Amilcare/ABB-2479-2020; /AAA-2537-2020; Kitamura, Felipe Campos/AAC-7075-2021; Abidin, Anas/L-6428-2019; Haider, Masoom/Q-1315-2017; Wood, Bradford/M-7995-2017; Bizzo, Bernardo/AAF-1702-2019; KAWANO, SHUICHI/AFP-9961-2022; Lin, Chin/JDV-7577-2023; Wang, Chih-Hung/AAR-9766-2020; Wang, Pochuan/ISV-1516-2023; Kodama, Tatsuya/PDX-9390-2025</t>
  </si>
  <si>
    <t>Gilbert, Fiona/0000-0002-0124-9962; Nino, Gustavo/0000-0001-8621-6109; Tetreault, Jesse/0009-0001-3057-8626; Costa, Anthony/0000-0002-2202-6450; Roth, Holger R/0000-0002-3662-8743; McLeod, Shelley/0000-0003-2686-6307; Hickman, Sarah/0000-0002-4637-7300; Ren, Hui/0000-0003-0710-231X; Rieke, Nicola/0000-0003-0241-9334; Bezerra Cavalcanti Rockenbach, Marcio Aloisio/0000-0003-1783-0441; Li, Xiang/0000-0002-9851-6376; Kaggie, Joshua/0000-0001-6706-3442; Gentili, Amilcare/0000-0002-5623-7512; Kitamura, Felipe Campos/0000-0002-9992-5630; Abidin, Anas/0000-0003-0032-0664; Wood, Bradford/0000-0002-4297-0051; Dayan, Ittai/0000-0003-4024-8740; Lin, Chin/0000-0003-2337-2096; Grist, Thomas/0000-0003-3279-6931; Zhong, Aoxiao/0000-0002-7584-5476</t>
  </si>
  <si>
    <t>73</t>
  </si>
  <si>
    <t>565</t>
  </si>
  <si>
    <t>646</t>
  </si>
  <si>
    <t>1735</t>
  </si>
  <si>
    <t>10.1038/s41591-021-01506-3</t>
  </si>
  <si>
    <t>http://dx.doi.org/10.1038/s41591-021-01506-3</t>
  </si>
  <si>
    <t>WG9ZA</t>
  </si>
  <si>
    <t>34526699</t>
  </si>
  <si>
    <t>WOS:000696140200002</t>
  </si>
  <si>
    <t>Raiaan, MAK; Mukta, MSH; Fatema, K; Fahad, NM; Sakib, S; Mim, MMJ; Ahmad, J; Ali, ME; Azam, S</t>
  </si>
  <si>
    <t>Large Language Models (LLMs) recently demonstrated extraordinary capability in various natural language processing (NLP) tasks including language translation, text generation, question answering, etc. Moreover, LLMs are new and essential part of computerized language processing, having the ability to understand complex verbal patterns and generate coherent and appropriate replies in a given context. Though this success of LLMs has prompted a substantial increase in research contributions, rapid growth has made it difficult to understand the overall impact of these improvements. Since a plethora of research on LLMs have been appeared within a short time, it is quite impossible to track all of these and get an overview of the current state of research in this area.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Then the paper provides an overview of the existing works, the history of LLMs, their evolution over time, the architecture of transformers in LLMs, the different resources of LLMs, and the different training methods that have been used to train them. The paper also demonstrates the datasets utilized in the studies. After that, the paper discusses the wide range of applications of LLMs, including biomedical and healthcare, education, social, business, and agriculture. The study also illustrates how LLMs create an impact on society and shape the future of AI and how they can be used to solve real-world problems. Finally, the paper also explores open issues and challenges to deploy LLMs in real-world scenario. Our review paper aims to help practitioners, researchers, and experts thoroughly understand the evolution of LLMs, pre-trained architectures, applications, challenges, and future goals.</t>
  </si>
  <si>
    <t>Raiaan, Mohaimenul Azam Khan; Mukta, Md. Saddam Hossain; Fatema, Kaniz; Fahad, Nur Mohammad; Sakib, Sadman; Mim, Most Marufatul Jannat; Ahmad, Jubaer; Ali, Mohammed Eunus; Azam, Sami</t>
  </si>
  <si>
    <t>Mukta, MSH (corresponding author), Lappeenranta Lahti Univ Technol, LUT Sch Engn Sci, Lappeenranta 53850, Finland.</t>
  </si>
  <si>
    <t>Saddam.Mukta@lut.fi</t>
  </si>
  <si>
    <t>Institute of Advance Research, United International University</t>
  </si>
  <si>
    <t>No Statement Available</t>
  </si>
  <si>
    <t>[Raiaan, Mohaimenul Azam Khan; Fahad, Nur Mohammad; Sakib, Sadman; Mim, Most Marufatul Jannat; Ahmad, Jubaer] United Int Univ, Dept Comp Sci &amp; Engn, Dhaka 1212, Bangladesh; [Mukta, Md. Saddam Hossain] Lappeenranta Lahti Univ Technol, LUT Sch Engn Sci, Lappeenranta 53850, Finland; [Fatema, Kaniz; Azam, Sami] Charles Darwin Univ, Fac Sci &amp; Technol, Casuarina, NT 0909, Australia; [Ali, Mohammed Eunus] Bangladesh Univ Engn &amp; Technol BUET, Dept CSE, Dhaka 1000, Bangladesh</t>
  </si>
  <si>
    <t>United International University (UIU); Lappeenranta-Lahti University of Technology LUT; Charles Darwin University; Bangladesh University of Engineering &amp; Technology (BUET)</t>
  </si>
  <si>
    <t>A Review on Large Language Models: Architectures, Applications, Taxonomies, Open Issues and Challenges</t>
  </si>
  <si>
    <t>Cognition; Artificial intelligence; Transformers; Training; Taxonomy; Task analysis; Surveys; Natural language processing; Question answering (information retrieval); Information analysis; Linguistics; Large language models (LLM); natural language processing (NLP); artificial intelligence; transformer; pre-trained models; taxonomy; application</t>
  </si>
  <si>
    <t>GPT-4; BIAS</t>
  </si>
  <si>
    <t>Ahmed, Jubaer/Y-9306-2019; Mukta, Saddam/GOE-6033-2022; Azam, Sami/AAK-3846-2021; Ali, Mohammed Eunus/R-3686-2019</t>
  </si>
  <si>
    <t>Raiaan, Mohaimenul Azam Khan/0009-0006-4793-5382; , Most Marufatul Jannat Mim/0009-0000-7138-2331; Fatema, Kaniz/0000-0002-0787-5403; Azam, Sami/0000-0001-7572-9750; Ali, Mohammed Eunus/0000-0002-0384-7616</t>
  </si>
  <si>
    <t>564</t>
  </si>
  <si>
    <t>652</t>
  </si>
  <si>
    <t>826</t>
  </si>
  <si>
    <t>26839</t>
  </si>
  <si>
    <t>26874</t>
  </si>
  <si>
    <t>10.1109/ACCESS.2024.3365742</t>
  </si>
  <si>
    <t>http://dx.doi.org/10.1109/ACCESS.2024.3365742</t>
  </si>
  <si>
    <t>JK8N3</t>
  </si>
  <si>
    <t>WOS:001173153100001</t>
  </si>
  <si>
    <t>Markus, AF; Kors, JA; Rijnbeek, PR</t>
  </si>
  <si>
    <t>Artificial intelligence (AI) has huge potential to improve the health and well-being of people, but adoption in clinical practice is still limited. Lack of transparency is identified as one of the main barriers to implementation, as clinicians should be confident the AI system can be trusted. Explainable AI has the potential to overcome this issue and can be a step towards trustworthy AI. In this paper we review the recent literature to provide guidance to researchers and practitioners on the design of explainable AI systems for the health-care domain and contribute to formalization of the field of explainable AI. We argue the reason to demand explainability determines what should be explained as this determines the relative importance of the properties of explainability (i.e. interpretability and fidelity). Based on this, we propose a framework to guide the choice between classes of explainable AI methods (explainable modelling versus post-hoc explanation; model-based, attribution-based, or example-based explanations; global and local explanations). Furthermore, we find that quantitative evaluation metrics, which are important for objective standardized evaluation, are still lacking for some properties (e.g. clarity) and types of explanations (e.g. example-based methods). We conclude that explainable modelling can contribute to trustworthy AI, but the benefits of explainability still need to be proven in practice and complementary measures might be needed to create trustworthy AI in health care (e.g. reporting data quality, performing extensive (external) validation, and regulation).</t>
  </si>
  <si>
    <t>Markus, Aniek F.; Kors, Jan A.; Rijnbeek, Peter R.</t>
  </si>
  <si>
    <t>Markus, AF (corresponding author), Erasmus MC, Dept Med Informat, Rotterdam, Netherlands.</t>
  </si>
  <si>
    <t>a.markus@erasmusmc.nl</t>
  </si>
  <si>
    <t>European Health Data and Evidence Network (EHDEN) project; Innovative Medicines Initiative 2 Joint Undertaking (JU) [806968]; European Union; EFPIA</t>
  </si>
  <si>
    <t>European Health Data and Evidence Network (EHDEN) project; Innovative Medicines Initiative 2 Joint Undertaking (JU); European Union (European Union (EU)); EFPIA</t>
  </si>
  <si>
    <t>This project has received support from the European Health Data and Evidence Network (EHDEN) project. EHDEN received funding from the Innovative Medicines Initiative 2 Joint Undertaking (JU) under grant agreement No 806968. The JU receives support from the European Union's Horizon 2020 research and innovation programme and EFPIA.</t>
  </si>
  <si>
    <t>[Markus, Aniek F.; Kors, Jan A.; Rijnbeek, Peter R.] Erasmus MC, Dept Med Informat, Rotterdam, Netherlands</t>
  </si>
  <si>
    <t>Erasmus University Rotterdam; Erasmus MC</t>
  </si>
  <si>
    <t>The role of explainability in creating trustworthy artificial intelligence for health care: A comprehensive survey of the terminology, design choices, and evaluation strategies</t>
  </si>
  <si>
    <t>JOURNAL OF BIOMEDICAL INFORMATICS</t>
  </si>
  <si>
    <t>Explainable artificial intelligence; Trustworthy artificial intelligence; Interpretability; Explainable modelling; Post-hoc explanation</t>
  </si>
  <si>
    <t>BLACK-BOX; MODELS; PREDICTION; VALIDATION</t>
  </si>
  <si>
    <t>Markus, Aniek/0000-0001-5779-4794</t>
  </si>
  <si>
    <t>561</t>
  </si>
  <si>
    <t>685</t>
  </si>
  <si>
    <t>370</t>
  </si>
  <si>
    <t>ACADEMIC PRESS INC ELSEVIER SCIENCE</t>
  </si>
  <si>
    <t>SAN DIEGO</t>
  </si>
  <si>
    <t>525 B ST, STE 1900, SAN DIEGO, CA 92101-4495 USA</t>
  </si>
  <si>
    <t>1532-0464</t>
  </si>
  <si>
    <t>1532-0480</t>
  </si>
  <si>
    <t>J BIOMED INFORM</t>
  </si>
  <si>
    <t>J. Biomed. Inform.</t>
  </si>
  <si>
    <t>JAN 2021</t>
  </si>
  <si>
    <t>103655</t>
  </si>
  <si>
    <t>10.1016/j.jbi.2020.103655</t>
  </si>
  <si>
    <t>http://dx.doi.org/10.1016/j.jbi.2020.103655</t>
  </si>
  <si>
    <t>Computer Science, Interdisciplinary Applications; Medical Informatics</t>
  </si>
  <si>
    <t>Computer Science; Medical Informatics</t>
  </si>
  <si>
    <t>QE0TP</t>
  </si>
  <si>
    <t>33309898</t>
  </si>
  <si>
    <t>WOS:000615920800010</t>
  </si>
  <si>
    <t>hybrid; Green Submitted; Green Accepted</t>
  </si>
  <si>
    <t>120</t>
  </si>
  <si>
    <t>Nemati, S; Holder, A; Razmi, F; Stanley, MD; Clifford, GD; Buchman, TG</t>
  </si>
  <si>
    <t>Objectives: Sepsis is among the leading causes of morbidity, mortality, and cost overruns in critically ill patients. Early intervention with antibiotics improves survival in septic patients. However, no clinically validated system exists for real-time prediction of sepsis onset. We aimed to develop and validate an Artificial Intelligence Sepsis Expert algorithm for early prediction of sepsis.Design: Observational cohort study.Setting: Academic medical center from January 2013 to December 2015.Patients: Over 31,000 admissions to the ICUs at two Emory University hospitals (development cohort), in addition to over 52,000 ICU patients from the publicly available Medical Information Mart for Intensive Care-III ICU database (validation cohort). Patients who met the Third International Consensus Definitions for Sepsis (Sepsis-3) prior to or within 4 hours of their ICU admission were excluded, resulting in roughly 27,000 and 42,000 patients within our development and validation cohorts, respectively.Interventions: None.Measurements and Main Results: High-resolution vital signs time series and electronic medical record data were extracted. A set of 65 features (variables) were calculated on hourly basis and passed to the Artificial Intelligence Sepsis Expert algorithm to predict onset of sepsis in the proceeding T hours (where T = 12, 8, 6, or 4). Artificial Intelligence Sepsis Expert was used to predict onset of sepsis in the proceeding T hours and to produce a list of the most significant contributing factors. For the 12-, 8-, 6-, and 4-hour ahead prediction of sepsis, Artificial Intelligence Sepsis Expert achieved area under the receiver operating characteristic in the range of 0.83-0.85. Performance of the Artificial Intelligence Sepsis Expert on the development and validation cohorts was indistinguishable.Conclusions: Using data available in the ICU in real-time, Artificial Intelligence Sepsis Expert can accurately predict the onset of sepsis in an ICU patient 4-12 hours prior to clinical recognition. A prospective study is necessary to determine the clinical utility of the proposed sepsis prediction model.</t>
  </si>
  <si>
    <t>Nemati, Shamim; Holder, Andre; Razmi, Fereshteh; Stanley, Matthew D.; Clifford, Gari D.; Buchman, Timothy G.</t>
  </si>
  <si>
    <t>Nemati, S (corresponding author), Emory Univ, Sch Med, Dept Biomed Informat, Atlanta, GA 30322 USA.</t>
  </si>
  <si>
    <t>shamim.nemati@alum.mit.edu</t>
  </si>
  <si>
    <t>National Institutes of Health (NIH); NIH [K01ES025445]; CR Bard, Inc.; Henry M. Jackson Foundation; Department of Defense's Health Program - Joint Program Committee 6/Combat Casualty Care [USUHS HT9404-13-1-0032, HU0001-15-2-0001]; Society of Critical Care Medicine; Philips Corporation; Henry M Jackson Foundation; National Institute of General Medical Sciences [T32GM095442] Funding Source: NIH RePORTER</t>
  </si>
  <si>
    <t>National Institutes of Health (NIH) (United States Department of Health &amp; Human Services, National Institutes of Health (NIH) - USA); NIH (United States Department of Health &amp; Human Services, National Institutes of Health (NIH) - USA); CR Bard, Inc.; Henry M. Jackson Foundation; Department of Defense's Health Program - Joint Program Committee 6/Combat Casualty Care (United States Department of Defense); Society of Critical Care Medicine; Philips Corporation; Henry M Jackson Foundation; National Institute of General Medical Sciences (United States Department of Health &amp; Human Services, National Institutes of Health (NIH) - USA, NIH National Institute of General Medical Sciences (NIGMS))</t>
  </si>
  <si>
    <t>Drs. Nemati, Stanley, and Clifford received support for article research from the National Institutes of Health (NIH). Dr. Nemati's institution received funding from the NIH, award number K01ES025445. Dr. Holder received funding from CR Bard, Inc. Dr. Buchman's institution received funding from the Henry M. Jackson Foundation for his role as site director in Surgical Critical Care Institute, www.sc2i.org, funded through the Department of Defense's Health Program - Joint Program Committee 6/Combat Casualty Care (USUHS HT9404-13-1-0032 and HU0001-15-2-0001); from Society of Critical Care Medicine for his role as Editor-in-Chief of "Critical Care Medicine"; and from Philips Corporation (unrestricted educational grant to a physician education association in South Korea so he could present the results of his research in eICU). Dr. Buchman received support for article research from the Henry M Jackson Foundation. Ms. Ramzi has disclosed that she does not have any potential conflicts of interest.</t>
  </si>
  <si>
    <t>[Nemati, Shamim; Razmi, Fereshteh; Clifford, Gari D.] Emory Univ, Sch Med, Dept Biomed Informat, Atlanta, GA 30322 USA; [Holder, Andre] Emory Univ, Sch Med, Dept Med, Div Pulm Crit Care Allergy &amp; Sleep Med, Atlanta, GA USA; [Stanley, Matthew D.; Buchman, Timothy G.] Emory Univ, Sch Med, Dept Surg, Atlanta, GA 30322 USA; [Clifford, Gari D.] Georgia Inst Technol, Dept Biomed Engn, Atlanta, GA 30332 USA; [Buchman, Timothy G.] Emory Healthcare, Emory Crit Care Ctr, Atlanta, GA USA</t>
  </si>
  <si>
    <t>Emory University; Emory University; Emory University; University System of Georgia; Georgia Institute of Technology; Emory University</t>
  </si>
  <si>
    <t>An Interpretable Machine Learning Model for Accurate Prediction of Sepsis in the ICU</t>
  </si>
  <si>
    <t>CRITICAL CARE MEDICINE</t>
  </si>
  <si>
    <t>informatics; machine learning; organ failure; prognostication; sepsis</t>
  </si>
  <si>
    <t>INTENSIVE-CARE-UNIT; EPIDEMIOLOGY; STATES</t>
  </si>
  <si>
    <t>Clifford, Gari/GRJ-0376-2022</t>
  </si>
  <si>
    <t>Zhang, Lin/0000-0002-7735-2632; Clifford, Gari/0000-0002-5709-201X</t>
  </si>
  <si>
    <t>557</t>
  </si>
  <si>
    <t>676</t>
  </si>
  <si>
    <t>273</t>
  </si>
  <si>
    <t>0090-3493</t>
  </si>
  <si>
    <t>1530-0293</t>
  </si>
  <si>
    <t>CRIT CARE MED</t>
  </si>
  <si>
    <t>Crit. Care Med.</t>
  </si>
  <si>
    <t>APR 2018</t>
  </si>
  <si>
    <t>547</t>
  </si>
  <si>
    <t>553</t>
  </si>
  <si>
    <t>10.1097/CCM.0000000000002936</t>
  </si>
  <si>
    <t>http://dx.doi.org/10.1097/CCM.0000000000002936</t>
  </si>
  <si>
    <t>Critical Care Medicine</t>
  </si>
  <si>
    <t>FZ7IZ</t>
  </si>
  <si>
    <t>29286945</t>
  </si>
  <si>
    <t>WOS:000427775500031</t>
  </si>
  <si>
    <t>134</t>
  </si>
  <si>
    <t>Tomaszewski, MR; Gillies, RJ</t>
  </si>
  <si>
    <t>Radiomic analysis offers a powerful tool for the extraction of clinically relevant information from radiologic imaging. Radiomics can be used to predict patient outcome through automated high-throughput feature extraction, using large training cohorts to elucidate subtle relationships between image characteristics and disease status. However powerful, the data-driven nature of radiomics inherently offers no insight into the biological underpinnings of the observed relationships. Early radiomics work was dominated by analysis of semantic, radiologist-defined features and carried qualitative real-world meaning. Following the rapid developments and popularity of machine learning approaches, the field moved quickly toward high-throughput agnostic analyses, resulting in increasingly large feature sets. This trend took the focus toward an increase in predictive power and further away from a biological understanding of the findings. Such a disconnect between predictor model and biological meaning will inherently limit broad clinical translation. Efforts to reintroduce biological meaning into radiomics are gaining traction in the field with distinct emerging approaches available, including genomic correlates, local microscopic pathologic image textures, and macroscopic histopathologic marker expression. These methods are presented in this review, and their significance is discussed. The authors predict that following the increasing pressure for robust radiomics, biological validation will become a standard practice in the field, thus further cementing the role of the method in clinical decision making. (C) RSNA, 2021</t>
  </si>
  <si>
    <t>Tomaszewski, Michal R.; Gillies, Robert J.</t>
  </si>
  <si>
    <t>Gillies, RJ (corresponding author), H Lee Moffitt Canc Ctr &amp; Res Inst, Dept Canc Physiol, 12902 Magnolia Dr, Tampa, FL 33612 USA.</t>
  </si>
  <si>
    <t>Robert.Gillies@moffitt.org</t>
  </si>
  <si>
    <t>National Institutes of Health [U01 CA143062, U54 CA143970]</t>
  </si>
  <si>
    <t>National Institutes of Health (United States Department of Health &amp; Human Services, National Institutes of Health (NIH) - USA)</t>
  </si>
  <si>
    <t>Supported by National Institutes of Health grants U01 CA143062 and U54 CA143970.</t>
  </si>
  <si>
    <t>[Tomaszewski, Michal R.; Gillies, Robert J.] H Lee Moffitt Canc Ctr &amp; Res Inst, Dept Canc Physiol, 12902 Magnolia Dr, Tampa, FL 33612 USA</t>
  </si>
  <si>
    <t>H Lee Moffitt Cancer Center &amp; Research Institute</t>
  </si>
  <si>
    <t>The Biological Meaning of Radiomic Features</t>
  </si>
  <si>
    <t>CELL LUNG-CANCER; RIF-1 TUMOR-MODEL; MUTATION STATUS; IMAGING PHENOTYPES; SOMATIC MUTATIONS; HETEROGENEITY; MRI; HYPOXIA; BIOMARKERS; SURVIVAL</t>
  </si>
  <si>
    <t>/HRC-5292-2023</t>
  </si>
  <si>
    <t>Gillies, Robert/0000-0002-8888-7747; Tomaszewski, Michal/0000-0002-3194-9492</t>
  </si>
  <si>
    <t>101</t>
  </si>
  <si>
    <t>555</t>
  </si>
  <si>
    <t>136</t>
  </si>
  <si>
    <t>298</t>
  </si>
  <si>
    <t>505</t>
  </si>
  <si>
    <t>516</t>
  </si>
  <si>
    <t>10.1148/radiol.2021202553</t>
  </si>
  <si>
    <t>http://dx.doi.org/10.1148/radiol.2021202553</t>
  </si>
  <si>
    <t>QL9AE</t>
  </si>
  <si>
    <t>33399513</t>
  </si>
  <si>
    <t>WOS:000621371200014</t>
  </si>
  <si>
    <t>131</t>
  </si>
  <si>
    <t>Fleuren, LM; Klausch, TLT; Zwager, CL; Schoonmade, LJ; Guo, TJ; Roggeveen, LF; Swart, EL; Girbes, ARJ; Thoral, P; Ercole, A; Hoogendoorn, M; Elbers, PWG</t>
  </si>
  <si>
    <t>Purpose Early clinical recognition of sepsis can be challenging. With the advancement of machine learning, promising real-time models to predict sepsis have emerged. We assessed their performance by carrying out a systematic review and meta-analysis. Methods A systematic search was performed in PubMed, Embase.com and Scopus. Studies targeting sepsis, severe sepsis or septic shock in any hospital setting were eligible for inclusion. The index test was any supervised machine learning model for real-time prediction of these conditions. Quality of evidence was assessed using the Grading of Recommendations Assessment, Development and Evaluation (GRADE) methodology, with a tailored Quality Assessment of Diagnostic Accuracy Studies (QUADAS-2) checklist to evaluate risk of bias. Models with a reported area under the curve of the receiver operating characteristic (AUROC) metric were meta-analyzed to identify strongest contributors to model performance. Results After screening, a total of 28 papers were eligible for synthesis, from which 130 models were extracted. The majority of papers were developed in the intensive care unit (ICU, n = 15; 54%), followed by hospital wards (n = 7; 25%), the emergency department (ED, n = 4; 14%) and all of these settings (n = 2; 7%). For the prediction of sepsis, diagnostic test accuracy assessed by the AUROC ranged from 0.68-0.99 in the ICU, to 0.96-0.98 in-hospital and 0.87 to 0.97 in the ED. Varying sepsis definitions limit pooling of the performance across studies. Only three papers clinically implemented models with mixed results. In the multivariate analysis, temperature, lab values, and model type contributed most to model performance. Conclusion This systematic review and meta-analysis show that on retrospective data, individual machine learning models can accurately predict sepsis onset ahead of time. Although they present alternatives to traditional scoring systems, between-study heterogeneity limits the assessment of pooled results. Systematic reporting and clinical implementation studies are needed to bridge the gap between bytes and bedside.</t>
  </si>
  <si>
    <t>Fleuren, Lucas M.; Klausch, Thomas L. T.; Zwager, Charlotte L.; Schoonmade, Linda J.; Guo, Tingjie; Roggeveen, Luca F.; Swart, Eleonora L.; Girbes, Armand R. J.; Thoral, Patrick; Ercole, Ari; Hoogendoorn, Mark; Elbers, Paul W. G.</t>
  </si>
  <si>
    <t>Fleuren, LM (corresponding author), Vrije Univ Amsterdam, Amsterdam UMC, Res VUmc Intens Care Rev, Locat VUmc,Dept Intens Care Med,AI&amp;II,ACS,AMDS, Amsterdam, Netherlands.; Fleuren, LM (corresponding author), Vrije Univ Amsterdam, Dept Comp Sci, Computat Intelligence Grp, Amsterdam, Netherlands.</t>
  </si>
  <si>
    <t>l.fleuren@amsterdamumc.nl</t>
  </si>
  <si>
    <t>[Fleuren, Lucas M.; Zwager, Charlotte L.; Guo, Tingjie; Roggeveen, Luca F.; Girbes, Armand R. J.; Thoral, Patrick; Elbers, Paul W. G.] Vrije Univ Amsterdam, Amsterdam UMC, Res VUmc Intens Care Rev, Locat VUmc,Dept Intens Care Med,AI&amp;II,ACS,AMDS, Amsterdam, Netherlands; [Fleuren, Lucas M.; Roggeveen, Luca F.; Hoogendoorn, Mark] Vrije Univ Amsterdam, Dept Comp Sci, Computat Intelligence Grp, Amsterdam, Netherlands; [Klausch, Thomas L. T.] Vrije Univ Amsterdam, Locat VUmc, Amsterdam UMC, Dept Epidemiol &amp; Biostat, Vu Amsterdam, Netherlands; [Schoonmade, Linda J.] Vrije Univ Amsterdam, Locat VUmc, Amsterdam UMC, Med Lib, Amsterdam, Netherlands; [Swart, Eleonora L.] Vrije Univ Amsterdam, Locat VUmc, Amsterdam UMC, Dept Pharm, Amsterdam, Netherlands; [Ercole, Ari] Univ Cambridge, Div Anaesthesia, Cambridge, England; [Ercole, Ari; Elbers, Paul W. G.] European Soc Intens Care Med, Data Sci Sect, Brussels, Belgium</t>
  </si>
  <si>
    <t>Vrije Universiteit Amsterdam; University of Amsterdam; Vrije Universiteit Amsterdam; Vrije Universiteit Amsterdam; University of Amsterdam; Vrije Universiteit Amsterdam; University of Amsterdam; Vrije Universiteit Amsterdam; University of Cambridge</t>
  </si>
  <si>
    <t>Machine learning for the prediction of sepsis: a systematic review and meta-analysis of diagnostic test accuracy</t>
  </si>
  <si>
    <t>INTENSIVE CARE MEDICINE</t>
  </si>
  <si>
    <t>Machine learning; Sepsis; Septic shock; Prediction; Systematic review; Meta-analysis</t>
  </si>
  <si>
    <t>INTERNATIONAL CONSENSUS DEFINITIONS; SEPTIC SHOCK; MORTALITY; PERFORMANCE; CRITERIA; TRENDS; MODEL</t>
  </si>
  <si>
    <t>Elbers, Paul/AHA-0344-2022; Guo, Tingjie/MSX-7641-2025; Schoonmade, Linda/P-4413-2019; Ercole, Ari/B-6288-2009</t>
  </si>
  <si>
    <t>Swart, Eleonora/0000-0001-5138-7784; Roggeveen, Luca/0000-0001-6992-5587; Guo, Tingjie/0000-0002-7892-6220; Schoonmade, Linda/0000-0002-2407-5977; Ercole, Ari/0000-0001-8350-8093; Hoogendoorn, Mark/0000-0003-3356-3574</t>
  </si>
  <si>
    <t>68</t>
  </si>
  <si>
    <t>537</t>
  </si>
  <si>
    <t>620</t>
  </si>
  <si>
    <t>0342-4642</t>
  </si>
  <si>
    <t>1432-1238</t>
  </si>
  <si>
    <t>INTENS CARE MED</t>
  </si>
  <si>
    <t>Intensive Care Med.</t>
  </si>
  <si>
    <t>MAR 2020</t>
  </si>
  <si>
    <t>383</t>
  </si>
  <si>
    <t>400</t>
  </si>
  <si>
    <t>10.1007/s00134-019-05872-y</t>
  </si>
  <si>
    <t>http://dx.doi.org/10.1007/s00134-019-05872-y</t>
  </si>
  <si>
    <t>KU8KH</t>
  </si>
  <si>
    <t>31965266</t>
  </si>
  <si>
    <t>WOS:000519960500001</t>
  </si>
  <si>
    <t>Mennella, C; Maniscalco, U; De Pietro, G; Esposito, M</t>
  </si>
  <si>
    <t>Over the past decade, there has been a notable surge in AI-driven research, specifically geared toward enhancing crucial clinical processes and outcomes. The potential of AI-powered decision support systems to streamline clinical workflows, assist in diagnostics, and enable personalized treatment is increasingly evident. Nevertheless, the introduction of these cutting-edge solutions poses substantial challenges in clinical and care environments, necessitating a thorough exploration of ethical, legal, and regulatory considerations. A robust governance framework is imperative to foster the acceptance and successful implementation of AI in healthcare. This article delves deep into the critical ethical and regulatory concerns entangled with the deployment of AI systems in clinical practice. It not only provides a comprehensive overview of the role of AI technologies but also offers an insightful perspective on the ethical and regulatory challenges, making a pioneering contribution to the field. This research aims to address the current challenges in digital healthcare by presenting valuable recommendations for all stakeholders eager to advance the development and implementation of innovative AI systems.</t>
  </si>
  <si>
    <t>Mennella, Ciro; Maniscalco, Umberto; De Pietro, Giuseppe; Esposito, Massimo</t>
  </si>
  <si>
    <t>Maniscalco, U (corresponding author), CNR, Inst High Performance Comp &amp; Networking, ICAR, Rome, Italy.</t>
  </si>
  <si>
    <t>umberto.maniscalco@icar.cnr.it</t>
  </si>
  <si>
    <t>[Mennella, Ciro; Maniscalco, Umberto; De Pietro, Giuseppe; Esposito, Massimo] CNR, Inst High Performance Comp &amp; Networking, ICAR, Rome, Italy</t>
  </si>
  <si>
    <t>Consiglio Nazionale delle Ricerche (CNR); Istituto di Calcolo e Reti ad Alte Prestazioni (ICAR-CNR)</t>
  </si>
  <si>
    <t>Ethical and regulatory challenges of AI technologies in healthcare: A narrative review</t>
  </si>
  <si>
    <t>HELIYON</t>
  </si>
  <si>
    <t>Artificial intelligence; Technologies; Decision-making; Healthcare; Ethics; Regulatory guidelines</t>
  </si>
  <si>
    <t>ARTIFICIAL-INTELLIGENCE; OPPORTUNITIES; ISSUES</t>
  </si>
  <si>
    <t>MENNELLA, CIRO/HPH-2478-2023; De Pietro, Giuseppe/AAZ-1151-2020; Maniscalco, Umberto/GWC-0660-2022</t>
  </si>
  <si>
    <t>MENNELLA, CIRO/0000-0003-0419-7181; Maniscalco, Umberto/0000-0002-7157-8411</t>
  </si>
  <si>
    <t>39</t>
  </si>
  <si>
    <t>248</t>
  </si>
  <si>
    <t>CELL PRESS</t>
  </si>
  <si>
    <t>CAMBRIDGE</t>
  </si>
  <si>
    <t>50 HAMPSHIRE ST, FLOOR 5, CAMBRIDGE, MA 02139 USA</t>
  </si>
  <si>
    <t>2405-8440</t>
  </si>
  <si>
    <t>Heliyon</t>
  </si>
  <si>
    <t>FEB 29 2024</t>
  </si>
  <si>
    <t>e26297</t>
  </si>
  <si>
    <t>10.1016/j.heliyon.2024.e26297</t>
  </si>
  <si>
    <t>http://dx.doi.org/10.1016/j.heliyon.2024.e26297</t>
  </si>
  <si>
    <t>FEB 2024</t>
  </si>
  <si>
    <t>LT0N1</t>
  </si>
  <si>
    <t>38384518</t>
  </si>
  <si>
    <t>WOS:001188935900001</t>
  </si>
  <si>
    <t>214</t>
  </si>
  <si>
    <t>Echle, A; Rindtorff, NT; Brinker, TJ; Luedde, T; Pearson, AT; Kather, JN</t>
  </si>
  <si>
    <t>Clinical workflows in oncology rely on predictive and prognostic molecular biomarkers. However, the growing number of these complex biomarkers tends to increase the cost and time for decision-making in routine daily oncology practice; furthermore, biomarkers often require tumour tissue on top of routine diagnostic material. Nevertheless, routinely available tumour tissue contains an abundance of clinically relevant information that is currently not fully exploited. Advances in deep learning (DL), an artificial intelligence (AI) technology, have enabled the extraction of previously hidden information directly from routine histology images of cancer, providing potentially clinically useful information. Here, we outline emerging concepts of how DL can extract biomarkers directly from histology images and summarise studies of basic and advanced image analysis for cancer histology. Basic image analysis tasks include detection, grading and subtyping of tumour tissue in histology images; they are aimed at automating pathology workflows and consequently do not immediately translate into clinical decisions. Exceeding such basic approaches, DL has also been used for advanced image analysis tasks, which have the potential of directly affecting clinical decision-making processes. These advanced approaches include inference of molecular features, prediction of survival and end-to-end prediction of therapy response. Predictions made by such DL systems could simplify and enrich clinical decision-making, but require rigorous external validation in clinical settings.</t>
  </si>
  <si>
    <t>Echle, Amelie; Rindtorff, Niklas Timon; Brinker, Titus Josef; Luedde, Tom; Pearson, Alexander Thomas; Kather, Jakob Nikolas</t>
  </si>
  <si>
    <t>Kather, JN (corresponding author), Univ Hosp RWTH Aachen, Dept Med 3, Aachen, Germany.; Kather, JN (corresponding author), German Canc Res Ctr, Heidelberg, Germany.</t>
  </si>
  <si>
    <t>jkather@ukaachen.de</t>
  </si>
  <si>
    <t>Max-Eder-Programme of the German Cancer Aid (Bonn, Germany) [70113864]; START Programme of the Medical Faculty Aachen (Aachen, Germany) [691906]; Projekt DEAL</t>
  </si>
  <si>
    <t>Max-Eder-Programme of the German Cancer Aid (Bonn, Germany); START Programme of the Medical Faculty Aachen (Aachen, Germany); Projekt DEAL (Projekt DEAL)</t>
  </si>
  <si>
    <t>J.N.K. is funded by the Max-Eder-Programme of the German Cancer Aid (Bonn, Germany, grant #70113864) and the START Programme of the Medical Faculty Aachen (Aachen, Germany, grant #691906). No other external funding is reported. Open Access funding enabled and organized by Projekt DEAL.</t>
  </si>
  <si>
    <t>[Echle, Amelie; Kather, Jakob Nikolas] Univ Hosp RWTH Aachen, Dept Med 3, Aachen, Germany; [Rindtorff, Niklas Timon; Kather, Jakob Nikolas] German Canc Res Ctr, Heidelberg, Germany; [Brinker, Titus Josef] German Canc Res Ctr, Natl Ctr Tumor Dis NCT, Heidelberg, Germany; [Luedde, Tom] Univ Hosp Duesseldorf, Dept Gastroenterol Hepatol &amp; Infect Dis, Dusseldorf, Germany; [Pearson, Alexander Thomas] Univ Chicago, Dept Med, Hematol Oncol Sect, Chicago, IL 60637 USA</t>
  </si>
  <si>
    <t>RWTH Aachen University; RWTH Aachen University Hospital; Helmholtz Association; German Cancer Research Center (DKFZ); Ruprecht Karls University Heidelberg; Helmholtz Association; National Center for Tumor Diseases; German Cancer Research Center (DKFZ); University of Chicago</t>
  </si>
  <si>
    <t>Deep learning in cancer pathology: a new generation of clinical biomarkers</t>
  </si>
  <si>
    <t>BRITISH JOURNAL OF CANCER</t>
  </si>
  <si>
    <t>COLORECTAL-CANCER; PROSTATE-CANCER; PREDICTION; CRIZOTINIB; DIAGNOSIS; PROGNOSIS; BIOPSIES; THERAPY; SYSTEM</t>
  </si>
  <si>
    <t>Kather, Jakob Nikolas/D-4279-2015; Luedde, Tom/AAE-9135-2022</t>
  </si>
  <si>
    <t>Echle, Amelie/0000-0003-0789-9509; Kather, Jakob Nikolas/0000-0002-3730-5348; Brinker, Titus Josef/0000-0002-3620-5919; Luedde, Tom/0000-0002-6288-8821</t>
  </si>
  <si>
    <t>513</t>
  </si>
  <si>
    <t>593</t>
  </si>
  <si>
    <t>SPRINGERNATURE</t>
  </si>
  <si>
    <t>CAMPUS, 4 CRINAN ST, LONDON, N1 9XW, ENGLAND</t>
  </si>
  <si>
    <t>0007-0920</t>
  </si>
  <si>
    <t>1532-1827</t>
  </si>
  <si>
    <t>BRIT J CANCER</t>
  </si>
  <si>
    <t>Br. J. Cancer</t>
  </si>
  <si>
    <t>FEB 16 2021</t>
  </si>
  <si>
    <t>124</t>
  </si>
  <si>
    <t>686</t>
  </si>
  <si>
    <t>10.1038/s41416-020-01122-x</t>
  </si>
  <si>
    <t>http://dx.doi.org/10.1038/s41416-020-01122-x</t>
  </si>
  <si>
    <t>NOV 2020</t>
  </si>
  <si>
    <t>QH6FS</t>
  </si>
  <si>
    <t>33204028</t>
  </si>
  <si>
    <t>WOS:000590213700004</t>
  </si>
  <si>
    <t>Lee, D; Yoon, SN</t>
  </si>
  <si>
    <t>This study examines the current state of artificial intelligence (AI)-based technology applications and their impact on the healthcare industry. In addition to a thorough review of the literature, this study analyzed several real-world examples of AI applications in healthcare. The results indicate that major hospitals are, at present, using AI-enabled systems to augment medical staff in patient diagnosis and treatment activities for a wide range of diseases. In addition, AI systems are making an impact on improving the efficiency of nursing and managerial activities of hospitals. While AI is being embraced positively by healthcare providers, its applications provide both the utopian perspective (new opportunities) and the dystopian view (challenges to overcome). We discuss the details of those opportunities and challenges to provide a balanced view of the value of AI applications in healthcare. It is clear that rapid advances of AI and related technologies will help care providers create new value for their patients and improve the efficiency of their operational processes. Nevertheless, effective applications of AI will require effective planning and strategies to transform the entire care service and operations to reap the benefits of what technologies offer.</t>
  </si>
  <si>
    <t>Lee, DonHee; Yoon, Seong No</t>
  </si>
  <si>
    <t>Yoon, SN (corresponding author), Edward Waters Coll, Dept Business, Jacksonville, FL 32209 USA.</t>
  </si>
  <si>
    <t>dhlee04@inha.ac.kr; Seong.yoon@ewc.edu</t>
  </si>
  <si>
    <t>[Lee, DonHee] Inha Univ, Coll Business Adm, Incheon 22212, South Korea; [Yoon, Seong No] Edward Waters Coll, Dept Business, Jacksonville, FL 32209 USA</t>
  </si>
  <si>
    <t>Inha University; Edward Waters University</t>
  </si>
  <si>
    <t>Application of Artificial Intelligence-Based Technologies in the Healthcare Industry: Opportunities and Challenges</t>
  </si>
  <si>
    <t>INTERNATIONAL JOURNAL OF ENVIRONMENTAL RESEARCH AND PUBLIC HEALTH</t>
  </si>
  <si>
    <t>AI-based technology; real-world cases; opportunities and challenges; policy and management support; healthcare industry</t>
  </si>
  <si>
    <t>CLASSIFICATION; SATISFACTION; MODEL</t>
  </si>
  <si>
    <t>Lee, DonHee/0000-0003-2799-8547</t>
  </si>
  <si>
    <t>509</t>
  </si>
  <si>
    <t>697</t>
  </si>
  <si>
    <t>238</t>
  </si>
  <si>
    <t>1660-4601</t>
  </si>
  <si>
    <t>INT J ENV RES PUB HE</t>
  </si>
  <si>
    <t>Int. J. Environ. Res. Public Health</t>
  </si>
  <si>
    <t>10.3390/ijerph18010271</t>
  </si>
  <si>
    <t>http://dx.doi.org/10.3390/ijerph18010271</t>
  </si>
  <si>
    <t>Environmental Sciences; Public, Environmental &amp; Occupational Health</t>
  </si>
  <si>
    <t>Environmental Sciences &amp; Ecology; Public, Environmental &amp; Occupational Health</t>
  </si>
  <si>
    <t>PQ0UF</t>
  </si>
  <si>
    <t>33401373</t>
  </si>
  <si>
    <t>WOS:000606265400001</t>
  </si>
  <si>
    <t>Chen, RJ; Wang, JJ; Williamson, DFK; Chen, TY; Lipkova, J; Lu, MY; Sahai, S; Mahmood, F</t>
  </si>
  <si>
    <t>This Perspective discusses fairness in machine learning and how algorithmic biases arising in clinical workflows can cause healthcare disparities.In healthcare, the development and deployment of insufficiently fair systems of artificial intelligence (AI) can undermine the delivery of equitable care. Assessments of AI models stratified across subpopulations have revealed inequalities in how patients are diagnosed, treated and billed. In this Perspective, we outline fairness in machine learning through the lens of healthcare, and discuss how algorithmic biases (in data acquisition, genetic variation and intra-observer labelling variability, in particular) arise in clinical workflows and the resulting healthcare disparities. We also review emerging technology for mitigating biases via disentanglement, federated learning and model explainability, and their role in the development of AI-based software as a medical device.</t>
  </si>
  <si>
    <t>Chen, Richard J.; Wang, Judy J.; Williamson, Drew F. K.; Chen, Tiffany Y.; Lipkova, Jana; Lu, Ming Y.; Sahai, Sharifa; Mahmood, Faisal</t>
  </si>
  <si>
    <t>Mahmood, F (corresponding author), Harvard Med Sch, Brigham &amp; Womens Hosp, Dept Pathol, Boston, MA 02115 USA.; Mahmood, F (corresponding author), Broad Inst Harvard &amp; Massachusetts Inst Technol, Canc Program, Cambridge, MA 02142 USA.; Mahmood, F (corresponding author), Dana Farber Canc Inst, Canc Data Sci Program, Boston, MA 02215 USA.; Mahmood, F (corresponding author), Harvard Med Sch, Massachusetts Gen Hosp, Dept Pathol, Boston, MA 02115 USA.; Mahmood, F (corresponding author), Harvard Univ, Harvard Data Sci Initiat, Cambridge, MA 02138 USA.</t>
  </si>
  <si>
    <t>FaisalMahmood@bwh.harvard.edu</t>
  </si>
  <si>
    <t>Brigham and Women's Hospital (BWH) President's Fund; Mass General Hospital; National Institute of General Medical Sciences (NIGMS) [R35GM138216]; National Science Foundation (NSF) Graduate Fellowship; Siebel Scholars program; National Institute of Health National Cancer Institute (NIH-NCI) Ruth L. Kirschstein National Service Award [T32CA251062]; National Cancer Institute [T32CA251062] Funding Source: NIH RePORTER; National Human Genome Research Institute; NIH Office of the Director [T32HG002295] Funding Source: NIH RePORTER; National Institute of General Medical Sciences [R35GM138216] Funding Source: NIH RePORTER</t>
  </si>
  <si>
    <t>Brigham and Women's Hospital (BWH) President's Fund; Mass General Hospital; National Institute of General Medical Sciences (NIGMS) (United States Department of Health &amp; Human Services, National Institutes of Health (NIH) - USA, NIH National Institute of General Medical Sciences (NIGMS)); National Science Foundation (NSF) Graduate Fellowship (National Science Foundation (NSF)); Siebel Scholars program; National Institute of Health National Cancer Institute (NIH-NCI) Ruth L. Kirschstein National Service Award; National Cancer Institute (United States Department of Health &amp; Human Services, National Institutes of Health (NIH) - USA, NIH National Cancer Institute (NCI)); National Human Genome Research Institute; NIH Office of the Director (United States Department of Health &amp; Human Services, National Institutes of Health (NIH) - USA, NIH National Human Genome Research Institute (NHGRI), NIH Office of the Director); National Institute of General Medical Sciences (United States Department of Health &amp; Human Services, National Institutes of Health (NIH) - USA, NIH National Institute of General Medical Sciences (NIGMS))</t>
  </si>
  <si>
    <t>All authors are supported in part by the Brigham and Women's Hospital (BWH) President's Fund, Mass General Hospital (MGH) Pathology and by National Institute of General Medical Sciences (NIGMS) R35GM138216 (to F.M.). R.J.C. and S.S. were also supported by the National Science Foundation (NSF) Graduate Fellowship. M.Y.L. was also supported by the Siebel Scholars program. T.Y.C. was also supported by the National Institute of Health National Cancer Institute (NIH-NCI) Ruth L. Kirschstein National Service Award T32CA251062. The content is solely the responsibility of the authors and does not reflect the official views of the NIH, NIGMS, NCI or NSF.</t>
  </si>
  <si>
    <t>[Chen, Richard J.; Wang, Judy J.; Williamson, Drew F. K.; Chen, Tiffany Y.; Lipkova, Jana; Lu, Ming Y.; Sahai, Sharifa; Mahmood, Faisal] Harvard Med Sch, Brigham &amp; Womens Hosp, Dept Pathol, Boston, MA 02115 USA; [Chen, Richard J.; Lipkova, Jana; Sahai, Sharifa] Harvard Med Sch, Dept Biomed Informat, Boston, MA USA; [Chen, Richard J.; Williamson, Drew F. K.; Chen, Tiffany Y.; Lipkova, Jana; Lu, Ming Y.; Sahai, Sharifa; Mahmood, Faisal] Broad Inst Harvard &amp; Massachusetts Inst Technol, Canc Program, Cambridge, MA 02142 USA; [Chen, Richard J.; Lu, Ming Y.; Mahmood, Faisal] Dana Farber Canc Inst, Canc Data Sci Program, Boston, MA 02215 USA; [Wang, Judy J.] Boston Univ, Sch Med, Boston, MA USA; [Lu, Ming Y.] MIT, Elect Engn &amp; Comp Sci, Cambridge, MA USA; [Sahai, Sharifa] Harvard Med Sch, Dept Syst Biol, Boston, MA USA; [Mahmood, Faisal] Harvard Med Sch, Massachusetts Gen Hosp, Dept Pathol, Boston, MA 02115 USA; [Mahmood, Faisal] Harvard Univ, Harvard Data Sci Initiat, Cambridge, MA 02138 USA</t>
  </si>
  <si>
    <t>Harvard University; Harvard Medical School; Harvard University Medical Affiliates; Brigham &amp; Women's Hospital; Harvard University; Harvard Medical School; Harvard University; Massachusetts Institute of Technology (MIT); Broad Institute; Harvard University; Harvard University Medical Affiliates; Dana-Farber Cancer Institute; Boston University; Massachusetts Institute of Technology (MIT); Harvard University; Harvard Medical School; Harvard University; Harvard Medical School; Harvard University Medical Affiliates; Massachusetts General Hospital; Harvard University</t>
  </si>
  <si>
    <t>Algorithmic fairness in artificial intelligence for medicine and healthcare</t>
  </si>
  <si>
    <t>NATURE BIOMEDICAL ENGINEERING</t>
  </si>
  <si>
    <t>CONFOUNDING FACTORS NEED; SOCIAL DETERMINANTS; RACIAL/ETHNIC DISPARITIES; DE-IDENTIFICATION; PREDICTIVE MODELS; POTENTIAL SOURCES; ASSESSING BIAS; RISK-FACTORS; CANCER; RACE</t>
  </si>
  <si>
    <t>Lu, Ming Yang/JCE-3271-2023; Mahmood, Faisal/C-1021-2015; Williamson, Drew/KLC-8523-2024</t>
  </si>
  <si>
    <t>Chen, Tiffany/0000-0003-2546-2941; Lipková, Jana/0000-0001-8101-4794; Wang, Judy Jiaqi/0000-0003-4905-6593; Mahmood, Faisal/0000-0001-7587-1562; Williaon, ew/0000-0003-1745-8846; Chen, Richard/0000-0003-0389-1331</t>
  </si>
  <si>
    <t>389</t>
  </si>
  <si>
    <t>494</t>
  </si>
  <si>
    <t>594</t>
  </si>
  <si>
    <t>2157-846X</t>
  </si>
  <si>
    <t>NAT BIOMED ENG</t>
  </si>
  <si>
    <t>Nat. Biomed. Eng</t>
  </si>
  <si>
    <t>JUN 2023</t>
  </si>
  <si>
    <t>719</t>
  </si>
  <si>
    <t>742</t>
  </si>
  <si>
    <t>10.1038/s41551-023-01056-8</t>
  </si>
  <si>
    <t>http://dx.doi.org/10.1038/s41551-023-01056-8</t>
  </si>
  <si>
    <t>Engineering, Biomedical</t>
  </si>
  <si>
    <t>Engineering</t>
  </si>
  <si>
    <t>L3SV6</t>
  </si>
  <si>
    <t>37380750</t>
  </si>
  <si>
    <t>WOS:001022499900005</t>
  </si>
  <si>
    <t>100</t>
  </si>
  <si>
    <t>Hager, P; Jungmann, F; Holland, R; Bhagat, K; Hubrecht, I; Knauer, M; Vielhauer, J; Makowski, M; Braren, R; Kaissis, G; Rueckert, D</t>
  </si>
  <si>
    <t>Clinical decision-making is one of the most impactful parts of a physician's responsibilities and stands to benefit greatly from artificial intelligence solutions and large language models (LLMs) in particular. However, while LLMs have achieved excellent performance on medical licensing exams, these tests fail to assess many skills necessary for deployment in a realistic clinical decision-making environment, including gathering information, adhering to guidelines, and integrating into clinical workflows. Here we have created a curated dataset based on the Medical Information Mart for Intensive Care database spanning 2,400 real patient cases and four common abdominal pathologies as well as a framework to simulate a realistic clinical setting. We show that current state-of-the-art LLMs do not accurately diagnose patients across all pathologies (performing significantly worse than physicians), follow neither diagnostic nor treatment guidelines, and cannot interpret laboratory results, thus posing a serious risk to the health of patients. Furthermore, we move beyond diagnostic accuracy and demonstrate that they cannot be easily integrated into existing workflows because they often fail to follow instructions and are sensitive to both the quantity and order of information. Overall, our analysis reveals that LLMs are currently not ready for autonomous clinical decision-making while providing a dataset and framework to guide future studies.Using a curated dataset of 2,400 cases and a framework to simulate a realistic clinical setting, current large language models are shown to incur substantial pitfalls when used for autonomous clinical decision-making.</t>
  </si>
  <si>
    <t>Hager, Paul; Jungmann, Friederike; Holland, Robbie; Bhagat, Kunal; Hubrecht, Inga; Knauer, Manuel; Vielhauer, Jakob; Makowski, Marcus; Braren, Rickmer; Kaissis, Georgios; Rueckert, Daniel</t>
  </si>
  <si>
    <t>Hager, P (corresponding author), Tech Univ Munich, Klinikum Rechts Isar, Inst AI &amp; Informat, Munich, Germany.; Hager, P (corresponding author), Tech Univ Munich, Inst Diagnost &amp; Intervent Radiol, Klinikum Rechts Isar, Munich, Germany.</t>
  </si>
  <si>
    <t>paul.hager@tum.de</t>
  </si>
  <si>
    <t>Technische Universitat Muenchen</t>
  </si>
  <si>
    <t>Open access funding provided by Technische Universitat Muenchen.</t>
  </si>
  <si>
    <t>[Hager, Paul; Jungmann, Friederike; Kaissis, Georgios; Rueckert, Daniel] Tech Univ Munich, Klinikum Rechts Isar, Inst AI &amp; Informat, Munich, Germany; [Hager, Paul; Jungmann, Friederike; Makowski, Marcus; Braren, Rickmer; Kaissis, Georgios] Tech Univ Munich, Inst Diagnost &amp; Intervent Radiol, Klinikum Rechts Isar, Munich, Germany; [Holland, Robbie; Kaissis, Georgios; Rueckert, Daniel] Imperial Coll, Dept Comp, London, England; [Bhagat, Kunal] ChristianaCare Hlth Syst, Dept Med, Wilmington, DE USA; [Hubrecht, Inga; Knauer, Manuel] Tech Univ Munich, Dept Med 3, Klinikum Rechts Isar, Munich, Germany; [Vielhauer, Jakob] Ludwig Maximilian Univ Munich, Dept Med 2, Univ Hosp, Munich, Germany; [Kaissis, Georgios] Helmholtz Munich, Inst Machine Learning Biomed Imaging, Reliable AI Grp, Munich, Germany</t>
  </si>
  <si>
    <t>Technical University of Munich; Technical University of Munich; Imperial College London; Technical University of Munich; University of Munich</t>
  </si>
  <si>
    <t>Evaluation and mitigation of the limitations of large language models in clinical decision-making</t>
  </si>
  <si>
    <t>AI; BIAS</t>
  </si>
  <si>
    <t>Hager, Paul/KVZ-2285-2024; Braren, Rickmer/U-3254-2018; Holland, Robbie/JQI-5017-2023</t>
  </si>
  <si>
    <t>Jungmann, Friederike/0000-0002-9600-4094; Hager, Paul/0000-0003-2166-0262; Vielhauer, Jakob/0000-0003-3762-1575; Knauer, Manuel M/0000-0002-3475-2396; Braren, Rickmer/0000-0001-6039-6957; Holland, Robbie/0000-0001-8373-8390</t>
  </si>
  <si>
    <t>493</t>
  </si>
  <si>
    <t>569</t>
  </si>
  <si>
    <t>128</t>
  </si>
  <si>
    <t>SEP 2024</t>
  </si>
  <si>
    <t>10.1038/s41591-024-03097-1</t>
  </si>
  <si>
    <t>http://dx.doi.org/10.1038/s41591-024-03097-1</t>
  </si>
  <si>
    <t>JUL 2024</t>
  </si>
  <si>
    <t>W7Z9K</t>
  </si>
  <si>
    <t>38965432</t>
  </si>
  <si>
    <t>WOS:001262233500004</t>
  </si>
  <si>
    <t>71</t>
  </si>
  <si>
    <t>Varnosfaderani, SM; Forouzanfar, M</t>
  </si>
  <si>
    <t>As healthcare systems around the world face challenges such as escalating costs, limited access, and growing demand for personalized care, artificial intelligence (AI) is emerging as a key force for transformation. This review is motivated by the urgent need to harness AI's potential to mitigate these issues and aims to critically assess AI's integration in different healthcare domains. We explore how AI empowers clinical decision-making, optimizes hospital operation and management, refines medical image analysis, and revolutionizes patient care and monitoring through AI-powered wearables. Through several case studies, we review how AI has transformed specific healthcare domains and discuss the remaining challenges and possible solutions. Additionally, we will discuss methodologies for assessing AI healthcare solutions, ethical challenges of AI deployment, and the importance of data privacy and bias mitigation for responsible technology use. By presenting a critical assessment of AI's transformative potential, this review equips researchers with a deeper understanding of AI's current and future impact on healthcare. It encourages an interdisciplinary dialogue between researchers, clinicians, and technologists to navigate the complexities of AI implementation, fostering the development of AI-driven solutions that prioritize ethical standards, equity, and a patient-centered approach.</t>
  </si>
  <si>
    <t>Varnosfaderani, Shiva Maleki; Forouzanfar, Mohamad</t>
  </si>
  <si>
    <t>Forouzanfar, M (corresponding author), Univ Quebec, Ecole Technol Super ETS, Dept Genie Syst, Montreal, PQ H3C 1K3, Canada.; Forouzanfar, M (corresponding author), Inst Univ Geriatrie Montreal CRIUGM, Ctr Rech, Montreal, PQ H3W 1W5, Canada.</t>
  </si>
  <si>
    <t>mohamad.forouzanfar@etsmtl.ca</t>
  </si>
  <si>
    <t>[Varnosfaderani, Shiva Maleki] Wayne State Univ, Dept Elect Engn, Detroit, MI 48202 USA; [Forouzanfar, Mohamad] Univ Quebec, Ecole Technol Super ETS, Dept Genie Syst, Montreal, PQ H3C 1K3, Canada; [Forouzanfar, Mohamad] Inst Univ Geriatrie Montreal CRIUGM, Ctr Rech, Montreal, PQ H3W 1W5, Canada</t>
  </si>
  <si>
    <t>Wayne State University; University of Quebec; University of Quebec Montreal; Ecole de Technologie Superieure - Canada; Universite de Montreal</t>
  </si>
  <si>
    <t>The Role of AI in Hospitals and Clinics: Transforming Healthcare in the 21st Century</t>
  </si>
  <si>
    <t>BIOENGINEERING-BASEL</t>
  </si>
  <si>
    <t>artificial intelligence; clinical decision-making; ethical considerations in healthcare AI; healthcare technology; medical imaging and diagnostics</t>
  </si>
  <si>
    <t>Forouzanfar, Mohamad/L-3892-2014</t>
  </si>
  <si>
    <t>Forouzanfar, Mohamad/0000-0001-8849-0144</t>
  </si>
  <si>
    <t>198</t>
  </si>
  <si>
    <t>491</t>
  </si>
  <si>
    <t>632</t>
  </si>
  <si>
    <t>554</t>
  </si>
  <si>
    <t>2306-5354</t>
  </si>
  <si>
    <t>Bioengineering-Basel</t>
  </si>
  <si>
    <t>APR 2024</t>
  </si>
  <si>
    <t>337</t>
  </si>
  <si>
    <t>10.3390/bioengineering11040337</t>
  </si>
  <si>
    <t>http://dx.doi.org/10.3390/bioengineering11040337</t>
  </si>
  <si>
    <t>Biotechnology &amp; Applied Microbiology; Engineering, Biomedical</t>
  </si>
  <si>
    <t>Biotechnology &amp; Applied Microbiology; Engineering</t>
  </si>
  <si>
    <t>OX4Q3</t>
  </si>
  <si>
    <t>38671759</t>
  </si>
  <si>
    <t>WOS:001210567500001</t>
  </si>
  <si>
    <t>Sammut, SJ; Crispin-Ortuzar, M; Chin, SF; Provenzano, E; Bardwell, HA; Ma, WX; Cope, W; Dariush, A; Dawson, SJ; Abraham, JE; Dunn, J; Hiller, L; Thomas, J; Cameron, DA; Bartlett, JMS; Hayward, L; Pharoah, PD; Markowetz, F; Rueda, OM; Earl, HM; Caldas, C</t>
  </si>
  <si>
    <t>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</si>
  <si>
    <t>Sammut, Stephen-John; Crispin-Ortuzar, Mireia; Chin, Suet-Feung; Provenzano, Elena; Bardwell, Helen A.; Ma, Wenxin; Cope, Wei; Dariush, Ali; Dawson, Sarah-Jane; Abraham, Jean E.; Dunn, Janet; Hiller, Louise; Thomas, Jeremy; Cameron, David A.; Bartlett, John M. S.; Hayward, Larry; Pharoah, Paul D.; Markowetz, Florian; Rueda, Oscar M.; Earl, Helena M.; Caldas, Carlos</t>
  </si>
  <si>
    <t>Caldas, C (corresponding author), Univ Cambridge, Li Ka Shing Ctr, Canc Res UK Cambridge Inst, Cambridge, England.; Caldas, C (corresponding author), Univ Cambridge, Dept Oncol, Cambridge, England.; Caldas, C (corresponding author), Univ Cambridge, CRUK Cambridge Ctr, Cambridge Expt Canc Med Ctr ECMC, Cambridge, England.; Caldas, C (corresponding author), Univ Cambridge, NIHR Cambridge Biomed Res Ctr, Cambridge, England.; Caldas, C (corresponding author), Cambridge Univ Hosp NHS Fdn Trust Cambridge, Cambridge, England.</t>
  </si>
  <si>
    <t>carlos.caldas@cruk.cam.ac.uk</t>
  </si>
  <si>
    <t>Wellcome Trust PhD Clinical Training Fellowship [106566/Z/14/Z]; Junior Research Fellowship from Trinity College, Cambridge; University of Cambridge; Cancer Research UK (CRUK) [A17197, A19274]; NIHR Cambridge Biomedical Research Centre [BRC-1215-20014]; Medical Research Council (UK) [MC_UU_00002/16]; CRUK [A17197, A27657, A29580]; NIHR Senior Investigator Award [NF-SI-0515-10090]; European Research Council Advanced Award [694620]; F. Hoffman La Roche; CRUK Cambridge Centre; Mark Foundation Institute for Integrated Cancer Medicine; European Research Council (ERC) [694620] Funding Source: European Research Council (ERC); Cancer Research UK [22310, 16942] Funding Source: researchfish; National Institute for Health Research [NF-SI-0611-10154, NF-SI-0515-10090] Funding Source: researchfish; Wellcome Trust [106566/Z/14/Z] Funding Source: Wellcome Trust</t>
  </si>
  <si>
    <t>Wellcome Trust PhD Clinical Training Fellowship (Wellcome Trust); Junior Research Fellowship from Trinity College, Cambridge; University of Cambridge (University of Cambridge); Cancer Research UK (CRUK) (Cancer Research UK); NIHR Cambridge Biomedical Research Centre (National Institutes of Health Research (NIHR)); Medical Research Council (UK) (UK Research &amp; Innovation (UKRI), Medical Research Council UK (MRC)); CRUK (Cancer Research UK); NIHR Senior Investigator Award; European Research Council Advanced Award (European Research Council (ERC)); F. Hoffman La Roche; CRUK Cambridge Centre; Mark Foundation Institute for Integrated Cancer Medicine; European Research Council (ERC) (European Research Council (ERC)); Cancer Research UK (Cancer Research UK); National Institute for Health Research (National Institutes of Health Research (NIHR)); Wellcome Trust (Wellcome Trust)</t>
  </si>
  <si>
    <t>S.-J.S. was supported by a Wellcome Trust PhD Clinical Training Fellowship (grant number 106566/Z/14/Z). M.C.-O. was supported by a Junior Research Fellowship from Trinity College, Cambridge, and a Borysiewicz Fellowship from the University of Cambridge. F.M. was supported by funding from Cancer Research UK (CRUK) (grant numbers A17197 and A19274). O.M.R. was supported by the NIHR Cambridge Biomedical Research Centre (BRC-1215-20014) and the Medical Research Council (UK; MC_UU_00002/16). C.C. was supported by funding from CRUK (grant numbers A17197, A27657 and A29580), an NIHR Senior Investigator Award (grant number NF-SI-0515-10090) and a European Research Council Advanced Award (grant number 694620). The ARTemis molecular profiling dataset was funded in part by an unrestricted academic grant from F. Hoffman La Roche (grant administered by the University of Cambridge). The Programme received infrastructure funding from the CRUK Cambridge Centre and the Mark Foundation Institute for Integrated Cancer Medicine. We are grateful for the generosity of all the patients that donated samples for analysis; all the staff at the Cambridge Breast Cancer Research Unit for facilitating the collection and processing of samples; and the CRUK Cambridge Institute Core Facilities (Genomics, Bioinformatics, Histopathology and Biorepository) for support during the execution of this project.</t>
  </si>
  <si>
    <t>[Sammut, Stephen-John; Crispin-Ortuzar, Mireia; Chin, Suet-Feung; Bardwell, Helen A.; Cope, Wei; Dariush, Ali; Markowetz, Florian; Rueda, Oscar M.; Caldas, Carlos] Univ Cambridge, Li Ka Shing Ctr, Canc Res UK Cambridge Inst, Cambridge, England; [Sammut, Stephen-John; Abraham, Jean E.; Earl, Helena M.; Caldas, Carlos] Univ Cambridge, Dept Oncol, Cambridge, England; [Sammut, Stephen-John; Provenzano, Elena; Abraham, Jean E.; Pharoah, Paul D.; Earl, Helena M.; Caldas, Carlos] Univ Cambridge, CRUK Cambridge Ctr, Cambridge Expt Canc Med Ctr ECMC, Cambridge, England; [Sammut, Stephen-John; Provenzano, Elena; Abraham, Jean E.; Pharoah, Paul D.; Earl, Helena M.; Caldas, Carlos] Univ Cambridge, NIHR Cambridge Biomed Res Ctr, Cambridge, England; [Sammut, Stephen-John; Provenzano, Elena; Abraham, Jean E.; Pharoah, Paul D.; Earl, Helena M.; Caldas, Carlos] Cambridge Univ Hosp NHS Fdn Trust Cambridge, Cambridge, England; [Ma, Wenxin] Univ Cambridge, Sch Clin Med, Cambridge, England; [Dariush, Ali] Univ Cambridge, Inst Astron, Cambridge, England; [Dawson, Sarah-Jane] Peter MacCallum Canc Ctr, Melbourne, Vic, Australia; [Dawson, Sarah-Jane] Univ Melbourne, Ctr Canc Res, Melbourne, Vic, Australia; [Dawson, Sarah-Jane] Univ Melbourne, Sir Peter MacCallum Dept Oncol, Melbourne, Vic, Australia; [Dunn, Janet; Hiller, Louise] Univ Warwick, Warwick Clin Trials Unit, Coventry, W Midlands, England; [Thomas, Jeremy; Cameron, David A.; Bartlett, John M. S.; Hayward, Larry] Western Gen Hosp, Edinburgh Canc Res Ctr, Edinburgh, Midlothian, Scotland; [Thomas, Jeremy] Q2 Lab Solut, Livingston, Scotland; [Bartlett, John M. S.] Ontario Inst Canc Res, Toronto, ON, Canada; [Bartlett, John M. S.] Univ Toronto, Lab Med &amp; Pathobiol, Toronto, ON, Canada; [Pharoah, Paul D.] Univ Cambridge, Strangeways Res Lab, Cambridge, England; [Rueda, Oscar M.] Univ Cambridge, MRC Biostat Unit, Cambridge, England</t>
  </si>
  <si>
    <t>CRUK Cambridge Institute; University of Cambridge; Cancer Research UK; University of Cambridge; CRUK Cambridge Institute; University of Cambridge; University of Cambridge; University of Cambridge; University of Cambridge; Peter Maccallum Cancer Center; University of Melbourne; Peter Maccallum Cancer Center; University of Melbourne; University of Warwick; University of Edinburgh; University of Toronto; Ontario Institute for Cancer Research; University of Toronto; University of Cambridge; University of Cambridge; MRC Biostatistics Unit</t>
  </si>
  <si>
    <t>Multi-omic machine learning predictor of breast cancer therapy response</t>
  </si>
  <si>
    <t>DIFFERENTIAL EXPRESSION ANALYSIS; COPY NUMBER ANALYSIS; NEOADJUVANT CHEMOTHERAPY; SOMATIC MUTATIONS; TUMORS REVEALS; LANDSCAPE; PACLITAXEL; SIGNATURES; EXCLUSION; FRAMEWORK</t>
  </si>
  <si>
    <t>Sammut, Stephen John/HPD-2085-2023; Markowetz, Florian/H-6883-2019; Abraham, Jean/NUQ-0502-2025; Caldas, Carlos/U-7250-2019; Dawson, Sarah-Jane/LOR-8459-2024; Pharoah, Paul/V-6658-2019; Rueda, Oscar/ABF-5479-2020</t>
  </si>
  <si>
    <t>Sammut, Stephen John/0000-0003-4472-904X; chin, suet-feung/0000-0001-5697-1082; Dunn, Janet Audrey/0000-0001-7313-4446; Earl, Helena/0000-0003-1549-8094; Abraham, Jean/0000-0003-0688-4807; Caldas, Carlos/0000-0003-3547-1489; Dawson, Sarah-Jane/0000-0002-8276-0374; Hiller, Louise/0000-0001-8538-9163; Thomas, Jeremy/0000-0002-4652-610X; Crispin-Ortuzar, Mireia/0000-0002-4351-3709</t>
  </si>
  <si>
    <t>83</t>
  </si>
  <si>
    <t>480</t>
  </si>
  <si>
    <t>519</t>
  </si>
  <si>
    <t>158</t>
  </si>
  <si>
    <t>JAN 27 2022</t>
  </si>
  <si>
    <t>601</t>
  </si>
  <si>
    <t>7894</t>
  </si>
  <si>
    <t>623</t>
  </si>
  <si>
    <t>10.1038/s41586-021-04278-5</t>
  </si>
  <si>
    <t>http://dx.doi.org/10.1038/s41586-021-04278-5</t>
  </si>
  <si>
    <t>9D4LI</t>
  </si>
  <si>
    <t>WOS:000936070000003</t>
  </si>
  <si>
    <t>Fiske, A; Henningsen, P; Buyx, A</t>
  </si>
  <si>
    <t>Background: Research in embodied artificial intelligence (AI) has increasing clinical relevance for therapeutic applications in mental health services. With innovations ranging from 'virtual psychotherapists' to social robots in dementia care and autism disorder, to robots for sexual disorders, artificially intelligent virtual and robotic agents are increasingly taking on high-level therapeutic interventions that used to be offered exclusively by highly trained, skilled health professionals. In order to enable responsible clinical implementation, ethical and social implications of the increasing use of embodied AI in mental health need to be identified and addressed.Objective: This paper assesses the ethical and social implications of translating embodied AI applications into mental health care across the fields of Psychiatry, Psychology and Psychotherapy. Building on this analysis, it develops a set of preliminary recommendations on how to address ethical and social challenges in current and future applications of embodied AI.Methods: Based on a thematic literature search and established principles of medical ethics, an analysis of the ethical and social aspects of currently embodied AI applications was conducted across the fields of Psychiatry, Psychology, and Psychotherapy. To enable a comprehensive evaluation, the analysis was structured around the following three steps: assessment of potential benefits; analysis of overarching ethical issues and concerns; discussion of specific ethical and social issues of the interventions.Results: From an ethical perspective, important benefits of embodied AI applications in mental health include new modes of treatment, opportunities to engage hard-to-reach populations, better patient response, and freeing up time for physicians. Overarching ethical issues and concerns include: harm prevention and various questions of data ethics; a lack of guidance on development of AI applications, their clinical integration and training of health professionals; 'gaps' in ethical and regulatory frameworks; the potential for misuse including using the technologies to replace established services, thereby potentially exacerbating existing health inequalities. Specific challenges identified and discussed in the application of embodied AI include: matters of risk-assessment, referrals, and supervision; the need to respect and protect patient autonomy; the role of non-human therapy; transparency in the use of algorithms; and specific concerns regarding long-term effects of these applications on understandings of illness and the human condition.Conclusions: We argue that embodied AI is a promising approach across the field of mental health; however, further research is needed to address the broader ethical and societal concerns of these technologies to negotiate best research and medical practices in innovative mental health care. We conclude by indicating areas of future research and developing recommendations for high-priority areas in need of concrete ethical guidance.</t>
  </si>
  <si>
    <t>Fiske, Amelia; Henningsen, Peter; Buyx, Alena</t>
  </si>
  <si>
    <t>Fiske, A (corresponding author), Tech Univ Munich, Sch Med, Inst Hist &amp; Eth Med, Ismaninger Str 22, D-81675 Munich, Germany.</t>
  </si>
  <si>
    <t>a.fiske@tum.de</t>
  </si>
  <si>
    <t>[Fiske, Amelia; Buyx, Alena] Tech Univ Munich, Sch Med, Inst Hist &amp; Eth Med, Ismaninger Str 22, D-81675 Munich, Germany; [Henningsen, Peter] Tech Univ Munich, Klinikum Rechts Isar, Dept Psychosomat Med &amp; Psychotherapy, Munich, Germany</t>
  </si>
  <si>
    <t>Technical University of Munich; Technical University of Munich</t>
  </si>
  <si>
    <t>Your Robot Therapist Will See You Now: Ethical Implications of Embodied Artificial Intelligence in Psychiatry, Psychology, and Psychotherapy</t>
  </si>
  <si>
    <t>JOURNAL OF MEDICAL INTERNET RESEARCH</t>
  </si>
  <si>
    <t>artificial intelligence; robotics; ethics; psychiatry; psychology; psychotherapy; medicine</t>
  </si>
  <si>
    <t>SOCIALLY ASSISTIVE ROBOTICS; AUTISM SPECTRUM DISORDER; CARE; CHILDREN; RECOMMENDATIONS; SCHIZOPHRENIA; ACCEPTABILITY; PREVALENCE; CHALLENGES; DEMENTIA</t>
  </si>
  <si>
    <t>Fiske, Amelia/AAH-7013-2021</t>
  </si>
  <si>
    <t>Fiske, Amelia/0000-0001-7207-6897; Henningsen, Peter/0000-0003-2060-1279</t>
  </si>
  <si>
    <t>479</t>
  </si>
  <si>
    <t>608</t>
  </si>
  <si>
    <t>578</t>
  </si>
  <si>
    <t>JMIR PUBLICATIONS, INC</t>
  </si>
  <si>
    <t>TORONTO</t>
  </si>
  <si>
    <t>130 QUEENS QUAY East, Unit 1100, TORONTO, ON M5A 0P6, CANADA</t>
  </si>
  <si>
    <t>1439-4456</t>
  </si>
  <si>
    <t>1438-8871</t>
  </si>
  <si>
    <t>J MED INTERNET RES</t>
  </si>
  <si>
    <t>J. Med. Internet Res.</t>
  </si>
  <si>
    <t>MAY 9 2019</t>
  </si>
  <si>
    <t>e13216</t>
  </si>
  <si>
    <t>10.2196/13216</t>
  </si>
  <si>
    <t>http://dx.doi.org/10.2196/13216</t>
  </si>
  <si>
    <t>HX7MB</t>
  </si>
  <si>
    <t>31094356</t>
  </si>
  <si>
    <t>WOS:000467588000001</t>
  </si>
  <si>
    <t>202</t>
  </si>
  <si>
    <t>Strom, P; Kartasalo, K; Olsson, H; Solorzano, L; Delahunt, B; Berney, DM; Bostwick, DG; Evans, AJ; Grignon, DJ; Humphrey, PA; Iczkowski, KA; Kench, JG; Kristiansen, G; van der Kwast, TH; Leite, KRM; McKenney, JK; Oxley, J; Pan, CC; Samaratunga, H; Srigley, JR; Takahashi, H; Tsuzuki, T; Varma, M; Zhou, M; Lindberg, J; Lindskog, C; Ruusuvuori, P; Wählby, C; Gronberg, H; Rantalainen, M; Egevad, L; Eklund, M</t>
  </si>
  <si>
    <t>Background An increasing volume of prostate biopsies and a worldwide shortage of urological pathologists puts a strain on pathology departments. Additionally, the high intra-observer and inter-observer variability in grading can result in overtreatment and undertreatment of prostate cancer. To alleviate these problems, we aimed to develop an artificial intelligence (AI) system with clinically acceptable accuracy for prostate cancer detection, localisation, and Gleason grading.Methods We digitised 6682 slides from needle core biopsies from 976 randomly selected participants aged 50-69 in the Swedish prospective and population-based STHLM3 diagnostic study done between May 28,2012, and Dec 30,2014 (ISRCTN84445406), and another 271 from 93 men from outside the study. The resulting images were used to train deep neural networks for assessment of prostate biopsies. The networks were evaluated by predicting the presence, extent, and Gleason grade of malignant tissue for an independent test dataset comprising 1631 biopsies from 246 men from STHLM3 and an external validation dataset of 330 biopsies from 73 men. We also evaluated grading performance on 87 biopsies individually graded by 23 experienced urological pathologists from the International Society of Urological Pathology. We assessed discriminatory performance by receiver operating characteristics and tumour extent predictions by correlating predicted cancer length against measurements by the reporting pathologist. We quantified the concordance between grades assigned by the AI system and the expert urological pathologists using Cohen's kappa.Findings The AI achieved an area under the receiver operating characteristics curve of 0.997 (95% CI 0.994-0.999) for distinguishing between benign (n=910) and malignant (n=721) biopsy cores on the independent test dataset and 0.986 (0.972-0.996) on the external validation dataset (benign n=108, malignant n=222). The correlation between cancer length predicted by the AI and assigned by the reporting pathologist was 0.96 (95% CI 0.95-0.97) for the independent test dataset and 0.87 (0.84-0.90) for the external validation dataset. For assigning Gleason grades, the AI achieved a mean pairwise kappa of 0.62, which was within the range of the corresponding values for the expert pathologists (0.60-0.73).Interpretation An AI system can be trained to detect and grade cancer in prostate needle biopsy samples at a ranking comparable to that of international experts in prostate pathology. Clinical application could reduce pathology workload by reducing the assessment of benign biopsies and by automating the task of measuring cancer length in positive biopsy cores. An AI system with expert-level grading performance might contribute a second opinion, aid in standardising grading, and provide pathology expertise in parts of the world where it does not exist. Copyright (C) 2020 Elsevier Ltd. All rights reserved.</t>
  </si>
  <si>
    <t>Strom, Peter; Kartasalo, Kimmo; Olsson, Henrik; Solorzano, Leslie; Delahunt, Brett; Berney, Daniel M.; Bostwick, David G.; Evans, Andrew J.; Grignon, David J.; Humphrey, Peter A.; Iczkowski, Kenneth A.; Kench, James G.; Kristiansen, Glen; van der Kwast, Theodorus H.; Leite, Katia R. M.; McKenney, Jesse K.; Oxley, Jon; Pan, Chin-Chen; Samaratunga, Hemamali; Srigley, John R.; Takahashi, Hiroyuki; Tsuzuki, Toyonori; Varma, Murali; Zhou, Ming; Lindberg, Johan; Lindskog, Cecilia; Ruusuvuori, Pekka; Wahlby, Carolina; Gronberg, Henrik; Rantalainen, Mattias; Egevad, Lars; Eklund, Martin</t>
  </si>
  <si>
    <t>Eklund, M (corresponding author), Karolinska Inst, Dept Med Epidemiol &amp; Biostat, SE-17177 Stockholm, Sweden.</t>
  </si>
  <si>
    <t>martin.eklund@ki.se</t>
  </si>
  <si>
    <t>Swedish Research Council; Swedish Cancer Society; Swedish Research Council for Health, Working Life, and Welfare; Swedish eScience Research Center; Walter Ahlstrom Foundation; Tutkijat maailmalle programme; Academy of Finland [313921]; Cancer Society of Finland; Emil Aaltonen Foundation; Finnish Foundation for Technology Promotion; Industrial Research Fund of Tampere University of Technology; KAUTE Foundation; Orion Research Foundation; Svenska Tekniska Vetenskapsakademien i Finland; Tampere University Foundation; Tampere University graduate school; Finnish Society of Information Technology and Electronics; TUT on World Tour programme; European Research Council [ERC-2015-CoG 682810]; EIT Health</t>
  </si>
  <si>
    <t>Swedish Research Council (Swedish Research Council); Swedish Cancer Society (Cancerfondon); Swedish Research Council for Health, Working Life, and Welfare (Swedish Research Council for Health Working Life &amp; Welfare (Forte)); Swedish eScience Research Center; Walter Ahlstrom Foundation; Tutkijat maailmalle programme; Academy of Finland (Research Council of Finland); Cancer Society of Finland; Emil Aaltonen Foundation (Emil Aaltonen Foundation); Finnish Foundation for Technology Promotion; Industrial Research Fund of Tampere University of Technology; KAUTE Foundation (ACEV Foundation); Orion Research Foundation; Svenska Tekniska Vetenskapsakademien i Finland; Tampere University Foundation; Tampere University graduate school; Finnish Society of Information Technology and Electronics; TUT on World Tour programme; European Research Council (European Research Council (ERC)); EIT Health</t>
  </si>
  <si>
    <t>Funding was provided by the Swedish Research Council, Swedish Cancer Society, Swedish Research Council for Health, Working Life, and Welfare, Swedish eScience Research Center, Walter Ahlstrom Foundation, Tutkijat maailmalle programme, Academy of Finland (313921), Cancer Society of Finland, Emil Aaltonen Foundation, Finnish Foundation for Technology Promotion, Industrial Research Fund of Tampere University of Technology, KAUTE Foundation, Orion Research Foundation, Svenska Tekniska Vetenskapsakademien i Finland, Tampere University Foundation, Tampere University graduate school, The Finnish Society of Information Technology and Electronics, TUT on World Tour programme, the European Research Council (grant ERC-2015-CoG 682810), and EIT Health. The Tampere Center for Scientific Computing and CSC-IT Center for Science, Finland are acknowledged for providing computational resources. ME and MR report funding from the Swedish Research Council and Swedish Cancer Society. ME reports funding from the Swedish Research Council for Health, Working Life, and Welfare, and Swedish eScience Research Center. The Saint Goran Hospital, Stockholm, is acknowledged for providing additional high-grade slides as training data. Carin Cavalli-Bjorkman, Britt-Marie Hune, Astrid Bjorklund, and Olof Cavalli-Bjorkman have been instrumental in logistical handling of the glass slides. Hannu Hakkola, Tomi Hakkinen, Leena Latonen, Kaisa Liimatainen, Teemu Tolonen, Masi Valkonen, and Mira Valkonen are acknowledged for their helpful advice. We thank the participants in the Stockholm-3 study for their participation.</t>
  </si>
  <si>
    <t>[Strom, Peter; Olsson, Henrik; Lindberg, Johan; Gronberg, Henrik; Rantalainen, Mattias; Eklund, Martin] Karolinska Inst, Dept Med Epidemiol &amp; Biostat, Stockholm, Sweden; [Egevad, Lars] Karolinska Inst, Dept Pathol &amp; Oncol, Stockholm, Sweden; [Kartasalo, Kimmo; Ruusuvuori, Pekka] Tampere Univ, Fac Med &amp; Hlth Technol, Tampere, Finland; [Solorzano, Leslie; Wahlby, Carolina] Uppsala Univ, Ctr Image Anal, Dept Informat Technol, Uppsala, Sweden; [Lindskog, Cecilia] Uppsala Univ, Dept Immunol Genet &amp; Pathol, Uppsala, Sweden; [Delahunt, Brett] Univ Otago, Wellington Sch Med &amp; Hlth Sci, Dept Pathol &amp; Mol Med, Wellington, New Zealand; [Berney, Daniel M.] Queen Mary Univ London, Barts Canc Inst, London, England; [Bostwick, David G.] Bostwick Labs, Orlando, FL USA; [Evans, Andrew J.; van der Kwast, Theodorus H.] Toronto Gen Hosp, Univ Hlth Network, Toronto, ON, Canada; [Grignon, David J.] Indiana Univ Sch Med, Dept Pathol &amp; Lab Med, Indianapolis, IN 46202 USA; [Humphrey, Peter A.] Yale Univ, Sch Med, Dept Pathol, New Haven, CT 06510 USA; [Iczkowski, Kenneth A.] Med Coll Wisconsin, Dept Pathol, Milwaukee, WI 53226 USA; [Kench, James G.] Royal Prince Alfred Hosp, Dept Tissue Pathol &amp; Diagnost Oncol, Sydney, NSW, Australia; [Kench, James G.] Univ Sydney, Cent Clin Sch, Sydney, NSW, Australia; [Kristiansen, Glen] Univ Hosp Bonn, Inst Pathol, Bonn, Germany; [Leite, Katia R. M.] Univ Sao Paulo, Sch Med, Dept Urol Lab Med Res, Sao Paulo, Brazil; [McKenney, Jesse K.] Cleveland Clin, Pathol &amp; Lab Med Inst, Cleveland, OH 44106 USA; [Oxley, Jon] Southmead Hosp, Dept Cellular Pathol, Bristol, Avon, England; [Pan, Chin-Chen] Taipei Vet Gen Hosp, Dept Pathol, Taipei, Taiwan; [Samaratunga, Hemamali] Aquesta Uropathol &amp; Univ Queensland, Brisbane, Qld, Australia; [Srigley, John R.] Univ Toronto, Dept Lab Med &amp; Pathobiol, Toronto, ON, Canada; [Takahashi, Hiroyuki] Jikei Univ, Dept Pathol, Sch Med, Tokyo, Japan; [Tsuzuki, Toyonori] Aichi Med Univ, Sch Med, Dept Surg Pathol, Nagakute, Aichi, Japan; [Varma, Murali] Univ Wales Hosp, Dept Cellular Pathol, Cardiff, Wales; [Zhou, Ming] Univ Texas Southwestern Med Ctr Dallas, Dept Pathol, Dallas, TX 75390 USA; [Wahlby, Carolina] BioImage Informat Facil SciLifeLab, Uppsala, Sweden; [Gronberg, Henrik] St Goran Hosp, Dept Oncol, Stockholm, Sweden</t>
  </si>
  <si>
    <t>Karolinska Institutet; Karolinska Institutet; Tampere University; Uppsala University; Uppsala University; University of Otago; University of London; Queen Mary University London; University of Toronto; University Health Network Toronto; Toronto General Hospital; Indiana University System; Indiana University Bloomington; Yale University; Medical College of Wisconsin; NSW Health; University of Sydney; Royal Prince Alfred Hospital; University of Sydney; University of Bonn; Universidade de Sao Paulo; Cleveland Clinic Foundation; Southmead Hospital; Taipei Veterans General Hospital; University of Queensland; University of Toronto; Jikei University; Aichi Medical University; Cardiff University; University of Texas System; University of Texas Southwestern Medical Center; SciLifeLab</t>
  </si>
  <si>
    <t>Artificial intelligence for diagnosis and grading of prostate cancer in biopsies: a population-based, diagnostic study</t>
  </si>
  <si>
    <t>INTEROBSERVER; PATHOLOGY; PATTERNS</t>
  </si>
  <si>
    <t>Lindberg, Johan/F-4104-2011; Tsuzuki, Toyonori/GRJ-7409-2022; Samaratunga, Hemamali/D-1559-2013; Leite, Katia/C-2055-2008; Lindskog, Cecilia/AAO-2441-2021; Bostwick, David/MFI-5158-2025; Rantalainen, Mattias/J-3125-2012; Ruusuvuori, Pekka/AAC-2617-2022</t>
  </si>
  <si>
    <t>Kartasalo, Kimmo/0000-0002-9470-4783; Lindberg, Johan/0000-0003-3610-6774; Tsuzuki, Toyonori/0000-0002-4855-4366; Samaratunga, Hemamali/0000-0001-5796-1791; Egevad, Lars/0000-0001-8531-222X; Leite, Katia/0000-0002-2615-7730; Rantalainen, Mattias/0000-0002-7740-2986; Ruusuvuori, Pekka/0000-0001-9086-9591</t>
  </si>
  <si>
    <t>475</t>
  </si>
  <si>
    <t>536</t>
  </si>
  <si>
    <t>FEB 2020</t>
  </si>
  <si>
    <t>222</t>
  </si>
  <si>
    <t>232</t>
  </si>
  <si>
    <t>10.1016/S1470-2045(19)30738-7</t>
  </si>
  <si>
    <t>http://dx.doi.org/10.1016/S1470-2045(19)30738-7</t>
  </si>
  <si>
    <t>KH2MN</t>
  </si>
  <si>
    <t>31926806</t>
  </si>
  <si>
    <t>WOS:000510481800031</t>
  </si>
  <si>
    <t>The CONSORT 2010 statement provides minimum guidelines for reporting randomized trials. Its widespread use has been instrumental in ensuring transparency in the evaluation of new interventions. More recently, there has been a growing recognition that interventions involving artificial intelligence (AI) need to undergo rigorous, prospective evaluation to demonstrate impact on health outcomes. The CONSORT-AI (Consolidated Standards of Reporting Trials-Artificial Intelligence) extension is a new reporting guideline for clinical trials evaluating interventions with an AI component. It was developed in parallel with its companion statement for clinical trial protocols: SPIRIT-AI (Standard Protocol Items: Recommendations for Interventional Trials-Artificial Intelligence). Both guidelines were developed through a staged consensus process involving literature review and expert consultation to generate 29 candidate items, which were assessed by an international multi-stakeholder group in a two-stage Delphi survey (103 stakeholders), agreed upon in a two-day consensus meeting (31 stakeholders) and refined through a checklist pilot (34 participants). The CONSORT-AI extension includes 14 new items that were considered sufficiently important for AI interventions that they should be routinely reported in addition to the core CONSORT 2010 items. CONSORT-AI recommends that investigators provide clear descriptions of the AI intervention, including instructions and skills required for use, the setting in which the AI intervention is integrated, the handling of inputs and outputs of the AI intervention, the human-AI interaction and provision of an analysis of error cases. CONSORT-AI will help promote transparency and completeness in reporting clinical trials for AI interventions. It will assist editors and peer reviewers, as well as the general readership, to understand, interpret and critically appraise the quality of clinical trial design and risk of bias in the reported outcomes. The CONSORT-AI and SPIRIT-AI extensions improve the transparency of clinical trial design and trial protocol reporting for artificial intelligence interventions.</t>
  </si>
  <si>
    <t>Denniston, AK (corresponding author), Univ Birmingham, Inst Inflammat &amp; Ageing, Acad Unit Ophthalmol, Birmingham, W Midlands, England.; Denniston, AK (corresponding author), Univ Hosp Birmingham NHS Fdn Trust, Birmingham, W Midlands, England.; Denniston, AK (corresponding author), Hlth Data Res UK, London, England.; Denniston, AK (corresponding author), Univ Birmingham, Birmingham Hlth Partners Ctr Regulatory Sci &amp; Inn, Birmingham, W Midlands, England.; Denniston, AK (corresponding author), Univ Birmingham, Inst Appl Hlth Res, Ctr Patient Reported Outcomes Res, Birmingham, W Midlands, England.; Denniston, AK (corresponding author), Moorfields Eye Hosp NHS Fdn Trust, NIHR Biomed Res Ctr, London, England.; Denniston, AK (corresponding author), UCL Inst Ophthalmol, London, England.</t>
  </si>
  <si>
    <t>FLF [MR/T019050/1] Funding Source: UKRI; ISCF [MC_PC_19005] Funding Source: UKRI; National Heart Lung and Blood Institute [K01HL141771] Funding Source: NIH RePORTER; Alan Turing Institute [TU/ASG/R-SPEH-113] Funding Source: researchfish; Medical Research Council [MC_PC_19005, HDR-9002] Funding Source: researchfish; National Institute for Health Research [CS-2014-14-023] Funding Source: researchfish</t>
  </si>
  <si>
    <t>FLF (UK Research &amp; Innovation (UKRI)); ISCF (UK Research &amp; Innovation (UKRI)); National Heart Lung and Blood Institute (United States Department of Health &amp; Human Services, National Institutes of Health (NIH) - USA, NIH National Heart Lung &amp; Blood Institute (NHLBI)); Alan Turing Institute; Medical Research Council (UK Research &amp; Innovation (UKRI), Medical Research Council UK (MRC)); National Institute for Health Research (National Institutes of Health Research (NIHR))</t>
  </si>
  <si>
    <t>[Liu, Xiaoxuan] Moorfields Eye Hosp NHS Fdn Trust, London, England; [Liu, Xiaoxuan; Denniston, Alastair K.] Univ Birmingham, Inst Inflammat &amp; Ageing, Acad Unit Ophthalmol, Birmingham, W Midlands, England; [Liu, Xiaoxuan; Calvert, Melanie J.; Denniston, Alastair K.] Univ Hosp Birmingham NHS Fdn Trust, Birmingham, W Midlands, England; [Liu, Xiaoxuan; Calvert, Melanie J.; Denniston, Alastair K.] Hlth Data Res UK, London, England; [Liu, Xiaoxuan; Rivera, Samantha Cruz; Calvert, Melanie J.; Denniston, Alastair K.] Univ Birmingham, Birmingham Hlth Partners Ctr Regulatory Sci &amp; Inn, Birmingham, W Midlands, England; [Rivera, Samantha Cruz; Calvert, Melanie J.; Denniston, Alastair K.] Univ Birmingham, Inst Appl Hlth Res, Ctr Patient Reported Outcomes Res, Birmingham, W Midlands, England; [Rivera, Samantha Cruz] Univ Birmingham, Inst Appl Hlth Res, Birmingham, W Midlands, England; [Moher, David] Ottawa Hosp Res Inst, Ctr Journalol, Clin Epidemiol Program, Ottawa, ON, Canada; [Moher, David] Univ Ottawa, Sch Epidemiol &amp; Publ Hlth, Fac Med, Ottawa, ON, Canada; [Calvert, Melanie J.] Univ Birmingham, Birmingham Biomed Res Ctr, Natl Inst Hlth Res, Birmingham, W Midlands, England; [Calvert, Melanie J.] Natl Inst Hlth Res Appl Res Collaborat West Midla, Coventry, W Midlands, England; [Calvert, Melanie J.] Univ Birmingham, Surg Reconstruct &amp; Microbiol Ctr, Natl Inst Hlth Res, Birmingham, W Midlands, England; [Denniston, Alastair K.] Moorfields Eye Hosp NHS Fdn Trust, NIHR Biomed Res Ctr, London, England; [Denniston, Alastair K.] UCL Inst Ophthalmol, London, England</t>
  </si>
  <si>
    <t>University of London; University College London; Moorfields Eye Hospital NHS Foundation Trust; University of Birmingham; University of Birmingham; University of Birmingham; University of Birmingham; University of Birmingham; University of Ottawa; Ottawa Hospital Research Institute; University of Ottawa; University of Birmingham; University of Birmingham; University of London; University College London; Moorfields Eye Hospital NHS Foundation Trust; University of London; University College London</t>
  </si>
  <si>
    <t>SPIRT-AI CONSORT-AI Working Grp</t>
  </si>
  <si>
    <t>RANDOMIZED-TRIALS; SYSTEM; STATEMENT; QUALITY; PREDICTION; CANCER</t>
  </si>
  <si>
    <t>Denniston, Alastair/ABD-1238-2020; Calvert, Melanie/F-7055-2011; Moher, David/I-3408-2019</t>
  </si>
  <si>
    <t>474</t>
  </si>
  <si>
    <t>535</t>
  </si>
  <si>
    <t>SEP 2020</t>
  </si>
  <si>
    <t>1364</t>
  </si>
  <si>
    <t>10.1038/s41591-020-1034-x</t>
  </si>
  <si>
    <t>http://dx.doi.org/10.1038/s41591-020-1034-x</t>
  </si>
  <si>
    <t>PF3EM</t>
  </si>
  <si>
    <t>WOS:000598942000021</t>
  </si>
  <si>
    <t>hybrid; Green Accepted; Green Submitted</t>
  </si>
  <si>
    <t>Liu, YH; Han, TL; Ma, SY; Zhang, JY; Yang, YY; Tian, JM; He, H; Li, AT; He, MS; Liu, ZL; Wu, ZH; Zhao, L; Zhu, DJ; Li, X; Qiang, N; Shen, DG; Liu, TM; Ge, B</t>
  </si>
  <si>
    <t>This paper presents a comprehensive survey of ChatGPT-related (GPT-3.5 and GPT-4) research, state-of-the-art large language models (LLM) from the GPT series, and their prospective applications across diverse domains. Indeed, key innovations such as large-scale pre-training that captures knowledge across the entire world wide web, instruction fine-tuning and Reinforcement Learning from Human Feedback (RLHF) have played significant roles in enhancing LLMs'adaptability and performance. We performed an in-depth analysis of 194 relevant papers on arXiv, encompassing trend analysis, word cloud representation, and distribution analysis across various application domains. The findings reveal a significant and increasing interest in ChatGPT-related research, predominantly centered on direct natural language processing applications, while also demonstrating considerable potential in areas ranging from education and history to mathematics, medicine, and physics. This study endeavors to furnish insights into ChatGPT's capabilities, potential implications, ethical concerns, and offer direction for future advancements in this field.</t>
  </si>
  <si>
    <t>Liu, Yiheng; Han, Tianle; Ma, Siyuan; Zhang, Jiayue; Yang, Yuanyuan; Tian, Jiaming; He, Hao; Li, Antong; He, Mengshen; Liu, Zhengliang; Wu, Zihao; Zhao, Lin; Zhu, Dajiang; Li, Xiang; Qiang, Ning; Shen, Dingang; Liu, Tianming; Ge, Bao</t>
  </si>
  <si>
    <t>Ge, B (corresponding author), Shaanxi Normal Univ, Sch Phys &amp; Informat Technol, Xian 710119, Shaanxi, Peoples R China.</t>
  </si>
  <si>
    <t>bob_ge@snnu.edu.cn</t>
  </si>
  <si>
    <t>National Natural Science Foundation of China [61976131]</t>
  </si>
  <si>
    <t>National Natural Science Foundation of China (National Natural Science Foundation of China (NSFC))</t>
  </si>
  <si>
    <t>Acknowledgements This work was supported by the National Natural Science Foundation of China (No. 61976131) .</t>
  </si>
  <si>
    <t>[Liu, Yiheng; Han, Tianle; Ma, Siyuan; Zhang, Jiayue; Yang, Yuanyuan; Tian, Jiaming; He, Hao; He, Mengshen; Qiang, Ning; Ge, Bao] Shaanxi Normal Univ, Sch Phys &amp; Informat Technol, Xian 710119, Shaanxi, Peoples R China; [Li, Antong] Xi An Jiao Tong Univ, Sch Life &amp; Technol Biomed Engn, Xian 710119, Shaanxi, Peoples R China; [Liu, Zhengliang; Wu, Zihao; Zhao, Lin; Liu, Tianming] Univ Georgia, Sch Comp, Athens, GA 30602 USA; [Zhu, Dajiang] Univ Texas Arlington, Dept Comp Sci &amp; Engn, Arlington, TX 76019 USA; [Li, Xiang] Massachusetts Gen Hosp, Dept Radiol, Boston, MA 02115 USA; [Shen, Dingang] ShanghaiTech Univ, Sch Biomed Engn, Shanghai 201210, Peoples R China; [Shen, Dingang] Shanghai United Imaging Intelligence Co Ltd, Shanghai 200230, Peoples R China; [Shen, Dingang] Shanghai Clin Res &amp; Trial Ctr, Shanghai 201210, Peoples R China</t>
  </si>
  <si>
    <t>Shaanxi Normal University; Xi'an Jiaotong University; University System of Georgia; University of Georgia; University of Texas System; University of Texas Arlington; Harvard University; Harvard University Medical Affiliates; Massachusetts General Hospital; ShanghaiTech University</t>
  </si>
  <si>
    <t>Summary of ChatGPT-Related research and perspective towards the future of large language models</t>
  </si>
  <si>
    <t>META-RADIOLOGY</t>
  </si>
  <si>
    <t>Zhao, Lin/ABM-7665-2022; Ma, Siyuan/IVV-8174-2023; /ABZ-5091-2022; Li, Xiang/J-6924-2019; wu, zihao/R-8745-2019; Liu, Tianming/GLS-1211-2022</t>
  </si>
  <si>
    <t>111</t>
  </si>
  <si>
    <t>473</t>
  </si>
  <si>
    <t>KEAI PUBLISHING LTD</t>
  </si>
  <si>
    <t>BEIJING</t>
  </si>
  <si>
    <t>16 DONGHUANGCHENGGEN NORTH ST, Building 5, Room 411, BEIJING, DONGCHENG DISTRICT 100009, PEOPLES R CHINA</t>
  </si>
  <si>
    <t>2950-1628</t>
  </si>
  <si>
    <t>Meta-Radiology</t>
  </si>
  <si>
    <t>100017</t>
  </si>
  <si>
    <t>10.1016/j.metrad.2023.100017</t>
  </si>
  <si>
    <t>http://dx.doi.org/10.1016/j.metrad.2023.100017</t>
  </si>
  <si>
    <t>AUG 2023</t>
  </si>
  <si>
    <t>Computer Science, Artificial Intelligence; Computer Science, Interdisciplinary Applications; Radiology, Nuclear Medicine &amp; Medical Imaging</t>
  </si>
  <si>
    <t>Computer Science; Radiology, Nuclear Medicine &amp; Medical Imaging</t>
  </si>
  <si>
    <t>7RH8V</t>
  </si>
  <si>
    <t>WOS:001577805500001</t>
  </si>
  <si>
    <t>Castiglioni, I; Rundo, L; Codari, M; Di Leo, G; Salvatore, C; Interlenghi, M; Gallivanone, F; Cozzi, A; D'Amico, NC; Sardanelli, F</t>
  </si>
  <si>
    <t>Purpose: Artificial intelligence (AI) models are playing an increasing role in biomedical research and healthcare services. This review focuses on challenges points to be clarified about how to develop AI applications as clinical decision support systems in the real-world context.Methods: A narrative review has been performed including a critical assessment of articles published between 1989 and 2021 that guided challenging sections.Results: We first illustrate the architectural characteristics of machine learning (ML)/radiomics and deep learning (DL) approaches. For ML/radiomics, the phases of feature selection and of training, validation, and testing are described. DL models are presented as multi-layered artificial/convolutional neural networks, allowing us to directly process images. The data curation section includes technical steps such as image labelling, image annotation (with segmentation as a crucial step in radiomics), data harmonization (enabling compensation for differences in imaging protocols that typically generate noise in non-AI imaging studies) and federated learning. Thereafter, we dedicate specific sections to: sample size calculation, considering multiple testing in AI approaches; procedures for data augmentation to work with limited and unbalanced datasets; and the interpretability of AI models (the so-called black box issue). Pros and cons for choosing ML versus DL to implement AI applications to medical imaging are finally presented in a synoptic way.Conclusions: Biomedicine and healthcare systems are one of the most important fields for AI applications and medical imaging is probably the most suitable and promising domain. Clarification of specific challenging points facilitates the development of such systems and their translation to clinical practice.</t>
  </si>
  <si>
    <t>Castiglioni, Isabella; Rundo, Leonardo; Codari, Marina; Leo, Giovanni Di; Salvatore, Christian; Interlenghi, Matteo; Gallivanone, Francesca; Cozzi, Andrea; D'Amico, Natascha Claudia; Sardanelli, Francesco</t>
  </si>
  <si>
    <t>Salvatore, C (corresponding author), DeepTrace Technol Srl, Via Conservatorio 17, I-20122 Milan, Italy.</t>
  </si>
  <si>
    <t>francesco.sardanelli@unimi.it; salvatore@deeptracetech.com; nataschaclaudia.damico@cdi.it; lr495@cam.ac.uk; mcodari@stanford.edu; francesca.gallivanone@ibfm.cnr.it; andrea.cozzi1@unimi.it; isabella.castiglioni@unimib.it; gianni.dileo77@gmail.com; interlenghi@deeptracetech.com</t>
  </si>
  <si>
    <t>Mark Foundation for Cancer Research and Cancer Research UK Cambridge Centre [C9685/A25177]; National Institute of Health Research (NIHR) Cambridge Biomedical Research Centre [BRC-1215-20014]</t>
  </si>
  <si>
    <t>Mark Foundation for Cancer Research and Cancer Research UK Cambridge Centre; National Institute of Health Research (NIHR) Cambridge Biomedical Research Centre (National Institutes of Health Research (NIHR))</t>
  </si>
  <si>
    <t>This work was partially supported by The Mark Foundation for Cancer Research and Cancer Research UK Cambridge Centre [C9685/A25177]. Additional support has been provided by the National Institute of Health Research (NIHR) Cambridge Biomedical Research Centre (BRC-1215-20014). The views expressed are those of the authors and not necessarily those of the NIHR or the Department of Health and Social Care.</t>
  </si>
  <si>
    <t>[Castiglioni, Isabella] Univ Milano Bicocca, Dept Phys, Piazza Sci 3, I-20126 Milan, Italy; [Castiglioni, Isabella; Gallivanone, Francesca] CNR, Inst Biomed Imaging &amp; Physiol, Via Fratelli Cervi 93, I-20090 Segrate, Italy; [Rundo, Leonardo] Cambridge Biomed Campus, Dept Radiol, Box 218, Cambridge CB2 0QQ, England; [Rundo, Leonardo] Univ Cambridge, Li Ka Shing Ctr, Canc Res UK Cambridge Ctr, Robinson Way, Cambridge CB2 0RE, England; [Codari, Marina] Stanford Univ, Sch Med, Dept Radiol, 300 Pasteur Dr, Stanford, CA 94305 USA; [Leo, Giovanni Di; Sardanelli, Francesco] IRCCS Policlin San Donato, Unit Radiol, Via Rodolfo Morandi 30, I-20097 San Donato Milanese, Italy; [Salvatore, Christian] Scuola Univ Super IUSS Pavia, Piazza Vittoria 15, I-27100 Pavia, Italy; [Salvatore, Christian; Interlenghi, Matteo] DeepTrace Technol Srl, Via Conservatorio 17, I-20122 Milan, Italy; [Cozzi, Andrea] Univ Milan, Dept Biomed Sci Hlth, Via Luigi Mangiagalli 31, I-20133 Milan, Italy; [D'Amico, Natascha Claudia] Ctr Diagnost Italiano SpA, Dept Diagnost Imaging &amp; Stereotact Radiosurg, Via St Bon 20, I-20147 Milan, Italy; [D'Amico, Natascha Claudia] Univ Campus BioMed Roma, Dept Engn, Unit Comp Syst &amp; Bioinformat, Via Alvaro Portillo 21, I-00128 Rome, Italy</t>
  </si>
  <si>
    <t>University of Milano-Bicocca; Consiglio Nazionale delle Ricerche (CNR); Cancer Research UK; University of Cambridge; CRUK Cambridge Institute; Stanford University; Stanford Medicine; IRCCS Policlinico San Donato; IUSS PAVIA; University of Milan; University Campus Bio-Medico - Rome Italy</t>
  </si>
  <si>
    <t>AI applications to medical images: From machine learning to deep learning</t>
  </si>
  <si>
    <t>PHYSICA MEDICA-EUROPEAN JOURNAL OF MEDICAL PHYSICS</t>
  </si>
  <si>
    <t>Artificial intelligence; Deep learning; Machine learning; Medical imaging; Radiomics</t>
  </si>
  <si>
    <t>CONVOLUTIONAL NEURAL-NETWORKS; FINITE-SAMPLE SIZE; ARTIFICIAL-INTELLIGENCE; FEATURE-SELECTION; BLACK-BOX; RADIOMICS; CLASSIFICATION; PERFORMANCE; VALIDATION; ALGORITHMS</t>
  </si>
  <si>
    <t>Cozzi, Andrea/C-5453-2019; Salvatore, Christian/J-9828-2016; Rundo, Leonardo/AAF-3999-2019; Interlenghi, Matteo/P-2330-2018; Codari, Marina/H-1595-2016; Sardanelli, Francesco/M-2917-2016; Castiglioni, Isabella/AAC-4949-2022</t>
  </si>
  <si>
    <t>Gallivanone, Francesca/0000-0001-6559-6157; Cozzi, Andrea/0000-0003-4922-7065; Salvatore, Christian/0000-0001-9312-4675; Rundo, Leonardo/0000-0003-3341-5483; Interlenghi, Matteo/0000-0002-3066-4276; Codari, Marina/0000-0001-8475-2071; Sardanelli, Francesco/0000-0001-6545-9427</t>
  </si>
  <si>
    <t>177</t>
  </si>
  <si>
    <t>468</t>
  </si>
  <si>
    <t>566</t>
  </si>
  <si>
    <t>ELSEVIER SCI LTD</t>
  </si>
  <si>
    <t>London</t>
  </si>
  <si>
    <t>125 London Wall, London, ENGLAND</t>
  </si>
  <si>
    <t>1120-1797</t>
  </si>
  <si>
    <t>1724-191X</t>
  </si>
  <si>
    <t>PHYS MEDICA</t>
  </si>
  <si>
    <t>Phys. Medica</t>
  </si>
  <si>
    <t>10.1016/j.ejmp.2021.02.006</t>
  </si>
  <si>
    <t>http://dx.doi.org/10.1016/j.ejmp.2021.02.006</t>
  </si>
  <si>
    <t>SM9JA</t>
  </si>
  <si>
    <t>33662856</t>
  </si>
  <si>
    <t>WOS:000657912000002</t>
  </si>
  <si>
    <t>hybrid</t>
  </si>
  <si>
    <t>Adel, A</t>
  </si>
  <si>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</si>
  <si>
    <t>Adel, Amr</t>
  </si>
  <si>
    <t>Adel, A (corresponding author), Yoobee Coll Creat Technol, Sch OfTechnol, Auckland, New Zealand.</t>
  </si>
  <si>
    <t>Amr.adel@aut.ac.nz</t>
  </si>
  <si>
    <t>[Adel, Amr] Yoobee Coll Creat Technol, Sch OfTechnol, Auckland, New Zealand</t>
  </si>
  <si>
    <t>Future of industry 5.0 in society: human-centric solutions, challenges and prospective research areas</t>
  </si>
  <si>
    <t>JOURNAL OF CLOUD COMPUTING-ADVANCES SYSTEMS AND APPLICATIONS</t>
  </si>
  <si>
    <t>Industry 5.0; Human machine collaboration; Supply chain; Disaster recovery; Smart healthcare; Cognitive systems; Green manufacturing</t>
  </si>
  <si>
    <t>BLOCKCHAIN TECHNOLOGY; ARTIFICIAL-INTELLIGENCE; SMART CITIES; INTERNET; SUSTAINABILITY; OPPORTUNITIES; REQUIREMENTS; FUNDAMENTALS; EDUCATION; SYSTEM</t>
  </si>
  <si>
    <t>Adel, Amr/IAR-2773-2023</t>
  </si>
  <si>
    <t>Adel, Amr/0000-0002-0632-0940</t>
  </si>
  <si>
    <t>465</t>
  </si>
  <si>
    <t>563</t>
  </si>
  <si>
    <t>772</t>
  </si>
  <si>
    <t>2192-113X</t>
  </si>
  <si>
    <t>J CLOUD COMPUT-ADV S</t>
  </si>
  <si>
    <t>J. Cloud Comput.-Adv. Syst. Appl.</t>
  </si>
  <si>
    <t>SEP 8 2022</t>
  </si>
  <si>
    <t>10.1186/s13677-022-00314-5</t>
  </si>
  <si>
    <t>http://dx.doi.org/10.1186/s13677-022-00314-5</t>
  </si>
  <si>
    <t>Computer Science, Information Systems</t>
  </si>
  <si>
    <t>4L1KU</t>
  </si>
  <si>
    <t>36101900</t>
  </si>
  <si>
    <t>WOS:000852395000001</t>
  </si>
  <si>
    <t>139</t>
  </si>
  <si>
    <t>Heo, J; Yoon, JG; Park, H; Kim, YD; Nam, HS; Heo, JH</t>
  </si>
  <si>
    <t>Background and Purpose-The prediction of long-term outcomes in ischemic stroke patients may be useful in treatment decisions. Machine learning techniques are being increasingly adapted for use in the medical field because of their high accuracy. This study investigated the applicability of machine learning techniques to predict long-term outcomes in ischemic stroke patients.Methods-This was a retrospective study using a prospective cohort that enrolled patients with acute ischemic stroke. Favorable outcome was defined as modified Rankin Scale score 0, 1, or 2 at 3 months. We developed 3 machine learning models (deep neural network, random forest, and logistic regression) and compared their predictability. To evaluate the accuracy of the machine learning models, we also compared them to the Acute Stroke Registry and Analysis of Lausanne (ASTRAL) score.Results-A total of 2604 patients were included in this study, and 2043 (78%) of them had favorable outcomes. The area under the curve for the deep neural network model was significantly higher than that of the ASTRAL score (0.888 versus 0.839; P&lt;0.001), while the areas under the curves of the random forest (0.857; P=0.136) and logistic regression (0.849; P=0.413) models were not significantly higher than that of the ASTRAL score. Using only the 6 variables that are used for the ASTRAL score, the performance of the machine learning models did not significantly differ from that of the ASTRAL score.Conclusions-Machine learning algorithms, particularly the deep neural network, can improve the prediction of long-term outcomes in ischemic stroke patients.</t>
  </si>
  <si>
    <t>Heo, JoonNyung; Yoon, Jihoon G.; Park, Hyungjong; Kim, Young Dae; Nam, Hyo Suk; Heo, Ji Hoe</t>
  </si>
  <si>
    <t>Heo, JH (corresponding author), Yonsei Univ, Coll Med, Dept Neurol, 50-1 Yonsei Ro, Seoul 03722, South Korea.</t>
  </si>
  <si>
    <t>jhheo@yuhs.ac</t>
  </si>
  <si>
    <t>Basic Science Research Program through the National Research Foundation of Korea (NRF) - Ministry of Education [NRF-2018R1A2A3074996]</t>
  </si>
  <si>
    <t>Basic Science Research Program through the National Research Foundation of Korea (NRF) - Ministry of Education (National Research Foundation of Korea, Ministry of Education (MOE), Republic of Korea)</t>
  </si>
  <si>
    <t>This study was supported by the Basic Science Research Program through the National Research Foundation of Korea (NRF) funded by the Ministry of Education (NRF-2018R1A2A3074996).</t>
  </si>
  <si>
    <t>[Heo, JoonNyung; Park, Hyungjong; Kim, Young Dae; Nam, Hyo Suk; Heo, Ji Hoe] Yonsei Univ, Coll Med, Dept Neurol, 50-1 Yonsei Ro, Seoul 03722, South Korea; [Yoon, Jihoon G.] Yonsei Univ, Coll Med, Dept Lab Med, Seoul, South Korea</t>
  </si>
  <si>
    <t>Yonsei University; Yonsei University Health System; Yonsei University; Yonsei University Health System</t>
  </si>
  <si>
    <t>Machine Learning-Based Model for Prediction of Outcomes in Acute Stroke</t>
  </si>
  <si>
    <t>STROKE</t>
  </si>
  <si>
    <t>cerebral infarction; machine learning; medical decision making; neural networks; stroke</t>
  </si>
  <si>
    <t>ISCHEMIC-STROKE</t>
  </si>
  <si>
    <t>Kim, Young Dae/Q-8498-2019; Heo, Ji Hoe/ABI-5389-2020; Park, Hyungjong/AAI-5361-2020; Yoon, Jihoon/KWT-9070-2024; Heo, JoonNyung/ABI-5389-2020</t>
  </si>
  <si>
    <t>Kim, Young Dae/0000-0001-5750-2616; Heo, Ji Hoe/0000-0001-9898-3321; Heo, Ji Hoe/0000-0001-9898-3321; NAM, HYO SUK/0000-0002-4415-3995; Yoon, Jihoon/0000-0002-4401-7803; Heo, JoonNyung/0000-0001-6287-6348</t>
  </si>
  <si>
    <t>532</t>
  </si>
  <si>
    <t>0039-2499</t>
  </si>
  <si>
    <t>1524-4628</t>
  </si>
  <si>
    <t>Stroke</t>
  </si>
  <si>
    <t>1263</t>
  </si>
  <si>
    <t>1265</t>
  </si>
  <si>
    <t>10.1161/STROKEAHA.118.024293</t>
  </si>
  <si>
    <t>http://dx.doi.org/10.1161/STROKEAHA.118.024293</t>
  </si>
  <si>
    <t>Clinical Neurology; Peripheral Vascular Disease</t>
  </si>
  <si>
    <t>Neurosciences &amp; Neurology; Cardiovascular System &amp; Cardiology</t>
  </si>
  <si>
    <t>IA1VG</t>
  </si>
  <si>
    <t>30890116</t>
  </si>
  <si>
    <t>WOS:000469350000056</t>
  </si>
  <si>
    <t>Hao, M; Li, HW; Luo, XZ; Xu, GW; Yang, HM; Liu, S</t>
  </si>
  <si>
    <t>By leveraging deep learning-based technologies, industrial artificial intelligence (IAI) has been applied to solve various industrial challenging problems in Industry 4.0. However, for privacy reasons, traditional centralized training may be unsuitable for sensitive data-driven industrial scenarios, such as healthcare and autopilot. Recently, federated learning has received widespread attention, since it enables participants to collaboratively learn a shared model without revealing their local data. However, studies have shown that, by exploiting the shared parameters adversaries can still compromise industrial applications such as auto-driving navigation systems, medical data in wearable devices, and industrial robots' decision making. In this article, to solve this problem, we propose an efficient and privacy-enhanced federated learning (PEFL) scheme for IAI. Compared with existing solutions, PEFL is noninteractive, and can prevent private data from being leaked even if multiple entities collude with each other. Moreover, extensive experiments with real-world data demonstrate the superiority of PEFL in terms of accuracy and efficiency.</t>
  </si>
  <si>
    <t>Hao, Meng; Li, Hongwei; Luo, Xizhao; Xu, Guowen; Yang, Haomiao; Liu, Sen</t>
  </si>
  <si>
    <t>Li, HW (corresponding author), Univ Elect Sci &amp; Technol China, Sch Comp Sci &amp; Engn, Chengdu 611731, Peoples R China.</t>
  </si>
  <si>
    <t>haomyang@uestc.edu.cn; xzluo@suda.edu.cn; guowen.xu@foxmail.com; menghao0303@foxmail.com; hongweili@uestc.edu.cn; 893551724@qq.com</t>
  </si>
  <si>
    <t>National Key R&amp;D Program of China [2017YFB0802300, 2017YFB0802000]; National Natural Science Foundation of China [61972454, 61802051, 61772121, 61728102, 61472065]; Peng Cheng Laboratory Project of Guangdong Province [PCL2018KP004]; Guangxi Key Laboratory of Cryptography and Information Security [GCIS201804, TII-19-2524]</t>
  </si>
  <si>
    <t>National Key R&amp;D Program of China (National Key Research &amp; Development Program of China); National Natural Science Foundation of China (National Natural Science Foundation of China (NSFC)); Peng Cheng Laboratory Project of Guangdong Province; Guangxi Key Laboratory of Cryptography and Information Security</t>
  </si>
  <si>
    <t>This work was supported in part by the National Key R&amp;D Program of China under Grant 2017YFB0802300 and Grant 2017YFB0802000, in part by the National Natural Science Foundation of China under Grant 61972454, Grant 61802051, Grant 61772121, Grant 61728102, and Grant 61472065, in part by the Peng Cheng Laboratory Project of Guangdong Province under Grant PCL2018KP004, and in part by the Guangxi Key Laboratory of Cryptography and Information Security under Grant GCIS201804. Paper no. TII-19-2524.</t>
  </si>
  <si>
    <t>[Hao, Meng; Li, Hongwei; Xu, Guowen; Yang, Haomiao; Liu, Sen] Univ Elect Sci &amp; Technol China, Sch Comp Sci &amp; Engn, Chengdu 611731, Peoples R China; [Hao, Meng; Li, Hongwei] Peng Cheng Lab, Cyberspace Secur Res Ctr, Shenzhen 518000, Peoples R China; [Luo, Xizhao] Soochow Univ, Sch Comp Sci &amp; Technol, Suzhou 215006, Peoples R China</t>
  </si>
  <si>
    <t>University of Electronic Science &amp; Technology of China; Peng Cheng Laboratory; Soochow University - China</t>
  </si>
  <si>
    <t>Efficient and Privacy-Enhanced Federated Learning for Industrial Artificial Intelligence</t>
  </si>
  <si>
    <t>IEEE TRANSACTIONS ON INDUSTRIAL INFORMATICS</t>
  </si>
  <si>
    <t>Training; Privacy; Cloud computing; Servers; Differential privacy; Informatics; Federated learning (FL); industrial artificial intelligence; privacy protection</t>
  </si>
  <si>
    <t>ENABLING EFFICIENT; BLOCKCHAIN; SCHEME; ATTACKS</t>
  </si>
  <si>
    <t>Xu, Guowen/ABC-2198-2022</t>
  </si>
  <si>
    <t>Yang, Haomiao/0000-0002-5968-3518; Xu, Guowen/0000-0002-9764-9345; Hao, Meng/0000-0002-1545-1926</t>
  </si>
  <si>
    <t>464</t>
  </si>
  <si>
    <t>531</t>
  </si>
  <si>
    <t>558</t>
  </si>
  <si>
    <t>1551-3203</t>
  </si>
  <si>
    <t>1941-0050</t>
  </si>
  <si>
    <t>IEEE T IND INFORM</t>
  </si>
  <si>
    <t>IEEE Trans. Ind. Inform.</t>
  </si>
  <si>
    <t>OCT. 2020</t>
  </si>
  <si>
    <t>6532</t>
  </si>
  <si>
    <t>6542</t>
  </si>
  <si>
    <t>10.1109/TII.2019.2945367</t>
  </si>
  <si>
    <t>http://dx.doi.org/10.1109/TII.2019.2945367</t>
  </si>
  <si>
    <t>Automation &amp; Control Systems; Computer Science, Interdisciplinary Applications; Engineering, Industrial</t>
  </si>
  <si>
    <t>MF3KF</t>
  </si>
  <si>
    <t>WOS:000545243500030</t>
  </si>
  <si>
    <t>Li, YZ; Chen, C; Liu, N; Huang, HW; Zheng, ZB; Yan, Q</t>
  </si>
  <si>
    <t>Federated learning has been widely studied and applied to various scenarios, such as financial credit, medical identification, and so on. Under these settings, federated learning protects users from exposing their private data, while cooperatively training a shared machine learning algorithm model (i.e., the global model) for a variety of realworld applications. The only data exchanged is the gradient of the model or the updated model (i.e., the local model update). However, the security of federated learning is increasingly being questioned, due to the malicious clients or central servers constant attack on the global model or user privacy data. To address these security issues, we propose a decentralized federated learning framework based on blockchain, that is, a Block-chain-based Federated Learning framework with Committee consensus (BFLC). Without a centralized server, the framework uses blockchain for the global model storage and the local model update exchange. To enable the proposed BFLC, we also devise an innovative committee consensus mechanism, which can effectively reduce the amount of consensus computing and reduce malicious attacks. We then discuss the scalability of BFLC, including theoretical security, storage optimization, and incentives. Finally, based on a FISCO blockchain system, we perform experiments using an AlexNet model on several frameworks with a real-world dataset FEMNIST. The experimental results demonstrate the effectiveness and security of the BFLC framework.</t>
  </si>
  <si>
    <t>Li, Yuzheng; Chen, Chuan; Liu, Nan; Huang, Huawei; Zheng, Zibin; Yan, Qiang</t>
  </si>
  <si>
    <t>Chen, C (corresponding author), Sun Yat Sen Univ, Sch Data &amp; Comp Sci, Guangzhou, Peoples R China.</t>
  </si>
  <si>
    <t>chenchuan@mail.sysu.edu.cn</t>
  </si>
  <si>
    <t>National Key Research and Development Program [2016YFB1000101]; National Natural Science Foundation of China [11801595, 61722214]; Natural Science Foundation of Guangdong [2018A030310076, 2019A1515011043]; CCF-Tencent Open Fund</t>
  </si>
  <si>
    <t>National Key Research and Development Program (National Key Research &amp; Development Program of China); National Natural Science Foundation of China (National Natural Science Foundation of China (NSFC)); Natural Science Foundation of Guangdong (National Natural Science Foundation of Guangdong Province); CCF-Tencent Open Fund</t>
  </si>
  <si>
    <t>The work described in this article was supported by the National Key Research and Development Program (2016YFB1000101); the National Natural Science Foundation of China (11801595, 61722214); the Natural Science Foundation of Guangdong (2018A030310076, 2019A1515011043); and the CCF-Tencent Open Fund WeBank Special Funding. The corresponding author is Chuan Chen (chenchuan@mail.sysu.edu.cn).</t>
  </si>
  <si>
    <t>[Li, Yuzheng; Chen, Chuan; Liu, Nan; Huang, Huawei; Zheng, Zibin] Sun Yat Sen Univ, Sch Data &amp; Comp Sci, Guangzhou, Peoples R China; [Yan, Qiang] WeBank Co Ltd, Shenzhen, Peoples R China</t>
  </si>
  <si>
    <t>Sun Yat Sen University</t>
  </si>
  <si>
    <t>A Blockchain-Based Decentralized Federated Learning Framework with Committee Consensus</t>
  </si>
  <si>
    <t>IEEE NETWORK</t>
  </si>
  <si>
    <t>Servers; Blockchain; Training; Data models; Security; Collaborative work; Task analysis</t>
  </si>
  <si>
    <t>Zheng, Zibin/E-3024-2014; li, Yuzheng/ISA-0864-2023; Huang, Huawei/O-3997-2018</t>
  </si>
  <si>
    <t>Chen, Chuan/0000-0002-7048-3445; Zheng, Zibin/0000-0002-7878-4330; Lin, Zhihao/0000-0002-3787-5324</t>
  </si>
  <si>
    <t>255</t>
  </si>
  <si>
    <t>0890-8044</t>
  </si>
  <si>
    <t>1558-156X</t>
  </si>
  <si>
    <t>IEEE Netw.</t>
  </si>
  <si>
    <t>JAN-FEB 2021</t>
  </si>
  <si>
    <t>234</t>
  </si>
  <si>
    <t>10.1109/MNET.011.2000263</t>
  </si>
  <si>
    <t>http://dx.doi.org/10.1109/MNET.011.2000263</t>
  </si>
  <si>
    <t>Computer Science, Hardware &amp; Architecture; Computer Science, Information Systems; Engineering, Electrical &amp; Electronic; Telecommunications</t>
  </si>
  <si>
    <t>RO6NJ</t>
  </si>
  <si>
    <t>WOS:000641159800035</t>
  </si>
  <si>
    <t>Lalmuanawma, S; Hussain, J; Chhakchhuak, L</t>
  </si>
  <si>
    <t>Background and objective: During the recent global urgency, scientists, clinicians, and healthcare experts around the globe keep on searching for a new technology to support in tackling the Covid-19 pandemic. The evidence of Machine Learning (ML) and Artificial Intelligence (AI) application on the previous epidemic encourage researchers by giving a new angle to fight against the novel Coronavirus outbreak. This paper aims to comprehensively review the role of AI and ML as one significant method in the arena of screening, predicting, forecasting, contact tracing, and drug development for SARS-CoV-2 and its related epidemic.Method: A selective assessment of information on the research article was executed on the databases related to the application of ML and AI technology on Covid-19. Rapid and critical analysis of the three crucial parameters, i.e., abstract, methodology, and the conclusion was done to relate to the model's possibilities for tackling the SARS-CoV-2 epidemic.Result: This paper addresses on recent studies that apply ML and AI technology towards augmenting the researchers on multiple angles. It also addresses a few errors and challenges while using such algorithms in real-world problems. The paper also discusses suggestions conveying researchers on model design, medical experts, and policymakers in the current situation while tackling the Covid-19 pandemic and ahead.Conclusion: The ongoing development in AI and ML has significantly improved treatment, medication, screening, prediction, forecasting, contact tracing, and drug/vaccine development process for the Covid-19 pandemic and reduce the human intervention in medical practice. However, most of the models are not deployed enough to show their real-world operation, but they are still up to the mark to tackle the SARS-CoV-2 epidemic. (C) 2020 Elsevier Ltd. All rights reserved.</t>
  </si>
  <si>
    <t>Lalmuanawma, Samuel; Hussain, Jamal; Chhakchhuak, Lalrinfela</t>
  </si>
  <si>
    <t>Lalmuanawma, S (corresponding author), Mizoram Univ, Dept Math &amp; Comp Sci, Aizawl 796004, Mizoram, India.</t>
  </si>
  <si>
    <t>samuellalmuanawma@mzu.edu.in</t>
  </si>
  <si>
    <t>[Lalmuanawma, Samuel; Hussain, Jamal] Mizoram Univ, Dept Math &amp; Comp Sci, Aizawl 796004, Mizoram, India; [Chhakchhuak, Lalrinfela] Univ York, Dept Comp, York YO10 5DD, N Yorkshire, England</t>
  </si>
  <si>
    <t>Mizoram University; University of York - UK</t>
  </si>
  <si>
    <t>Applications of machine learning and artificial intelligence for Covid-19 (SARS-CoV-2) pandemic: A review</t>
  </si>
  <si>
    <t>CHAOS SOLITONS &amp; FRACTALS</t>
  </si>
  <si>
    <t>Covid-19; Machine learning; Artificial intelligence; Pandemic</t>
  </si>
  <si>
    <t>Hussain, Jamal/HGU-0853-2022; Lalmuanawma, Samuel/AAH-9136-2019</t>
  </si>
  <si>
    <t>Hussain, Jamal/0000-0001-5553-3654; Lalmuanawma, Samuel/0000-0002-7327-2045</t>
  </si>
  <si>
    <t>556</t>
  </si>
  <si>
    <t>317</t>
  </si>
  <si>
    <t>0960-0779</t>
  </si>
  <si>
    <t>1873-2887</t>
  </si>
  <si>
    <t>CHAOS SOLITON FRACT</t>
  </si>
  <si>
    <t>Chaos Solitons Fractals</t>
  </si>
  <si>
    <t>110059</t>
  </si>
  <si>
    <t>10.1016/j.chaos.2020.110059</t>
  </si>
  <si>
    <t>http://dx.doi.org/10.1016/j.chaos.2020.110059</t>
  </si>
  <si>
    <t>Mathematics, Interdisciplinary Applications; Physics, Multidisciplinary; Physics, Mathematical</t>
  </si>
  <si>
    <t>Mathematics; Physics</t>
  </si>
  <si>
    <t>OP9TF</t>
  </si>
  <si>
    <t>32834612</t>
  </si>
  <si>
    <t>WOS:000588433800064</t>
  </si>
  <si>
    <t>Wahl, B; Cossy-Gantner, A; Germann, S; Schwalbe, NR</t>
  </si>
  <si>
    <t>The field of artificial intelligence (AI) has evolved considerably in the last 60 years. While there are now many AI applications that have been deployed in high-income country contexts, use in resource-poor settings remains relatively nascent. With a few notable exceptions, there are limited examples of AI being used in such settings. However, there are signs that this is changing. Several high-profile meetings have been convened in recent years to discuss the development and deployment of AI applications to reduce poverty and deliver a broad range of critical public services. We provide a general overview of AI and how it can be used to improve health outcomes in resource-poor settings. We also describe some of the current ethical debates around patient safety and privacy. Despite current challenges, AI holds tremendous promise for transforming the provision of healthcare services in resource-poor settings. Many health system hurdles in such settings could be overcome with the use of AI and other complementary emerging technologies. Further research and investments in the development of AI tools tailored to resource-poor settings will accelerate realising of the full potential of AI for improving global health.</t>
  </si>
  <si>
    <t>Wahl, Brian; Cossy-Gantner, Aline; Germann, Stefan; Schwalbe, Nina R.</t>
  </si>
  <si>
    <t>Wahl, B (corresponding author), Spark St Consulting, New York, NY 10013 USA.</t>
  </si>
  <si>
    <t>bpwahl@gmail.com</t>
  </si>
  <si>
    <t>Fondation Botnar</t>
  </si>
  <si>
    <t>Fondation Botnar.</t>
  </si>
  <si>
    <t>[Wahl, Brian; Schwalbe, Nina R.] Spark St Consulting, New York, NY 10013 USA; [Cossy-Gantner, Aline; Germann, Stefan] Fdn Botnar, Basel, Switzerland</t>
  </si>
  <si>
    <t>Artificial intelligence (AI) and global health: how can AI contribute to health in resource-poor settings?</t>
  </si>
  <si>
    <t>BMJ GLOBAL HEALTH</t>
  </si>
  <si>
    <t>artificial intelligence; primary health; low- and middle-income countries</t>
  </si>
  <si>
    <t>FUZZY EXPERT-SYSTEM; PREDICTION; SUPPORT</t>
  </si>
  <si>
    <t>Wahl, Brian/0000-0002-0037-7364</t>
  </si>
  <si>
    <t>449</t>
  </si>
  <si>
    <t>560</t>
  </si>
  <si>
    <t>189</t>
  </si>
  <si>
    <t>2059-7908</t>
  </si>
  <si>
    <t>BMJ GLOB HEALTH</t>
  </si>
  <si>
    <t>BMJ Glob. Health</t>
  </si>
  <si>
    <t>JUL 2018</t>
  </si>
  <si>
    <t>e000798</t>
  </si>
  <si>
    <t>10.1136/bmjgh-2018-000798</t>
  </si>
  <si>
    <t>http://dx.doi.org/10.1136/bmjgh-2018-000798</t>
  </si>
  <si>
    <t>GV4PE</t>
  </si>
  <si>
    <t>30233828</t>
  </si>
  <si>
    <t>WOS:000446081800011</t>
  </si>
  <si>
    <t>75</t>
  </si>
  <si>
    <t>Bedi, S; Liu, YT; Orr-Ewing, L; Dash, D; Koyejo, S; Callahan, A; Fries, JA; Wornow, M; Swaminathan, A; Lehmann, LS; Hong, HJ; Kashyap, M; Chaurasia, AR; Shah, NR; Singh, K; Tazbaz, T; Milstein, A; Pfeffer, MA; Shah, NH</t>
  </si>
  <si>
    <t>Importance: Large language models (LLMs) can assist in various health care activities, but current evaluation approaches may not adequately identify the most useful application areas. Objective: To summarize existing evaluations of LLMs in health care in terms of 5 components: (1) evaluation data type, (2) health care task, (3) natural language processing (NLP) and natural language understanding (NLU) tasks, (4) dimension of evaluation, and (5) medical specialty. Data sources: A systematic search of PubMed and Web of Science was performed for studies published between January 1, 2022, and February 19, 2024. Study selection: Studies evaluating 1 or more LLMs in health care. Data extraction and synthesis: Three independent reviewers categorized studies via keyword searches based on the data used, the health care tasks, the NLP and NLU tasks, the dimensions of evaluation, and the medical specialty. Results: Of 519 studies reviewed, published between January 1, 2022, and February 19, 2024, only 5% used real patient care data for LLM evaluation. The most common health care tasks were assessing medical knowledge such as answering medical licensing examination questions (44.5%) and making diagnoses (19.5%). Administrative tasks such as assigning billing codes (0.2%) and writing prescriptions (0.2%) were less studied. For NLP and NLU tasks, most studies focused on question answering (84.2%), while tasks such as summarization (8.9%) and conversational dialogue (3.3%) were infrequent. Almost all studies (95.4%) used accuracy as the primary dimension of evaluation; fairness, bias, and toxicity (15.8%), deployment considerations (4.6%), and calibration and uncertainty (1.2%) were infrequently measured. Finally, in terms of medical specialty area, most studies were in generic health care applications (25.6%), internal medicine (16.4%), surgery (11.4%), and ophthalmology (6.9%), with nuclear medicine (0.6%), physical medicine (0.4%), and medical genetics (0.2%) being the least represented. Conclusions and relevance: Existing evaluations of LLMs mostly focus on accuracy of question answering for medical examinations, without consideration of real patient care data. Dimensions such as fairness, bias, and toxicity and deployment considerations received limited attention. Future evaluations should adopt standardized applications and metrics, use clinical data, and broaden focus to include a wider range of tasks and specialties.</t>
  </si>
  <si>
    <t>Bedi, Suhana; Liu, Yutong; Orr-Ewing, Lucy; Dash, Dev; Koyejo, Sanmi; Callahan, Alison; Fries, Jason A.; Wornow, Michael; Swaminathan, Akshay; Lehmann, Lisa Soleymani; Hong, Hyo Jung; Kashyap, Mehr; Chaurasia, Akash R.; Shah, Nirav R.; Singh, Karandeep; Tazbaz, Troy; Milstein, Arnold; Pfeffer, Michael A.; Shah, Nigam H.</t>
  </si>
  <si>
    <t>Shah, NH (corresponding author), Stanford Univ, Dept Biomed Data Sci, 453 Quarry Rd,Ste 115B, Palo Alto, CA 94304 USA.</t>
  </si>
  <si>
    <t>nigam@stanford.edu</t>
  </si>
  <si>
    <t>[Bedi, Suhana; Shah, Nigam H.] Stanford Univ, Dept Biomed Data Sci, 453 Quarry Rd,Ste 115B, Palo Alto, CA 94304 USA; [Liu, Yutong; Orr-Ewing, Lucy; Dash, Dev; Shah, Nirav R.; Milstein, Arnold; Shah, Nigam H.] Stanford Univ, Clin Excellence Res Ctr, Stanford, CA USA; [Dash, Dev; Callahan, Alison; Fries, Jason A.; Wornow, Michael; Swaminathan, Akshay; Chaurasia, Akash R.; Shah, Nigam H.] Stanford Univ, Ctr Biomed Informat Res, Stanford, CA USA; [Koyejo, Sanmi] Stanford Univ, Dept Comp Sci, Stanford, CA USA; [Lehmann, Lisa Soleymani] Harvard Med Sch, Dept Med, Boston, MA USA; [Hong, Hyo Jung] Stanford Univ, Dept Anesthesiol, Stanford, CA USA; [Kashyap, Mehr] Stanford Univ, Sch Med, Stanford, CA USA; [Singh, Karandeep] Univ Calif San Diego Hlth, Digital Hlth Innovat, San Diego, CA USA; [Tazbaz, Troy] US FDA, Digital Hlth Ctr Excellence, Washington, DC USA; [Pfeffer, Michael A.] Stanford Univ, Sch Med, Dept Med, Stanford, CA USA</t>
  </si>
  <si>
    <t>Stanford University; Stanford Medicine; Stanford University; Stanford University; Stanford University; Harvard University; Harvard Medical School; Stanford University; Stanford Medicine; Stanford University; Stanford Medicine; University of California System; University of California San Diego; US Food &amp; Drug Administration (FDA); Stanford University; Stanford Medicine</t>
  </si>
  <si>
    <t>Testing and Evaluation of Health Care Applications of Large Language Models: A Systematic Review</t>
  </si>
  <si>
    <t>CHATGPT; PERFORMANCE</t>
  </si>
  <si>
    <t>Shah, Nirav/B-6622-2008; Fries, Jason/AAN-4224-2020</t>
  </si>
  <si>
    <t>Shah, Nirav/0000-0003-2044-7865; Dash, Debadutta/0000-0002-0223-1641; Fries, Jason/0000-0001-9316-5768; Wornow, Michael/0000-0003-2215-6527; Pfeffer, Michael/0000-0002-8958-0843; Hong, Hyo Jung/0000-0001-7674-8398; Swaminathan, Akshay/0000-0003-3426-9289</t>
  </si>
  <si>
    <t>78</t>
  </si>
  <si>
    <t>447</t>
  </si>
  <si>
    <t>502</t>
  </si>
  <si>
    <t>141</t>
  </si>
  <si>
    <t>JAN 28 2025</t>
  </si>
  <si>
    <t>333</t>
  </si>
  <si>
    <t>319</t>
  </si>
  <si>
    <t>328</t>
  </si>
  <si>
    <t>10.1001/jama.2024.21700</t>
  </si>
  <si>
    <t>http://dx.doi.org/10.1001/jama.2024.21700</t>
  </si>
  <si>
    <t>OCT 2024</t>
  </si>
  <si>
    <t>U2G4D</t>
  </si>
  <si>
    <t>39405325</t>
  </si>
  <si>
    <t>WOS:001338321500002</t>
  </si>
  <si>
    <t>Bulten, W; Kartasalo, K; Chen, PHC; Ström, P; Pinckaers, H; Nagpal, K; Cai, YN; Steiner, DF; van Boven, H; Vink, R; Hulsbergen-van de Kaa, C; van der Laak, J; Amin, MB; Evans, AJ; van der Kwast, T; Allan, R; Humphrey, PA; Grönberg, H; Samaratunga, H; Delahunt, B; Tsuzuki, T; Häkkinen, T; Egevad, L; Demkin, M; Dane, S; Tan, F; Valkonen, M; Corrado, GS; Peng, L; Mermel, CH; Ruusuvuori, P; Litjens, G; Eklund, M</t>
  </si>
  <si>
    <t>Through a community-driven competition, the PANDA challenge provides a curated diverse dataset and a catalog of models for prostate cancer pathology, and represents a blueprint for evaluating AI algorithms in digital pathology.Artificial intelligence (AI) has shown promise for diagnosing prostate cancer in biopsies. However, results have been limited to individual studies, lacking validation in multinational settings. Competitions have been shown to be accelerators for medical imaging innovations, but their impact is hindered by lack of reproducibility and independent validation. With this in mind, we organized the PANDA challenge-the largest histopathology competition to date, joined by 1,290 developers-to catalyze development of reproducible AI algorithms for Gleason grading using 10,616 digitized prostate biopsies. We validated that a diverse set of submitted algorithms reached pathologist-level performance on independent cross-continental cohorts, fully blinded to the algorithm developers. On United States and European external validation sets, the algorithms achieved agreements of 0.862 (quadratically weighted kappa, 95% confidence interval (CI), 0.840-0.884) and 0.868 (95% CI, 0.835-0.900) with expert uropathologists. Successful generalization across different patient populations, laboratories and reference standards, achieved by a variety of algorithmic approaches, warrants evaluating AI-based Gleason grading in prospective clinical trials.</t>
  </si>
  <si>
    <t>Bulten, Wouter; Kartasalo, Kimmo; Chen, Po-Hsuan Cameron; Strom, Peter; Pinckaers, Hans; Nagpal, Kunal; Cai, Yuannan; Steiner, David F.; van Boven, Hester; Vink, Robert; Hulsbergen-van de Kaa, Christina; van der Laak, Jeroen; Amin, Mahul B.; Evans, Andrew J.; van der Kwast, Theodorus; Allan, Robert; Humphrey, Peter A.; Gronberg, Henrik; Samaratunga, Hemamali; Delahunt, Brett; Tsuzuki, Toyonori; Hakkinen, Tomi; Egevad, Lars; Demkin, Maggie; Dane, Sohier; Tan, Fraser; Valkonen, Masi; Corrado, Greg S.; Peng, Lily; Mermel, Craig H.; Ruusuvuori, Pekka; Litjens, Geert; Eklund, Martin</t>
  </si>
  <si>
    <t>Bulten, W (corresponding author), Radboud Univ Nijmegen Med Ctr, Radboud Inst Hlth Sci, Dept Pathol, Nijmegen, Netherlands.; Kartasalo, K (corresponding author), Karolinska Inst, Dept Med Epidemiol &amp; Biostat, Stockholm, Sweden.; Kartasalo, K (corresponding author), Tampere Univ, Fac Med &amp; Hlth Technol, Tampere, Finland.; Chen, PHC (corresponding author), Google Hlth, Palo Alto, CA 94304 USA.</t>
  </si>
  <si>
    <t>kimmo.kartasalo@ki.se; wouter@wouterbulten.com; cameronchen@google.com</t>
  </si>
  <si>
    <t>Dutch Cancer Society [KUN 2015-7970]; Netherlands Organization for Scientific Research [016.186.152]; Swedish Research Council [201901466, 2020-00692]; Swedish Cancer Society (CAN) [2018/741]; Swedish eScience Research Center; Ake Wiberg Foundation; Prostatacancerforbundet; Academy of Finland [341967, 335976]; Cancer Foundation Finland; Google LLC; MICCAI board challenge working group; Verily Life Sciences; EIT Health; Karolinska Institutet; MICCAI 2020 satellite event team; ERAPerMed [334782]; Vinnova [2020-00692] Funding Source: Vinnova; Swedish Research Council [2020-00692] Funding Source: Swedish Research Council; Academy of Finland (AKA) [335976] Funding Source: Academy of Finland (AKA)</t>
  </si>
  <si>
    <t>Dutch Cancer Society (KWF Kankerbestrijding); Netherlands Organization for Scientific Research (Netherlands Organization for Scientific Research (NWO)); Swedish Research Council (Swedish Research Council); Swedish Cancer Society (CAN); Swedish eScience Research Center; Ake Wiberg Foundation; Prostatacancerforbundet; Academy of Finland (Research Council of Finland); Cancer Foundation Finland; Google LLC (Google Incorporated); MICCAI board challenge working group; Verily Life Sciences; EIT Health; Karolinska Institutet (Karolinska Institutet); MICCAI 2020 satellite event team; ERAPerMed; Vinnova (Vinnova); Swedish Research Council (Swedish Research Council); Academy of Finland (AKA) (Research Council of Finland)</t>
  </si>
  <si>
    <t>We were supported by the Dutch Cancer Society (grant no. KUN 2015-7970, to W.B., H.P. and G.L.); Netherlands Organization for Scientific Research (grant no. 016.186.152, to G.L.); Google LLC, Verily Life Sciences, Swedish Research Council (grant nos. 201901466 and 2020-00692, to M.E.); Swedish Cancer Society (CAN, grant no. 2018/741, to M.E.); Swedish eScience Research Center, EIT Health, Karolinska Institutet, Ake Wiberg Foundation and Prostatacancerforbundet (all to M.E.); Academy of Finland (grant nos. 341967 and 335976, to P.Ruusuvuori), Cancer Foundation Finland (project `Computational pathology for enhanced cancer grading and patient stratification', to P.Ruusuvuori) and ERAPerMed (grant no. 334782, 2020-22, to P.Ruusuvuori). Google LLC approved the publication of the manuscript, and the remaining funders had no role in study design, data collection and analysis, decision to publish or preparation of the manuscript. We thank the MICCAI board challenge working group, the MICCAI 2020 satellite event team and the MICCAI challenge reviewers for their support in the challenge workshop and review of the challenge design. We thank Kaggle for hosting the competition, providing compute resources and the competition prizes. We thank CSC-IT Center for Science, Finland, for providing computational resources. We thank E. Wulczyn, A. Um'rani, Y. Liu and D. Webster for their feedback on the manuscript and guidance of the project. We thank our collaborators at NMCSD, particularly N. Olson, for internal reuse of de-identified data, which contributed to the US external validation set.</t>
  </si>
  <si>
    <t>[Bulten, Wouter; Pinckaers, Hans; van der Laak, Jeroen; Litjens, Geert] Radboud Univ Nijmegen Med Ctr, Radboud Inst Hlth Sci, Dept Pathol, Nijmegen, Netherlands; [Kartasalo, Kimmo; Strom, Peter; Gronberg, Henrik; Eklund, Martin] Karolinska Inst, Dept Med Epidemiol &amp; Biostat, Stockholm, Sweden; [Kartasalo, Kimmo; Hakkinen, Tomi; Ruusuvuori, Pekka] Tampere Univ, Fac Med &amp; Hlth Technol, Tampere, Finland; [Chen, Po-Hsuan Cameron; Nagpal, Kunal; Cai, Yuannan; Steiner, David F.; Tan, Fraser; Corrado, Greg S.; Peng, Lily; Mermel, Craig H.] Google Hlth, Palo Alto, CA 94304 USA; [van Boven, Hester] Antoni van Leeuwenhoek Hosp, Netherlands Canc Inst, Dept Pathol, Amsterdam, Netherlands; [Vink, Robert; Hulsbergen-van de Kaa, Christina; Eklund, Martin] Lab Pathol East Netherlands, Hengelo, Netherlands; [van der Laak, Jeroen] Linkoping Univ, Ctr Med Image Sci &amp; Visualizat, Linkoping, Sweden; [Amin, Mahul B.] Univ Tennessee, Hlth Sci Ctr, Dept Pathol &amp; Lab Med, Memphis, TN USA; [Evans, Andrew J.] Mackenzie Hlth, Lab Med, Toronto, ON, Canada; [van der Kwast, Theodorus] Univ Hlth Network, Dept Pathol Lab Med &amp; Pathol, Toronto, ON, Canada; [van der Kwast, Theodorus] Univ Toronto, Toronto, ON, Canada; [Allan, Robert] Univ Florida, Dept Pathol Immunol &amp; Lab Med, North Florida South Georgia Vet Hlth Syst, Pathol &amp; Lab Med Serv, Gainesville, FL USA; [Humphrey, Peter A.] Yale Sch Med, Dept Pathol, New Haven, CT USA; [Gronberg, Henrik] Capio St Gorans Hosp, Dept Surg, Stockholm, Sweden; [Samaratunga, Hemamali] Aquesta Uropathol, Brisbane, Qld, Australia; [Samaratunga, Hemamali] Univ Queensland, Brisbane, Qld, Australia; [Delahunt, Brett] Univ Otago, Wellington Sch Med &amp; Hlth Sci, Dept Pathol &amp; Mol Med, Wellington, New Zealand; [Tsuzuki, Toyonori] Aichi Med Univ, Sch Med, Dept Surg Pathol, Nagakute, Aichi, Japan; [Egevad, Lars] Karolinska Inst, Dept Oncol &amp; Pathol, Stockholm, Sweden; [Demkin, Maggie; Dane, Sohier] Kaggle Inc, Mountain View, CA USA; [Valkonen, Masi; Ruusuvuori, Pekka] Univ Turku, Inst Biomed, Canc Res Unit, Turku, Finland; [Valkonen, Masi; Ruusuvuori, Pekka] Univ Turku, FICAN West Canc Ctr, Turku, Finland; [Valkonen, Masi; Ruusuvuori, Pekka] Turku Univ Hosp, Turku, Finland</t>
  </si>
  <si>
    <t>Radboud University Nijmegen; Karolinska Institutet; Tampere University; Netherlands Cancer Institute; Linkoping University; University of Tennessee System; University of Tennessee Health Science Center; University of Toronto; University Health Network Toronto; University of Toronto; State University System of Florida; University of Florida; Yale University; Saint Goran's Hospital; University of Queensland; University of Otago; Aichi Medical University; Karolinska Institutet; University of Turku; University of Turku; University of Turku</t>
  </si>
  <si>
    <t>PANDA Challenge Consortium</t>
  </si>
  <si>
    <t>Artificial intelligence for diagnosis and Gleason grading of prostate cancer: the PANDA challenge</t>
  </si>
  <si>
    <t>ISUP CONSENSUS CONFERENCE; INTERNATIONAL SOCIETY; INTEROBSERVER; REPRODUCIBILITY; CARCINOMA; BIOPSIES</t>
  </si>
  <si>
    <t>Pinckaers, Hans/T-6889-2017; van der Laak, Jeroen/IVV-5737-2023; Bulten, Wouter/E-8746-2017; Litjens, Geert/A-2319-2016; Mermel, Craig/AAZ-7322-2020; Ruusuvuori, Pekka/AAC-2617-2022; Tsuzuki, Toyonori/GRJ-7409-2022; de Kaa, Christina/L-4399-2015; Van der Kwast, Theodorus/JFA-1932-2023</t>
  </si>
  <si>
    <t>Chen, Po-Hsuan Cameron/0000-0002-0083-4991; van der Laak, Jeroen/0000-0001-7982-0754; Kartasalo, Kimmo/0000-0002-9470-4783; Bulten, Wouter/0000-0002-6129-5039; Hương, Lương Thị Mỹ/0000-0003-1174-9829; Litjens, Geert/0000-0003-1554-1291; Ruusuvuori, Pekka/0000-0001-9086-9591; Steiner, David/0000-0003-1297-0023; Tsuzuki, Toyonori/0000-0002-4855-4366; Egevad, Lars/0000-0001-8531-222X</t>
  </si>
  <si>
    <t>446</t>
  </si>
  <si>
    <t>530</t>
  </si>
  <si>
    <t>84</t>
  </si>
  <si>
    <t>154</t>
  </si>
  <si>
    <t>10.1038/s41591-021-01620-2</t>
  </si>
  <si>
    <t>http://dx.doi.org/10.1038/s41591-021-01620-2</t>
  </si>
  <si>
    <t>35027755</t>
  </si>
  <si>
    <t>WOS:000742323900003</t>
  </si>
  <si>
    <t>Loyola-González, O</t>
  </si>
  <si>
    <t>Nowadays, in the international scientific community of machine learning, there exists an enormous discussion about the use of black-box models or explainable models; especially in practical problems. On the one hand, a part of the community defends that black-box models are more accurate than explainable models in some contexts, like image preprocessing. On the other hand, there exist another part of the community alleging that explainable models are better than black-box models because they can obtain comparable results and also they can explain these results in a language close to a human expert by using patterns. In this paper, advantages and weaknesses for each approach are shown; taking into account a state-of-the-art review for both approaches, their practical applications, trends, and future challenges. This paper shows that both approaches are suitable for solving practical problems, but experts in machine learning need to understand the input data, the problem to solve, and the best way for showing the output data before applying a machine learning model. Also, we propose some ideas for fusing both, explainable and black-box, approaches to provide better solutions to experts in real-world domains. Additionally, we show one way to measure the effectiveness of the applied machine learning model by using expert opinions jointly with statistical methods. Throughout this paper, we show the impact of using explainable and black-box models on the security and medical applications.</t>
  </si>
  <si>
    <t>Loyola-Gonzalez, Octavio</t>
  </si>
  <si>
    <t>Loyola-González, O (corresponding author), Tecnol Monterrey, Puebla 72453, Mexico.</t>
  </si>
  <si>
    <t>octavioloyola@tec.mx</t>
  </si>
  <si>
    <t>[Loyola-Gonzalez, Octavio] Tecnol Monterrey, Puebla 72453, Mexico</t>
  </si>
  <si>
    <t>Tecnologico de Monterrey</t>
  </si>
  <si>
    <t>Black-Box vs. White-Box: Understanding Their Advantages and Weaknesses From a Practical Point of View</t>
  </si>
  <si>
    <t>Black-box; white-box; explainable artificial intelligence; deep learning</t>
  </si>
  <si>
    <t>BAYESIAN NETWORK; CONTRAST PATTERNS; ASSOCIATION RULES; EMERGING PATTERNS; NEURAL-NETWORKS; CLASS IMBALANCE; DECISION TREES; MODELS; SUPPORT; QUALITY</t>
  </si>
  <si>
    <t>Loyola-González, Octavio/0000-0002-6910-5922</t>
  </si>
  <si>
    <t>440</t>
  </si>
  <si>
    <t>508</t>
  </si>
  <si>
    <t>154096</t>
  </si>
  <si>
    <t>154113</t>
  </si>
  <si>
    <t>10.1109/ACCESS.2019.2949286</t>
  </si>
  <si>
    <t>http://dx.doi.org/10.1109/ACCESS.2019.2949286</t>
  </si>
  <si>
    <t>KG9GN</t>
  </si>
  <si>
    <t>WOS:000510258900003</t>
  </si>
  <si>
    <t>204</t>
  </si>
  <si>
    <t>Seijo, LM; Peled, N; Ajona, D; Boeri, M; Field, JK; Sozzi, G; Pio, R; Zulueta, JJ; Spira, A; Massion, PP; Mazzone, PJ; Montuenga, LM</t>
  </si>
  <si>
    <t>The present review is an update of the research and development efforts regarding the use of molecular biomarkers in the lung cancer screening setting. The two main unmet clinical needs, namely, the refinement of risk to improve the selection of individuals undergoing screening and the characterization of undetermined nodules found during the computed tomography-based screening process are the object of the biomarkers described in the present review. We first propose some principles to optimize lung cancer biomarker discovery projects. Then, we summarize the discovery and developmental status of currently promising molecular candidates, such as autoantibodies, complement fragments, microRNAs, circulating tumor DNA, DNA methylation, blood protein profiling, or RNA airway or nasal signatures. We also mention other emerging biomarkers or new technologies to follow, such as exhaled breath biomarkers, metabolomics, sputum cell imaging, genetic predisposition studies, and the integration of next-generation sequencing into study of circulating DNA. We also underline the importance of integrating different molecular technologies together with imaging, radiomics, and artificial intelligence. We list a number of completed, ongoing, or planned trials to show the clinical utility of molecular biomarkers. Finally, we comment on future research challenges in the field of biomarkers in the context of lung cancer screening and propose a design of a trial to test the clinical utility of one or several candidate biomarkers. (C) 2018 International Association for the Study of Lung Cancer. Published by Elsevier Inc. All rights reserved.</t>
  </si>
  <si>
    <t>Seijo, Luis M.; Peled, Nir; Ajona, Daniel; Boeri, Mattia; Field, John K.; Sozzi, Gabriella; Pio, Ruben; Zulueta, Javier J.; Spira, Avrum; Massion, Pierre P.; Mazzone, Peter J.; Montuenga, Luis M.</t>
  </si>
  <si>
    <t>Montuenga, LM (corresponding author), Univ Navarra, Solid Tumors Program, Ctr Appl Med Res, Pio XII 55, Pamplona 31008, Spain.; Montuenga, LM (corresponding author), Univ Navarra, Dept Pathol Anat &amp; Physiol, Pio XII 55, Pamplona 31008, Spain.</t>
  </si>
  <si>
    <t>lmontuenga@unav.es</t>
  </si>
  <si>
    <t>Foundation for Medical Research (FIMA); Spanish Ministry of Economy and Innovation; Health Research Fund (FIS)/European Regional Development Fund (FEDER) (FIS) [PI16/01821, PI17/00411]; Health Research Fund (FIS)/European Regional Development Fund (FEDER) (CIBERONC); Spanish Association Against Cancer (AECC) Scientific Foundation [GCB14-2170, PROYE16091]; Juan Serrano and Ramon Areces Foundation; Italian Association for Cancer Research [18812]; Fondazione Pezcoller Fellowship; National Cancer Institute [A152662]; 5 x 1000 grant from the Italian Association for Cancer Research [12162]; National Institute for Health Research [09/61/501] Funding Source: researchfish; National Cancer Institute [U01CA152662] Funding Source: NIH RePORTER</t>
  </si>
  <si>
    <t>Foundation for Medical Research (FIMA); Spanish Ministry of Economy and Innovation (Spanish Government); Health Research Fund (FIS)/European Regional Development Fund (FEDER) (FIS); Health Research Fund (FIS)/European Regional Development Fund (FEDER) (CIBERONC); Spanish Association Against Cancer (AECC) Scientific Foundation; Juan Serrano and Ramon Areces Foundation; Italian Association for Cancer Research (Fondazione AIRC per la ricerca sul cancro); Fondazione Pezcoller Fellowship; National Cancer Institute (United States Department of Health &amp; Human Services, National Institutes of Health (NIH) - USA, NIH National Cancer Institute (NCI)); 5 x 1000 grant from the Italian Association for Cancer Research; National Institute for Health Research (National Institutes of Health Research (NIHR)); National Cancer Institute (United States Department of Health &amp; Human Services, National Institutes of Health (NIH) - USA, NIH National Cancer Institute (NCI))</t>
  </si>
  <si>
    <t>The work of Dr. Montuenga and Dr. Pio work is funded by Foundation for Medical Research (FIMA), the Spanish Ministry of Economy and Innovation, and Health Research Fund (FIS)/European Regional Development Fund (FEDER) (FIS projects PI16/01821, PI17/00411, and CIBERONC), Spanish Association Against Cancer (AECC) Scientific Foundation (GCB14-2170 and PROYE16091), and the Juan Serrano and Ramon Areces Foundation. Dr. Sozzi's work is funded by investigator grant 18812 and 5 x 1000 grant 12162 from the Italian Association for Cancer Research. Dr. Boeri was supported by a Fondazione Pezcoller Fellowship. Dr. Massion's work was supported by National Cancer Institute grant A152662. We thank Heber Longas (a medical and scientific illustrator from Fundamentium) for his contribution to the graphics of the present review, in particular Figure 2.</t>
  </si>
  <si>
    <t>[Seijo, Luis M.] Clin Univ Navarra, Madrid, Spain; [Seijo, Luis M.] Ctr Invest Biomed Red Enfermedades Resp, CIBERES, Madrid, Spain; [Peled, Nir] Legacy Heritage Oncol Ctr, Oncol Div, Beer Sheva, Israel; [Peled, Nir] Soroka Med Ctr, Dr Larry Norton Inst, Beer Sheva, Israel; [Peled, Nir] Ben Gurion Univ Negev, Beer Sheva, Israel; [Peled, Nir; Ajona, Daniel; Pio, Ruben; Montuenga, Luis M.] Ctr Invest Med Aplicada, Solid Tumors Program, Pamplona, Spain; [Ajona, Daniel; Pio, Ruben; Montuenga, Luis M.] Navarra Inst Hlth Res, Pamplona, Spain; [Ajona, Daniel; Pio, Ruben; Montuenga, Luis M.] Ctr Invest Biomed Red Canc, CIBERONC, Madrid, Spain; [Ajona, Daniel; Pio, Ruben] Univ Navarra, Dept Biochem &amp; Genet, Sch Sci, Pamplona, Spain; [Boeri, Mattia; Sozzi, Gabriella] Fdn IRCCS Ist Nazl Tumori, Dept Expt Oncol, Milan, Italy; [Field, John K.] Univ Liverpool, Roy Castle Lung Canc Res Programme, Dept Mol &amp; Clin Canc Med, Liverpool, Merseyside, England; [Zulueta, Javier J.] Clin Univ Navarra, Dept Pulmonol, Pamplona, Spain; [Zulueta, Javier J.] Visiongate Inc, Phoenix, AZ USA; [Spira, Avrum] Boston Univ, Sch Med, Boston, MA 02118 USA; [Massion, Pierre P.] Vanderbilt Ingram Canc Ctr, Nashville, TN USA; [Mazzone, Peter J.] Cleveland Clin, Resp Inst, Cleveland, OH 44106 USA; [Montuenga, Luis M.] Univ Navarra, Dept Pathol Anat &amp; Physiol, Sch Med, Pamplona, Spain</t>
  </si>
  <si>
    <t>University of Navarra; CIBER - Centro de Investigacion Biomedica en Red; CIBERES; Ben-Gurion University of the Negev; Soroka Medical Center; Ben-Gurion University of the Negev; University of Navarra; University of Navarra; CIBER - Centro de Investigacion Biomedica en Red; CIBERONC; University of Navarra; Fondazione IRCCS Istituto Nazionale Tumori Milan; University of Liverpool; University of Navarra; Boston University; Vanderbilt University; Cleveland Clinic Foundation; University of Navarra</t>
  </si>
  <si>
    <t>Biomarkers in Lung Cancer Screening: Achievements, Promises, and Challenges</t>
  </si>
  <si>
    <t>JOURNAL OF THORACIC ONCOLOGY</t>
  </si>
  <si>
    <t>Biomarkers; Lung cancer; Screening; Test validation; Clinical utility; Trial design</t>
  </si>
  <si>
    <t>CIRCULATING TUMOR DNA; BRONCHIAL GENOMIC CLASSIFIER; BRONCHOALVEOLAR LAVAGE FLUID; COMPUTED-TOMOGRAPHY; DIAGNOSTIC EVALUATION; CLINICAL UTILITY; RISK PREDICTION; NONINVASIVE DIAGNOSIS; DISTINGUISH BENIGN; SELECTION CRITERIA</t>
  </si>
  <si>
    <t>sozzi, gabriella/G-8259-2011; Pio, Ruben/F-5353-2017; Mazzone, Peter/AAW-5401-2021; Boeri, Mattia/L-4393-2013; Montuenga, Luis M/AAF-7783-2020; Zulueta, Javier J/H-5127-2011; Ajona, Daniel/L-5669-2014; Field, John/AAD-5674-2020</t>
  </si>
  <si>
    <t>Peled, Nir/0000-0003-3714-4377; Pio, Ruben/0000-0002-6831-6111; Boeri, Mattia/0000-0001-7106-3138; Montuenga, Luis M/0000-0002-8739-1387; Zulueta, Javier J/0000-0003-3182-3555; Ajona, Daniel/0000-0001-5517-9165; Field, John/0000-0003-3951-6365</t>
  </si>
  <si>
    <t>439</t>
  </si>
  <si>
    <t>504</t>
  </si>
  <si>
    <t>309</t>
  </si>
  <si>
    <t>1556-0864</t>
  </si>
  <si>
    <t>1556-1380</t>
  </si>
  <si>
    <t>J THORAC ONCOL</t>
  </si>
  <si>
    <t>J. Thorac. Oncol.</t>
  </si>
  <si>
    <t>MAR 2019</t>
  </si>
  <si>
    <t>10.1016/j.jtho.2018.11.023</t>
  </si>
  <si>
    <t>http://dx.doi.org/10.1016/j.jtho.2018.11.023</t>
  </si>
  <si>
    <t>Oncology; Respiratory System</t>
  </si>
  <si>
    <t>HM0WA</t>
  </si>
  <si>
    <t>30529598</t>
  </si>
  <si>
    <t>WOS:000459167100014</t>
  </si>
  <si>
    <t>138</t>
  </si>
  <si>
    <t>Huang, SG; Yang, J; Fong, S; Zhao, Q</t>
  </si>
  <si>
    <t>Cancer is an aggressive disease with a low median survival rate. Ironically, the treatment process is long and very costly due to its high recurrence and mortality rates. Accurate early diagnosis and prognosis prediction of cancer are essential to enhance the patient's survival rate. Developments in statistics and computer engineering over the years have encouraged many scientists to apply computational methods such as multivariate statistical analysis to analyze the prognosis of the disease, and the accuracy of such analyses is significantly higher than that of empirical predictions. Furthermore, as artificial intelligence (AI), especially machine learning and deep learning, has found popular applications in clinical cancer research in recent years, cancer prediction performance has reached new heights. This article reviews the literature on the application of AI to cancer diagnosis and prognosis, and summarizes its advantages. We explore how AI assists cancer diagnosis and prognosis, specifically with regard to its unprecedented accuracy, which is even higher than that of general statistical applications in oncology. We also demonstrate ways in which these methods are advancing the field. Finally, opportunities and challenges in the clinical implementation of AI are discussed. Hence, this article provides a new perspective on how AI technology can help improve cancer diagnosis and prognosis, and continue improving human health in the future.</t>
  </si>
  <si>
    <t>Huang, Shigao; Yang, Jie; Fong, Simon; Zhao, Qi</t>
  </si>
  <si>
    <t>Zhao, Q (corresponding author), Univ Macau, Fac Hlth Sci, Inst Translat Med, Canc Ctr, Taipa, Macao, Peoples R China.; Fong, S (corresponding author), Univ Macau, Dept Comp &amp; Informat Sci, Taipa, Macau, Peoples R China.</t>
  </si>
  <si>
    <t>qizhao@um.edu.mo; ccfong@um.edu.mo</t>
  </si>
  <si>
    <t>Science and Technology Development Fund of Macau [FDCT/131/2016/A3, FDCT/0015/2018/A1, FDCT/126/2014/A3]; Start-up Research Grand [SRG2O16-00082-FHS]; Multi-Year Research Grant [MYRG2019-00069-FHS, MYRG2016-00069-FST]; Faculty of Health Sciences, University of Macau; Guangzhou Science and Technology Innovation and Development of Special Funds [EF003/FST-FSJ/2019/GSTIC, EF004/FST-FSJ/2019/GSTI]; key project of Chongqing Industry&amp;Trade Polytechnic [ZR201902,190101]; project of science and technology research program of Chongqing Education Commission of China [KJQN201903601]</t>
  </si>
  <si>
    <t>Science and Technology Development Fund of Macau; Start-up Research Grand; Multi-Year Research Grant; Faculty of Health Sciences, University of Macau (University of Macau); Guangzhou Science and Technology Innovation and Development of Special Funds; key project of Chongqing Industry&amp;Trade Polytechnic; project of science and technology research program of Chongqing Education Commission of China</t>
  </si>
  <si>
    <t>This work was funded by the Science and Technology Development Fund of Macau (FDCT/131/2016/A3, FDCT/0015/2018/A1, FDCT/126/2014/A3) and Start-up Research Grand (SRG2O16-00082-FHS), the Multi-Year Research Grant (MYRG2019-00069-FHS, MYRG2016-00069-FST), the intramural research program of Faculty of Health Sciences, University of Macau, Guangzhou Science and Technology Innovation and Development of Special Funds, Grant no. EF003/FST-FSJ/2019/GSTIC, and Grant no. EF004/FST-FSJ/2019/GSTI, key project of Chongqing Industry&amp;Trade Polytechnic (ZR201902,190101), and the project of science and technology research program of Chongqing Education Commission of China(ICJQN201903601).</t>
  </si>
  <si>
    <t>[Huang, Shigao; Zhao, Qi] Univ Macau, Fac Hlth Sci, Inst Translat Med, Canc Ctr, Taipa, Macao, Peoples R China; [Yang, Jie; Fong, Simon] Univ Macau, Dept Comp &amp; Informat Sci, Taipa, Macau, Peoples R China; [Yang, Jie] Chongqing Ind &amp; Trade Polytech, Chongqing, Peoples R China; [Fong, Simon] Chinese Acad Sci, Zhuhai Inst Adv Technol, Zhuhai, Peoples R China</t>
  </si>
  <si>
    <t>University of Macau; University of Macau; Chinese Academy of Sciences</t>
  </si>
  <si>
    <t>Artificial intelligence in cancer diagnosis and prognosis: Opportunities and challenges</t>
  </si>
  <si>
    <t>CANCER LETTERS</t>
  </si>
  <si>
    <t>Cancer diagnosis; Prognosis prediction; Deep learning; Machine learning; Deep neural network</t>
  </si>
  <si>
    <t>BREAST-CANCER; NEURAL-NETWORK; NSCLC PATIENTS; SURVIVAL; CLASSIFICATION; PREDICTION; MODEL; CARCINOMA; INFORMATION; PERFORMANCE</t>
  </si>
  <si>
    <t>Zhao, Qi/JDC-6003-2023; Fong, Simon/C-9388-2009</t>
  </si>
  <si>
    <t>Yang, Jie/0000-0001-7390-0593; Zhao, Qi/0000-0002-5969-6407; Fong, Simon/0000-0002-1848-7246</t>
  </si>
  <si>
    <t>438</t>
  </si>
  <si>
    <t>326</t>
  </si>
  <si>
    <t>ELSEVIER IRELAND LTD</t>
  </si>
  <si>
    <t>CLARE</t>
  </si>
  <si>
    <t>ELSEVIER HOUSE, BROOKVALE PLAZA, EAST PARK SHANNON, CO, CLARE, 00000, IRELAND</t>
  </si>
  <si>
    <t>0304-3835</t>
  </si>
  <si>
    <t>1872-7980</t>
  </si>
  <si>
    <t>CANCER LETT</t>
  </si>
  <si>
    <t>Cancer Lett.</t>
  </si>
  <si>
    <t>FEB 28 2020</t>
  </si>
  <si>
    <t>10.1016/j.canlet.2019.12.007</t>
  </si>
  <si>
    <t>http://dx.doi.org/10.1016/j.canlet.2019.12.007</t>
  </si>
  <si>
    <t>KG0KO</t>
  </si>
  <si>
    <t>31830558</t>
  </si>
  <si>
    <t>WOS:000509630300006</t>
  </si>
  <si>
    <t>Gichoya, JW; Banerjee, I; Bhimireddy, AR; Burns, JL; Celi, LA; Chen, LC; Correa, R; Dullerud, N; Ghassemi, M; Huang, SC; Kuo, PC; Lungren, MP; Palmer, LJ; Price, BJ; Purkayastha, S; Pyrros, AT; Oakden-Rayner, L; Okechukwu, C; Seyyed-Kalantari, L; Trivedi, H; Wang, RY; Zaiman, Z; Zhang, HR</t>
  </si>
  <si>
    <t>Background Previous studies in medical imaging have shown disparate abilities of artificial intelligence (AI) to detect a person's race, yet there is no known correlation for race on medical imaging that would be obvious to human experts when interpreting the images. We aimed to conduct a comprehensive evaluation of the ability of AI to recognise a patient's racial identity from medical images.Methods Using private (Emory CXR, Emory Chest CT, Emory Cervical Spine, and Emory Mammogram) and public (MIMIC-CXR, CheXpert, National Lung Cancer Screening Trial, RSNA Pulmonary Embolism CT, and Digital Hand Atlas) datasets, we evaluated, first, performance quantification of deep learning models in detecting race from medical images, including the ability of these models to generalise to external environments and across multiple imaging modalities. Second, we assessed possible confounding of anatomic and phenotypic population features by assessing the ability of these hypothesised confounders to detect race in isolation using regression models, and by re-evaluating the deep learning models by testing them on datasets stratified by these hypothesised confounding variables. Last, by exploring the effect of image corruptions on model performance, we investigated the underlying mechanism by which AI models can recognise race.Findings In our study, we show that standard AI deep learning models can be trained to predict race from medical images with high performance across multiple imaging modalities, which was sustained under external validation conditions (x-ray imaging [area under the receiver operating characteristics curve (AUC) range 0.91-0-99], CT chest imaging [0.87-0-96], and mammography [0.81]). We also showed that this detection is not due to proxies or imaging-related surrogate covariates for race (eg, performance of possible confounders: body-mass index [AUC 0.55], disease distribution [0.61], and breast density [0.61]). Finally, we provide evidence to show that the ability of AI deep learning models persisted over all anatomical regions and frequency spectrums of the images, suggesting the efforts to control this behaviour when it is undesirable will be challenging and demand further study.Interpretation The results from our study emphasise that the ability of AI deep learning models to predict self-reported race is itself not the issue of importance. However, our finding that AI can accurately predict self-reported race, even from corrupted, cropped, and noised medical images, often when clinical experts cannot, creates an enormous risk for all model deployments in medical imaging. Copyright (C) 2022 The Author(s). Published by Elsevier Ltd.</t>
  </si>
  <si>
    <t>Gichoya, Judy Wawira; Banerjee, Imon; Bhimireddy, Ananth Reddy; Burns, John L.; Celi, Leo Anthony; Chen, Li-Ching; Correa, Ramon; Dullerud, Natalie; Ghassemi, Marzyeh; Huang, Shih-Cheng; Kuo, Po-Chih; Lungren, Matthew P.; Palmer, Lyle J.; Price, Brandon J.; Purkayastha, Saptarshi; Pyrros, Ayis T.; Oakden-Rayner, Lauren; Okechukwu, Chima; Seyyed-Kalantari, Laleh; Trivedi, Hari; Wang, Ryan; Zaiman, Zachary; Zhang, Haoran</t>
  </si>
  <si>
    <t>Gichoya, JW (corresponding author), Emory Univ, Dept Radiol, Atlanta, GA 30322 USA.</t>
  </si>
  <si>
    <t>judywawira@emory.edu</t>
  </si>
  <si>
    <t>National Institute of Biomedical Imaging and Bioengineering (NIBIB) MIDRC grant of the National Institutes of Health [75N92020C00008, 75N92020C00021]; US National Science Foundation from the Division of Electrical, Communication Cyber Systems [1928481]; National Library of Medicine of the National Institutes of Health [R01LM012966]; National Institute of Health through a NIBIB grant [R01 EB017205]; Ministry of Science and Technology (Taiwan) [MOST109-2222-E-007-004-MY3]; National Institute of Biomedical Imaging and Bioengineering [R01EB017205] Funding Source: NIH RePORTER; National Library of Medicine [R01LM012966] Funding Source: NIH RePORTER; Div Of Electrical, Commun &amp; Cyber Sys; Directorate For Engineering [1928481] Funding Source: National Science Foundation</t>
  </si>
  <si>
    <t>National Institute of Biomedical Imaging and Bioengineering (NIBIB) MIDRC grant of the National Institutes of Health; US National Science Foundation from the Division of Electrical, Communication Cyber Systems; National Library of Medicine of the National Institutes of Health (United States Department of Health &amp; Human Services, National Institutes of Health (NIH) - USA, NIH National Library of Medicine (NLM)); National Institute of Health through a NIBIB grant; Ministry of Science and Technology (Taiwan) (National Science &amp; Technology Council (NSTC) Taiwan); National Institute of Biomedical Imaging and Bioengineering (United States Department of Health &amp; Human Services, National Institutes of Health (NIH) - USA, NIH National Institute of Biomedical Imaging &amp; Bioengineering (NIBIB)); National Library of Medicine (United States Department of Health &amp; Human Services, National Institutes of Health (NIH) - USA, NIH National Library of Medicine (NLM)); Div Of Electrical, Commun &amp; Cyber Sys; Directorate For Engineering (National Science Foundation (NSF), NSF - Directorate for Engineering (ENG), NSF - Division of Electrical, Communications &amp; Cyber Systems (ECCS))</t>
  </si>
  <si>
    <t>JWG and ATP are funded by the National Institute of Biomedical Imaging and Bioengineering (NIBIB) MIDRC grant of the National Institutes of Health (75N92020C00008 and 75N92020C00021) . JWG and SP are funded by US National Science Foundation (grant number 1928481) from the Division of Electrical, Communication &amp; Cyber Systems. MPL was funded by the National Library of Medicine of the National Institutes of Health (R01LM012966) . LAC is funded by the National Institute of Health through a NIBIB grant (R01 EB017205) . PK is funded by the Ministry of Science and Technology (Taiwan; MOST109-2222-E-007-004-MY3) .</t>
  </si>
  <si>
    <t>[Gichoya, Judy Wawira; Bhimireddy, Ananth Reddy; Trivedi, Hari] Emory Univ, Dept Radiol, Atlanta, GA 30322 USA; [Zaiman, Zachary] Emory Univ, Dept Comp Sci, Atlanta, GA 30322 USA; [Banerjee, Imon; Correa, Ramon] Arizona State Univ, Sch Comp Informat &amp; Decis Syst Engn, Tempe, AZ USA; [Burns, John L.; Purkayastha, Saptarshi] Indiana Univ Purdue Univ, Sch Informat &amp; Comp, Indianapolis, IN 46202 USA; [Celi, Leo Anthony; Ghassemi, Marzyeh] MIT, Inst Med Engn &amp; Sci, 77 Massachusetts Ave, Cambridge, MA 02139 USA; [Ghassemi, Marzyeh] MIT, Dept Elect Engn &amp; Comp Sci, Cambridge, MA 02139 USA; [Celi, Leo Anthony] Beth Israel Deaconess Med Ctr, Dept Med, Boston, MA 02215 USA; [Chen, Li-Ching; Kuo, Po-Chih; Wang, Ryan] Natl Tsing Hua Univ, Dept Comp Sci, Hsinchu, Taiwan; [Dullerud, Natalie; Seyyed-Kalantari, Laleh; Zhang, Haoran] Univ Toronto, Dept Comp Sci, Toronto, ON, Canada; [Huang, Shih-Cheng; Lungren, Matthew P.] Stanford Univ, Sch Med, Palo Alto, CA 94304 USA; [Palmer, Lyle J.; Oakden-Rayner, Lauren] Univ Adelaide, Australian Inst Machine Learning, Adelaide, SA, Australia; [Palmer, Lyle J.] Univ Adelaide, Sch Publ Hlth, Adelaide, SA, Australia; [Price, Brandon J.] Florida State Univ, Coll Med, Tallahassee, FL 32306 USA; [Pyrros, Ayis T.] Dupage Med Grp, Hinsdale, IL USA; [Okechukwu, Chima] Georgia Inst Technol, Dept Comp Sci, Atlanta, GA 30332 USA; [Seyyed-Kalantari, Laleh] Sinai Hlth, Lunenfeld Tanenbaum Res Inst, Toronto, ON, Canada; [Seyyed-Kalantari, Laleh] Vector Inst Artificial Intelligence, Toronto, ON, Canada</t>
  </si>
  <si>
    <t>Emory University; Emory University; Arizona State University; Arizona State University-Tempe; Indiana University System; Purdue University System; Indiana University Indianapolis; Purdue University; Purdue University in Indianapolis; Massachusetts Institute of Technology (MIT); Massachusetts Institute of Technology (MIT); Harvard University; Harvard University Medical Affiliates; Beth Israel Deaconess Medical Center; National Tsing Hua University; University of Toronto; Stanford Medicine; Stanford University; Adelaide University; University of Adelaide; Adelaide University; University of Adelaide; State University System of Florida; Florida State University; University System of Georgia; Georgia Institute of Technology; University of Toronto; Sinai Health System Toronto; Lunenfeld Tanenbaum Research Institute; Vector Institute for Artificial Intelligence</t>
  </si>
  <si>
    <t>Al recognition of patient race in medical imaging: a modelling study</t>
  </si>
  <si>
    <t>DISPARITIES; PHOTOGRAPHS; PREDICTION; DENSITY; HEALTH; RISK</t>
  </si>
  <si>
    <t>Trivedi, Hari/ABX-2140-2022; Gichoya, Judy/E-1657-2011; Hsu, En-Chi/AAH-4589-2021; Purkayastha, Saptarshi/ORJ-7317-2025; Palmer, Lyle John/K-3196-2014</t>
  </si>
  <si>
    <t>Zhang, Haoran/0000-0003-1027-9976; Ghassemi, Marzyeh/0000-0001-6349-7251; Oakden-Rayner, Lauren/0000-0001-5471-5202; Banerjee, Imon/0000-0002-3327-8004; Price, Brandon/0000-0002-1445-2521; Purkayastha, Saptarshi/0000-0003-3625-534X; Palmer, Lyle John/0000-0002-1628-3055</t>
  </si>
  <si>
    <t>436</t>
  </si>
  <si>
    <t>JUN 2022</t>
  </si>
  <si>
    <t>E406</t>
  </si>
  <si>
    <t>E414</t>
  </si>
  <si>
    <t>10.1016/S2589-7500(22)00063-2</t>
  </si>
  <si>
    <t>http://dx.doi.org/10.1016/S2589-7500(22)00063-2</t>
  </si>
  <si>
    <t>MAY 2022</t>
  </si>
  <si>
    <t>3I8JY</t>
  </si>
  <si>
    <t>35568690</t>
  </si>
  <si>
    <t>WOS:000832956900005</t>
  </si>
  <si>
    <t>Wijnberge, M; Geerts, BF; Hol, L; Lemmers, N; Mulder, MP; Berge, P; Schenk, J; Terwindt, LE; Hollmann, MW; Vlaar, AP; Veelo, DP</t>
  </si>
  <si>
    <t>Importance Intraoperative hypotension is associated with increased morbidity and mortality. A machine learning-derived early warning system to predict hypotension shortly before it occurs has been developed and validated. Objective To test whether the clinical application of the early warning system in combination with a hemodynamic diagnostic guidance and treatment protocol reduces intraoperative hypotension. Design, Setting, and Participants Preliminary unblinded randomized clinical trial performed in a tertiary center in Amsterdam, the Netherlands, among adult patients scheduled for elective noncardiac surgery under general anesthesia and an indication for continuous invasive blood pressure monitoring, who were enrolled between May 2018 and March 2019. Hypotension was defined as a mean arterial pressure (MAP) below 65 mm Hg for at least 1 minute. Interventions Patients were randomly assigned to receive either the early warning system (n = 34) or standard care (n = 34), with a goal MAP of at least 65 mm Hg in both groups. Main Outcomes and Measures The primary outcome was time-weighted average of hypotension during surgery, with a unit of measure of millimeters of mercury. This was calculated as the depth of hypotension below a MAP of 65 mm Hg (in millimeters of mercury) x time spent below a MAP of 65 mm Hg (in minutes) divided by total duration of operation (in minutes). Results Among 68 randomized patients, 60 (88%) completed the trial (median age, 64 [interquartile range {IQR}, 57-70] years; 26 [43%] women). The median length of surgery was 256 minutes (IQR, 213-430 minutes). The median time-weighted average of hypotension was 0.10 mm Hg (IQR, 0.01-0.43 mm Hg) in the intervention group vs 0.44 mm Hg (IQR, 0.23-0.72 mm Hg) in the control group, for a median difference of 0.38 mm Hg (95% CI, 0.14-0.43 mm Hg; P = .001). The median time of hypotension per patient was 8.0 minutes (IQR, 1.33-26.00 minutes) in the intervention group vs 32.7 minutes (IQR, 11.5-59.7 minutes) in the control group, for a median difference of 16.7 minutes (95% CI, 7.7-31.0 minutes; P &lt; .001). In the intervention group, 0 serious adverse events resulting in death occurred vs 2 (7%) in the control group. Conclusions and Relevance In this single-center preliminary study of patients undergoing elective noncardiac surgery, the use of a machine learning-derived early warning system compared with standard care resulted in less intraoperative hypotension. Further research with larger study populations in diverse settings is needed to understand the effect on additional patient outcomes and to fully assess safety and generalizability.</t>
  </si>
  <si>
    <t>Wijnberge, Marije; Geerts, Bart F.; Hol, Liselotte; Lemmers, Nikki; Mulder, Marijn P.; Berge, Patrick; Schenk, Jimmy; Terwindt, Lotte E.; Hollmann, Markus W.; Vlaar, Alexander P.; Veelo, Denise P.</t>
  </si>
  <si>
    <t>Vlaar, AP (corresponding author), Amsterdam UMC, Locat AMC, Dept Intens Care, Meibergdreef 9, NL-1105 AZ Amsterdam, Netherlands.</t>
  </si>
  <si>
    <t>a.p.vlaar@amsterdamumc.nl</t>
  </si>
  <si>
    <t>Edwards Lifesciences</t>
  </si>
  <si>
    <t>Edwards Lifesciences (Edwards Lifesciences)</t>
  </si>
  <si>
    <t>This work is supported by Edwards Lifesciences.</t>
  </si>
  <si>
    <t>[Wijnberge, Marije; Geerts, Bart F.; Hol, Liselotte; Lemmers, Nikki; Mulder, Marijn P.; Berge, Patrick; Schenk, Jimmy; Terwindt, Lotte E.; Hollmann, Markus W.; Veelo, Denise P.] Amsterdam UMC, Locat AMC, Dept Anesthesiol, Amsterdam, Netherlands; [Wijnberge, Marije; Vlaar, Alexander P.] Amsterdam UMC, Locat AMC, Dept Intens Care, Meibergdreef 9, NL-1105 AZ Amsterdam, Netherlands; [Mulder, Marijn P.] Univ Twente, Dept Tech Med, Enschede, Netherlands</t>
  </si>
  <si>
    <t>University of Amsterdam; University of Amsterdam; University of Twente</t>
  </si>
  <si>
    <t>Effect of a Machine Learning-Derived Early Warning System for Intraoperative Hypotension vs Standard Care on Depth and Duration of Intraoperative Hypotension During Elective Noncardiac Surgery The HYPE Randomized Clinical Trial</t>
  </si>
  <si>
    <t>HIGH-RISK PATIENTS; MYOCARDIAL INJURY; ACUTE KIDNEY; ASSOCIATION; MORTALITY; COHORT</t>
  </si>
  <si>
    <t>Mulder, Marijn/AGK-6533-2022; Schenk, Jimmy/LLK-4939-2024; Veelo, Denise/AAU-2871-2021</t>
  </si>
  <si>
    <t>Vlaar, Alexander/0000-0002-3453-7186; Hollmann, Markus/0000-0001-8248-0244; Mulder, Marijn/0000-0003-0318-0046; Schenk, Jimmy/0000-0003-0570-0017; Veelo, Denise/0000-0001-6196-1671</t>
  </si>
  <si>
    <t>434</t>
  </si>
  <si>
    <t>88</t>
  </si>
  <si>
    <t>MAR 17 2020</t>
  </si>
  <si>
    <t>323</t>
  </si>
  <si>
    <t>1052</t>
  </si>
  <si>
    <t>10.1001/jama.2020.0592</t>
  </si>
  <si>
    <t>http://dx.doi.org/10.1001/jama.2020.0592</t>
  </si>
  <si>
    <t>KX6DC</t>
  </si>
  <si>
    <t>32065827</t>
  </si>
  <si>
    <t>WOS:000521968800017</t>
  </si>
  <si>
    <t>Bronze; Green Submitted; Green Accepted</t>
  </si>
  <si>
    <t>DeGrave, AJ; Janizek, JD; Lee, SI</t>
  </si>
  <si>
    <t>Artificial intelligence (AI) researchers and radiologists have recently reported AI systems that accurately detect COVID-19 in chest radiographs. However, the robustness of these systems remains unclear. Using state-of-the-art techniques in explainable AI, we demonstrate that recent deep learning systems to detect COVID-19 from chest radiographs rely on confounding factors rather than medical pathology, creating an alarming situation in which the systems appear accurate, but fail when tested in new hospitals. We observe that the approach to obtain training data for these AI systems introduces a nearly ideal scenario for AI to learn these spurious 'shortcuts'. Because this approach to data collection has also been used to obtain training data for the detection of COVID-19 in computed tomography scans and for medical imaging tasks related to other diseases, our study reveals a far-reaching problem in medical-imaging AI. In addition, we show that evaluation of a model on external data is insufficient to ensure AI systems rely on medically relevant pathology, because the undesired 'shortcuts' learned by AI systems may not impair performance in new hospitals. These findings demonstrate that explainable AI should be seen as a prerequisite to clinical deployment of machine-learning healthcare models.The urgency of the developing COVID-19 epidemic has led to a large number of novel diagnostic approaches, many of which use machine learning. DeGrave and colleagues use explainable AI techniques to analyse a selection of these approaches and find that the methods frequently learn to identify features unrelated to the actual disease.</t>
  </si>
  <si>
    <t>DeGrave, Alex J.; Janizek, Joseph D.; Lee, Su-In</t>
  </si>
  <si>
    <t>Lee, SI (corresponding author), Univ Washington, Paul G Allen Sch Comp Sci &amp; Engn, Seattle, WA 98195 USA.</t>
  </si>
  <si>
    <t>suinlee@cs.washington.edu</t>
  </si>
  <si>
    <t>National Science Foundation [CAREER DBI-1552309]; National Institutes of Health [R35 GM 128638, R01 AG061132]</t>
  </si>
  <si>
    <t>National Science Foundation (National Science Foundation (NSF)); National Institutes of Health (United States Department of Health &amp; Human Services, National Institutes of Health (NIH) - USA)</t>
  </si>
  <si>
    <t>This work was funded by the National Science Foundation (CAREER DBI-1552309 to S.-I.L.) and the National Institutes of Health (R35 GM 128638 and R01 AG061132 to S.-I.L.). We thank H. Chen and G. Erion for providing feedback while the manuscript was being written. We thank A. Bustos for clarifying the characteristics of the PadChest and BIMCV-COVID-19+ datasets. We also thank D. Janizek for insight into the interpretation of COVID-19 on chest radiographs.</t>
  </si>
  <si>
    <t>[DeGrave, Alex J.; Janizek, Joseph D.; Lee, Su-In] Univ Washington, Paul G Allen Sch Comp Sci &amp; Engn, Seattle, WA 98195 USA; [DeGrave, Alex J.; Janizek, Joseph D.] Univ Washington, Med Scientist Training Program, Seattle, WA 98195 USA</t>
  </si>
  <si>
    <t>University of Washington; University of Washington Seattle; University of Washington; University of Washington Seattle</t>
  </si>
  <si>
    <t>AI for radiographic COVID-19 detection selects shortcuts over signal</t>
  </si>
  <si>
    <t>DEEP; CLASSIFICATION; NETWORKS</t>
  </si>
  <si>
    <t>Janizek, Joseph/0000-0003-1804-7133; Lee, Su-In/0000-0001-5833-5215; DeGrave, Alex/0000-0001-9933-6273</t>
  </si>
  <si>
    <t>431</t>
  </si>
  <si>
    <t>514</t>
  </si>
  <si>
    <t>77</t>
  </si>
  <si>
    <t>JUL 2021</t>
  </si>
  <si>
    <t>610</t>
  </si>
  <si>
    <t>10.1038/s42256-021-00338-7</t>
  </si>
  <si>
    <t>http://dx.doi.org/10.1038/s42256-021-00338-7</t>
  </si>
  <si>
    <t>TM3MG</t>
  </si>
  <si>
    <t>WOS:000658536700002</t>
  </si>
  <si>
    <t>Li, JPO; Liu, HR; Ting, DSJ; Jeon, S; Chan, RVP; Kim, JE; Sim, DA; Thomas, PBM; Lin, HT; Chen, YX; Sakomoto, T; Loewenstein, A; Lam, DSC; Pasquale, LR; Wong, TY; Lam, LA; Ting, DSW</t>
  </si>
  <si>
    <t>The simultaneous maturation of multiple digital and telecommunications technologies in 2020 has created an unprecedented opportunity for ophthalmology to adapt to new models of care using tele-health supported by digital innovations. These digital innovations include artificial intelligence (AI), 5th generation (5G) telecommunication networks and the Internet of Things (IoT), creating an inter-dependent ecosystem offering opportunities to develop new models of eye care addressing the challenges of COVID-19 and beyond. Ophthalmology has thrived in some of these areas partly due to its many image-based investigations. Tele-health and AI provide synchronous solutions to challenges facing ophthalmologists and healthcare providers worldwide. This article reviews how countries across the world have utilised these digital innovations to tackle diabetic retinopathy, retinopathy of prematurity, age-related macular degeneration, glaucoma, refractive error correction, cataract and other anterior segment disorders. The review summarises the digital strategies that countries are developing and discusses technologies that may increasingly enter the clinical workflow and processes of ophthalmologists. Furthermore as countries around the world have initiated a series of escalating containment and mitigation measures during the COVID-19 pandemic, the delivery of eye care services globally has been significantly impacted. As ophthalmic services adapt and form a "new normal", the rapid adoption of some of telehealth and digital innovation during the pandemic is also discussed. Finally, challenges for validation and clinical implementation are considered, as well as recommendations on future directions.</t>
  </si>
  <si>
    <t>Li, Ji-Peng Olivia; Liu, Hanruo; Ting, Darren S. J.; Jeon, Sohee; Chan, R. V. Paul; Kim, Judy E.; Sim, Dawn A.; Thomas, Peter B. M.; Lin, Haotian; Chen, Youxin; Sakomoto, Taiji; Loewenstein, Anat; Lam, Dennis S. C.; Pasquale, Louis R.; Wong, Tien Y.; Lam, Linda A.; Ting, Daniel S. W.</t>
  </si>
  <si>
    <t>Ting, DSW (corresponding author), Singapore Natl Eye Ctr, 11 Third Hosp Ave, Singapore 168751, Singapore.</t>
  </si>
  <si>
    <t>MRC [MR/T001674/1] Funding Source: UKRI; Medical Research Council [MR/T001674/1] Funding Source: researchfish; Medical Research Council [MR/T001674/1] Funding Source: Medline</t>
  </si>
  <si>
    <t>MRC (UK Research &amp; Innovation (UKRI), Medical Research Council UK (MRC)); Medical Research Council (UK Research &amp; Innovation (UKRI), Medical Research Council UK (MRC)); Medical Research Council (UK Research &amp; Innovation (UKRI), Medical Research Council UK (MRC))</t>
  </si>
  <si>
    <t>[Li, Ji-Peng Olivia] Moorfields Eye Hosp NHS Fdn Trust, London, England; [Liu, Hanruo] Beijing Tongren Hosp, Beijing, Peoples R China; [Liu, Hanruo] Capital Med Univ, Beijing, Peoples R China; [Liu, Hanruo] Beijing Inst Ophthalmol, Beijing, Peoples R China; [Ting, Darren S. J.] Univ Nottingham, Acad Ophthalmol, Nottingham, England; [Jeon, Sohee] Keye Eye Ctr, Seoul, South Korea; [Chan, R. V. Paul] Univ Illinois, Chicago, IL USA; [Kim, Judy E.] Med Coll Wisconsin, Milwaukee, WI 53226 USA; [Sim, Dawn A.; Thomas, Peter B. M.] Moorfields Eye Hosp NHS Fdn Trust, NIHR Biomed Res Ctr Ophthalmol, London, England; [Sim, Dawn A.; Thomas, Peter B. M.] UCL Inst Ophthalmol, London, England; [Lin, Haotian] Zhongshan Ophthalm Ctr, State Key Lab Ophthalmol, Guangzhou, Peoples R China; [Chen, Youxin] Peking Union Med Coll Hosp, Beijing, Peoples R China; [Sakomoto, Taiji] Kagoshima Univ, Dept Ophthalmol, Grad Sch Med &amp; Dent Sci, Kagoshima, Japan; [Loewenstein, Anat] Tel Aviv Med Ctr &amp; Sch Med, Dept Ophthalmol, Tel Aviv, Israel; [Lam, Dennis S. C.] C Mer Int Eye Care Grp Ltd, C MER Dennis Lam Eye Ctr, Hong Kong, Peoples R China; [Lam, Dennis S. C.] Chinese Univ Hong Kong Shenzhen, Int Eye Res Inst, Shenzhen, Peoples R China; [Pasquale, Louis R.] Icahn Sch Med Mt Sinai, Dept Ophthalmol, New York, NY 10029 USA; [Wong, Tien Y.; Ting, Daniel S. W.] Duke NUS Med Sch Singapore, Singapore Natl Eye Ctr, Singapore, Singapore; [Lam, Linda A.] Univ Southern Calif, Keck Sch Med, USC Roski Eye Inst, Los Angeles, CA 90007 USA</t>
  </si>
  <si>
    <t>University of London; University College London; Moorfields Eye Hospital NHS Foundation Trust; Capital Medical University; Capital Medical University; University of Nottingham; University of Illinois System; University of Illinois Chicago; University of Illinois Chicago Hospital; Medical College of Wisconsin; University of London; University College London; Moorfields Eye Hospital NHS Foundation Trust; University of London; University College London; Chinese Academy of Medical Sciences - Peking Union Medical College; Peking Union Medical College Hospital; Kagoshima University; Tel Aviv University; Sackler Faculty of Medicine; The Chinese University of Hong Kong, Shenzhen; Icahn School of Medicine at Mount Sinai; Singapore National Eye Center; National University of Singapore; University of Southern California</t>
  </si>
  <si>
    <t>Digital technology, tele-medicine and artificial intelligence in ophthalmology: A global perspective</t>
  </si>
  <si>
    <t>PROGRESS IN RETINAL AND EYE RESEARCH</t>
  </si>
  <si>
    <t>Telemedicine; Tele-ophthalmology; Tele-screening; Diabetic retinopathy screening; Artificial intelligence; Deep learning; Digital transformation; Digital innovations; COVID-19; Digital technology</t>
  </si>
  <si>
    <t>PHILADELPHIA GLAUCOMA DETECTION; MACHINE LEARNING CLASSIFIERS; STANFORD-UNIVERSITY NETWORK; NATIONAL SCREENING-PROGRAM; IMAGE ASSESSMENT SOFTWARE; VISUAL-FIELD PROGRESSION; MAJOR RISK-FACTORS; PRIMARY OPEN-ANGLE; DIABETIC-RETINOPATHY; MACULAR DEGENERATION</t>
  </si>
  <si>
    <t>Wong, Tien Y/AAC-9724-2020; Lam, Dennis/AAL-1211-2020; Ting, Daniel/QOC-0597-2026; Chen, Youxin/QMQ-0501-2026</t>
  </si>
  <si>
    <t>Wong, Tien Y/0000-0002-8448-1264; Bidwai, Pooja Vishal/0000-0002-3077-4395; Li, Ji-Peng Olivia/0000-0001-8130-2913; Pasquale, Louis R/0000-0002-5835-3496; Thomas, Peter/0000-0003-1681-7659</t>
  </si>
  <si>
    <t>352</t>
  </si>
  <si>
    <t>426</t>
  </si>
  <si>
    <t>539</t>
  </si>
  <si>
    <t>1350-9462</t>
  </si>
  <si>
    <t>1873-1635</t>
  </si>
  <si>
    <t>PROG RETIN EYE RES</t>
  </si>
  <si>
    <t>Prog. Retin. Eye Res.</t>
  </si>
  <si>
    <t>100900</t>
  </si>
  <si>
    <t>10.1016/j.preteyeres.2020.100900</t>
  </si>
  <si>
    <t>http://dx.doi.org/10.1016/j.preteyeres.2020.100900</t>
  </si>
  <si>
    <t>TE5UC</t>
  </si>
  <si>
    <t>32898686</t>
  </si>
  <si>
    <t>WOS:000670077000003</t>
  </si>
  <si>
    <t>58</t>
  </si>
  <si>
    <t>Loftus, TJ; Tighe, PJ; Filiberto, AC; Efron, PA; Brakenridge, SC; Mohr, AM; Rashidi, P; Upchurch, GR ; Bihorac, A</t>
  </si>
  <si>
    <t>This review describes the weaknesses of traditional clinical decision-support systems and proposes that artificial intelligence should be used to augment surgical decision-making.Importance Surgeons make complex, high-stakes decisions under time constraints and uncertainty, with significant effect on patient outcomes. This review describes the weaknesses of traditional clinical decision-support systems and proposes that artificial intelligence should be used to augment surgical decision-making. Observations Surgical decision-making is dominated by hypothetical-deductive reasoning, individual judgment, and heuristics. These factors can lead to bias, error, and preventable harm. Traditional predictive analytics and clinical decision-support systems are intended to augment surgical decision-making, but their clinical utility is compromised by time-consuming manual data management and suboptimal accuracy. These challenges can be overcome by automated artificial intelligence models fed by livestreaming electronic health record data with mobile device outputs. This approach would require data standardization, advances in model interpretability, careful implementation and monitoring, attention to ethical challenges involving algorithm bias and accountability for errors, and preservation of bedside assessment and human intuition in the decision-making process. Conclusions and Relevance Integration of artificial intelligence with surgical decision-making has the potential to transform care by augmenting the decision to operate, informed consent process, identification and mitigation of modifiable risk factors, decisions regarding postoperative management, and shared decisions regarding resource use.</t>
  </si>
  <si>
    <t>Loftus, Tyler J.; Tighe, Patrick J.; Filiberto, Amanda C.; Efron, Philip A.; Brakenridge, Scott C.; Mohr, Alicia M.; Rashidi, Parisa; Upchurch, Gilbert R., Jr.; Bihorac, Azra</t>
  </si>
  <si>
    <t>Bihorac, A (corresponding author), Univ Florida Hlth, Dept Med, Div Nephrol Hypertens &amp; Renal Transplantat, Precis &amp; Intelligent Syst Med, POB 100224, Gainesville, FL 32610 USA.</t>
  </si>
  <si>
    <t>abihorac@ufl.edu</t>
  </si>
  <si>
    <t>National Institute of General Medical Sciences (NIGMS) [R01 GM113945-01]; NIGMS [R01 GM110240, P50 GM-111152, R01GM114290, T32 GM-008721]; CAREER award from the National Science Foundation, Division of Information and Intelligent Systems [NSF-IIS 1750192]; National Institute of Biomedical Imaging and Bioengineering [R21EB027344-01]; National Institute of Biomedical Imaging and Bioengineering [R21EB027344] Funding Source: NIH RePORTER; National Institute of General Medical Sciences [T32GM008721, R01GM110240, R01GM105893] Funding Source: NIH RePORTER; National Institute on Aging [R01AG055337, K07AG066813] Funding Source: NIH RePORTER</t>
  </si>
  <si>
    <t>National Institute of General Medical Sciences (NIGMS) (United States Department of Health &amp; Human Services, National Institutes of Health (NIH) - USA, NIH National Institute of General Medical Sciences (NIGMS)); NIGMS (United States Department of Health &amp; Human Services, National Institutes of Health (NIH) - USA, NIH National Institute of General Medical Sciences (NIGMS)); CAREER award from the National Science Foundation, Division of Information and Intelligent Systems; National Institute of Biomedical Imaging and Bioengineering (United States Department of Health &amp; Human Services, National Institutes of Health (NIH) - USA, NIH National Institute of Biomedical Imaging &amp; Bioengineering (NIBIB)); National Institute of Biomedical Imaging and Bioengineering (United States Department of Health &amp; Human Services, National Institutes of Health (NIH) - USA, NIH National Institute of Biomedical Imaging &amp; Bioengineering (NIBIB)); National Institute of General Medical Sciences (United States Department of Health &amp; Human Services, National Institutes of Health (NIH) - USA, NIH National Institute of General Medical Sciences (NIGMS)); National Institute on Aging (United States Department of Health &amp; Human Services, National Institutes of Health (NIH) - USA, NIH National Institute on Aging (NIA))</t>
  </si>
  <si>
    <t>Dr Efron was supported by R01 GM113945-01 from the the National Institute of General Medical Sciences (NIGMS). Drs Bihorac and Rashidi were supported by R01 GM110240 from the NIGMS. Drs Bihorac and Efron were supported by P50 GM-111152 from the NIGMS. Dr Rashidi was supported by CAREER award NSF-IIS 1750192 from the National Science Foundation, Division of Information and Intelligent Systems, and by the National Institute of Biomedical Imaging and Bioengineering (grant R21EB027344-01). Dr Tighe was supported by R01GM114290 from the NIGMS. Dr Loftus was supported by a postgraduate training grant (T32 GM-008721) in burns, trauma, and perioperative injury from the NIGMS.</t>
  </si>
  <si>
    <t>[Loftus, Tyler J.; Filiberto, Amanda C.; Efron, Philip A.; Brakenridge, Scott C.; Mohr, Alicia M.; Upchurch, Gilbert R., Jr.] Univ Florida Hlth, Dept Surg, Gainesville, FL USA; [Tighe, Patrick J.] Univ Florida Hlth, Dept Anesthesiol, Gainesville, FL USA; [Tighe, Patrick J.] Univ Florida Hlth, Dept Orthoped, Gainesville, FL USA; [Tighe, Patrick J.] Univ Florida Hlth, Dept Informat Syst Operat Management, Gainesville, FL USA; [Rashidi, Parisa] Univ Florida, Dept Biomed Engn, Gainesville, FL USA; [Rashidi, Parisa] Univ Florida, Dept Comp &amp; Informat Sci &amp; Engn, Gainesville, FL USA; [Rashidi, Parisa] Univ Florida, Dept Elect &amp; Comp Engn, Gainesville, FL USA; [Bihorac, Azra] Univ Florida Hlth, Dept Med, Gainesville, FL USA</t>
  </si>
  <si>
    <t>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t>
  </si>
  <si>
    <t>Artificial Intelligence and Surgical Decision-making</t>
  </si>
  <si>
    <t>JAMA SURGERY</t>
  </si>
  <si>
    <t>C-REACTIVE PROTEIN; MORTALITY PREDICTION; AMERICAN-COLLEGE; HEALTH; RISK; MEDICINE; SCORE</t>
  </si>
  <si>
    <t>Brakenridge, Scott/AAD-6691-2019; Mohr, Alicia/E-3016-2015; Bihorac, Azra/Q-6500-2016; Loftus, Tyler/J-7761-2016; Rashidi, Parisa/AAP-7261-2020</t>
  </si>
  <si>
    <t>Brakenridge, Scott/0000-0002-7327-3718; Mohr, Alicia/0000-0003-1732-1313; Bihorac, Azra/0000-0002-5745-2863; Loftus, Tyler/0000-0001-5354-443X; Filiberto, Amanda/0000-0003-3586-8830</t>
  </si>
  <si>
    <t>425</t>
  </si>
  <si>
    <t>488</t>
  </si>
  <si>
    <t>181</t>
  </si>
  <si>
    <t>2168-6254</t>
  </si>
  <si>
    <t>2168-6262</t>
  </si>
  <si>
    <t>JAMA SURG</t>
  </si>
  <si>
    <t>JAMA Surg.</t>
  </si>
  <si>
    <t>10.1001/jamasurg.2019.4917</t>
  </si>
  <si>
    <t>http://dx.doi.org/10.1001/jamasurg.2019.4917</t>
  </si>
  <si>
    <t>Surgery</t>
  </si>
  <si>
    <t>KS0EX</t>
  </si>
  <si>
    <t>31825465</t>
  </si>
  <si>
    <t>WOS:000517986100010</t>
  </si>
  <si>
    <t>Lekadir, K; Frangi, AF; Porras, AR; Glocker, B; Cintas, C; Langlotz, CP; Weicken, E; Asselbergs, FW; Prior, F; Collins, GS; Kaissis, G; Tsakou, G; Buvat, I; Kalpathy-Cramer, J; Mongan, J; Schnabel, JA; Kushibar, K; Riklund, K; Marias, K; Amugongo, LM; Fromont, LA; Maier-Hein, L; Cerdá-Alberich, L; Martí-Bonmatí, L; Cardoso, MJ; Bobowicz, M; Shabani, M; Tsiknakis, M; Zuluaga, MA; Fritzsche, MC; Camacho, M; Linguraru, MG; Wenzel, M; De Bruijne, M; Tolsgaard, MG; Goisauf, M; Abadía, MC; Papanikolaou, N; Lazrak, N; Pujol, O; Osuala, R; Napel, S; Colantonio, S; Joshi, S; Klein, S; Ausso, S; Rogers, WA; Salahuddin, Z; Starmans, MPA</t>
  </si>
  <si>
    <t>Despite major advances in artificial intelligence (AI) research for healthcare, the deployment and adoption of AI technologies remain limited in clinical practice. This paper describes the FUTURE-AI framework, which provides guidance for the development and deployment of trustworthy AI tools in healthcare. The FUTURE-AI Consortium was founded in 2021 and comprises 117 interdisciplinary experts from 50 countries representing all continents, including AI scientists, clinical researchers, biomedical ethicists, and social scientists. Over a two year period, the FUTURE-AI guideline was established through consensus based on six guiding principles-fairness, universality, traceability, usability, robustness, and explainability. To operationalise trustworthy AI in healthcare, a set of 30 best practices were defined, addressing technical, clinical, socioethical, and legal dimensions. The recommendations cover the entire lifecycle of healthcare AI, from design, development, and validation to regulation, deployment, and monitoring.</t>
  </si>
  <si>
    <t>Lekadir, Karim; Frangi, Alejandro F.; Porras, Antonio R.; Glocker, Ben; Cintas, Celia; Langlotz, Curtis P.; Weicken, Eva; Asselbergs, Folkert W.; Prior, Fred; Collins, Gary S.; Kaissis, Georgios; Tsakou, Gianna; Buvat, Irene; Kalpathy-Cramer, Jayashree; Mongan, John; Schnabel, Julia A.; Kushibar, Kaisar; Riklund, Katrine; Marias, Kostas; Amugongo, Lameck M.; Fromont, Lauren A.; Maier-Hein, Lena; Cerda-Alberich, Leonor; Marti-Bonmati, Luis; Cardoso, M. Jorge; Bobowicz, Maciej; Shabani, Mahsa; Tsiknakis, Manolis; Zuluaga, Maria A.; Fritzsche, Marie-Christine; Camacho, Marina; Linguraru, Marius George; Wenzel, Markus; De Bruijne, Marleen; Tolsgaard, Martin G.; Goisauf, Melanie; Abadia, Monica Cano; Papanikolaou, Nikolaos; Lazrak, Noussair; Pujol, Oriol; Osuala, Richard; Napel, Sandy; Colantonio, Sara; Joshi, Smriti; Klein, Stefan; Ausso, Susanna; Rogers, Wendy A.; Salahuddin, Zohaib; Starmans, Martijn P. A.</t>
  </si>
  <si>
    <t>Lekadir, K (corresponding author), Univ Barcelona, Dept Matemat &amp; Informat, Artificial Intelligence Med Lab BCN AIM, Barcelona, Spain.; Lekadir, K (corresponding author), Institucio Catalana Recerca &amp; Estudis Avancats ICR, Barcelona, Spain.</t>
  </si>
  <si>
    <t>karim.lekadir@ub.edu</t>
  </si>
  <si>
    <t>European Union [952172, 826494, 952179, 101034347, 101016775, 101100633, 101136670, 101057062, 101095435, 116074, 952159]; European Union's Horizon Europe [101057699, 101057849, 101080430 (AI4HF)]; European Research Council [757173, 884622, 101002198, 866504, 101044779]; Royal Academy of Engineering, Hospital Clinic Barcelona; Carnegie Cooperation New York, Human frontier science programme; Natural Sciences and Engineering Research Council of Canada (NSERC); Australian National Health and Medical Research Council [1181960]; United States Department of Defence [W81XWH2010747-P1, ANR-19-P3IA-0002]; Korean government [2020-0-00594]; A*STAR Career Development Award [C210112057]; Agency for Science, Technology and Research (A*STAR); National Institute for Health and Care Research Barts Biomedical Research Centre; Infraestructura de Medicina de Precisin asociada a la Ciencia y la Tecnologia - Instituto de Salud Carlos III; Fondo Europeo de Desarrollo Regional (FEDER); Ministry of Science, Technology and Innovation of Colombia [110192092354]; Gordon and Betty Moore Foundation; Google Award for Inclusion Research, Fraunhofer Heinrich Hertz Institute, US National Institutes of Health, National Council for Scientific and Technological Development (CNPq); European Heart Network; NIBIB/University of Chicago (MIDRC) , Hong Kong Research Grants Council Theme-based Research Scheme [19PEJC09-03]; Ministry of High Education of Tunisia [FJC2021-047659-I]; Fogarty International Center of the National Institutes of Health [5U2RTW012131-02]; Natural Science Foundation of China [62271465]; Israel Science Foundation; National Institutes of Health (NIH); Dutch Cancer Society (KWF Kankerbestrijding) [14449]; Netherlands Organisation for Scientific Research (NWO) [VICI projectVI.C.182.042, ANID-BASAL FB210017]; Google Research, Independent Research Fund Denmark [9131-00097B]; Wellcome Flagship Programme [WT213038/Z/18/Z]; Cancer Research UK programme [C49297/A27294]; National Institute of Biomedical Imaging and Bioengineering (NIBIB) of the National Institutes of Health [75N92020D00021, PID2021-126724OB-I00]; AIMED [PID2023-146786OB-I00]; Ministry of Science, Innovation and Universities of the Government of Spain; Horizon Europe - Pillar II [101057699, 101057849] Funding Source: Horizon Europe - Pillar II; National Health and Medical Research Council (NHMRC) [1181960] Funding Source: National Health and Medical Research Council (NHMRC); U.S. Department of Defense (DOD) [W81XWH2010747] Funding Source: U.S. Department of Defense (DOD); European Research Council (ERC) [757173, 866504, 101002198, 884622, 101044779] Funding Source: European Research Council (ERC)</t>
  </si>
  <si>
    <t>European Union (European Union (EU)); European Union's Horizon Europe; European Research Council; Royal Academy of Engineering, Hospital Clinic Barcelona; Carnegie Cooperation New York, Human frontier science programme; Natural Sciences and Engineering Research Council of Canada (NSERC) (Natural Sciences and Engineering Research Council of Canada (NSERC)); Australian National Health and Medical Research Council (National Health &amp; Medical Research Council (NHMRC) of Australia); United States Department of Defence (United States Department of Defense); Korean government (Korean Government); A*STAR Career Development Award; Agency for Science, Technology and Research (A*STAR); National Institute for Health and Care Research Barts Biomedical Research Centre; Infraestructura de Medicina de Precisin asociada a la Ciencia y la Tecnologia - Instituto de Salud Carlos III; Fondo Europeo de Desarrollo Regional (FEDER); Ministry of Science, Technology and Innovation of Colombia; Gordon and Betty Moore Foundation (Gordon &amp; Betty Moore Foundation); Google Award for Inclusion Research, Fraunhofer Heinrich Hertz Institute, US National Institutes of Health, National Council for Scientific and Technological Development (CNPq); European Heart Network; NIBIB/University of Chicago (MIDRC) , Hong Kong Research Grants Council Theme-based Research Scheme; Ministry of High Education of Tunisia; Fogarty International Center of the National Institutes of Health; Natural Science Foundation of China (National Natural Science Foundation of China (NSFC)); Israel Science Foundation (Israel Science Foundation); National Institutes of Health (NIH) (United States Department of Health &amp; Human Services, National Institutes of Health (NIH) - USA, Office of the Administrator (NIH)); Dutch Cancer Society (KWF Kankerbestrijding); Netherlands Organisation for Scientific Research (NWO) (Netherlands Organization for Scientific Research (NWO)); Google Research, Independent Research Fund Denmark; Wellcome Flagship Programme; Cancer Research UK programme; National Institute of Biomedical Imaging and Bioengineering (NIBIB) of the National Institutes of Health; AIMED; Ministry of Science, Innovation and Universities of the Government of Spain; Horizon Europe - Pillar II (European Union (EU), Horizon Europe - Pillar II); National Health and Medical Research Council (NHMRC); U.S. Department of Defense (DOD) (United States Department of Defense); European Research Council (ERC) (European Research Council (ERC))</t>
  </si>
  <si>
    <t>This work has been supported by the European Union's Horizon 2020 under grant agreement No 952159 (ProCAncer-I) , No 952172 (CHAIMELEON) , No 826494 (PRIMAGE) , No 952179 (INCISIVE) , No 101034347 (OPTIMA) , No 101016775 (INTERVENE) , No 101100633 (EUCAIM) , No 101136670 (GLIOMATCH) , No 101057062 (AIDAVA) , No 101095435 (REALM) , and No 116074 (BigData@Heart) . This work received support from the European Union's Horizon Europe under grant agreement No 101057699 (RadioVal) , No 101057849 (DataTools4Heart) , and No 101080430 (AI4HF) . This work received support from the European Research Council under grant agreement No 757173 (MIRA) , No 884622 (Deep4MI) , No 101002198 (NEURALSPICING) , No 866504 (CANCER-RADIOMICS) , and No 101044779 (AIMIX) . This work was partially supported by the Royal Academy of Engineering, Hospital Clinic Barcelona, Malaria No More, Carnegie Cooperation New York, Human frontier science programme, Natural Sciences and Engineering Research Council of Canada (NSERC) , the Australian National Health and Medical Research Council Ideas under grant No 1181960, United States Department of Defence W81XWH2010747-P1, 3IA Cpte d'Azur Investments in the Future project managed by the National Research Agency (ANR-19-P3IA-0002) , InTouchAI.eu, IITP grant funded by the Korean government (No 2020-0-00594) , A*STAR Career Development Award (project No C210112057) from the Agency for Science, Technology and Research (A*STAR) , National Institute for Health and Care Research Barts Biomedical Research Centre, Centre National de la Recherche Scientifi que (CNRS) , MPaCT-Data. Infraestructura de Medicina de Precision asociada a la Ciencia y la Tecnologia (Exp. IMP/00019) funded by Instituto de Salud Carlos III and the Fondo Europeo de Desarrollo Regional (FEDER, "Una manera de hacer Europa") , Ministry of Science, Technology and Innovation of Colombia project code 110192092354, Gordon and Betty Moore Foundation, Google Award for Inclusion Research, Fraunhofer Heinrich Hertz Institute, US National Institutes of Health, National Council for Scientific and Technological Development (CNPq) , European Heart Network, NIBIB/University of Chicago (MIDRC) , Hong Kong Research Grants Council Theme-based Research Scheme (TRS) projectT45-401/22-N, Young Researcher Project (19PEJC09-03) funded by the Ministry of High Education of Tunisia, Juan de la Cierva with reference number FJC2021-047659-I, Nepal Applied Mathematics and Informatics Institute for Research (NAAMII) , Fogarty International Center of the National Institutes of Health under Award No 5U2RTW012131-02, Universidad Galileo, Natural Science Foundation of China under grant 62271465, Israel Science Foundation, National Institutes of Health (NIH) , Dutch Cancer Society (KWF Kankerbestrijding) under project No 14449, Netherlands Organisation for Scientific Research (NWO) VICI projectVI.C.182.042, National Center for Artificial Intelligence CENIA (ANID-BASAL FB210017) , Google Research, Independent Research Fund Denmark (DFF,grant No 9131-00097B) , Wellcome Flagship Programme (WT213038/Z/18/Z) , Cancer Research UK programme grant (C49297/A27294) , the MIDRC (The Medical Imaging and Data Resource Center) , made possible by the National Institute of Biomedical Imaging and Bioengineering (NIBIB) of the National Institutes of Health under contract 75N92020D00021, and the Employee European Heart Network. Also, this work was partially supported by the project FUTURE-ES (PID2021-126724OB-I00) and AIMED (PID2023-146786OB-I00) from the Ministry of Science, Innovation and Universities of the Government of Spain.</t>
  </si>
  <si>
    <t>[Lekadir, Karim; Kushibar, Kaisar; Camacho, Marina; Lazrak, Noussair; Pujol, Oriol; Osuala, Richard; Joshi, Smriti] Univ Barcelona, Dept Matemat &amp; Informat, Artificial Intelligence Med Lab BCN AIM, Barcelona, Spain; [Lekadir, Karim] Institucio Catalana Recerca &amp; Estudis Avancats ICR, Barcelona, Spain; [Frangi, Alejandro F.] Univ Leeds, Ctr Computat Imaging &amp; Simulat Technol Biomed, Sch Comp &amp; Med, Leeds, England; [Frangi, Alejandro F.] Katholieke Univ Leuven, Med Imaging Res Ctr MIRC, Cardiovasc Sci Dept, Leuven, Belgium; [Frangi, Alejandro F.] Katholieke Univ Leuven, Elect Engn Dept, Leuven, Belgium; [Porras, Antonio R.] Univ Colorado, Colorado Sch Publ Hlth, Dept Biostat &amp; Informat, Anschutz Med Campus, Aurora, CO USA; [Glocker, Ben] Imperial Coll London, Dept Comp, London, England; [Cintas, Celia] IBM Res Africa, Nairobi, Kenya; [Langlotz, Curtis P.] Stanford Univ, Dept Radiol, Sch Med, Stanford, CA USA; [Langlotz, Curtis P.] Stanford Univ, Dept Med &amp; Biomed Data Sci, Sch Med, Stanford, CA USA; [Weicken, Eva; Wenzel, Markus] Fraunhofer Heinrich Hertz Inst, Berlin, Germany; [Asselbergs, Folkert W.] Univ Amsterdam, Amsterdam Univ, Dept Cardiol, Med Ctr, Amsterdam, Netherlands; [Prior, Fred] Univ Arkansas Med Sci, Dept Biomed Informat, Little Rock, AR USA; [Collins, Gary S.] Univ Oxford, Ctr Stat Med, Oxford, England; [Kaissis, Georgios] Tech Univ Munich, Inst AI &amp; Informat Med, Klinikum Rechts Isar, Munich, Germany; [Tsakou, Gianna] Grp Maggioli, Res &amp; Dev Lab, Athens, Greece; [Buvat, Irene] Inserm, Inst Curie, Orsay, France; [Kalpathy-Cramer, Jayashree] Harvard Med Sch, Massachusetts Gen Hosp, Boston, MA USA; [Mongan, John] Univ Calif San Francisco, Dept Radiol &amp; Biomed Imaging, San Francisco, CA USA; [Schnabel, Julia A.] Helmholtz Ctr Munich, Inst Machine Learning Biomed Imaging, Munich, Germany; [Riklund, Katrine] Umea Univ, Dept Radiat Sci, Diagnost Radiol, Umea, Sweden; [Marias, Kostas; Tsiknakis, Manolis] Fdn Res &amp; Technol Hellas FORTH, Iraklion, Greece; [Amugongo, Lameck M.] Namibia Univ Sci &amp; Technol, Dept Software Engn, Windhoek, Namibia; [Fromont, Lauren A.] Barcelona Inst Sci &amp; Technol, Ctr Genom Regulat, Barcelona, Spain; [Maier-Hein, Lena] German Canc Res Ctr, Div Intelligent Med Syst, Heidelberg, Germany; [Cerda-Alberich, Leonor] La Fe Hlth Res Inst, Biomed Imaging Res Grp, Valencia, Spain; [Marti-Bonmati, Luis] Hosp Univ &amp; Politecn La Fe, Med Imaging Dept, Valencia, Spain; [Cardoso, M. Jorge] Kings Coll London, Sch Biomed Engn &amp; Imaging Sci, London, England; [Bobowicz, Maciej] Med Univ Gdansk, Div Radiol 2, Gdansk, Poland; [Shabani, Mahsa] Univ Ghent, Fac Law &amp; Criminol, Ghent, Belgium; [Zuluaga, Maria A.] EURECOM, Data Sci Dept, Sophia Antipolis, France; [Fritzsche, Marie-Christine] Tech Univ Munich, Inst Hist &amp; Ethics Med, Munich, Germany; [Linguraru, Marius George] Childrens Natl Hosp, Sheikh Zayed Inst Pediat Surg Innovat, Washington, DC USA; [De Bruijne, Marleen; Klein, Stefan; Starmans, Martijn P. A.] Erasmus MC Univ Med Ctr, Dept Radiol &amp; Nucl Med, Rotterdam, Netherlands; [Tolsgaard, Martin G.] Univ Copenhagen, Copenhagen Acad Med Educ &amp; Simulat, Rigshosp, Copenhagen, Denmark; [Goisauf, Melanie; Abadia, Monica Cano] BBMRI ERIC, ELSI Serv &amp; Res, Graz, Austria; [Papanikolaou, Nikolaos] Champalimaud Fdn, Champalimaud Res, Lisbon, Portugal; [Napel, Sandy] Stanford Univ, Dept Biomed Informat Res, Stanford, CA USA; [Colantonio, Sara] Natl Res Council Italy, Inst Informat Sci &amp; Technol, Pisa, Italy; [Ausso, Susanna] TIC Salut Social Fdn, Barcelona, Spain; [Rogers, Wendy A.] Macquarie Univ, Dept Philosophy, Sydney, Australia; [Rogers, Wendy A.] Macquarie Univ, Sch Med, Sydney, Australia; [Salahuddin, Zohaib] Maastricht Univ, GROW Sch Oncol &amp; Reprod, Dept Precis Med, D Lab, Maastricht, Netherlands</t>
  </si>
  <si>
    <t>University of Barcelona; University of Leeds; KU Leuven; KU Leuven; University of Colorado System; Colorado State University Fort Collins; University of Northern Colorado; University of Colorado Anschutz; Colorado School of Public Health; Imperial College London; Stanford University; Stanford Medicine; Stanford Medicine; Stanford University; Fraunhofer Gesellschaft; University of Amsterdam; University of Arkansas System; University of Arkansas Medical Sciences; University of Oxford; Technical University of Munich; Institut National de la Sante et de la Recherche Medicale (Inserm); UNICANCER; Universite PSL; Institut Curie; Harvard University; Harvard Medical School; Harvard University Medical Affiliates; Massachusetts General Hospital; University of California System; University of California San Francisco; Helmholtz Association; Helmholtz-Center Munich - German Research Center for Environmental Health; Umea University; Namibia University of Science &amp; Technology; Pompeu Fabra University; Barcelona Institute of Science &amp; Technology; Centre de Regulacio Genomica (CRG); Helmholtz Association; German Cancer Research Center (DKFZ); Hospital Universitari i Politecnic La Fe; University of London; King's College London; Fahrenheit Universities; Medical University Gdansk; Ghent University; IMT - Institut Mines-Telecom; EURECOM; Technical University of Munich; Children's National Health System; Erasmus University Rotterdam; Erasmus MC; Rigshospitalet; University of Copenhagen; Copenhagen University Hospital; Fundacao Champalimaud; Stanford University; Consiglio Nazionale delle Ricerche (CNR); Istituto di Scienza e Tecnologie dell'Informazione Alessandro Faedo (ISTI-CNR); Macquarie University; Macquarie University; Maastricht University; Maastricht University Medical Centre (MUMC)</t>
  </si>
  <si>
    <t>FUTURE-AI Consortium</t>
  </si>
  <si>
    <t>FUTURE-AI: international consensus guideline for trustworthy and deployable artificial intelligence in healthcare</t>
  </si>
  <si>
    <t>COST-EFFECTIVENESS; PERFORMANCE; DIAGNOSIS; TRIALS; BIAS; TRANSPARENCY; TECHNOLOGY; MEDICINE; DISEASE</t>
  </si>
  <si>
    <t>Amugongo, Lameck Mbangula/JXN-3217-2024; Zuluaga, Maria/AAP-4923-2020; BUVAT, Irene/U-8447-2018; Colantonio, Sara/AFL-2051-2022; Asselbergs, Folkert Wouter/ABD-6752-2021; Lekadir, Karim/H-1956-2015; Rogers, Wendy/A-8818-2012; Papanikolaou, Nikolaos/KIJ-7182-2024; Salahuddin, Zohaib/AFK-4778-2022; Frangi, Alejandro/C-6500-2008; Collins, Gary/A-2258-2014; Cardoso, M. Jorge/N-5511-2018; Schnabel, Julia Anne/ACE-6863-2022; Cano Abadia, Monica/PXC-1983-2026; Porras, Antonio/AAX-1239-2020; Marias, Kostas/AAM-2330-2021; Tsiknakis, Manolis/Z-2114-2019; de Bruijne, Marleen/G-2662-2010; Bobowicz, Maciej/E-9911-2011; Marti-Bonmati, Luis/AAF-7107-2020; Mongan, John/AAJ-2783-2021; tolsgaard, Martin/AES-2153-2022; Kushibar, Kaisar/JFL-0448-2023; Fromont, Lauren/LXB-0768-2024; Glocker, Ben/MNO-6603-2025</t>
  </si>
  <si>
    <t>Wenzel, Markus/0000-0002-6540-1476; Amugongo, Lameck Mbangula/0000-0001-6468-2643; Asselbergs, Folkert Wouter/0000-0002-1692-8669; Kalpathy-Cramer, Jayashree/0000-0001-8906-9618; Lekadir, Karim/0000-0002-9456-1612; Camacho, Marina/0009-0001-7488-385X; Starmans, Martijn Pieter Anton/0000-0001-5086-7153; Jayakody, Harsha/0000-0001-9151-3968; Salahuddin, Zohaib/0000-0002-9900-329X; Frangi, Alejandro/0000-0002-2675-528X; Collins, Gary/0000-0002-2772-2316; Cardoso, M. Jorge/0000-0003-1284-2558; Klein, Stefan/0000-0003-4449-6784; Schnabel, Julia Anne/0000-0001-6107-3009; Rao, Arjun/0009-0005-8378-3876; Bobowicz, Maciej/0000-0002-3608-1960</t>
  </si>
  <si>
    <t>420</t>
  </si>
  <si>
    <t>478</t>
  </si>
  <si>
    <t>545</t>
  </si>
  <si>
    <t>FEB 5 2025</t>
  </si>
  <si>
    <t>388</t>
  </si>
  <si>
    <t>e081554</t>
  </si>
  <si>
    <t>10.1136/bmj-2024-081554</t>
  </si>
  <si>
    <t>http://dx.doi.org/10.1136/bmj-2024-081554</t>
  </si>
  <si>
    <t>X7Q1S</t>
  </si>
  <si>
    <t>39909534</t>
  </si>
  <si>
    <t>WOS:001427239400009</t>
  </si>
  <si>
    <t>hybrid; Green Submitted; Green Accepted; Green Published</t>
  </si>
  <si>
    <t>Dou, Q; Castro, DC; Kamnitsas, K; Glocker, B</t>
  </si>
  <si>
    <t>Generalization capability to unseen domains is crucial for machine learning models when deploying to real-world conditions. We investigate the challenging problem of domain generalization, i.e., training a model on multi-domain source data such that it can directly generalize to target domains with unknown statistics. We adopt a model-agnostic learning paradigm with gradient-based meta-train and meta-test procedures to expose the optimization to domain shift. Further, we introduce two complementary losses which explicitly regularize the semantic structure of the feature space. Globally, we align a derived soft confusion matrix to preserve general knowledge about inter-class relationships. Locally, we promote domain-independent class-specific cohesion and separation of sample features with a metric-learning component. The effectiveness of our method is demonstrated with new state-of-the-art results on two common object recognition benchmarks. Our method also shows consistent improvement on a medical image segmentation task.</t>
  </si>
  <si>
    <t>Dou, Qi; Castro, Daniel C.; Kamnitsas, Konstantinos; Glocker, Ben</t>
  </si>
  <si>
    <t>Conference Proceedings Citation Index - Science (CPCI-S)</t>
  </si>
  <si>
    <t>Dou, Q (corresponding author), Imperial Coll London, Biomed Image Anal Grp, London, England.</t>
  </si>
  <si>
    <t>kk2412@imperial.ac.uk; qi.dou@imperial.ac.uk; b.glocker@imperial.ac.uk; dc315@imperial.ac.uk</t>
  </si>
  <si>
    <t>European Research Council (ERC) under the European Union's Horizon 2020 research and innovation programme [757173]; EPSRC Impact Acceleration Award [EP/R511547/1]; CAPES, Ministry of Education, Brazil [BEX 1500/2015-05]</t>
  </si>
  <si>
    <t>European Research Council (ERC) under the European Union's Horizon 2020 research and innovation programme (European Research Council (ERC)); EPSRC Impact Acceleration Award (UK Research &amp; Innovation (UKRI), Engineering &amp; Physical Sciences Research Council (EPSRC)); CAPES, Ministry of Education, Brazil (Coordenacao de Aperfeicoamento de Pessoal de Nivel Superior (CAPES))</t>
  </si>
  <si>
    <t>This project has received funding from the European Research Council (ERC) under the European Union's Horizon 2020 research and innovation programme (grant No 757173, project MIRA, ERC2017-STG) and is supported by an EPSRC Impact Acceleration Award (EP/R511547/1). DCC is also partly supported by CAPES, Ministry of Education, Brazil (BEX 1500/2015-05).</t>
  </si>
  <si>
    <t>[Dou, Qi; Castro, Daniel C.; Kamnitsas, Konstantinos; Glocker, Ben] Imperial Coll London, Biomed Image Anal Grp, London, England</t>
  </si>
  <si>
    <t>Imperial College London</t>
  </si>
  <si>
    <t>Wallach, H; Larochelle, H; Beygelzimer, A; d'Alche-Buc, F; Fox, E; Garnett, R</t>
  </si>
  <si>
    <t>Domain Generalization via Model-Agnostic Learning of Semantic Features</t>
  </si>
  <si>
    <t>ADVANCES IN NEURAL INFORMATION PROCESSING SYSTEMS 32 (NIPS 2019)</t>
  </si>
  <si>
    <t>Advances in Neural Information Processing Systems</t>
  </si>
  <si>
    <t>33rd Conference on Neural Information Processing Systems (NeurIPS)</t>
  </si>
  <si>
    <t>DEC 08-14, 2019</t>
  </si>
  <si>
    <t>Vancouver, CANADA</t>
  </si>
  <si>
    <t>Glocker, Ben/MNO-6603-2025; de Castro, Daniel/V-1033-2018; Dou, Qi/I-8175-2019</t>
  </si>
  <si>
    <t>Kamnitsas, Konstantinos/0000-0003-3281-6509</t>
  </si>
  <si>
    <t>419</t>
  </si>
  <si>
    <t>424</t>
  </si>
  <si>
    <t>NEURAL INFORMATION PROCESSING SYSTEMS (NIPS)</t>
  </si>
  <si>
    <t>LA JOLLA</t>
  </si>
  <si>
    <t>10010 NORTH TORREY PINES RD, LA JOLLA, CALIFORNIA 92037 USA</t>
  </si>
  <si>
    <t>1049-5258</t>
  </si>
  <si>
    <t>ADV NEUR IN</t>
  </si>
  <si>
    <t>Computer Science, Artificial Intelligence</t>
  </si>
  <si>
    <t>BP0ID</t>
  </si>
  <si>
    <t>WOS:000534424306045</t>
  </si>
  <si>
    <t>Suganyadevi, S; Seethalakshmi, ; Balasamy, K</t>
  </si>
  <si>
    <t>Ongoing improvements in AI, particularly concerning deep learning techniques, are assisting to identify, classify, and quantify patterns in clinical images. Deep learning is the quickest developing field in artificial intelligence and is effectively utilized lately in numerous areas, including medication. A brief outline is given on studies carried out on the region of application: neuro, brain, retinal, pneumonic, computerized pathology, bosom, heart, breast, bone, stomach, and musculoskeletal. For information exploration, knowledge deployment, and knowledge-based prediction, deep learning networks can be successfully applied to big data. In the field of medical image processing methods and analysis, fundamental information and state-of-the-art approaches with deep learning are presented in this paper. The primary goals of this paper are to present research on medical image processing as well as to define and implement the key guidelines that are identified and addressed.</t>
  </si>
  <si>
    <t>Suganyadevi, S.; Seethalakshmi, V; Balasamy, K.</t>
  </si>
  <si>
    <t>Suganyadevi, S (corresponding author), KPR Inst Engn &amp; Technol, Dept ECE, Coimbatore, Tamil Nadu, India.</t>
  </si>
  <si>
    <t>seethav@kpriet.ac.in; suganya3223@gmail.com; balasamyk@gmail.com</t>
  </si>
  <si>
    <t>[Suganyadevi, S.; Seethalakshmi, V] KPR Inst Engn &amp; Technol, Dept ECE, Coimbatore, Tamil Nadu, India; [Balasamy, K.] Dr Mahalingam Coll Engn &amp; Technol, Dept IT, Coimbatore, Tamil Nadu, India</t>
  </si>
  <si>
    <t>A review on deep learning in medical image analysis</t>
  </si>
  <si>
    <t>INTERNATIONAL JOURNAL OF MULTIMEDIA INFORMATION RETRIEVAL</t>
  </si>
  <si>
    <t>Deep learning; Survey; Image classes; Medical image analysis; Accuracy</t>
  </si>
  <si>
    <t>CONVOLUTIONAL NEURAL-NETWORK; CLASSIFICATION; SEGMENTATION; REPRESENTATION; CORONAVIRUS; MASS</t>
  </si>
  <si>
    <t>Krishnasamy, Balasamy/ABE-1237-2021; Krishnasamy, Balasamy/ABE-1237-2021; S, Suganyadevi/AAB-9143-2022; Seethalakshmi, V/G-7972-2016</t>
  </si>
  <si>
    <t>Krishnasamy, Balasamy/0000-0003-0973-5698; S, Suganyadevi/0000-0001-6096-7510</t>
  </si>
  <si>
    <t>409</t>
  </si>
  <si>
    <t>484</t>
  </si>
  <si>
    <t>279</t>
  </si>
  <si>
    <t>2192-6611</t>
  </si>
  <si>
    <t>2192-662X</t>
  </si>
  <si>
    <t>INT J MULTIMED INF R</t>
  </si>
  <si>
    <t>Int. J. Multimed. Inf. Retr.</t>
  </si>
  <si>
    <t>MAR 2022</t>
  </si>
  <si>
    <t>10.1007/s13735-021-00218-1</t>
  </si>
  <si>
    <t>http://dx.doi.org/10.1007/s13735-021-00218-1</t>
  </si>
  <si>
    <t>Computer Science, Artificial Intelligence; Computer Science, Software Engineering</t>
  </si>
  <si>
    <t>ZI9SJ</t>
  </si>
  <si>
    <t>34513553</t>
  </si>
  <si>
    <t>WOS:000692438200001</t>
  </si>
  <si>
    <t>Madani, A; Arnaout, R; Mofrad, M; Arnaout, R</t>
  </si>
  <si>
    <t>Echocardiography is essential to cardiology. However, the need for human interpretation has limited echocardiography's full potential for precision medicine. Deep learning is an emerging tool for analyzing images but has not yet been widely applied to echocardiograms, partly due to their complex multi-view format. The essential first step toward comprehensive computer-assisted echocardiographic interpretation is determining whether computers can learn to recognize these views. We trained a convolutional neural network to simultaneously classify 15 standard views (12 video, 3 still), based on labeled still images and videos from 267 transthoracic echocardiograms that captured a range of real-world clinical variation. Our model classified among 12 video views with 97.8% overall test accuracy without overfitting. Even on single low-resolution images, accuracy among 15 views was 91.7% vs. 70.2-84.0% for board-certified echocardiographers. Data visualization experiments showed that the model recognizes similarities among related views and classifies using clinically relevant image features. Our results provide a foundation for artificial intelligence-assisted echocardiographic interpretation.</t>
  </si>
  <si>
    <t>Madani, Ali; Arnaout, Ramy; Mofrad, Mohammad; Arnaout, Rima</t>
  </si>
  <si>
    <t>Mofrad, M (corresponding author), Univ Calif Berkeley, Calif Inst Quantitat Biosci QB3, Lawrence Berkeley Natl Lab, Mol Biophys &amp; Integrated Bioimaging Div, 208A Stanley Hall,Room 1762, Berkeley, CA 94720 USA.; Arnaout, R (corresponding author), Univ Calif San Francisco, Cardiovasc Res Inst, 555 Mission Bay Blvd South,Rm 484, San Francisco, CA 94143 USA.</t>
  </si>
  <si>
    <t>rima.arnaout@ucsf.edu; mofrad@berkeley.edu</t>
  </si>
  <si>
    <t>NIH/NIAID [K08AI114958]; AHA [15GPSPG23830004, 16IRG27630014, 17IGMV33870001]; NIH/NHLBI [K08HL125945]; American Heart Association (AHA) [16IRG27630014] Funding Source: American Heart Association (AHA)</t>
  </si>
  <si>
    <t>NIH/NIAID (United States Department of Health &amp; Human Services, National Institutes of Health (NIH) - USA, NIH National Institute of Allergy &amp; Infectious Diseases (NIAID)); AHA (American Heart Association); NIH/NHLBI (United States Department of Health &amp; Human Services, National Institutes of Health (NIH) - USA, NIH National Heart Lung &amp; Blood Institute (NHLBI)); American Heart Association (AHA) (American Heart Association)</t>
  </si>
  <si>
    <t>We thank the board-certified echocardiographers who scored images as human experts. R. A. was supported by NIH/NIAID K08AI114958, AHA 15GPSPG23830004. A. M. and M. M. were supported by AHA 16IRG27630014. R. A. was supported by NIH/NHLBI K08HL125945, AHA 15GPSPG23830004, AHA 17IGMV33870001.</t>
  </si>
  <si>
    <t>[Madani, Ali; Mofrad, Mohammad] Univ Calif Berkeley, Calif Inst Quantitat Biosci QB3, Lawrence Berkeley Natl Lab, Mol Biophys &amp; Integrated Bioimaging Div, 208A Stanley Hall,Room 1762, Berkeley, CA 94720 USA; [Arnaout, Ramy] Harvard Med Sch, Beth Israel Deaconess Med Ctr, 330 Brookline Ave,Dana 615, Boston, MA 02215 USA; [Arnaout, Rima] Univ Calif San Francisco, Cardiovasc Res Inst, 555 Mission Bay Blvd South,Rm 484, San Francisco, CA 94143 USA</t>
  </si>
  <si>
    <t>United States Department of Energy (DOE); Lawrence Berkeley National Laboratory; University of California System; University of California Berkeley; Harvard University; Harvard Medical School; Harvard University Medical Affiliates; Beth Israel Deaconess Medical Center; University of California System; University of California San Francisco</t>
  </si>
  <si>
    <t>Fast and accurate view classification of echocardiograms using deep learning</t>
  </si>
  <si>
    <t>Mofrad, Mohammad/R-6010-2019</t>
  </si>
  <si>
    <t>Mofrad, Mohammad/0000-0001-7004-4859</t>
  </si>
  <si>
    <t>137</t>
  </si>
  <si>
    <t>MAR 21 2018</t>
  </si>
  <si>
    <t>10.1038/s41746-017-0013-1</t>
  </si>
  <si>
    <t>http://dx.doi.org/10.1038/s41746-017-0013-1</t>
  </si>
  <si>
    <t>GT0WZ</t>
  </si>
  <si>
    <t>30828647</t>
  </si>
  <si>
    <t>WOS:000444173300001</t>
  </si>
  <si>
    <t>Haendel, MA; Chute, CG; Bennett, TD; Eichmann, DA; Guinney, J; Kibbe, WA; Payne, PRO; Pfaff, ER; Robinson, PN; Saltz, JH; Spratt, H; Suver, C; Wilbanks, J; Wilcox, AB; Williams, AE; Wu, CL; Blacketer, C; Bradford, RL; Cimino, JJ; Clark, M; Colmenares, EW; Francis, PA; Gabriel, D; Graves, A; Hemadri, R; Hong, SS; Hripscak, G; Jiao, DZ; Klann, JG; Kostka, K; Lee, AM; Lehmann, HP; Lingrey, L; Miller, RT; Morris, M; Murphy, SN; Natarajan, K; Palchuk, MB; Sheikh, U; Solbrig, H; Visweswaran, S; Walden, A; Walters, KM; Weber, GM; Zhang, XT; Zhu, RL; Amor, B; Girvin, AT; Manna, A; Qureshi, N; Kurilla, MG; Michael, SG; Portilla, LM; Rutter, JL; Austin, CP; Gersing, KR</t>
  </si>
  <si>
    <t>Objective: Coronavirus disease 2019 (COVID-19) poses societal challenges that require expeditious data and knowledge sharing. Though organizational clinical data are abundant, these are largely inaccessible to outside researchers. Statistical, machine learning, and causal analyses are most successful with large-scale data beyond what is available in any given organization. Here, we introduce the National COVID Cohort Collaborative (N3C), an open science community focused on analyzing patient-level data from many centers.Materials and Methods: The Clinical and Translational Science Award Program and scientific community created N3C to overcome technical, regulatory, policy, and governance barriers to sharing and harmonizing individual-level clinical data. We developed solutions to extract, aggregate, and harmonize data across organizations and data models, and created a secure data enclave to enable efficient, transparent, and reproducible collaborative analytics.Results: Organized in inclusive workstreams, we created legal agreements and governance for organizations and researchers; data extraction scripts to identify and ingest positive, negative, and possible COVID-19 cases; a data quality assurance and harmonization pipeline to create a single harmonized dataset; population of the secure data enclave with data, machine learning, and statistical analytics tools; dissemination mechanisms; and a synthetic data pilot to democratize data access.Conclusions: The N3C has demonstrated that a multisite collaborative learning health network can overcome barriers to rapidly build a scalable infrastructure incorporating multiorganizational clinical data for COVID-19 analytics. We expect this effort to save lives by enabling rapid collaboration among clinicians, researchers, and data scientists to identify treatments and specialized care and thereby reduce the immediate and long-term impacts of COVID-19.</t>
  </si>
  <si>
    <t>Haendel, Melissa A.; Chute, Christopher G.; Bennett, Tellen D.; Eichmann, David A.; Guinney, Justin; Kibbe, Warren A.; Payne, Philip R. O.; Pfaff, Emily R.; Robinson, Peter N.; Saltz, Joel H.; Spratt, Heidi; Suver, Christine; Wilbanks, John; Wilcox, Adam B.; Williams, Andrew E.; Wu, Chunlei; Blacketer, Clair; Bradford, Robert L.; Cimino, James J.; Clark, Marshall; Colmenares, Evan W.; Francis, Patricia A.; Gabriel, Davera; Graves, Alexis; Hemadri, Raju; Hong, Stephanie S.; Hripscak, George; Jiao, Dazhi; Klann, Jeffrey G.; Kostka, Kristin; Lee, Adam M.; Lehmann, Harold P.; Lingrey, Lora; Miller, Robert T.; Morris, Michele; Murphy, Shawn N.; Natarajan, Karthik; Palchuk, Matvey B.; Sheikh, Usman; Solbrig, Harold; Visweswaran, Shyam; Walden, Anita; Walters, Kellie M.; Weber, Griffin M.; Zhang, Xiaohan Tanner; Zhu, Richard L.; Amor, Benjamin; Girvin, Andrew T.; Manna, Amin; Qureshi, Nabeel; Kurilla, Michael G.; Michael, Sam G.; Portilla, Lili M.; Rutter, Joni L.; Austin, Christopher P.; Gersing, Ken R.</t>
  </si>
  <si>
    <t>Haendel, MA (corresponding author), Linus Pauling Sci Ctr, Corvallis, OR 97331 USA.; Chute, CG (corresponding author), Johns Hopkins Univ, 2024 E Monument St, Baltimore, MD 21287 USA.</t>
  </si>
  <si>
    <t>chute@jhu.edu; melissa@tislab.org</t>
  </si>
  <si>
    <t>National Institutes of Health, National Center for Advancing Translational Sciences Institute [U24TR002306]; National Center for Advancing Translational Sciences [UL1TR002544, UL1TR002489, UL1TR002529, UL1TR002538] Funding Source: NIH RePORTER</t>
  </si>
  <si>
    <t>National Institutes of Health, National Center for Advancing Translational Sciences Institute; National Center for Advancing Translational Sciences (United States Department of Health &amp; Human Services, National Institutes of Health (NIH) - USA, NIH National Center for Advancing Translational Sciences (NCATS))</t>
  </si>
  <si>
    <t>This work was supported by the National Institutes of Health, National Center for Advancing Translational Sciences Institute grant number U24TR002306.</t>
  </si>
  <si>
    <t>[Haendel, Melissa A.; Walden, Anita] Oregon Hlth &amp; Sci Univ, Oregon Clin &amp; Translat Res Inst, Portland, OR 97201 USA; [Haendel, Melissa A.] Oregon State Univ, Translat &amp; Integrat Sci Ctr, Dept Mol Toxicol, Corvallis, OR 97331 USA; [Chute, Christopher G.; Francis, Patricia A.; Gabriel, Davera; Hong, Stephanie S.; Jiao, Dazhi; Lehmann, Harold P.; Solbrig, Harold; Zhang, Xiaohan Tanner; Zhu, Richard L.] Johns Hopkins Univ, Sch Med, Baltimore, MD USA; [Chute, Christopher G.; Francis, Patricia A.; Gabriel, Davera; Hong, Stephanie S.; Lehmann, Harold P.; Solbrig, Harold; Zhang, Xiaohan Tanner; Zhu, Richard L.] Johns Hopkins Univ, Sch Publ Hlth, Baltimore, MD USA; [Chute, Christopher G.; Francis, Patricia A.; Gabriel, Davera; Hong, Stephanie S.; Lehmann, Harold P.; Solbrig, Harold; Zhang, Xiaohan Tanner; Zhu, Richard L.] Johns Hopkins Univ, Sch Nursing, Baltimore, MD USA; [Bennett, Tellen D.] Univ Colorado, Sch Med, Dept Pediat, Sect Informat &amp; Data Sci, Aurora, CO USA; [Eichmann, David A.] Univ Iowa, Sch Lib &amp; Informat Sci, Iowa City, IA USA; [Guinney, Justin; Suver, Christine; Wilbanks, John; Walden, Anita] Sage Bionetworks, Seattle, WA USA; [Kibbe, Warren A.] Duke Univ, Durham, NC USA; [Payne, Philip R. O.] Washington Univ, Inst Informat, St Louis, MO 63110 USA; [Pfaff, Emily R.; Bradford, Robert L.; Clark, Marshall; Walters, Kellie M.] Univ N Carolina, North Carolina Translat &amp; Clin Sci Inst NC TraCS, Chapel Hill, NC 27515 USA; [Robinson, Peter N.] Jackson Lab, 600 Main St, Bar Harbor, ME 04609 USA; [Saltz, Joel H.] SUNY Stony Brook, Dept Biomed Informat, Stony Brook, NY 11794 USA; [Spratt, Heidi] Univ Texas Med Branch, Galveston, TX 77555 USA; [Wilcox, Adam B.] Univ Washington, Seattle, WA 98195 USA; [Williams, Andrew E.] Tufts Med Ctr, Tufts Med Ctr Clin, Boston, MA 02111 USA; [Williams, Andrew E.] Tufts Med Ctr, Translat Sci Inst, Boston, MA 02111 USA; [Wu, Chunlei] Scripps Res Inst, Dept Integrat Struct &amp; Computat Biol, La Jolla, CA USA; [Blacketer, Clair] LLC, Janssen Res &amp; Dev, Raritan, NJ USA; [Cimino, James J.] Univ Alabama Birmingham, Birmingham, AL USA; [Colmenares, Evan W.] Univ N Carolina, Dept Pharmaceut Outcomes &amp; Policy, Chapel Hill, NC 27515 USA; [Graves, Alexis] Univ Iowa, Univ Iowa Inst Clin &amp; Translat Sci, Iowa City, IA USA; [Hemadri, Raju; Sheikh, Usman; Gersing, Ken R.] Natl Ctr Adv Translat Sci, Bethesda, MD USA; [Hripscak, George] Columbia Univ, Dept Biomed Informat, New York, NY USA; [Klann, Jeffrey G.] Harvard Med Sch, Boston, MA 02115 USA; [Kostka, Kristin] IQVIA, Durham, NC USA; [Lee, Adam M.] Univ N Carolina, Chapel Hill, NC 27515 USA; [Lingrey, Lora; Palchuk, Matvey B.] TriNetX, Cambridge, MA USA; [Miller, Robert T.] Tufts Univ, Tufts Clin &amp; Translat Sci Inst, Boston, MA 02111 USA; [Morris, Michele; Visweswaran, Shyam] Univ Pittsburgh, Dept Biomed Informat, Pittsburgh, PA USA; [Murphy, Shawn N.] Mass Gen Brigham, Boston, MA USA; [Natarajan, Karthik] Columbia Univ, Irving Med Ctr, New York, NY USA; [Weber, Griffin M.] Harvard Med Sch, Dept Biomed Informat, Boston, MA 02115 USA; [Amor, Benjamin; Girvin, Andrew T.; Manna, Amin; Qureshi, Nabeel] Palantir Technol, Palo Alto, CA USA; [Kurilla, Michael G.] Natl Ctr Adv Translat Sci, Div Clin Innovat, Bethesda, MD USA; [Michael, Sam G.; Austin, Christopher P.] NIH, Natl Ctr Adv Translat Sci, Bldg 10, Bethesda, MD 20892 USA; [Portilla, Lili M.] NIH, Natl Ctr Adv Translat Sci, Off Strateg Alliances, Bldg 10, Bethesda, MD 20892 USA; [Rutter, Joni L.] Natl Ctr Adv Translat Sci, Off Director, Bethesda, MD USA</t>
  </si>
  <si>
    <t>Oregon Health &amp; Science University; Oregon State University; Johns Hopkins University; Johns Hopkins Medicine; Johns Hopkins University; Johns Hopkins University; University of Colorado System; University of Colorado Anschutz; University of Iowa; Duke University; Washington University (WUSTL); University of North Carolina; University of North Carolina Chapel Hill; Jackson Laboratory; State University of New York (SUNY) System; Stony Brook University; University of Texas System; University of Texas Medical Branch Galveston; University of Washington; University of Washington Seattle; Tufts Medical Center; Tufts Medical Center; Scripps Research Institute; Johnson &amp; Johnson; Janssen Pharmaceuticals; University of Alabama System; University of Alabama Birmingham; University of North Carolina; University of North Carolina Chapel Hill; University of Iowa; National Institutes of Health (NIH) - USA; NIH National Center for Advancing Translational Sciences (NCATS); Columbia University; Harvard University; Harvard Medical School; IQVIA; University of North Carolina; University of North Carolina Chapel Hill; Tufts University; Pennsylvania Commonwealth System of Higher Education (PCSHE); University of Pittsburgh; Mass General Brigham; Columbia University; Cornell University; Weill Cornell Medicine; NewYork-Presbyterian Hospital; Harvard University; Harvard Medical School; Palantir Technologies; National Institutes of Health (NIH) - USA; NIH National Center for Advancing Translational Sciences (NCATS); National Institutes of Health (NIH) - USA; NIH National Center for Advancing Translational Sciences (NCATS); National Institutes of Health (NIH) - USA; NIH National Center for Advancing Translational Sciences (NCATS); National Institutes of Health (NIH) - USA; NIH National Center for Advancing Translational Sciences (NCATS); NIH Office of the Director</t>
  </si>
  <si>
    <t>N3C Consortium</t>
  </si>
  <si>
    <t>The National COVID Cohort Collaborative (N3C): Rationale, design, infrastructure, and deployment</t>
  </si>
  <si>
    <t>JOURNAL OF THE AMERICAN MEDICAL INFORMATICS ASSOCIATION</t>
  </si>
  <si>
    <t>COVID-19; open science; clinical data model harmonization; EHR data; collaborative analytics; SARS-CoV-2</t>
  </si>
  <si>
    <t>ELECTRONIC HEALTH RECORDS; DATA QUALITY; FUTURE; CLASSIFICATION; COMPLETENESS; ALGORITHM; PRIVACY; MODELS</t>
  </si>
  <si>
    <t>Payne, Philip/E-3841-2011; Kibbe, Warren/B-2106-2010; Chute, Christopher/AAT-8540-2021; Zhang, Xiaohan/HHZ-4614-2022; Wu, Chunlei/ABF-4720-2020</t>
  </si>
  <si>
    <t>Payne, Philip/0000-0002-9532-2998; Pfaff, Emily/0000-0002-6840-9756; Haendel, Melissa/0000-0001-9114-8737; Guinney, Justin H/0000-0003-1477-1888; Robinson, Peter/0000-0002-0736-9199; Colmenares, Evan/0000-0002-4993-2269; Kibbe, Warren/0000-0001-5622-7659; Bennett, Tellen/0000-0003-1483-4236; Hemai, Sudarsan Raju/0000-0002-8305-5693; Eichmann, David/0000-0003-3150-8758; Qureshi, Nabeel/0000-0002-3177-5314; Chute, Christopher/0000-0001-5437-2545; Saltz, Joel/0000-0002-3451-2165; Girvin, Andrew/0000-0002-2031-9209; Spratt, Heidi/0000-0002-9420-5028; Weber, Griffin/0000-0002-2597-881X</t>
  </si>
  <si>
    <t>90</t>
  </si>
  <si>
    <t>408</t>
  </si>
  <si>
    <t>450</t>
  </si>
  <si>
    <t>OXFORD UNIV PRESS</t>
  </si>
  <si>
    <t>GREAT CLARENDON ST, OXFORD OX2 6DP, ENGLAND</t>
  </si>
  <si>
    <t>1067-5027</t>
  </si>
  <si>
    <t>1527-974X</t>
  </si>
  <si>
    <t>J AM MED INFORM ASSN</t>
  </si>
  <si>
    <t>J. Am. Med. Inf. Assoc.</t>
  </si>
  <si>
    <t>427</t>
  </si>
  <si>
    <t>443</t>
  </si>
  <si>
    <t>10.1093/jamia/ocaa196</t>
  </si>
  <si>
    <t>http://dx.doi.org/10.1093/jamia/ocaa196</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</si>
  <si>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</si>
  <si>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</si>
  <si>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RJ0SU</t>
  </si>
  <si>
    <t>32805036</t>
  </si>
  <si>
    <t>WOS:000637314400002</t>
  </si>
  <si>
    <t>143</t>
  </si>
  <si>
    <t>Wang, XY; Zhao, JH; Marostica, E; Yuan, W; Jin, JT; Zhang, JY; Li, RJ; Tang, HP; Wang, KR; Li, Y; Wang, F; Peng, YL; Zhu, JY; Zhang, J; Jackson, CR; Zhang, J; Dillon, D; Lin, NU; Sholl, L; Denize, T; Meredith, D; Ligon, KL; Signoretti, S; Ogino, S; Golden, JA; Nasrallah, MP; Han, X; Yang, S; Yu, KH</t>
  </si>
  <si>
    <t>Histopathology image evaluation is indispensable for cancer diagnoses and subtype classification. Standard artificial intelligence methods for histopathology image analyses have focused on optimizing specialized models for each diagnostic task1,2.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general-purpose weakly supervised machine learning framework to extract pathology imaging features for systematic cancer evaluation. CHIEF leverages two complementary pretraining methods to extract diverse pathology representations: unsupervised pretraining for tile-level feature identification and weakly supervised pretraining for whole-slide pattern recognition. We developed CHIEF using 60,530 whole-slide images spanning 19 anatomical sites. Through pretraining on 44 terabytes of high-resolution pathology imaging datasets, CHIEF extracted microscopic representations useful for cancer cell detection, tumour origin identification, molecular profile characterization and prognostic prediction. We successfully validated CHIEF using 19,491 whole-slide images from 32 independent slide sets collected from 24 hospitals and cohorts internationally. Overall, CHIEF outperformed the state-of-the-art deep learning methods by up to 36.1%, showing its ability to address domain shifts observed in samples from diverse populations and processed by different slide preparation methods. CHIEF provides a generalizable foundation for efficient digital pathology evaluation for patients with cancer.A study describes the development of a generalizable foundation machine learning framework to extract pathology imaging features for cancer diagnosis and prognosis prediction.</t>
  </si>
  <si>
    <t>Wang, Xiyue; Zhao, Junhan; Marostica, Eliana; Yuan, Wei; Jin, Jietian; Zhang, Jiayu; Li, Ruijiang; Tang, Hongping; Wang, Kanran; Li, Yu; Wang, Fang; Peng, Yulong; Zhu, Junyou; Zhang, Jing; Jackson, Christopher R.; Zhang, Jun; Dillon, Deborah; Lin, Nancy U.; Sholl, Lynette; Denize, Thomas; Meredith, David; Ligon, Keith L.; Signoretti, Sabina; Ogino, Shuji; Golden, Jeffrey A.; Nasrallah, MacLean P.; Han, Xiao; Yang, Sen; Yu, Kun-Hsing</t>
  </si>
  <si>
    <t>Yang, S; Yu, KH (corresponding author), Harvard Med Sch, Dept Biomed Informat, Boston, MA 02115 USA.; Yang, S (corresponding author), Stanford Univ, Dept Radiat Oncol, Sch Med, Stanford, CA 94305 USA.; Yu, KH (corresponding author), Brigham &amp; Womens Hosp, Dept Pathol, Boston, MA 02115 USA.; Yu, KH (corresponding author), Harvard Univ, Harvard Data Sci Initiat, Cambridge, MA 02138 USA.</t>
  </si>
  <si>
    <t>sen.yang.scu@gmail.com; Kun-Hsing_Yu@hms.harvard.edu</t>
  </si>
  <si>
    <t>AWS Cloud Credits for Research programme; Microsoft Azure for Research Award programme; NVIDIA GPU Grant Program; National Institute of General Medical Sciences [R35GM142879]; Department of Defense Peer Reviewed Cancer Research Program Career Development Award [HT9425-231-0523, RSG-24-1253761-01-ESED]; American Cancer Society; Google Research Scholar Award; Harvard Medical School Dean's Innovation Award; Blavatnik Center for Computational Biomedicine Award; National Institutes of Health [P50CA165962]; Cure Foundation; Seoul National University Hospital - Ministry of Health and Welfare, Republic of Korea [HI18C0316]; American Cancer Society (ACS) [RSG-24-1253761-01-ESED] Funding Source: American Cancer Society (ACS)</t>
  </si>
  <si>
    <t>AWS Cloud Credits for Research programme; Microsoft Azure for Research Award programme (Microsoft); NVIDIA GPU Grant Program (Nvidia Corporation); National Institute of General Medical Sciences (United States Department of Health &amp; Human Services, National Institutes of Health (NIH) - USA, NIH National Institute of General Medical Sciences (NIGMS)); Department of Defense Peer Reviewed Cancer Research Program Career Development Award (United States Department of Defense); American Cancer Society (American Cancer Society); Google Research Scholar Award; Harvard Medical School Dean's Innovation Award; Blavatnik Center for Computational Biomedicine Award; National Institutes of Health (United States Department of Health &amp; Human Services, National Institutes of Health (NIH) - USA); Cure Foundation; Seoul National University Hospital - Ministry of Health and Welfare, Republic of Korea; American Cancer Society (ACS) (American Cancer Society)</t>
  </si>
  <si>
    <t>We thank C. Burroughs, M. Kapanadze and F. McDonald for administrative support; and the AWS Cloud Credits for Research programme, the Microsoft Azure for Research Award programme, the NVIDIA GPU Grant Program and the Extreme Science and Engineering Discovery Environment at the Pittsburgh Supercomputing Center (allocation TGBCS180016) for computational support. K.-H.Y. is in part supported by the National Institute of General Medical Sciences grant R35GM142879, the Department of Defense Peer Reviewed Cancer Research Program Career Development Award HT9425-231-0523, the Research Scholar Grant RSG-24-1253761-01-ESED (grant DOI: https://doi.org/10.53354/ACS.RSG-24-1253761-01-ESED.pc.gr.193749) from the American Cancer Society, a Google Research Scholar Award, the Harvard Medical School Dean's Innovation Award and the Blavatnik Center for Computational Biomedicine Award. K.L.L. is in part supported by the National Institutes of Health award P50CA165962 and the 3000 Miles to the Cure Foundation. The PAIP data were provided by the Seoul National University Hospital and funded by the Ministry of Health and Welfare, Republic of Korea (grant number HI18C0316).</t>
  </si>
  <si>
    <t>[Wang, Xiyue; Zhao, Junhan; Marostica, Eliana; Jackson, Christopher R.; Yang, Sen; Yu, Kun-Hsing] Harvard Med Sch, Dept Biomed Informat, Boston, MA 02115 USA; [Wang, Xiyue; Li, Ruijiang; Yang, Sen] Stanford Univ, Dept Radiat Oncol, Sch Med, Stanford, CA 94305 USA; [Zhao, Junhan] Harvard TH Chan Sch Publ Hlth, Dept Biostat, Boston, MA USA; [Marostica, Eliana] Harvard MIT, Div Hlth Sci &amp; Technol, Boston, MA USA; [Yuan, Wei; Zhang, Jiayu; Zhang, Jing] Sichuan Univ, Coll Biomed Engn, Chengdu, Peoples R China; [Jin, Jietian] Sun Yat Sen Univ Canc Ctr, Dept Pathol, Guangzhou, Peoples R China; [Tang, Hongping] Shenzhen Matern &amp; Child Healthcare Hosp, Dept Pathol, Shenzhen, Peoples R China; [Wang, Kanran] Chongqing Univ Canc Hosp, Dept Radiat Oncol, Chongqing, Peoples R China; [Li, Yu] Chongqing Univ Canc Hosp, Dept Pathol, Chongqing, Peoples R China; [Wang, Fang] Qingdao Univ, Affiliated Yantai Yuhuangding Hosp, Dept Pathol, Yantai, Peoples R China; [Peng, Yulong] Jinan Univ, Affiliated Hosp 1, Dept Pathol, Guangzhou, Peoples R China; [Zhu, Junyou] Sun Yat Sen Univ, Affiliated Hosp 1, Dept Burn, Guangzhou, Peoples R China; [Jackson, Christopher R.] Penn State Univ, Dept Pathol &amp; Lab Med, Hummelstown, PA USA; [Jackson, Christopher R.] Massachusetts Gen Hosp, Dept Pathol, Boston, MA USA; [Zhang, Jun; Han, Xiao] Tencent AI Lab, Shenzhen, Peoples R China; [Dillon, Deborah; Sholl, Lynette; Denize, Thomas; Meredith, David; Ligon, Keith L.; Signoretti, Sabina; Ogino, Shuji; Golden, Jeffrey A.; Yu, Kun-Hsing] Brigham &amp; Womens Hosp, Dept Pathol, Boston, MA 02115 USA; [Lin, Nancy U.] Dana Farber Canc Inst, Dept Med Oncol, Boston, MA USA; [Sholl, Lynette; Denize, Thomas; Ligon, Keith L.; Signoretti, Sabina] Dana Farber Canc Inst, Dept Pathol, Boston, MA USA; [Ogino, Shuji] Harvard TH Chan Sch Publ Hlth, Dept Epidemiol, Boston, MA USA; [Ogino, Shuji] Broad Inst MIT &amp; Harvard, Cambridge, MA USA; [Golden, Jeffrey A.] Cedars Sinai Med Ctr, Dept Pathol, Los Angeles, CA USA; [Nasrallah, MacLean P.] Univ Penn, Dept Pathol &amp; Lab Med, Perelman Sch Med, Philadelphia, PA USA; [Yu, Kun-Hsing] Harvard Univ, Harvard Data Sci Initiat, Cambridge, MA 02138 USA</t>
  </si>
  <si>
    <t>Harvard University; Harvard Medical School; Stanford University; Stanford Medicine; Harvard University; Harvard T.H. Chan School of Public Health; Harvard University; Massachusetts Institute of Technology (MIT); Sichuan University; Sun Yat Sen University; Shenzhen Maternity &amp; Child Healthcare Hospital; Qingdao University; Jinan University; Sun Yat Sen University; Pennsylvania Commonwealth System of Higher Education (PCSHE); Pennsylvania State University; Harvard University; Harvard University Medical Affiliates; Massachusetts General Hospital; Tencent; Harvard University; Harvard University Medical Affiliates; Brigham &amp; Women's Hospital; Harvard University; Harvard University Medical Affiliates; Dana-Farber Cancer Institute; Harvard University; Harvard University Medical Affiliates; Dana-Farber Cancer Institute; Harvard University; Harvard T.H. Chan School of Public Health; Harvard University; Massachusetts Institute of Technology (MIT); Broad Institute; Cedars Sinai Medical Center; University of Pennsylvania; Pennsylvania Medicine; Harvard University</t>
  </si>
  <si>
    <t>A pathology foundation model for cancer diagnosis and prognosis prediction</t>
  </si>
  <si>
    <t>Article; Early Access</t>
  </si>
  <si>
    <t>Lin, Nancy/ACF-8569-2022; Zhang, Jun/L-3826-2017; Li, Ruijiang/A-1946-2012; Yu, Kun-Hsing/J-3300-2019; Han, Xiao/GQZ-6090-2022; Yang, Sen/QIU-8918-2026; Sholl, Lynette/ADI-7143-2022; Wang, Xiyue/GQZ-6090-2022; Wang, Xiyue/AAV-4025-2021; Zhang, Jiayu/GQB-0770-2022; Ligon, Keith/B-2141-2008; Wang, Kanran/GNP-7885-2022; Yuan, Wei/QDM-6019-2026</t>
  </si>
  <si>
    <t>Yang, Sen/0000-0002-0639-4122; Zhang, Jun/0000-0001-5579-7094; Li, Ruijiang/0000-0002-0232-5998; Golden, Jeffrey/0000-0001-9933-5502; Han, Xiao/0000-0002-5151-6547; Zhao, Junhan/0000-0002-0316-8365; Wang, Xiyue/0000-0002-3597-9090; Marostica, Eliana/0000-0002-2061-243X; Wang, Xiyue/0000-0002-3597-9090</t>
  </si>
  <si>
    <t>406</t>
  </si>
  <si>
    <t>375</t>
  </si>
  <si>
    <t>10.1038/s41586-024-07894-z</t>
  </si>
  <si>
    <t>http://dx.doi.org/10.1038/s41586-024-07894-z</t>
  </si>
  <si>
    <t>E9Z6N</t>
  </si>
  <si>
    <t>39232164</t>
  </si>
  <si>
    <t>WOS:001306513900017</t>
  </si>
  <si>
    <t>Ting, DSW; Peng, L; Varadarajan, AV; Keane, PA; Burlina, PM; Chiang, MF; Schmetterer, L; Pasquale, LR; Bressler, NM; Webster, DR; Abramoff, M; Wong, TY</t>
  </si>
  <si>
    <t>The advent of computer graphic processing units, improvement in mathematical models and availability of big data has allowed artificial intelligence (AI) using machine learning (ML) and deep learning (DL) techniques to achieve robust performance for broad applications in social-media, the intemet of things, the automotive industry and healthcare. DL systems in particular provide improved capability in image, speech and motion recognition as well as in natural language processing. In medicine, significant progress of AI and DL systems has been demonstrated in image-centric specialties such as radiology, dermatology, pathology and ophthalmology. New studies, including pre-registered prospective clinical trials, have shown DL systems are accurate and effective in detecting diabetic retinopathy (DR), glaucoma, age-related macular degeneration (AMD), retinopathy of prematurity, refractive error and in identifying cardiovascular risk factors and diseases, from digital fundus photographs. There is also increasing attention on the use of AI and DL systems in identifying disease features, progression and treatment response for retinal diseases such as neovascular AMD and diabetic macular edema using optical coherence tomography (OCT). Additionally, the application of ML to visual fields may be useful in detecting glaucoma progression. There are limited studies that incorporate clinical data including electronic health records, in AL and DL algorithms, and no prospective studies to demonstrate that AI and DL algorithms can predict the development of clinical eye disease. This article describes global eye disease burden, unmet needs and common conditions of public health importance for which AI and DL systems may be applicable. Technical and clinical aspects to build a DL system to address those needs, and the potential challenges for clinical adoption are discussed. AI, ML and DL will likely play a crucial role in clinical ophthalmology practice, with implications for screening, diagnosis and follow up of the major causes of vision impairment in the setting of ageing populations globally.</t>
  </si>
  <si>
    <t>Ting, Daniel S. W.; Peng, Lily; Varadarajan, Avinash V.; Keane, Pearse A.; Burlina, Philippe M.; Chiang, Michael F.; Schmetterer, Leopold; Pasquale, Louis R.; Bressler, Neil M.; Webster, Dale R.; Abramoff, Michael; Wong, Tien Y.</t>
  </si>
  <si>
    <t>Ting, DSW (corresponding author), Duke NUS Med Sch, Singapore Natl Eye Ctr, 11 Third Hosp Ave, Singapore 168751, Singapore.</t>
  </si>
  <si>
    <t>National Medical Research Council (NMRC), Ministry of Health (MOH), Singapore National Health Innovation Center, Innovation to Develop Grant [NHIC-I2D-1409022]; SingHealth Foundation Research Grant [SHF/FG648S/2015]; Tanoto Foundation; NMRC, MOH [0796/2003, IRGO7nov013, IRGO9nov014, STaR/0003/2008, STaR/2013, CG/SERI/2010]; Biomedical Research Council [08/1/35/19/550, 09/1/35/19/616]; MOH, Singapore [AIC/RPDD/SIDRP/SERI/FY2013/0018, AIC/HPD/FY2016/0912]; National Institute for Health Research [CS-2014-14-023] Funding Source: researchfish</t>
  </si>
  <si>
    <t>National Medical Research Council (NMRC), Ministry of Health (MOH), Singapore National Health Innovation Center, Innovation to Develop Grant (Ministry of Health - Singapore, National Medical Research Council, Singapore); SingHealth Foundation Research Grant (SingHealth); Tanoto Foundation; NMRC, MOH; Biomedical Research Council (Agency for Science Technology &amp; Research (A*STAR)); MOH, Singapore (Ministry of Health - Singapore); National Institute for Health Research (National Institutes of Health Research (NIHR))</t>
  </si>
  <si>
    <t>This project received funding from National Medical Research Council (NMRC) Health Service Research Grant and Large Collaborative Grant (DYNAMO), Ministry of Health (MOH), Singapore National Health Innovation Center, Innovation to Develop Grant (NHIC-I2D-1409022); SingHealth Foundation Research Grant (SHF/FG648S/2015), and the Tanoto Foundation; unrestricted donations to the Retina Division, Johns Hopkins University School of Medicine. For Singapore Epidemiology of Eye Diseases (SEED) study, we received funding from NMRC, MOH (grants 0796/2003, IRGO7nov013, IRGO9nov014, STaR/0003/2008 &amp; STaR/2013; CG/SERI/2010) and Biomedical Research Council (grants 08/1/35/19/550, 09/1/35/19/616). The Singapore Diabetic Retinopathy Program (SiDRP) received funding from the MOH, Singapore (grants AIC/RPDD/SIDRP/SERI/FY2013/0018 &amp; AIC/HPD/FY2016/0912).</t>
  </si>
  <si>
    <t>[Ting, Daniel S. W.; Schmetterer, Leopold; Wong, Tien Y.] Natl Univ Singapore, Duke NUS Med Sch, Singapore Natl Eye Ctr, Singapore Eye Res Inst, Singapore, Singapore; [Peng, Lily; Varadarajan, Avinash V.; Webster, Dale R.] Google AI Healthcare, Mountain View, CA USA; [Keane, Pearse A.] Moorfields Eye Hosp, London, England; [Burlina, Philippe M.; Bressler, Neil M.] Johns Hopkins Univ, Sch Med, Wilmer Eye Inst, Baltimore, MD 21205 USA; [Burlina, Philippe M.] Johns Hopkins Univ, Appl Phys Lab, Baltimore, MD 21218 USA; [Burlina, Philippe M.] Johns Hopkins Univ, Malone Ctr Engn Healthcare, Baltimore, MD USA; [Chiang, Michael F.] Oregon Hlth &amp; Sci Univ, Casey Eye Inst, Dept Ophthalmol &amp; Med Informat, Portland, OR 97201 USA; [Chiang, Michael F.] Oregon Hlth &amp; Sci Univ, Casey Eye Inst, Dept Med Informat &amp; Clin Epidemiol, Portland, OR 97201 USA; [Schmetterer, Leopold] Nanyang Technol Univ, Lee Kong Chian Sch Med, Dept Ophthalmol, Singapore, Singapore; [Schmetterer, Leopold] Med Univ Vienna, Dept Clin Pharmacol, Vienna, Austria; [Schmetterer, Leopold] Med Univ Vienna, Ctr Med Phys &amp; Biomed Engn, Vienna, Austria; [Pasquale, Louis R.] Icahn Sch Med Mt Sinai, Dept Ophthalmol, New York, NY 10029 USA; [Abramoff, Michael] Univ Iowa Hlth Care, Dept Ophthalmol &amp; Visual Sci, Iowa City, IA USA</t>
  </si>
  <si>
    <t>Singapore National Eye Center; National University of Singapore; University of London; University College London; Moorfields Eye Hospital NHS Foundation Trust; Johns Hopkins University; Johns Hopkins Medicine; Johns Hopkins University; Johns Hopkins University Applied Physics Laboratory; Johns Hopkins University; Oregon Health &amp; Science University; Oregon Health &amp; Science University; Nanyang Technological University; Medical University of Vienna; Medical University of Vienna; Icahn School of Medicine at Mount Sinai; University of Iowa</t>
  </si>
  <si>
    <t>Deep learning in ophthalmology: The technical and clinical considerations</t>
  </si>
  <si>
    <t>OPTICAL COHERENCE TOMOGRAPHY; PLUS DISEASE DIAGNOSIS; MACULAR DEGENERATION; DIABETIC-RETINOPATHY; CARDIOVASCULAR-DISEASE; GLOBAL PREVALENCE; HEART-DISEASE; AUTOMATED DETECTION; VISION IMPAIRMENT; IMAGE-ANALYSIS</t>
  </si>
  <si>
    <t>Keane, Pearse/AAE-5709-2019; Schmetterer, Leopold/KIE-1924-2024; Abramoff, Michael/IZP-9416-2023; Ting, Daniel/QOC-0597-2026; Wong, Tien Y/AAC-9724-2020</t>
  </si>
  <si>
    <t>Chiang, Michael/0000-0002-8172-7636; Keane, Pearse/0000-0002-9239-745X; Schmetterer, Leopold/0000-0002-7189-1707; Pasquale, Louis R/0000-0002-5835-3496; Abramoff, Michael/0000-0002-3490-0037; Wong, Tien Y/0000-0002-8448-1264; Bidwai, Pooja Vishal/0000-0002-3077-4395</t>
  </si>
  <si>
    <t>403</t>
  </si>
  <si>
    <t>460</t>
  </si>
  <si>
    <t>100759</t>
  </si>
  <si>
    <t>10.1016/j.preteyeres.2019.04.003</t>
  </si>
  <si>
    <t>http://dx.doi.org/10.1016/j.preteyeres.2019.04.003</t>
  </si>
  <si>
    <t>JB1HL</t>
  </si>
  <si>
    <t>31048019</t>
  </si>
  <si>
    <t>WOS:000488311400001</t>
  </si>
  <si>
    <t>Mori, Y; Kudo, SE; Misawa, M; Saito, Y; Ikematsu, H; Hotta, K; Ohtsuka, K; Urushibara, F; Kataoka, S; Ogawa, Y; Maeda, Y; Takeda, K; Nakamura, H; Ichimasa, K; Kudo, T; Hayashi, T; Wakamura, K; Ishida, F; Inoue, H; Itoh, H; Oda, M; Mori, K</t>
  </si>
  <si>
    <t>Background: Computer-aided diagnosis (CAD) for colonoscopy may help endoscopists distinguish neoplastic polyps (adenomas) requiring resection from nonneoplastic polyps not requiring resection, potentially reducing cost.Objective: To evaluate the performance of real-time CAD with endocytoscopes (x520 ultramagnifying colonoscopes providing microvascular and cellular visualization of colorectal polyps after application of the narrow-band imaging [NBI] and methylene blue staining modes, respectively).Design: Single-group, open-label, prospective study. (UMIN [University hospital Medical Information Network] Clinical Trial Registry: UMIN000027360).Setting: University hospital.Participants: 791 consecutive patients undergoing colonoscopy and 23 endoscopists.Intervention: Real-time use of CAD during colonoscopy.Measurements: CAD-predicted pathology (neoplastic or nonneoplastic) of detected diminutive polyps (5 mm) on the basis of real-time outputs compared with pathologic diagnosis of the resected specimen (gold standard). The primary end point was whether CAD with the stained mode produced a negative predictive value (NPV) of 90% or greater for identifying diminutive rectosigmoid adenomas, the threshold required to "diagnose-and-leave" nonneoplastic polyps. Best- and worst-case scenarios assumed that polyps lacking either CAD diagnosis or pathology were true- or false-positive or true- or false-negative, respectively.Results: Overall, 466 diminutive (including 250 rectosigmoid) polyps from 325 patients were assessed by CAD, with a pathologic prediction rate of 98.1% (457 of 466). The NPVs of CAD for diminutive rectosigmoid adenomas were 96.4% (95% CI, 91.8% to 98.8%) (best-case scenario) and 93.7% (CI, 88.3% to 97.1%) (worst-case scenario) with stained mode and 96.5% (CI, 92.1% to 98.9%) (best-case scenario) and 95.2% (CI, 90.3% to 98.0%) (worst-case scenario) with NBI.Limitation: Two thirds of the colonoscopies were conducted by experts who had each experienced more than 200 endocytoscopies; 186 polyps not assessed by CAD were excluded.Conclusion: Real-time CAD can achieve the performance level required for a diagnose-and-leave strategy for diminutive, nonneoplastic rectosigmoid polyps.</t>
  </si>
  <si>
    <t>Mori, Yuichi; Kudo, Shin-ei; Misawa, Masashi; Saito, Yutaka; Ikematsu, Hiroaki; Hotta, Kinichi; Ohtsuka, Kazuo; Urushibara, Fumihiko; Kataoka, Shinichi; Ogawa, Yushi; Maeda, Yasuharu; Takeda, Kenichi; Nakamura, Hiroki; Ichimasa, Katsuro; Kudo, Toyoki; Hayashi, Takemasa; Wakamura, Kunihiko; Ishida, Fumio; Inoue, Haruhiro; Itoh, Hayato; Oda, Masahiro; Mori, Kensaku</t>
  </si>
  <si>
    <t>Mori, Y (corresponding author), Showa Univ, Northern Yokohama Hosp, Ctr Digest Dis, Tsuzuki Ku, 35-1 Chigasaki Chuo, Yokohama, Kanagawa 2248503, Japan.</t>
  </si>
  <si>
    <t>ibusiginjp@gmail.com</t>
  </si>
  <si>
    <t>Japan Society for the Promotion of Science [17H05305]; Grants-in-Aid for Scientific Research [17H05305] Funding Source: KAKEN</t>
  </si>
  <si>
    <t>Japan Society for the Promotion of Science (Ministry of Education, Culture, Sports, Science and Technology, Japan (MEXT), Japan Society for the Promotion of Science); Grants-in-Aid for Scientific Research (Ministry of Education, Culture, Sports, Science and Technology, Japan (MEXT), Japan Society for the Promotion of Science, Grants-in-Aid for Scientific Research (KAKENHI))</t>
  </si>
  <si>
    <t>By Grants-in-Aid for Scientific Research (grant 17H05305) from the Japan Society for the Promotion of Science.</t>
  </si>
  <si>
    <t>[Mori, Yuichi; Kudo, Shin-ei; Misawa, Masashi; Urushibara, Fumihiko; Kataoka, Shinichi; Ogawa, Yushi; Maeda, Yasuharu; Takeda, Kenichi; Nakamura, Hiroki; Ichimasa, Katsuro; Kudo, Toyoki; Hayashi, Takemasa; Wakamura, Kunihiko; Ishida, Fumio] Showa Univ, Northern Yokohama Hosp, Yokohama, Kanagawa, Japan; [Saito, Yutaka] Natl Canc Ctr, Endoscopy Div, Chuo Ku, 5-1-1 Tsukiji, Tokyo 1040045, Japan; [Ikematsu, Hiroaki] Natl Canc Ctr Hosp East, Dept Gastroenterol &amp; Endoscopy, 6-5-1 Kashiwanoha, Kashiwa, Chiba 2278577, Japan; [Hotta, Kinichi] Shizuoka Canc Ctr, Div Endoscopy, 1007 Shimonagakubo, Nagaizumi Tyo, Shizuoka 4118777, Japan; [Ohtsuka, Kazuo] Tokyo Med &amp; Dent Univ, Dept Endoscopy, Bunkyo Ku, 1-5-45 Yushima, Tokyo 1138510, Japan; [Itoh, Hayato; Oda, Masahiro; Mori, Kensaku] Nagoya Univ, Grad Sch Informat, Chikusa Ku, Furo Cho, Nagoya, Aichi 4640814, Japan; [Mori, Yuichi; Kudo, Shin-ei; Misawa, Masashi; Urushibara, Fumihiko; Kataoka, Shinichi; Ogawa, Yushi; Maeda, Yasuharu; Takeda, Kenichi; Nakamura, Hiroki; Ichimasa, Katsuro; Kudo, Toyoki; Hayashi, Takemasa; Wakamura, Kunihiko; Ishida, Fumio] Showa Univ, Northern Yokohama Hosp, Ctr Digest Dis, Tsuzuki Ku, 35-1 Chigasaki Chuo, Yokohama, Kanagawa 2248503, Japan; [Inoue, Haruhiro] Showa Univ, Koto Toyosu Hosp, Ctr Digest Dis, Koto Ku, 5-1-38 Toyosu, Tokyo 1358577, Japan</t>
  </si>
  <si>
    <t>Showa Medical University; National Cancer Center - Japan; National Cancer Center - Japan; Shizuoka Cancer Center; Institute of Science Tokyo; Tokyo Medical &amp; Dental University (TMDU); Nagoya University; Showa Medical University; Showa Medical University</t>
  </si>
  <si>
    <t>Real-Time Use of Artificial Intelligence in Identification of Diminutive Polyps During Colonoscopy A Prospective Study</t>
  </si>
  <si>
    <t>COMPUTER-AIDED DIAGNOSIS; SMALL COLORECTAL LESIONS; OPTICAL DIAGNOSIS; COLON POLYPS; ENDOSCOPY; SYSTEM; HISTOLOGY; CLASSIFICATION; ENDOCYTOSCOPY; RECOGNITION</t>
  </si>
  <si>
    <t>Mori, Yuichi/AAU-5406-2020; Itoh, Hayato/AAM-4022-2021; Misawa, Masashi/H-9004-2019; Ichimasa, Katsuro/AAP-6941-2021</t>
  </si>
  <si>
    <t>Mori, Yuichi/0000-0003-2262-0334; Itoh, Hayato/0000-0002-1410-1078; Oda, Masahiro/0000-0001-7714-422X</t>
  </si>
  <si>
    <t>394</t>
  </si>
  <si>
    <t>463</t>
  </si>
  <si>
    <t>89</t>
  </si>
  <si>
    <t>INDEPENDENCE MALL WEST 6TH AND RACE ST, PHILADELPHIA, PA 19106-1572 USA</t>
  </si>
  <si>
    <t>SEP 18 2018</t>
  </si>
  <si>
    <t>10.7326/M18-0249</t>
  </si>
  <si>
    <t>http://dx.doi.org/10.7326/M18-0249</t>
  </si>
  <si>
    <t>GT7CZ</t>
  </si>
  <si>
    <t>30105375</t>
  </si>
  <si>
    <t>WOS:000444679800012</t>
  </si>
  <si>
    <t>Liu, F; Demosthenes, P</t>
  </si>
  <si>
    <t>Background The increased adoption of the internet, social media, wearable devices, e-health services, and other technology-driven services in medicine and healthcare has led to the rapid generation of various types of digital data, providing a valuable data source beyond the confines of traditional clinical trials, epidemiological studies, and lab-based experiments. Methods We provide a brief overview on the type and sources of real-world data and the common models and approaches to utilize and analyze real-world data. We discuss the challenges and opportunities of using real-world data for evidence-based decision making This review does not aim to be comprehensive or cover all aspects of the intriguing topic on RWD (from both the research and practical perspectives) but serves as a primer and provides useful sources for readers who interested in this topic. Results and Conclusions Real-world hold great potential for generating real-world evidence for designing and conducting confirmatory trials and answering questions that may not be addressed otherwise. The voluminosity and complexity of real-world data also call for development of more appropriate, sophisticated, and innovative data processing and analysis techniques while maintaining scientific rigor in research findings, and attentions to data ethics to harness the power of real-world data.</t>
  </si>
  <si>
    <t>Liu, Fang; Demosthenes, Panagiotakos</t>
  </si>
  <si>
    <t>Liu, F (corresponding author), Univ Notre Dame, Dept Appl &amp; Computat Math &amp; Stat, Notre Dame, IN 46530 USA.</t>
  </si>
  <si>
    <t>fliu2@nd.edu</t>
  </si>
  <si>
    <t>[Liu, Fang] Univ Notre Dame, Dept Appl &amp; Computat Math &amp; Stat, Notre Dame, IN 46530 USA; [Demosthenes, Panagiotakos] Harokopio Univ, Sch Hlth Sci &amp; Educ, Athens, Greece</t>
  </si>
  <si>
    <t>University of Notre Dame; Harokopio University Athens</t>
  </si>
  <si>
    <t>Real-world data: a brief review of the methods, applications, challenges and opportunities</t>
  </si>
  <si>
    <t>Real-world data (RWD); Real-world evidence (RWE); Electronic health records; Machine learning; Artificial intelligence; Causal inference</t>
  </si>
  <si>
    <t>CONVOLUTIONAL NEURAL-NETWORK; DISEASE REGISTRIES; CAUSAL INFERENCE; TARGET TRIAL; EVIDENCE RWE; EHR DATA; HEALTH; TRANSPARENCY; COVID-19; TRUST</t>
  </si>
  <si>
    <t>Liu, Fang/JHU-8257-2023</t>
  </si>
  <si>
    <t>Liu, Fang/0000-0003-3028-5927</t>
  </si>
  <si>
    <t>104</t>
  </si>
  <si>
    <t>NOV 5 2022</t>
  </si>
  <si>
    <t>287</t>
  </si>
  <si>
    <t>10.1186/s12874-022-01768-6</t>
  </si>
  <si>
    <t>http://dx.doi.org/10.1186/s12874-022-01768-6</t>
  </si>
  <si>
    <t>5Y3DX</t>
  </si>
  <si>
    <t>36335315</t>
  </si>
  <si>
    <t>WOS:000879166900002</t>
  </si>
  <si>
    <t>Celi, LA; Cellini, J; Charpignon, ML; Dee, EC; Dernoncourt, F; Eber, R; Mitchell, WG; Moukheiber, L; Schirmer, J; Situ, J; Paguio, J; Park, J; Wawira, JG; Yao, ST</t>
  </si>
  <si>
    <t>Background While artificial intelligence (AI) offers possibilities of advanced clinical prediction and decision-making in healthcare, models trained on relatively homogeneous datasets, and populations poorly-representative of underlying diversity, limits generalisability and risks biased AI- based decisions. Here, we describe the landscape of AI in clinical medicine to delineate population and data-source disparities. Methods We performed a scoping review of clinical papers published in PubMed in 2019 using AI techniques. We assessed differences in dataset country source, clinical specialty, and author nationality, sex, and expertise. A manually tagged subsample of PubMed articles was used to train a model, leveraging transfer-learning techniques (building upon an existing BioBERT model) to predict eligibility for inclusion (original, human, clinical AI literature). Of all eligible articles, database country source and clinical specialty were manually labelled. A BioBERT-based model predicted first/last author expertise. Author nationality was determined using corresponding affiliated institution information using Entrez Direct. And first/last author sex was evaluated using the Gendarize.io API. Results Our search yielded 30,576 articles, of which 7,314 (23.9%) were eligible for further analysis. Most databases came from the US (40.8%) and China (13.7%). Radiology was the most represented clinical specialty (40.4%), followed by pathology (9.1%). Authors were primarily from either China (24.0%) or the US (18.4%). First and last authors were predominately data experts (i.e., statisticians) (59.6% and 53.9% respectively) rather than clinicians. And the majority of first/last authors were male (74.1%). Interpretation U.S. and Chinese datasets and authors were disproportionately overrepresented in clinical AI, and almost all of the top 10 databases and author nationalities were from high income countries (HICs). AI techniques were most commonly employed for image-rich specialties, and authors were predominantly male, with non-clinical backgrounds. Development of technological infrastructure in data-poor regions, and diligence in external validation and model re-calibration prior to clinical implementation in the short-term, are crucial in ensuring clinical AI is meaningful for broader populations, and to avoid perpetuating global health inequity.</t>
  </si>
  <si>
    <t>Celi, Leo Anthony; Cellini, Jacqueline; Charpignon, Marie-Laure; Dee, Edward Christopher; Dernoncourt, Franck; Eber, Rene; Mitchell, William Greig; Moukheiber, Lama; Schirmer, Julian; Situ, Julia; Paguio, Joseph; Park, Joel; Wawira, Judy Gichoya; Yao, Seth</t>
  </si>
  <si>
    <t>Mitchell, WG (corresponding author), Harvard TH Chan Sch Publ Hlth, Boston, MA 02115 USA.</t>
  </si>
  <si>
    <t>wmitchell@alumni.harvard.edu</t>
  </si>
  <si>
    <t>NIBIB [R01 EB017205]</t>
  </si>
  <si>
    <t>NIBIB (United States Department of Health &amp; Human Services, National Institutes of Health (NIH) - USA, NIH National Institute of Biomedical Imaging &amp; Bioengineering (NIBIB))</t>
  </si>
  <si>
    <t>LAC is funded by NIBIB grant R01 EB017205. The funders of the grant had no role study design, data collection and analysis, decision to publish, or preparation of the manuscript. Grant detail can be found at: https://grantome.com /grant/NIH/R01-EB017205-01A1 No other authors received any specific funding for this work.</t>
  </si>
  <si>
    <t>[Celi, Leo Anthony] MIT, Inst Med Engn &amp; Sci, Cambridge, MA USA; [Celi, Leo Anthony] Harvard TH Chan Sch Publ Hlth, Dept Biostat, Boston, MA USA; [Celi, Leo Anthony] Beth Israel Deaconess Med Ctr, Dept Med, Boston, MA USA; [Cellini, Jacqueline] Harvard Med Sch, Dept Lib Serv, Boston, MA USA; [Charpignon, Marie-Laure] MIT, Inst Data Syst &amp; Soc, Cambridge, MA USA; [Dee, Edward Christopher] Harvard Med Sch, Boston, MA USA; [Dernoncourt, Franck] Adobe Inc, Adobe Res, San Jose, CA USA; [Eber, Rene; Schirmer, Julian] Montpellier Univ, Montpellier Res Management, Montpellier, France; [Mitchell, William Greig] Harvard TH Chan Sch Publ Hlth, Boston, MA 02115 USA; [Moukheiber, Lama] Harvard Med Sch, Massachusetts Gen Hosp, Boston, MA USA; [Situ, Julia] MIT, Dept Comp Sci &amp; Mol Biol, Cambridge, MA USA; [Paguio, Joseph; Yao, Seth] Einstein Med Ctr Philadelphia, Dept Med, Philadelphia, PA USA; [Park, Joel] BeiGene, Appl Innovat, Cambridge, MA USA; [Wawira, Judy Gichoya] Emory Univ, Dept Radiol &amp; Biomed Informat, Atlanta, GA USA</t>
  </si>
  <si>
    <t>Massachusetts Institute of Technology (MIT); Harvard University; Harvard T.H. Chan School of Public Health; Harvard University; Harvard University Medical Affiliates; Beth Israel Deaconess Medical Center; Harvard University; Harvard Medical School; Massachusetts Institute of Technology (MIT); Harvard University; Harvard Medical School; Adobe Systems Inc.; Universite de Montpellier; Harvard University; Harvard T.H. Chan School of Public Health; Harvard University; Harvard Medical School; Harvard University Medical Affiliates; Massachusetts General Hospital; Massachusetts Institute of Technology (MIT); Emory University</t>
  </si>
  <si>
    <t>MIT Critical Data</t>
  </si>
  <si>
    <t>Sources of bias in artificial intelligence that perpetuate healthcare disparities-A global review</t>
  </si>
  <si>
    <t>PLOS DIGITAL HEALTH</t>
  </si>
  <si>
    <t>Dernoncourt, Franck/A-9821-2014; Dee, Edward Christopher/LUZ-0799-2024; Eber, Rene/IUM-6793-2023; /HRA-5731-2023; Paguio, Joseph Alexander/AAX-5371-2021</t>
  </si>
  <si>
    <t>Dernoncourt, Franck/0000-0002-1119-1346; Dee, Edward Christopher/0000-0001-6119-0889; Mitchell, William/0000-0002-2122-6741; Eber, Rene/0000-0002-4347-0198</t>
  </si>
  <si>
    <t>445</t>
  </si>
  <si>
    <t>PUBLIC LIBRARY SCIENCE</t>
  </si>
  <si>
    <t>SAN FRANCISCO</t>
  </si>
  <si>
    <t>1160 BATTERY STREET, STE 100, SAN FRANCISCO, CA 94111 USA</t>
  </si>
  <si>
    <t>2767-3170</t>
  </si>
  <si>
    <t>PLOS DIGIT HEALTH</t>
  </si>
  <si>
    <t>PLOS Digit. Health</t>
  </si>
  <si>
    <t>e0000022</t>
  </si>
  <si>
    <t>10.1371/journal.pdig.0000022</t>
  </si>
  <si>
    <t>http://dx.doi.org/10.1371/journal.pdig.0000022</t>
  </si>
  <si>
    <t>W2K4Y</t>
  </si>
  <si>
    <t>36812532</t>
  </si>
  <si>
    <t>WOS:001416927400001</t>
  </si>
  <si>
    <t>Low, DM; Bentley, KH; Ghosh, SS</t>
  </si>
  <si>
    <t>Objective There are many barriers to accessing mental health assessments including cost and stigma. Even when individuals receive professional care, assessments are intermittent and may be limited partly due to the episodic nature of psychiatric symptoms. Therefore, machine-learning technology using speech samples obtained in the clinic or remotely could one day be a biomarker to improve diagnosis and treatment. To date, reviews have only focused on using acoustic features from speech to detect depression and schizophrenia. Here, we present the first systematic review of studies using speech for automated assessments across a broader range of psychiatric disorders. Methods We followed the Preferred Reporting Items for Systematic Reviews and Meta-Analysis (PRISMA) guidelines. We included studies from the last 10 years using speech to identify the presence or severity of disorders within the Diagnostic and Statistical Manual of Mental Disorders (DSM-5). For each study, we describe sample size, clinical evaluation method, speech-eliciting tasks, machine learning methodology, performance, and other relevant findings. Results 1395 studies were screened of which 127 studies met the inclusion criteria. The majority of studies were on depression, schizophrenia, and bipolar disorder, and the remaining on post-traumatic stress disorder, anxiety disorders, and eating disorders. Sixty-three percentage of studies built machine learning predictive models, and the remaining 37% performed null-hypothesis testing only. We provide an online database with our search results and synthesize how acoustic features appear in each disorder. Conclusion Speech processing technology could aid mental health assessments, but there are many obstacles to overcome, especially the need for comprehensive transdiagnostic and longitudinal studies. Given the diverse types of data sets, feature extraction, computational methodologies, and evaluation criteria, we provide guidelines for both acquiring data and building machine learning models with a focus on testing hypotheses, open science, reproducibility, and generalizability.</t>
  </si>
  <si>
    <t>Low, Daniel M.; Bentley, Kate H.; Ghosh, Satrajit S.</t>
  </si>
  <si>
    <t>Low, DM; Ghosh, SS (corresponding author), 46-4033F,43 Vassar St, Cambridge, MA 02139 USA.</t>
  </si>
  <si>
    <t>dlow@mit.edu; satra@mit.edu</t>
  </si>
  <si>
    <t>National Institutes of Health [5T32DC000038-28]; MIT-Philips Research Award for Clinicians; National Institute of Biomedical Imaging and Bioengineering [P41EB019936] Funding Source: NIH RePORTER; National Institute on Deafness and Other Communication Disorders [T32DC000038] Funding Source: NIH RePORTER</t>
  </si>
  <si>
    <t>National Institutes of Health (United States Department of Health &amp; Human Services, National Institutes of Health (NIH) - USA); MIT-Philips Research Award for Clinicians; National Institute of Biomedical Imaging and Bioengineering (United States Department of Health &amp; Human Services, National Institutes of Health (NIH) - USA, NIH National Institute of Biomedical Imaging &amp; Bioengineering (NIBIB)); National Institute on Deafness and Other Communication Disorders (United States Department of Health &amp; Human Services, National Institutes of Health (NIH) - USA, NIH National Institute on Deafness &amp; Other Communication Disorders (NIDCD))</t>
  </si>
  <si>
    <t>The authors would like to thank Robert Ajemian for his useful comments on Figure 1. D.M.L. was supported by a National Institutes of Health training grant (5T32DC000038-28). K.H.B. was partially supported by the MIT-Philips Research Award for Clinicians. The work was supported by a gift to the McGovern Institute for Brain Research at MIT. S.S.G was partially supported by 5P41EB019936.</t>
  </si>
  <si>
    <t>[Low, Daniel M.; Ghosh, Satrajit S.] Harvard Med Sch, Program Speech &amp; Hearing Biosci &amp; Technol, Boston, MA 02115 USA; [Low, Daniel M.] MIT, Dept Brain &amp; Cognit Sci, E25-618, Cambridge, MA 02139 USA; [Bentley, Kate H.] Harvard Med Sch, Dept Psychiat, Massachusetts Gen Hosp, Boston, MA 02115 USA; [Bentley, Kate H.; Ghosh, Satrajit S.] MIT, McGovern Inst Brain Res, 77 Massachusetts Ave, Cambridge, MA 02139 USA; [Ghosh, Satrajit S.] Harvard Med Sch, Dept Otolaryngol Head &amp; Neck Surg, Boston, MA 02115 USA</t>
  </si>
  <si>
    <t>Harvard University; Harvard Medical School; Massachusetts Institute of Technology (MIT); Harvard University; Harvard Medical School; Harvard University Medical Affiliates; Massachusetts General Hospital; Massachusetts Institute of Technology (MIT); Harvard University; Harvard Medical School</t>
  </si>
  <si>
    <t>Automated assessment of psychiatric disorders using speech: A systematic review</t>
  </si>
  <si>
    <t>LARYNGOSCOPE INVESTIGATIVE OTOLARYNGOLOGY</t>
  </si>
  <si>
    <t>machine learning; mental health; psychiatry; speech; voice</t>
  </si>
  <si>
    <t>POSTTRAUMATIC-STRESS-DISORDER; RANDOMIZED CONTROLLED-TRIAL; MENTAL-HEALTH; DETECTING DEPRESSION; VOICE QUALITY; FIELD TRIALS; ANXIETY; SEVERITY; SCHIZOPHRENIA; EPIDEMIOLOGY</t>
  </si>
  <si>
    <t>Ghosh, Satrajit/0000-0002-5312-6729; Low, Daniel/0000-0002-8866-8667</t>
  </si>
  <si>
    <t>381</t>
  </si>
  <si>
    <t>2378-8038</t>
  </si>
  <si>
    <t>LARYNGOSCOPE INVEST</t>
  </si>
  <si>
    <t>Laryngoscope Investig. Otol.</t>
  </si>
  <si>
    <t>116</t>
  </si>
  <si>
    <t>10.1002/lio2.354</t>
  </si>
  <si>
    <t>http://dx.doi.org/10.1002/lio2.354</t>
  </si>
  <si>
    <t>Otorhinolaryngology</t>
  </si>
  <si>
    <t>KO9AG</t>
  </si>
  <si>
    <t>32128436</t>
  </si>
  <si>
    <t>WOS:000510253000001</t>
  </si>
  <si>
    <t>193</t>
  </si>
  <si>
    <t>Mathios, D; Johansen, JS; Cristiano, S; Medina, JE; Phallen, J; Larsen, KR; Bruhm, DC; Niknafs, N; Ferreira, L; Adleff, V; Chiao, JY; Leal, A; Noe, M; White, JR; Arun, AS; Hruban, C; Annapragada, A; Jensen, SO; Orntoft, MBW; Madsen, AH; Carvalho, B; de Wit, M; Carey, J; Dracopoli, NC; Maddala, T; Fang, KC; Hartman, AR; Forde, PM; Anagnostou, V; Brahmer, JR; Fijneman, RJA; Nielsen, HJ; Meijer, GA; Andersen, CL; Mellemgaard, A; Bojesen, SE; Scharpf, RB; Velculescu, VE</t>
  </si>
  <si>
    <t>Non-invasive approaches for cell-free DNA (cfDNA) assessment provide an opportunity for cancer detection and intervention. Here, we use a machine learning model for detecting tumor-derived cfDNA through genome-wide analyses of cfDNA fragmentation in a prospective study of 365 individuals at risk for lung cancer. We validate the cancer detection model using an independent cohort of 385 non-cancer individuals and 46 lung cancer patients. Combining fragmentation features, clinical risk factors, and CEA levels, followed by CT imaging, detected 94% of patients with cancer across stages and subtypes, including 91% of stage I/II and 96% of stage III/IV, at 80% specificity. Genome-wide fragmentation profiles across similar to 13,000 ASCL1 transcription factor binding sites distinguished individuals with small cell lung cancer from those with non-small cell lung cancer with high accuracy (AUC = 0.98). A higher fragmentation score represented an independent prognostic indicator of survival. This approach provides a facile avenue for non-invasive detection of lung cancer.</t>
  </si>
  <si>
    <t>Mathios, Dimitrios; Johansen, Jakob Sidenius; Cristiano, Stephen; Medina, Jamie E.; Phallen, Jillian; Larsen, Klaus R.; Bruhm, Daniel C.; Niknafs, Noushin; Ferreira, Leonardo; Adleff, Vilmos; Chiao, Jia Yuee; Leal, Alessandro; Noe, Michael; White, James R.; Arun, Adith S.; Hruban, Carolyn; Annapragada, Akshaya, V; Jensen, Sarah Ostrup; Orntoft, Mai-Britt Worm; Madsen, Anders Husted; Carvalho, Beatriz; de Wit, Meike; Carey, Jacob; Dracopoli, Nicholas C.; Maddala, Tara; Fang, Kenneth C.; Hartman, Anne-Renee; Forde, Patrick M.; Anagnostou, Valsamo; Brahmer, Julie R.; Fijneman, Remond J. A.; Nielsen, Hans Jorgen; Meijer, Gerrit A.; Andersen, Claus Lindbjerg; Mellemgaard, Anders; Bojesen, Stig E.; Scharpf, Robert B.; Velculescu, Victor E.</t>
  </si>
  <si>
    <t>Scharpf, RB; Velculescu, VE (corresponding author), Johns Hopkins Univ, Sch Med, Sidney Kimmel Comprehens Canc Ctr, Baltimore, MD 21205 USA.; Scharpf, RB (corresponding author), Johns Hopkins Bloomberg Sch Publ Hlth, Dept Biostat, Baltimore, MD 21205 USA.</t>
  </si>
  <si>
    <t>velculescu@jhmi.edu; rscharpf@jhu.edu</t>
  </si>
  <si>
    <t>Dr. Miriam and Sheldon G. Adelson Medical Research Foundation; SU2C in-Time Lung Cancer Interception Dream Team Grant; Stand Up to Cancer-Dutch Cancer Society International Translational Cancer Research Dream Team Grant [SU2C-AACR-DT1415]; Gray Foundation; Commonwealth Foundation; Mark Foundation for Cancer Research; Lundbeck Foundation; Roche Denmark; US National Institutes of Health [CA121113, CA006973, CA233259, 1T32GM136577]; Common Fund of the Office of the Director of the National Institutes of Health; NCI; NHGRI; NHLBI; NIDA; NIMH; NINDS; Delfi Diagnostics; Novo Nordisk Fonden [NNF14OC0012747] Funding Source: researchfish; National Cancer Institute [P30CA006973, UG1CA233259, R01CA121113] Funding Source: NIH RePORTER; National Institute of General Medical Sciences [T32GM136577] Funding Source: NIH RePORTER</t>
  </si>
  <si>
    <t>Dr. Miriam and Sheldon G. Adelson Medical Research Foundation; SU2C in-Time Lung Cancer Interception Dream Team Grant; Stand Up to Cancer-Dutch Cancer Society International Translational Cancer Research Dream Team Grant; Gray Foundation; Commonwealth Foundation; Mark Foundation for Cancer Research; Lundbeck Foundation (Lundbeckfonden); Roche Denmark (Roche Holding); US National Institutes of Health (United States Department of Health &amp; Human Services, National Institutes of Health (NIH) - USA); Common Fund of the Office of the Director of the National Institutes of Health (United States Department of Health &amp; Human Services, National Institutes of Health (NIH) - USA, NIH Office of the Director); NCI (United States Department of Health &amp; Human Services, National Institutes of Health (NIH) - USA, NIH National Cancer Institute (NCI)); NHGRI (United States Department of Health &amp; Human Services, National Institutes of Health (NIH) - USA, NIH National Human Genome Research Institute (NHGRI)); NHLBI (United States Department of Health &amp; Human Services, National Institutes of Health (NIH) - USA, NIH National Heart Lung &amp; Blood Institute (NHLBI)); NIDA (United States Department of Health &amp; Human Services, National Institutes of Health (NIH) - USA, NIH National Institute on Drug Abuse (NIDA)); NIMH (United States Department of Health &amp; Human Services, National Institutes of Health (NIH) - USA, NIH National Institute of Mental Health (NIMH)); NINDS (United States Department of Health &amp; Human Services, National Institutes of Health (NIH) - USA, NIH National Institute of Neurological Disorders &amp; Stroke (NINDS)); Delfi Diagnostics; Novo Nordisk Fonden (Novo Nordisk Foundation); National Cancer Institute (United States Department of Health &amp; Human Services, National Institutes of Health (NIH) - USA, NIH National Cancer Institute (NCI)); National Institute of General Medical Sciences (United States Department of Health &amp; Human Services, National Institutes of Health (NIH) - USA, NIH National Institute of General Medical Sciences (NIGMS))</t>
  </si>
  <si>
    <t>We would like to note that Hans Jorgen Nielsen, a co-author on this study and a pioneer in the field of early cancer detection, passed away during the course of this study. We thank members of our laboratories for critical review of the manuscript. This work was supported in part by the Dr. Miriam and Sheldon G. Adelson Medical Research Foundation, SU2C in-Time Lung Cancer Interception Dream Team Grant, Stand Up to Cancer-Dutch Cancer Society International Translational Cancer Research Dream Team Grant (SU2C-AACR-DT1415), the Gray Foundation, the Commonwealth Foundation, the Mark Foundation for Cancer Research, the Lundbeck Foundation, Roche Denmark unrestricted grant, a research grant from Delfi Diagnostics, and US National Institutes of Health grants CA121113, CA006973, CA233259, and 1T32GM136577. Stand Up To Cancer is a program of the Entertainment Industry Foundation administered by the American Association for Cancer Research. The results published here are in part based upon data generated by the TCGA Research Network: https://www.cancer.gov/tcga and The Genotype-Tissue Expression (GTEx) Project. GTEX was supported by the Common Fund of the Office of the Director of the National Institutes of Health, and by NCI, NHGRI, NHLBI, NIDA, NIMH, and NINDS.</t>
  </si>
  <si>
    <t>[Mathios, Dimitrios; Cristiano, Stephen; Medina, Jamie E.; Phallen, Jillian; Bruhm, Daniel C.; Niknafs, Noushin; Ferreira, Leonardo; Adleff, Vilmos; Chiao, Jia Yuee; Leal, Alessandro; Noe, Michael; White, James R.; Arun, Adith S.; Hruban, Carolyn; Annapragada, Akshaya, V; Forde, Patrick M.; Anagnostou, Valsamo; Brahmer, Julie R.; Scharpf, Robert B.; Velculescu, Victor E.] Johns Hopkins Univ, Sch Med, Sidney Kimmel Comprehens Canc Ctr, Baltimore, MD 21205 USA; [Mathios, Dimitrios] Johns Hopkins Univ, Sch Med, Dept Neurosurg, Baltimore, MD 21205 USA; [Johansen, Jakob Sidenius; Mellemgaard, Anders] Herlev &amp; Gentofte Hosp, Dept Oncol, Copenhagen, Denmark; [Cristiano, Stephen; Scharpf, Robert B.] Johns Hopkins Bloomberg Sch Publ Hlth, Dept Biostat, Baltimore, MD 21205 USA; [Larsen, Klaus R.] Bispebjerg Hosp, Dept Resp Med, Infiltrate Unit, Copenhagen, Denmark; [Jensen, Sarah Ostrup; Orntoft, Mai-Britt Worm] Aarhus Univ Hosp, Dept Mol Med, Aarhus, Denmark; [Madsen, Anders Husted; Andersen, Claus Lindbjerg] Herning Reg Hosp, Dept Surg, Herning, Denmark; [Carvalho, Beatriz; de Wit, Meike; Fijneman, Remond J. A.; Meijer, Gerrit A.] Netherlands Canc Inst, Dept Pathol, Amsterdam, Netherlands; [Carey, Jacob; Dracopoli, Nicholas C.; Maddala, Tara; Fang, Kenneth C.; Hartman, Anne-Renee] Delfi Diagnost, Baltimore, MD USA; [Nielsen, Hans Jorgen] Hvidovre Univ Hosp, Dept Surg Gastroenterol 360, Hvidovre, Denmark; [Bojesen, Stig E.] Herlev &amp; Gentofte Hosp, Dept Clin Biochem, Copenhagen, Denmark</t>
  </si>
  <si>
    <t>Johns Hopkins University; Johns Hopkins Medicine; Johns Hopkins University; Johns Hopkins Medicine; Johns Hopkins University; Johns Hopkins Bloomberg School of Public Health; University of Copenhagen; Copenhagen University Hospital; Bispebjerg Hospital; Aarhus University; Aarhus University; Netherlands Cancer Institute; University of Copenhagen</t>
  </si>
  <si>
    <t>Detection and characterization of lung cancer using cell-free DNA fragmentomes</t>
  </si>
  <si>
    <t>PRACTICAL ALGORITHMIC APPROACH; CARCINOEMBRYONIC ANTIGEN CEA; TUMOR; BIOMARKERS; MANAGEMENT; DIAGNOSIS; ALIGNMENT</t>
  </si>
  <si>
    <t>de Wit, Meike/N-5494-2015; Carvalho, Beatriz/GXA-0720-2022; Fijneman, Remond/X-4199-2019; Andersen, Claus Lindbjerg/C-1477-2017; Annapragada, Akshaya/JBJ-7136-2023; Leal, Alessandro/KOD-7920-2024; Velculescu, Victor/B-3247-2009; Forde, Patrick/AAX-2936-2021</t>
  </si>
  <si>
    <t>Carey, Jacob/0000-0001-9462-206X; de Wit, Meike/0000-0003-1850-0831; Arun, Adith/0000-0003-3675-9521; Meijer, Gerrit/0000-0003-0330-3130; Hruban, Carolyn/0000-0001-9882-040X; Carvalho, Beatriz/0000-0003-4903-399X; Fijneman, Remond/0000-0003-2076-5521; Bojesen, Stig/0000-0002-4061-4133; Andersen, Claus Lindbjerg/0000-0002-7406-2103; Annapragada, Akshaya/0000-0002-9097-6511; acopoli, Nicholas/0000-0003-3962-4059; Forde, Patrick/0000-0001-6925-6344</t>
  </si>
  <si>
    <t>377</t>
  </si>
  <si>
    <t>415</t>
  </si>
  <si>
    <t>AUG 20 2021</t>
  </si>
  <si>
    <t>5060</t>
  </si>
  <si>
    <t>10.1038/s41467-021-24994-w</t>
  </si>
  <si>
    <t>http://dx.doi.org/10.1038/s41467-021-24994-w</t>
  </si>
  <si>
    <t>UD4IL</t>
  </si>
  <si>
    <t>34417454</t>
  </si>
  <si>
    <t>WOS:000687171500011</t>
  </si>
  <si>
    <t>Zhou, XK; Liang, W; Wang, KIK; Wang, H; Yang, LT; Jin, Q</t>
  </si>
  <si>
    <t>Along with the advancement of several emerging computing paradigms and technologies, such as cloud computing, mobile computing, artificial intelligence, and big data, Internet of Things (IoT) technologies have been applied in a variety of fields. In particular, the Internet of Healthcare Things (IoHT) is becoming increasingly important in human activity recognition (HAR) due to the rapid development of wearable and mobile devices. In this article, we focus on the deep-learning-enhanced HAR in IoHT environments. A semisupervised deep learning framework is designed and built for more accurate HAR, which efficiently uses and analyzes the weakly labeled sensor data to train the classifier learning model. To better solve the problem of the inadequately labeled sample, an intelligent autolabeling scheme based on deep Q-network (DQN) is developed with a newly designed distance-based reward rule which can improve the learning efficiency in IoT environments. A multisensor based data fusion mechanism is then developed to seamlessly integrate the on-body sensor data, context sensor data, and personal profile data together, and a long short-term memory (LSTM)-based classification method is proposed to identify fine-grained patterns according to the high-level features contextually extracted from the sequential motion data. Finally, experiments and evaluations are conducted to demonstrate the usefulness and effectiveness of the proposed method using real-world data.</t>
  </si>
  <si>
    <t>Zhou, Xiaokang; Liang, Wei; Wang, Kevin I-K; Wang, Hao; Yang, Laurence T.; Jin, Qun</t>
  </si>
  <si>
    <t>Liang, W (corresponding author), Hunan Univ Technol &amp; Business, Key Lab Hunan Prov New Retail Virtual Real Techno, Changsha 410205, Peoples R China.</t>
  </si>
  <si>
    <t>zhou@biwako.shiga-u.ac.jp; ltyang@ieee.org; weiliang@csu.edu.cn; kev-in.wang@auckland.ac.nz; hawa@ntnu.no; jin@waseda.jp</t>
  </si>
  <si>
    <t>National Key Research and Development Program of China [2017YFE0117500]; Natural Science Foundation of Hunan Province of China [2019JJ40150]; Hunan Provincial Education Department Foundation for Excellent Youth Scholars [17B146]; Key Project of Hunan Provincial Education Department [17A113]</t>
  </si>
  <si>
    <t>National Key Research and Development Program of China (National Key Research &amp; Development Program of China); Natural Science Foundation of Hunan Province of China (Natural Science Foundation of Hunan Province); Hunan Provincial Education Department Foundation for Excellent Youth Scholars; Key Project of Hunan Provincial Education Department (Hunan Provincial Education Department)</t>
  </si>
  <si>
    <t>This work was supported in part by the National Key Research and Development Program of China under Grant 2017YFE0117500, in part by the Natural Science Foundation of Hunan Province of China under Grant 2019JJ40150, in part by the Hunan Provincial Education Department Foundation for Excellent Youth Scholars under Grant 17B146, and in part by the Key Project of Hunan Provincial Education Department under Grant 17A113.</t>
  </si>
  <si>
    <t>[Zhou, Xiaokang] Shiga Univ, Fac Data Sci, Hikone 5228522, Japan; [Zhou, Xiaokang] RIKEN, RIKEN Ctr Adv Intelligence Project, Tokyo 1030027, Japan; [Liang, Wei] Hunan Univ Technol &amp; Business, Key Lab Hunan Prov New Retail Virtual Real Techno, Changsha 410205, Peoples R China; [Liang, Wei] Cent South Univ, Business Sch, Changsha 410083, Peoples R China; [Wang, Kevin I-K] Univ Auckland, Dept Elect Comp &amp; Software Engn, Auckland 1010, New Zealand; [Wang, Hao] Norwegian Univ Sci &amp; Technol, Dept Comp Sci, N-7491 Trondheim, Norway; [Yang, Laurence T.] St Francis Xavier Univ, Dept Comp Sci, Antigonish, NS B2G 2W5, Canada; [Jin, Qun] Waseda Univ, Fac Human Sci, Tokorozawa, Saitama 3591192, Japan</t>
  </si>
  <si>
    <t>Shiga University; RIKEN; Hunan University of Technology &amp; Business; Central South University; University of Auckland; Norwegian University of Science &amp; Technology (NTNU); Saint Francis Xavier University - Canada; Waseda University</t>
  </si>
  <si>
    <t>Deep-Learning-Enhanced Human Activity Recognition for Internet of Healthcare Things</t>
  </si>
  <si>
    <t>IEEE INTERNET OF THINGS JOURNAL</t>
  </si>
  <si>
    <t>Deep learning; human activity recognition (HAR); Internet of Things (IoT); reinforcement learning; smart healthcare; weakly labeled data</t>
  </si>
  <si>
    <t>Wang, Hao/B-3650-2019; Liang, Wei/ITV-5002-2023; Jin, Qun/H-3752-2012; Yang, Laurence T/AAA-1898-2019</t>
  </si>
  <si>
    <t>Wang, Hao/0000-0001-9301-5989; Wang, Kevin/0000-0001-8450-2558; Liang, Wei/0000-0002-0689-256X; Jin, Qun/0000-0002-1325-4275; Yang, Laurence T/0000-0002-7986-4244</t>
  </si>
  <si>
    <t>372</t>
  </si>
  <si>
    <t>187</t>
  </si>
  <si>
    <t>2327-4662</t>
  </si>
  <si>
    <t>IEEE INTERNET THINGS</t>
  </si>
  <si>
    <t>IEEE Internet Things J.</t>
  </si>
  <si>
    <t>6429</t>
  </si>
  <si>
    <t>6438</t>
  </si>
  <si>
    <t>10.1109/JIOT.2020.2985082</t>
  </si>
  <si>
    <t>http://dx.doi.org/10.1109/JIOT.2020.2985082</t>
  </si>
  <si>
    <t>MK5HN</t>
  </si>
  <si>
    <t>WOS:000548817900066</t>
  </si>
  <si>
    <t>109</t>
  </si>
  <si>
    <t>Chekroud, AM; Bondar, J; Delgadillo, J; Doherty, G; Wasil, A; Fokkema, M; Cohen, Z; Belgrave, D; DeRubeis, R; Iniesta, R; Dwyer, D; Choi, K</t>
  </si>
  <si>
    <t>For many years, psychiatrists have tried to understand factors involved in response to medications or psychotherapies, in order to personalize their treatment choices. There is now a broad and growing interest in the idea that we can develop models to personalize treatment decisions using new statistical approaches from the field of machine learning and applying them to larger volumes of data. In this pursuit, there has been a paradigm shift away from experimental studies to confirm or refute specific hypotheses towards a focus on the overall explanatory power of a predictive model when tested on new, unseen datasets. In this paper, we review key studies using machine learning to predict treatment outcomes in psychiatry, ranging from medications and psychotherapies to digital interventions and neurobiological treatments. Next, we focus on some new sources of data that are being used for the development of predictive models based on machine learning, such as electronic health records, smartphone and social media data, and on the potential utility of data from genetics, electrophysiology, neuroimaging and cognitive testing. Finally, we discuss how far the field has come towards implementing prediction tools in real-world clinical practice. Relatively few retrospective studies to-date include appropriate external validation procedures, and there are even fewer prospective studies testing the clinical feasibility and effectiveness of predictive models. Applications of machine learning in psychiatry face some of the same ethical challenges posed by these techniques in other areas of medicine or computer science, which we discuss here. In short, machine learning is a nascent but important approach to improve the effectiveness of mental health care, and several prospective clinical studies suggest that it may be working already.</t>
  </si>
  <si>
    <t>Chekroud, Adam M.; Bondar, Julia; Delgadillo, Jaime; Doherty, Gavin; Wasil, Akash; Fokkema, Marjolein; Cohen, Zachary; Belgrave, Danielle; DeRubeis, Robert; Iniesta, Raquel; Dwyer, Dominic; Choi, Karmel</t>
  </si>
  <si>
    <t>Chekroud, AM (corresponding author), Yale Sch Med, Dept Psychiat, New Haven, CT 06510 USA.; Chekroud, AM (corresponding author), Spring Hlth, New York, NY 10010 USA.</t>
  </si>
  <si>
    <t>Brain &amp; Behavior Research Foundation; National Institute for Health Research (NIHR) Maudsley Biomedical Research Centre</t>
  </si>
  <si>
    <t>Brain &amp; Behavior Research Foundation (NARSAD); National Institute for Health Research (NIHR) Maudsley Biomedical Research Centre</t>
  </si>
  <si>
    <t>A.M. Chekroud holds equity in Spring Care Inc., Carbon Health Technologies Inc., and UnitedHealthcare. J. Bondar is an employee of Spring Care Inc. G. Doherty is co-founder of SilverCloud Health. R. Iniesta is supported by the Brain &amp; Behavior Research Foundation and the National Institute for Health Research (NIHR) Maudsley Biomedical Research Centre.</t>
  </si>
  <si>
    <t>[Chekroud, Adam M.] Yale Sch Med, Dept Psychiat, New Haven, CT 06510 USA; [Chekroud, Adam M.; Bondar, Julia] Spring Hlth, New York, NY 10010 USA; [Delgadillo, Jaime] Univ Sheffield, Dept Psychol, Clin Psychol Unit, Sheffield, S Yorkshire, England; [Doherty, Gavin] Trinity Coll Dublin, Sch Comp Sci &amp; Stat, Dublin, Ireland; [Wasil, Akash; DeRubeis, Robert] Univ Penn, Dept Psychol, 3815 Walnut St, Philadelphia, PA 19104 USA; [Fokkema, Marjolein] Leiden Univ, Inst Psychol, Dept Methods &amp; Stat, Leiden, Netherlands; [Cohen, Zachary] Univ Calif Los Angeles, Dept Psychiat &amp; Biobehav Sci, Los Angeles, CA 90024 USA; [Belgrave, Danielle] Microsoft Res, Cambridge, England; [Iniesta, Raquel] Kings Coll London, Dept Biostat &amp; Hlth Informat, Inst Psychiat Psychol &amp; Neurosci, London, England; [Dwyer, Dominic] Ludwig Maximilians Univ Munchen, Sect Neurodiagnost Applicat, Dept Psychiat &amp; Psychotherapy, Munich, Germany; [Choi, Karmel] Harvard TH Chan Sch Publ Hlth, Boston, MA USA; [Choi, Karmel] Harvard Med Sch, Massachusetts Gen Hosp, Dept Psychiat, Boston, MA 02115 USA</t>
  </si>
  <si>
    <t>Yale University; University of Sheffield; Trinity College Dublin; University of Pennsylvania; Leiden University - Excl LUMC; Leiden University; University of California System; University of California Los Angeles; David Geffen School of Medicine at UCLA; Microsoft; Microsoft United Kingdom; University of London; King's College London; University of Munich; Harvard University; Harvard T.H. Chan School of Public Health; Harvard University; Harvard Medical School; Harvard University Medical Affiliates; Massachusetts General Hospital</t>
  </si>
  <si>
    <t>The promise of machine learning in predicting treatment outcomes in psychiatry</t>
  </si>
  <si>
    <t>Computational psychiatry; machine learning; treatment outcomes; prediction; external validation; pharmacotherapies; psychotherapies; electronic health records; smartphone data</t>
  </si>
  <si>
    <t>COGNITIVE-BEHAVIORAL THERAPY; MAJOR DEPRESSIVE DISORDER; ELECTROCONVULSIVE-THERAPY; TREATMENT SELECTION; METAANALYSIS; MODELS; REMISSION; STIMULATION; VALIDATION; ALGORITHMS</t>
  </si>
  <si>
    <t>Cohen, Zachary/A-8946-2013; Doherty, Gavin/AAH-4939-2019; DeRubeis, Robert/A-1049-2007; Iniesta, Raquel/E-6127-2017; Delgadillo, Jaime/QQB-9052-2026; Dwyer, Dominic/Z-1225-2018</t>
  </si>
  <si>
    <t>Cohen, Zachary/0000-0002-4883-1028; Delgadillo, Jaime/0000-0001-5349-230X; Doherty, Gavin/0000-0002-9617-7008; Dwyer, Dominic/0000-0003-3949-5867; Fokkema, Marjolein/0000-0002-9252-8325</t>
  </si>
  <si>
    <t>170</t>
  </si>
  <si>
    <t>10.1002/wps.20882</t>
  </si>
  <si>
    <t>http://dx.doi.org/10.1002/wps.20882</t>
  </si>
  <si>
    <t>SD5KU</t>
  </si>
  <si>
    <t>34002503</t>
  </si>
  <si>
    <t>WOS:000651412600003</t>
  </si>
  <si>
    <t>Kline, A; Wang, HY; Li, YK; Dennis, S; Hutch, M; Xu, ZX; Wang, F; Cheng, FX; Luo, Y</t>
  </si>
  <si>
    <t>Machine learning is frequently being leveraged to tackle problems in the health sector including utilization for clinical decision-support. Its use has historically been focused on single modal data. Attempts to improve prediction and mimic the multimodal nature of clinical expert decision-making has been met in the biomedical field of machine learning by fusing disparate data. This review was conducted to summarize the current studies in this field and identify topics ripe for future research. We conducted this review in accordance with the PRISMA extension for Scoping Reviews to characterize multi-modal data fusion in health. Search strings were established and used in databases: PubMed, Google Scholar, and IEEEXplore from 2011 to 2021. A final set of 128 articles were included in the analysis. The most common health areas utilizing multi-modal methods were neurology and oncology. Early fusion was the most common data merging strategy. Notably, there was an improvement in predictive performance when using data fusion. Lacking from the papers were clear clinical deployment strategies, FDA-approval, and analysis of how using multimodal approaches from diverse sub-populations may improve biases and healthcare disparities. These findings provide a summary on multimodal data fusion as applied to health diagnosis/prognosis problems. Few papers compared the outputs of a multimodal approach with a unimodal prediction. However, those that did achieved an average increase of 6.4% in predictive accuracy. Multi-modal machine learning, while more robust in its estimations over unimodal methods, has drawbacks in its scalability and the time-consuming nature of information concatenation.</t>
  </si>
  <si>
    <t>Kline, Adrienne; Wang, Hanyin; Li, Yikuan; Dennis, Saya; Hutch, Meghan; Xu, Zhenxing; Wang, Fei; Cheng, Feixiong; Luo, Yuan</t>
  </si>
  <si>
    <t>Luo, Y (corresponding author), Northwestern Univ, Dept Prevent Med, Chicago, IL 60201 USA.</t>
  </si>
  <si>
    <t>yuan.luo@northwestern.edu</t>
  </si>
  <si>
    <t>NIH [U01TR003528, R01LM013337, AG073323]; National Center for Advancing Translational Sciences [U01TR003528] Funding Source: NIH RePORTER; National Institute on Aging [U01AG073323] Funding Source: NIH RePORTER; National Library of Medicine [R01LM013337] Funding Source: NIH RePORTER</t>
  </si>
  <si>
    <t>NIH (United States Department of Health &amp; Human Services, National Institutes of Health (NIH) - USA); National Center for Advancing Translational Sciences (United States Department of Health &amp; Human Services, National Institutes of Health (NIH) - USA, NIH National Center for Advancing Translational Sciences (NCATS)); National Institute on Aging (United States Department of Health &amp; Human Services, National Institutes of Health (NIH) - USA, NIH National Institute on Aging (NIA)); National Library of Medicine (United States Department of Health &amp; Human Services, National Institutes of Health (NIH) - USA, NIH National Library of Medicine (NLM))</t>
  </si>
  <si>
    <t>The study is supported in part by NIH Grants U01TR003528 and R01LM013337 to Y.L., and AG073323 to F.C.</t>
  </si>
  <si>
    <t>[Kline, Adrienne; Wang, Hanyin; Li, Yikuan; Dennis, Saya; Hutch, Meghan; Luo, Yuan] Northwestern Univ, Dept Prevent Med, Chicago, IL 60201 USA; [Xu, Zhenxing; Wang, Fei] Cornell Univ, Dept Populat Hlth Sci, New York, NY 10065 USA; [Cheng, Feixiong] Case Western Reserve Univ, Cleveland Clin, Lerner Coll Med, Cleveland, OH 44195 USA</t>
  </si>
  <si>
    <t>Northwestern University; Feinberg School of Medicine; Cornell University; Cleveland Clinic Foundation; University System of Ohio; Case Western Reserve University</t>
  </si>
  <si>
    <t>Multimodal machine learning in precision health: A scoping review</t>
  </si>
  <si>
    <t>PARKINSONS-DISEASE; RECORD DATA; DATA FUSION; PREDICTION; FACTORIZATION; ALGORITHMS; CHALLENGES; DIAGNOSIS; ACCURACY; MODELS</t>
  </si>
  <si>
    <t>Wang, Hanyin/AAB-7835-2022; Wang, Fei/HRA-7319-2023; Hutch, Meghan/ODK-2493-2025; Cheng, Feixiong/D-9922-2013; Li, Yikuan/ACW-1266-2022; Luo, Yuan/JLS-6416-2023</t>
  </si>
  <si>
    <t>Wang, Fei/0000-0001-9459-9461; Li, Yikuan/0000-0001-7546-9979; Luo, Yuan/0000-0003-0195-7456</t>
  </si>
  <si>
    <t>448</t>
  </si>
  <si>
    <t>NOV 7 2022</t>
  </si>
  <si>
    <t>171</t>
  </si>
  <si>
    <t>10.1038/s41746-022-00712-8</t>
  </si>
  <si>
    <t>http://dx.doi.org/10.1038/s41746-022-00712-8</t>
  </si>
  <si>
    <t>5Z2AW</t>
  </si>
  <si>
    <t>36344814</t>
  </si>
  <si>
    <t>WOS:000879780400001</t>
  </si>
  <si>
    <t>Ueda, D; Kakinuma, T; Fujita, S; Kamagata, K; Fushimi, Y; Ito, R; Matsui, Y; Nozaki, T; Nakaura, T; Fujima, N; Tatsugami, F; Yanagawa, M; Hirata, K; Yamada, A; Tsuboyama, T; Kawamura, M; Fujioka, T; Naganawa, S</t>
  </si>
  <si>
    <t>In this review, we address the issue of fairness in the clinical integration of artificial intelligence (AI) in the medical field. As the clinical adoption of deep learning algorithms, a subfield of AI, progresses, concerns have arisen regarding the impact of AI biases and discrimination on patient health. This review aims to provide a comprehensive overview of concerns associated with AI fairness; discuss strategies to mitigate AI biases; and emphasize the need for cooperation among physicians, AI researchers, AI developers, policymakers, and patients to ensure equitable AI integration. First, we define and introduce the concept of fairness in AI applications in healthcare and radiology, emphasizing the benefits and challenges of incorporating AI into clinical practice. Next, we delve into concerns regarding fairness in healthcare, addressing the various causes of biases in AI and potential concerns such as misdiagnosis, unequal access to treatment, and ethical considerations. We then outline strategies for addressing fairness, such as the importance of diverse and representative data and algorithm audits. Additionally, we discuss ethical and legal considerations such as data privacy, responsibility, accountability, transparency, and explainability in AI. Finally, we present the Fairness of Artificial Intelligence Recommendations in healthcare (FAIR) statement to offer best practices. Through these efforts, we aim to provide a foundation for discussing the responsible and equitable implementation and deployment of AI in healthcare.</t>
  </si>
  <si>
    <t>Ueda, Daiju; Kakinuma, Taichi; Fujita, Shohei; Kamagata, Koji; Fushimi, Yasutaka; Ito, Rintaro; Matsui, Yusuke; Nozaki, Taiki; Nakaura, Takeshi; Fujima, Noriyuki; Tatsugami, Fuminari; Yanagawa, Masahiro; Hirata, Kenji; Yamada, Akira; Tsuboyama, Takahiro; Kawamura, Mariko; Fujioka, Tomoyuki; Naganawa, Shinji</t>
  </si>
  <si>
    <t>Ueda, D (corresponding author), Osaka Metropolitan Univ, Grad Sch Med, Dept Diagnost &amp; Intervent Radiol, 1-4-3 Asahi Machi,Abeno Ku, Osaka 5458585, Japan.</t>
  </si>
  <si>
    <t>ai.labo.ocu@gmail.com</t>
  </si>
  <si>
    <t>[Ueda, Daiju] Osaka Metropolitan Univ, Grad Sch Med, Dept Diagnost &amp; Intervent Radiol, 1-4-3 Asahi Machi,Abeno Ku, Osaka 5458585, Japan; [Kakinuma, Taichi] STORIA Law Off, Chuo Ku, Kobe, Hyogo, Japan; [Fujita, Shohei] Univ Tokyo, Dept Radiol, Bunkyo Ku, Tokyo, Japan; [Kamagata, Koji] Juntendo Univ, Dept Radiol, Grad Sch Med, Bunkyo Ku, Tokyo, Japan; [Fushimi, Yasutaka] Kyoto Univ, Dept Diagnost Imaging &amp; Nucl Med, Grad Sch Med, Sakyo Ku, Kyoto, Japan; [Ito, Rintaro; Kawamura, Mariko; Naganawa, Shinji] Nagoya Univ, Dept Radiol, Grad Sch Med, Nagoya, Aichi, Japan; [Matsui, Yusuke] Okayama Univ, Fac Med Dent &amp; Pharmaceut Sci, Dept Radiol, Kita Ku, Okayama, Japan; [Nozaki, Taiki] Keio Univ, Dept Radiol, Sch Med, Shinjuku Ku, Tokyo, Japan; [Nakaura, Takeshi] Kumamoto Univ, Dept Diagnost Radiol, Grad Sch Med, Chuo Ku, Kumamoto, Japan; [Fujima, Noriyuki] Hokkaido Univ Hosp, Dept Diagnost &amp; Intervent Radiol, Sapporo, Japan; [Tatsugami, Fuminari] Hiroshima Univ, Dept Diagnost Radiol, Minami Ku, Hiroshima, Japan; [Yanagawa, Masahiro; Tsuboyama, Takahiro] Osaka Univ, Dept Radiol, Grad Sch Med, Suita, Osaka, Japan; [Hirata, Kenji] Hokkaido Univ, Grad Sch Med, Dept Diagnost Imaging, Kita Ku, Sapporo, Hokkaido, Japan; [Yamada, Akira] Shinshu Univ, Dept Radiol, Sch Med, Matsumoto, Nagano, Japan; [Fujioka, Tomoyuki] Tokyo Med &amp; Dent Univ, Dept Diagnost Radiol, Bunkyo Ku, Tokyo, Japan</t>
  </si>
  <si>
    <t>Osaka Metropolitan University; University of Tokyo; Juntendo University; Kyoto University; Nagoya University; Okayama University; Keio University; Kumamoto University; Hokkaido University; Hiroshima University; University of Osaka; Hokkaido University; Shinshu University; Institute of Science Tokyo; Tokyo Medical &amp; Dental University (TMDU)</t>
  </si>
  <si>
    <t>Fairness of artificial intelligence in healthcare: review and recommendations</t>
  </si>
  <si>
    <t>JAPANESE JOURNAL OF RADIOLOGY</t>
  </si>
  <si>
    <t>Fairness; Bias; Artificial intelligence; Healthcare; Medicine; Review</t>
  </si>
  <si>
    <t>BIG DATA; CHEST RADIOGRAPHS; LEARNING-MODELS; BIAS; VALIDATION; PERFORMANCE; DISEASE; PRIVACY; ETHICS; ISSUES</t>
  </si>
  <si>
    <t>Yanagawa, Masahiro/AAD-2306-2022; Yamada, Akira/AAD-1536-2019; Kawamura, Mariko/Q-5517-2019; Nakaura, Takeshi/HQZ-8072-2023; Ito, Rintaro/AFH-9268-2022; 鎌形, 康司/AFL-9072-2022; Ueda, Daiju/AAG-2167-2021; Naganawa, Shinji/I-1572-2012; Fujima, Noriyuki/AAF-7270-2020; Fushimi, Yasutaka/L-8922-2017</t>
  </si>
  <si>
    <t>Yanagawa, Masahiro/0000-0002-0911-6769; Ito, Rintaro/0000-0002-7971-043X; Ueda, Daiju/0000-0002-3878-3616; Fushimi, Yasutaka/0000-0002-1982-3168</t>
  </si>
  <si>
    <t>126</t>
  </si>
  <si>
    <t>227</t>
  </si>
  <si>
    <t>1867-1071</t>
  </si>
  <si>
    <t>1867-108X</t>
  </si>
  <si>
    <t>JPN J RADIOL</t>
  </si>
  <si>
    <t>Jpn. J. Radiol.</t>
  </si>
  <si>
    <t>JAN 2024</t>
  </si>
  <si>
    <t>42</t>
  </si>
  <si>
    <t>10.1007/s11604-023-01474-3</t>
  </si>
  <si>
    <t>http://dx.doi.org/10.1007/s11604-023-01474-3</t>
  </si>
  <si>
    <t>DR3V4</t>
  </si>
  <si>
    <t>37540463</t>
  </si>
  <si>
    <t>WOS:001043049800002</t>
  </si>
  <si>
    <t>Cross, JL; Choma, MA; Onofrey, JA</t>
  </si>
  <si>
    <t>Biases in medical artificial intelligence (AI) arise and compound throughout the AI lifecycle. These biases can have significant clinical consequences, especially in applications that involve clinical decision-making. Left unaddressed, biased medical AI can lead to substandard clinical decisions and the perpetuation and exacerbation of longstanding healthcare disparities. We discuss potential biases that can arise at different stages in the AI development pipeline and how they can affect AI algorithms and clinical decision-making. Bias can occur in data features and labels, model development and evaluation, deployment, and publication. Insufficient sample sizes for certain patient groups can result in suboptimal performance, algorithm underestimation, and clinically unmeaningful predictions. Missing patient findings can also produce biased model behavior, including capturable but nonrandomly missing data, such as diagnosis codes, and data that is not usually or not easily captured, such as social determinants of health. Expertly annotated labels used to train supervised learning models may reflect implicit cognitive biases or substandard care practices. Overreliance on performance metrics during model development may obscure bias and diminish a model's clinical utility. When applied to data outside the training cohort, model performance can deteriorate from previous validation and can do so differentially across subgroups. How end users interact with deployed solutions can introduce bias. Finally, where models are developed and published, and by whom, impacts the trajectories and priorities of future medical AI development. Solutions to mitigate bias must be implemented with care, which include the collection of large and diverse data sets, statistical debiasing methods, thorough model evaluation, emphasis on model interpretability, and standardized bias reporting and transparency requirements. 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</si>
  <si>
    <t>Cross, James L.; Choma, Michael A.; Onofrey, John A.</t>
  </si>
  <si>
    <t>Cross, JL (corresponding author), Yale Sch Med, New Haven, CT 06510 USA.</t>
  </si>
  <si>
    <t>j.cross@yale.edu</t>
  </si>
  <si>
    <t>[Cross, James L.] Yale Sch Med, New Haven, CT 06510 USA; [Choma, Michael A.; Onofrey, John A.] Yale Univ, Dept Radiol &amp; Biomed Imaging, New Haven, CT USA; [Onofrey, John A.] Yale Univ, Dept Urol, New Haven, CT USA; [Onofrey, John A.] Yale Univ, Dept Biomed Engn, New Haven, CT USA</t>
  </si>
  <si>
    <t>Yale University; Yale University; Yale University; Yale University</t>
  </si>
  <si>
    <t>Bias in medical AI: Implications for clinical decision-making</t>
  </si>
  <si>
    <t>PATIENT-REPORTED OUTCOMES; SOCIAL DETERMINANTS; ARTIFICIAL-INTELLIGENCE; RACIAL BIAS; HEALTH-CARE; RISK; RACE; STRATEGIES; QUALITY</t>
  </si>
  <si>
    <t>Onofrey, John/T-9841-2019</t>
  </si>
  <si>
    <t>Cross, James/0009-0008-9690-128X; Onofrey, John/0000-0002-9432-0448</t>
  </si>
  <si>
    <t>132</t>
  </si>
  <si>
    <t>NOV 2024</t>
  </si>
  <si>
    <t>e0000651</t>
  </si>
  <si>
    <t>10.1371/journal.pdig.0000651</t>
  </si>
  <si>
    <t>http://dx.doi.org/10.1371/journal.pdig.0000651</t>
  </si>
  <si>
    <t>W2L5M</t>
  </si>
  <si>
    <t>39509461</t>
  </si>
  <si>
    <t>WOS:001416955700001</t>
  </si>
</sst>
</file>

<file path=xl/styles.xml><?xml version="1.0" encoding="utf-8"?>
<styleSheet xmlns="http://schemas.openxmlformats.org/spreadsheetml/2006/main">
  <numFmts count="0"/>
  <fonts count="199">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9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38%2Fs41568-018-0016-5" TargetMode="External" Type="http://schemas.openxmlformats.org/officeDocument/2006/relationships/hyperlink"/><Relationship Id="rId10" Target="https%3A%2F%2Fwww.webofscience.com%2Fwos%2Fwoscc%2Ffull-record%2FWOS%3A000444174100015" TargetMode="External" Type="http://schemas.openxmlformats.org/officeDocument/2006/relationships/hyperlink"/><Relationship Id="rId100" Target="http%3A%2F%2Fdx.doi.org%2F10.1109%2FACCESS.2024.3365742" TargetMode="External" Type="http://schemas.openxmlformats.org/officeDocument/2006/relationships/hyperlink"/><Relationship Id="rId101" Target="https%3A%2F%2Fwww.webofscience.com%2Fwos%2Fwoscc%2Ffull-record%2FWOS%3A001173153100001" TargetMode="External" Type="http://schemas.openxmlformats.org/officeDocument/2006/relationships/hyperlink"/><Relationship Id="rId102" Target="http%3A%2F%2Fdx.doi.org%2F10.1016%2Fj.jbi.2020.103655" TargetMode="External" Type="http://schemas.openxmlformats.org/officeDocument/2006/relationships/hyperlink"/><Relationship Id="rId103" Target="https%3A%2F%2Fwww.webofscience.com%2Fwos%2Fwoscc%2Ffull-record%2FWOS%3A000615920800010" TargetMode="External" Type="http://schemas.openxmlformats.org/officeDocument/2006/relationships/hyperlink"/><Relationship Id="rId104" Target="http%3A%2F%2Fdx.doi.org%2F10.1097%2FCCM.0000000000002936" TargetMode="External" Type="http://schemas.openxmlformats.org/officeDocument/2006/relationships/hyperlink"/><Relationship Id="rId105" Target="https%3A%2F%2Fwww.webofscience.com%2Fwos%2Fwoscc%2Ffull-record%2FWOS%3A000427775500031" TargetMode="External" Type="http://schemas.openxmlformats.org/officeDocument/2006/relationships/hyperlink"/><Relationship Id="rId106" Target="http%3A%2F%2Fdx.doi.org%2F10.1148%2Fradiol.2021202553" TargetMode="External" Type="http://schemas.openxmlformats.org/officeDocument/2006/relationships/hyperlink"/><Relationship Id="rId107" Target="https%3A%2F%2Fwww.webofscience.com%2Fwos%2Fwoscc%2Ffull-record%2FWOS%3A000621371200014" TargetMode="External" Type="http://schemas.openxmlformats.org/officeDocument/2006/relationships/hyperlink"/><Relationship Id="rId108" Target="http%3A%2F%2Fdx.doi.org%2F10.1007%2Fs00134-019-05872-y" TargetMode="External" Type="http://schemas.openxmlformats.org/officeDocument/2006/relationships/hyperlink"/><Relationship Id="rId109" Target="https%3A%2F%2Fwww.webofscience.com%2Fwos%2Fwoscc%2Ffull-record%2FWOS%3A000519960500001" TargetMode="External" Type="http://schemas.openxmlformats.org/officeDocument/2006/relationships/hyperlink"/><Relationship Id="rId11" Target="http%3A%2F%2Fdx.doi.org%2F10.1186%2Fs12916-019-1426-2" TargetMode="External" Type="http://schemas.openxmlformats.org/officeDocument/2006/relationships/hyperlink"/><Relationship Id="rId110" Target="http%3A%2F%2Fdx.doi.org%2F10.1016%2Fj.heliyon.2024.e26297" TargetMode="External" Type="http://schemas.openxmlformats.org/officeDocument/2006/relationships/hyperlink"/><Relationship Id="rId111" Target="https%3A%2F%2Fwww.webofscience.com%2Fwos%2Fwoscc%2Ffull-record%2FWOS%3A001188935900001" TargetMode="External" Type="http://schemas.openxmlformats.org/officeDocument/2006/relationships/hyperlink"/><Relationship Id="rId112" Target="http%3A%2F%2Fdx.doi.org%2F10.1038%2Fs41416-020-01122-x" TargetMode="External" Type="http://schemas.openxmlformats.org/officeDocument/2006/relationships/hyperlink"/><Relationship Id="rId113" Target="https%3A%2F%2Fwww.webofscience.com%2Fwos%2Fwoscc%2Ffull-record%2FWOS%3A000590213700004" TargetMode="External" Type="http://schemas.openxmlformats.org/officeDocument/2006/relationships/hyperlink"/><Relationship Id="rId114" Target="http%3A%2F%2Fdx.doi.org%2F10.3390%2Fijerph18010271" TargetMode="External" Type="http://schemas.openxmlformats.org/officeDocument/2006/relationships/hyperlink"/><Relationship Id="rId115" Target="https%3A%2F%2Fwww.webofscience.com%2Fwos%2Fwoscc%2Ffull-record%2FWOS%3A000606265400001" TargetMode="External" Type="http://schemas.openxmlformats.org/officeDocument/2006/relationships/hyperlink"/><Relationship Id="rId116" Target="http%3A%2F%2Fdx.doi.org%2F10.1038%2Fs41551-023-01056-8" TargetMode="External" Type="http://schemas.openxmlformats.org/officeDocument/2006/relationships/hyperlink"/><Relationship Id="rId117" Target="https%3A%2F%2Fwww.webofscience.com%2Fwos%2Fwoscc%2Ffull-record%2FWOS%3A001022499900005" TargetMode="External" Type="http://schemas.openxmlformats.org/officeDocument/2006/relationships/hyperlink"/><Relationship Id="rId118" Target="http%3A%2F%2Fdx.doi.org%2F10.1038%2Fs41591-024-03097-1" TargetMode="External" Type="http://schemas.openxmlformats.org/officeDocument/2006/relationships/hyperlink"/><Relationship Id="rId119" Target="https%3A%2F%2Fwww.webofscience.com%2Fwos%2Fwoscc%2Ffull-record%2FWOS%3A001262233500004" TargetMode="External" Type="http://schemas.openxmlformats.org/officeDocument/2006/relationships/hyperlink"/><Relationship Id="rId12" Target="https%3A%2F%2Fwww.webofscience.com%2Fwos%2Fwoscc%2Ffull-record%2FWOS%3A000508420300001" TargetMode="External" Type="http://schemas.openxmlformats.org/officeDocument/2006/relationships/hyperlink"/><Relationship Id="rId120" Target="http%3A%2F%2Fdx.doi.org%2F10.3390%2Fbioengineering11040337" TargetMode="External" Type="http://schemas.openxmlformats.org/officeDocument/2006/relationships/hyperlink"/><Relationship Id="rId121" Target="https%3A%2F%2Fwww.webofscience.com%2Fwos%2Fwoscc%2Ffull-record%2FWOS%3A001210567500001" TargetMode="External" Type="http://schemas.openxmlformats.org/officeDocument/2006/relationships/hyperlink"/><Relationship Id="rId122" Target="http%3A%2F%2Fdx.doi.org%2F10.1038%2Fs41586-021-04278-5" TargetMode="External" Type="http://schemas.openxmlformats.org/officeDocument/2006/relationships/hyperlink"/><Relationship Id="rId123" Target="https%3A%2F%2Fwww.webofscience.com%2Fwos%2Fwoscc%2Ffull-record%2FWOS%3A000936070000003" TargetMode="External" Type="http://schemas.openxmlformats.org/officeDocument/2006/relationships/hyperlink"/><Relationship Id="rId124" Target="http%3A%2F%2Fdx.doi.org%2F10.2196%2F13216" TargetMode="External" Type="http://schemas.openxmlformats.org/officeDocument/2006/relationships/hyperlink"/><Relationship Id="rId125" Target="https%3A%2F%2Fwww.webofscience.com%2Fwos%2Fwoscc%2Ffull-record%2FWOS%3A000467588000001" TargetMode="External" Type="http://schemas.openxmlformats.org/officeDocument/2006/relationships/hyperlink"/><Relationship Id="rId126" Target="http%3A%2F%2Fdx.doi.org%2F10.1016%2FS1470-2045%2819%2930738-7" TargetMode="External" Type="http://schemas.openxmlformats.org/officeDocument/2006/relationships/hyperlink"/><Relationship Id="rId127" Target="https%3A%2F%2Fwww.webofscience.com%2Fwos%2Fwoscc%2Ffull-record%2FWOS%3A000510481800031" TargetMode="External" Type="http://schemas.openxmlformats.org/officeDocument/2006/relationships/hyperlink"/><Relationship Id="rId128" Target="http%3A%2F%2Fdx.doi.org%2F10.1038%2Fs41591-020-1034-x" TargetMode="External" Type="http://schemas.openxmlformats.org/officeDocument/2006/relationships/hyperlink"/><Relationship Id="rId129" Target="https%3A%2F%2Fwww.webofscience.com%2Fwos%2Fwoscc%2Ffull-record%2FWOS%3A000598942000021" TargetMode="External" Type="http://schemas.openxmlformats.org/officeDocument/2006/relationships/hyperlink"/><Relationship Id="rId13" Target="http%3A%2F%2Fdx.doi.org%2F10.1186%2Fs12916-019-1466-7" TargetMode="External" Type="http://schemas.openxmlformats.org/officeDocument/2006/relationships/hyperlink"/><Relationship Id="rId130" Target="http%3A%2F%2Fdx.doi.org%2F10.1016%2Fj.metrad.2023.100017" TargetMode="External" Type="http://schemas.openxmlformats.org/officeDocument/2006/relationships/hyperlink"/><Relationship Id="rId131" Target="https%3A%2F%2Fwww.webofscience.com%2Fwos%2Fwoscc%2Ffull-record%2FWOS%3A001577805500001" TargetMode="External" Type="http://schemas.openxmlformats.org/officeDocument/2006/relationships/hyperlink"/><Relationship Id="rId132" Target="http%3A%2F%2Fdx.doi.org%2F10.1016%2Fj.ejmp.2021.02.006" TargetMode="External" Type="http://schemas.openxmlformats.org/officeDocument/2006/relationships/hyperlink"/><Relationship Id="rId133" Target="https%3A%2F%2Fwww.webofscience.com%2Fwos%2Fwoscc%2Ffull-record%2FWOS%3A000657912000002" TargetMode="External" Type="http://schemas.openxmlformats.org/officeDocument/2006/relationships/hyperlink"/><Relationship Id="rId134" Target="http%3A%2F%2Fdx.doi.org%2F10.1186%2Fs13677-022-00314-5" TargetMode="External" Type="http://schemas.openxmlformats.org/officeDocument/2006/relationships/hyperlink"/><Relationship Id="rId135" Target="https%3A%2F%2Fwww.webofscience.com%2Fwos%2Fwoscc%2Ffull-record%2FWOS%3A000852395000001" TargetMode="External" Type="http://schemas.openxmlformats.org/officeDocument/2006/relationships/hyperlink"/><Relationship Id="rId136" Target="http%3A%2F%2Fdx.doi.org%2F10.1161%2FSTROKEAHA.118.024293" TargetMode="External" Type="http://schemas.openxmlformats.org/officeDocument/2006/relationships/hyperlink"/><Relationship Id="rId137" Target="https%3A%2F%2Fwww.webofscience.com%2Fwos%2Fwoscc%2Ffull-record%2FWOS%3A000469350000056" TargetMode="External" Type="http://schemas.openxmlformats.org/officeDocument/2006/relationships/hyperlink"/><Relationship Id="rId138" Target="http%3A%2F%2Fdx.doi.org%2F10.1109%2FTII.2019.2945367" TargetMode="External" Type="http://schemas.openxmlformats.org/officeDocument/2006/relationships/hyperlink"/><Relationship Id="rId139" Target="https%3A%2F%2Fwww.webofscience.com%2Fwos%2Fwoscc%2Ffull-record%2FWOS%3A000545243500030" TargetMode="External" Type="http://schemas.openxmlformats.org/officeDocument/2006/relationships/hyperlink"/><Relationship Id="rId14" Target="https%3A%2F%2Fwww.webofscience.com%2Fwos%2Fwoscc%2Ffull-record%2FWOS%3A000510874900001" TargetMode="External" Type="http://schemas.openxmlformats.org/officeDocument/2006/relationships/hyperlink"/><Relationship Id="rId140" Target="http%3A%2F%2Fdx.doi.org%2F10.1109%2FMNET.011.2000263" TargetMode="External" Type="http://schemas.openxmlformats.org/officeDocument/2006/relationships/hyperlink"/><Relationship Id="rId141" Target="https%3A%2F%2Fwww.webofscience.com%2Fwos%2Fwoscc%2Ffull-record%2FWOS%3A000641159800035" TargetMode="External" Type="http://schemas.openxmlformats.org/officeDocument/2006/relationships/hyperlink"/><Relationship Id="rId142" Target="http%3A%2F%2Fdx.doi.org%2F10.1016%2Fj.chaos.2020.110059" TargetMode="External" Type="http://schemas.openxmlformats.org/officeDocument/2006/relationships/hyperlink"/><Relationship Id="rId143" Target="https%3A%2F%2Fwww.webofscience.com%2Fwos%2Fwoscc%2Ffull-record%2FWOS%3A000588433800064" TargetMode="External" Type="http://schemas.openxmlformats.org/officeDocument/2006/relationships/hyperlink"/><Relationship Id="rId144" Target="http%3A%2F%2Fdx.doi.org%2F10.1136%2Fbmjgh-2018-000798" TargetMode="External" Type="http://schemas.openxmlformats.org/officeDocument/2006/relationships/hyperlink"/><Relationship Id="rId145" Target="https%3A%2F%2Fwww.webofscience.com%2Fwos%2Fwoscc%2Ffull-record%2FWOS%3A000446081800011" TargetMode="External" Type="http://schemas.openxmlformats.org/officeDocument/2006/relationships/hyperlink"/><Relationship Id="rId146" Target="http%3A%2F%2Fdx.doi.org%2F10.1001%2Fjama.2024.21700" TargetMode="External" Type="http://schemas.openxmlformats.org/officeDocument/2006/relationships/hyperlink"/><Relationship Id="rId147" Target="https%3A%2F%2Fwww.webofscience.com%2Fwos%2Fwoscc%2Ffull-record%2FWOS%3A001338321500002" TargetMode="External" Type="http://schemas.openxmlformats.org/officeDocument/2006/relationships/hyperlink"/><Relationship Id="rId148" Target="http%3A%2F%2Fdx.doi.org%2F10.1038%2Fs41591-021-01620-2" TargetMode="External" Type="http://schemas.openxmlformats.org/officeDocument/2006/relationships/hyperlink"/><Relationship Id="rId149" Target="https%3A%2F%2Fwww.webofscience.com%2Fwos%2Fwoscc%2Ffull-record%2FWOS%3A000742323900003" TargetMode="External" Type="http://schemas.openxmlformats.org/officeDocument/2006/relationships/hyperlink"/><Relationship Id="rId15" Target="http%3A%2F%2Fdx.doi.org%2F10.1038%2Fs41591-018-0307-0" TargetMode="External" Type="http://schemas.openxmlformats.org/officeDocument/2006/relationships/hyperlink"/><Relationship Id="rId150" Target="http%3A%2F%2Fdx.doi.org%2F10.1109%2FACCESS.2019.2949286" TargetMode="External" Type="http://schemas.openxmlformats.org/officeDocument/2006/relationships/hyperlink"/><Relationship Id="rId151" Target="https%3A%2F%2Fwww.webofscience.com%2Fwos%2Fwoscc%2Ffull-record%2FWOS%3A000510258900003" TargetMode="External" Type="http://schemas.openxmlformats.org/officeDocument/2006/relationships/hyperlink"/><Relationship Id="rId152" Target="http%3A%2F%2Fdx.doi.org%2F10.1016%2Fj.jtho.2018.11.023" TargetMode="External" Type="http://schemas.openxmlformats.org/officeDocument/2006/relationships/hyperlink"/><Relationship Id="rId153" Target="https%3A%2F%2Fwww.webofscience.com%2Fwos%2Fwoscc%2Ffull-record%2FWOS%3A000459167100014" TargetMode="External" Type="http://schemas.openxmlformats.org/officeDocument/2006/relationships/hyperlink"/><Relationship Id="rId154" Target="http%3A%2F%2Fdx.doi.org%2F10.1016%2Fj.canlet.2019.12.007" TargetMode="External" Type="http://schemas.openxmlformats.org/officeDocument/2006/relationships/hyperlink"/><Relationship Id="rId155" Target="https%3A%2F%2Fwww.webofscience.com%2Fwos%2Fwoscc%2Ffull-record%2FWOS%3A000509630300006" TargetMode="External" Type="http://schemas.openxmlformats.org/officeDocument/2006/relationships/hyperlink"/><Relationship Id="rId156" Target="http%3A%2F%2Fdx.doi.org%2F10.1016%2FS2589-7500%2822%2900063-2" TargetMode="External" Type="http://schemas.openxmlformats.org/officeDocument/2006/relationships/hyperlink"/><Relationship Id="rId157" Target="https%3A%2F%2Fwww.webofscience.com%2Fwos%2Fwoscc%2Ffull-record%2FWOS%3A000832956900005" TargetMode="External" Type="http://schemas.openxmlformats.org/officeDocument/2006/relationships/hyperlink"/><Relationship Id="rId158" Target="http%3A%2F%2Fdx.doi.org%2F10.1001%2Fjama.2020.0592" TargetMode="External" Type="http://schemas.openxmlformats.org/officeDocument/2006/relationships/hyperlink"/><Relationship Id="rId159" Target="https%3A%2F%2Fwww.webofscience.com%2Fwos%2Fwoscc%2Ffull-record%2FWOS%3A000521968800017" TargetMode="External" Type="http://schemas.openxmlformats.org/officeDocument/2006/relationships/hyperlink"/><Relationship Id="rId16" Target="https%3A%2F%2Fwww.webofscience.com%2Fwos%2Fwoscc%2Ffull-record%2FWOS%3A000455027700017" TargetMode="External" Type="http://schemas.openxmlformats.org/officeDocument/2006/relationships/hyperlink"/><Relationship Id="rId160" Target="http%3A%2F%2Fdx.doi.org%2F10.1038%2Fs42256-021-00338-7" TargetMode="External" Type="http://schemas.openxmlformats.org/officeDocument/2006/relationships/hyperlink"/><Relationship Id="rId161" Target="https%3A%2F%2Fwww.webofscience.com%2Fwos%2Fwoscc%2Ffull-record%2FWOS%3A000658536700002" TargetMode="External" Type="http://schemas.openxmlformats.org/officeDocument/2006/relationships/hyperlink"/><Relationship Id="rId162" Target="http%3A%2F%2Fdx.doi.org%2F10.1016%2Fj.preteyeres.2020.100900" TargetMode="External" Type="http://schemas.openxmlformats.org/officeDocument/2006/relationships/hyperlink"/><Relationship Id="rId163" Target="https%3A%2F%2Fwww.webofscience.com%2Fwos%2Fwoscc%2Ffull-record%2FWOS%3A000670077000003" TargetMode="External" Type="http://schemas.openxmlformats.org/officeDocument/2006/relationships/hyperlink"/><Relationship Id="rId164" Target="http%3A%2F%2Fdx.doi.org%2F10.1001%2Fjamasurg.2019.4917" TargetMode="External" Type="http://schemas.openxmlformats.org/officeDocument/2006/relationships/hyperlink"/><Relationship Id="rId165" Target="https%3A%2F%2Fwww.webofscience.com%2Fwos%2Fwoscc%2Ffull-record%2FWOS%3A000517986100010" TargetMode="External" Type="http://schemas.openxmlformats.org/officeDocument/2006/relationships/hyperlink"/><Relationship Id="rId166" Target="http%3A%2F%2Fdx.doi.org%2F10.1136%2Fbmj-2024-081554" TargetMode="External" Type="http://schemas.openxmlformats.org/officeDocument/2006/relationships/hyperlink"/><Relationship Id="rId167" Target="https%3A%2F%2Fwww.webofscience.com%2Fwos%2Fwoscc%2Ffull-record%2FWOS%3A001427239400009" TargetMode="External" Type="http://schemas.openxmlformats.org/officeDocument/2006/relationships/hyperlink"/><Relationship Id="rId168" Target="https%3A%2F%2Fwww.webofscience.com%2Fwos%2Fwoscc%2Ffull-record%2FWOS%3A000534424306045" TargetMode="External" Type="http://schemas.openxmlformats.org/officeDocument/2006/relationships/hyperlink"/><Relationship Id="rId169" Target="http%3A%2F%2Fdx.doi.org%2F10.1007%2Fs13735-021-00218-1" TargetMode="External" Type="http://schemas.openxmlformats.org/officeDocument/2006/relationships/hyperlink"/><Relationship Id="rId17" Target="http%3A%2F%2Fdx.doi.org%2F10.3322%2Fcaac.21552" TargetMode="External" Type="http://schemas.openxmlformats.org/officeDocument/2006/relationships/hyperlink"/><Relationship Id="rId170" Target="https%3A%2F%2Fwww.webofscience.com%2Fwos%2Fwoscc%2Ffull-record%2FWOS%3A000692438200001" TargetMode="External" Type="http://schemas.openxmlformats.org/officeDocument/2006/relationships/hyperlink"/><Relationship Id="rId171" Target="http%3A%2F%2Fdx.doi.org%2F10.1038%2Fs41746-017-0013-1" TargetMode="External" Type="http://schemas.openxmlformats.org/officeDocument/2006/relationships/hyperlink"/><Relationship Id="rId172" Target="https%3A%2F%2Fwww.webofscience.com%2Fwos%2Fwoscc%2Ffull-record%2FWOS%3A000444173300001" TargetMode="External" Type="http://schemas.openxmlformats.org/officeDocument/2006/relationships/hyperlink"/><Relationship Id="rId173" Target="http%3A%2F%2Fdx.doi.org%2F10.1093%2Fjamia%2Focaa196" TargetMode="External" Type="http://schemas.openxmlformats.org/officeDocument/2006/relationships/hyperlink"/><Relationship Id="rId174" Target="https%3A%2F%2Fwww.webofscience.com%2Fwos%2Fwoscc%2Ffull-record%2FWOS%3A000637314400002" TargetMode="External" Type="http://schemas.openxmlformats.org/officeDocument/2006/relationships/hyperlink"/><Relationship Id="rId175" Target="http%3A%2F%2Fdx.doi.org%2F10.1038%2Fs41586-024-07894-z" TargetMode="External" Type="http://schemas.openxmlformats.org/officeDocument/2006/relationships/hyperlink"/><Relationship Id="rId176" Target="https%3A%2F%2Fwww.webofscience.com%2Fwos%2Fwoscc%2Ffull-record%2FWOS%3A001306513900017" TargetMode="External" Type="http://schemas.openxmlformats.org/officeDocument/2006/relationships/hyperlink"/><Relationship Id="rId177" Target="http%3A%2F%2Fdx.doi.org%2F10.1016%2Fj.preteyeres.2019.04.003" TargetMode="External" Type="http://schemas.openxmlformats.org/officeDocument/2006/relationships/hyperlink"/><Relationship Id="rId178" Target="https%3A%2F%2Fwww.webofscience.com%2Fwos%2Fwoscc%2Ffull-record%2FWOS%3A000488311400001" TargetMode="External" Type="http://schemas.openxmlformats.org/officeDocument/2006/relationships/hyperlink"/><Relationship Id="rId179" Target="http%3A%2F%2Fdx.doi.org%2F10.7326%2FM18-0249" TargetMode="External" Type="http://schemas.openxmlformats.org/officeDocument/2006/relationships/hyperlink"/><Relationship Id="rId18" Target="https%3A%2F%2Fwww.webofscience.com%2Fwos%2Fwoscc%2Ffull-record%2FWOS%3A000460475700005" TargetMode="External" Type="http://schemas.openxmlformats.org/officeDocument/2006/relationships/hyperlink"/><Relationship Id="rId180" Target="https%3A%2F%2Fwww.webofscience.com%2Fwos%2Fwoscc%2Ffull-record%2FWOS%3A000444679800012" TargetMode="External" Type="http://schemas.openxmlformats.org/officeDocument/2006/relationships/hyperlink"/><Relationship Id="rId181" Target="http%3A%2F%2Fdx.doi.org%2F10.1186%2Fs12874-022-01768-6" TargetMode="External" Type="http://schemas.openxmlformats.org/officeDocument/2006/relationships/hyperlink"/><Relationship Id="rId182" Target="https%3A%2F%2Fwww.webofscience.com%2Fwos%2Fwoscc%2Ffull-record%2FWOS%3A000879166900002" TargetMode="External" Type="http://schemas.openxmlformats.org/officeDocument/2006/relationships/hyperlink"/><Relationship Id="rId183" Target="http%3A%2F%2Fdx.doi.org%2F10.1371%2Fjournal.pdig.0000022" TargetMode="External" Type="http://schemas.openxmlformats.org/officeDocument/2006/relationships/hyperlink"/><Relationship Id="rId184" Target="https%3A%2F%2Fwww.webofscience.com%2Fwos%2Fwoscc%2Ffull-record%2FWOS%3A001416927400001" TargetMode="External" Type="http://schemas.openxmlformats.org/officeDocument/2006/relationships/hyperlink"/><Relationship Id="rId185" Target="http%3A%2F%2Fdx.doi.org%2F10.1002%2Flio2.354" TargetMode="External" Type="http://schemas.openxmlformats.org/officeDocument/2006/relationships/hyperlink"/><Relationship Id="rId186" Target="https%3A%2F%2Fwww.webofscience.com%2Fwos%2Fwoscc%2Ffull-record%2FWOS%3A000510253000001" TargetMode="External" Type="http://schemas.openxmlformats.org/officeDocument/2006/relationships/hyperlink"/><Relationship Id="rId187" Target="http%3A%2F%2Fdx.doi.org%2F10.1038%2Fs41467-021-24994-w" TargetMode="External" Type="http://schemas.openxmlformats.org/officeDocument/2006/relationships/hyperlink"/><Relationship Id="rId188" Target="https%3A%2F%2Fwww.webofscience.com%2Fwos%2Fwoscc%2Ffull-record%2FWOS%3A000687171500011" TargetMode="External" Type="http://schemas.openxmlformats.org/officeDocument/2006/relationships/hyperlink"/><Relationship Id="rId189" Target="http%3A%2F%2Fdx.doi.org%2F10.1109%2FJIOT.2020.2985082" TargetMode="External" Type="http://schemas.openxmlformats.org/officeDocument/2006/relationships/hyperlink"/><Relationship Id="rId19" Target="http%3A%2F%2Fdx.doi.org%2F10.1016%2Fj.zemedi.2018.11.002" TargetMode="External" Type="http://schemas.openxmlformats.org/officeDocument/2006/relationships/hyperlink"/><Relationship Id="rId190" Target="https%3A%2F%2Fwww.webofscience.com%2Fwos%2Fwoscc%2Ffull-record%2FWOS%3A000548817900066" TargetMode="External" Type="http://schemas.openxmlformats.org/officeDocument/2006/relationships/hyperlink"/><Relationship Id="rId191" Target="http%3A%2F%2Fdx.doi.org%2F10.1002%2Fwps.20882" TargetMode="External" Type="http://schemas.openxmlformats.org/officeDocument/2006/relationships/hyperlink"/><Relationship Id="rId192" Target="https%3A%2F%2Fwww.webofscience.com%2Fwos%2Fwoscc%2Ffull-record%2FWOS%3A000651412600003" TargetMode="External" Type="http://schemas.openxmlformats.org/officeDocument/2006/relationships/hyperlink"/><Relationship Id="rId193" Target="http%3A%2F%2Fdx.doi.org%2F10.1038%2Fs41746-022-00712-8" TargetMode="External" Type="http://schemas.openxmlformats.org/officeDocument/2006/relationships/hyperlink"/><Relationship Id="rId194" Target="https%3A%2F%2Fwww.webofscience.com%2Fwos%2Fwoscc%2Ffull-record%2FWOS%3A000879780400001" TargetMode="External" Type="http://schemas.openxmlformats.org/officeDocument/2006/relationships/hyperlink"/><Relationship Id="rId195" Target="http%3A%2F%2Fdx.doi.org%2F10.1007%2Fs11604-023-01474-3" TargetMode="External" Type="http://schemas.openxmlformats.org/officeDocument/2006/relationships/hyperlink"/><Relationship Id="rId196" Target="https%3A%2F%2Fwww.webofscience.com%2Fwos%2Fwoscc%2Ffull-record%2FWOS%3A001043049800002" TargetMode="External" Type="http://schemas.openxmlformats.org/officeDocument/2006/relationships/hyperlink"/><Relationship Id="rId197" Target="http%3A%2F%2Fdx.doi.org%2F10.1371%2Fjournal.pdig.0000651" TargetMode="External" Type="http://schemas.openxmlformats.org/officeDocument/2006/relationships/hyperlink"/><Relationship Id="rId198" Target="https%3A%2F%2Fwww.webofscience.com%2Fwos%2Fwoscc%2Ffull-record%2FWOS%3A001416955700001" TargetMode="External" Type="http://schemas.openxmlformats.org/officeDocument/2006/relationships/hyperlink"/><Relationship Id="rId2" Target="https%3A%2F%2Fwww.webofscience.com%2Fwos%2Fwoscc%2Ffull-record%2FWOS%3A000439569600010" TargetMode="External" Type="http://schemas.openxmlformats.org/officeDocument/2006/relationships/hyperlink"/><Relationship Id="rId20" Target="https%3A%2F%2Fwww.webofscience.com%2Fwos%2Fwoscc%2Ffull-record%2FWOS%3A000469897200003" TargetMode="External" Type="http://schemas.openxmlformats.org/officeDocument/2006/relationships/hyperlink"/><Relationship Id="rId21" Target="http%3A%2F%2Fdx.doi.org%2F10.1016%2FS2589-7500%2820%2930219-3" TargetMode="External" Type="http://schemas.openxmlformats.org/officeDocument/2006/relationships/hyperlink"/><Relationship Id="rId22" Target="https%3A%2F%2Fwww.webofscience.com%2Fwos%2Fwoscc%2Ffull-record%2FWOS%3A000581145100012" TargetMode="External" Type="http://schemas.openxmlformats.org/officeDocument/2006/relationships/hyperlink"/><Relationship Id="rId23" Target="http%3A%2F%2Fdx.doi.org%2F10.1016%2FS2589-7500%2820%2930218-1" TargetMode="External" Type="http://schemas.openxmlformats.org/officeDocument/2006/relationships/hyperlink"/><Relationship Id="rId24" Target="https%3A%2F%2Fwww.webofscience.com%2Fwos%2Fwoscc%2Ffull-record%2FWOS%3A000581145100011" TargetMode="External" Type="http://schemas.openxmlformats.org/officeDocument/2006/relationships/hyperlink"/><Relationship Id="rId25" Target="http%3A%2F%2Fdx.doi.org%2F10.1002%2Fwidm.1312" TargetMode="External" Type="http://schemas.openxmlformats.org/officeDocument/2006/relationships/hyperlink"/><Relationship Id="rId26" Target="https%3A%2F%2Fwww.webofscience.com%2Fwos%2Fwoscc%2Ffull-record%2FWOS%3A000471293100005" TargetMode="External" Type="http://schemas.openxmlformats.org/officeDocument/2006/relationships/hyperlink"/><Relationship Id="rId27" Target="http%3A%2F%2Fdx.doi.org%2F10.2147%2FCLEP.S196293" TargetMode="External" Type="http://schemas.openxmlformats.org/officeDocument/2006/relationships/hyperlink"/><Relationship Id="rId28" Target="https%3A%2F%2Fwww.webofscience.com%2Fwos%2Fwoscc%2Ffull-record%2FWOS%3A000467113200001" TargetMode="External" Type="http://schemas.openxmlformats.org/officeDocument/2006/relationships/hyperlink"/><Relationship Id="rId29" Target="http%3A%2F%2Fdx.doi.org%2F10.1016%2FS2589-7500%2819%2930123-2" TargetMode="External" Type="http://schemas.openxmlformats.org/officeDocument/2006/relationships/hyperlink"/><Relationship Id="rId3" Target="http%3A%2F%2Fdx.doi.org%2F10.1038%2Fs41467-024-44824-z" TargetMode="External" Type="http://schemas.openxmlformats.org/officeDocument/2006/relationships/hyperlink"/><Relationship Id="rId30" Target="https%3A%2F%2Fwww.webofscience.com%2Fwos%2Fwoscc%2Ffull-record%2FWOS%3A000525871300011" TargetMode="External" Type="http://schemas.openxmlformats.org/officeDocument/2006/relationships/hyperlink"/><Relationship Id="rId31" Target="http%3A%2F%2Fdx.doi.org%2F10.1001%2Fjama.2019.5791" TargetMode="External" Type="http://schemas.openxmlformats.org/officeDocument/2006/relationships/hyperlink"/><Relationship Id="rId32" Target="https%3A%2F%2Fwww.webofscience.com%2Fwos%2Fwoscc%2Ffull-record%2FWOS%3A000469297300022" TargetMode="External" Type="http://schemas.openxmlformats.org/officeDocument/2006/relationships/hyperlink"/><Relationship Id="rId33" Target="https%3A%2F%2Fwww.webofscience.com%2Fwos%2Fwoscc%2Ffull-record%2FWOS%3A000723682800012" TargetMode="External" Type="http://schemas.openxmlformats.org/officeDocument/2006/relationships/hyperlink"/><Relationship Id="rId34" Target="http%3A%2F%2Fdx.doi.org%2F10.1016%2FS1470-2045%2819%2930149-4" TargetMode="External" Type="http://schemas.openxmlformats.org/officeDocument/2006/relationships/hyperlink"/><Relationship Id="rId35" Target="https%3A%2F%2Fwww.webofscience.com%2Fwos%2Fwoscc%2Ffull-record%2FWOS%3A000466380000034" TargetMode="External" Type="http://schemas.openxmlformats.org/officeDocument/2006/relationships/hyperlink"/><Relationship Id="rId36" Target="http%3A%2F%2Fdx.doi.org%2F10.1016%2FS1470-2045%2818%2930413-3" TargetMode="External" Type="http://schemas.openxmlformats.org/officeDocument/2006/relationships/hyperlink"/><Relationship Id="rId37" Target="https%3A%2F%2Fwww.webofscience.com%2Fwos%2Fwoscc%2Ffull-record%2FWOS%3A000443278100039" TargetMode="External" Type="http://schemas.openxmlformats.org/officeDocument/2006/relationships/hyperlink"/><Relationship Id="rId38" Target="http%3A%2F%2Fdx.doi.org%2F10.1136%2Fbjophthalmol-2018-313173" TargetMode="External" Type="http://schemas.openxmlformats.org/officeDocument/2006/relationships/hyperlink"/><Relationship Id="rId39" Target="https%3A%2F%2Fwww.webofscience.com%2Fwos%2Fwoscc%2Ffull-record%2FWOS%3A000459028400003" TargetMode="External" Type="http://schemas.openxmlformats.org/officeDocument/2006/relationships/hyperlink"/><Relationship Id="rId4" Target="https%3A%2F%2Fwww.webofscience.com%2Fwos%2Fwoscc%2Ffull-record%2FWOS%3A001148371500004" TargetMode="External" Type="http://schemas.openxmlformats.org/officeDocument/2006/relationships/hyperlink"/><Relationship Id="rId40" Target="http%3A%2F%2Fdx.doi.org%2F10.1038%2Fs41746-020-00376-2" TargetMode="External" Type="http://schemas.openxmlformats.org/officeDocument/2006/relationships/hyperlink"/><Relationship Id="rId41" Target="https%3A%2F%2Fwww.webofscience.com%2Fwos%2Fwoscc%2Ffull-record%2FWOS%3A000610370300001" TargetMode="External" Type="http://schemas.openxmlformats.org/officeDocument/2006/relationships/hyperlink"/><Relationship Id="rId42" Target="http%3A%2F%2Fdx.doi.org%2F10.1186%2Fs12874-019-0681-4" TargetMode="External" Type="http://schemas.openxmlformats.org/officeDocument/2006/relationships/hyperlink"/><Relationship Id="rId43" Target="https%3A%2F%2Fwww.webofscience.com%2Fwos%2Fwoscc%2Ffull-record%2FWOS%3A000462329600001" TargetMode="External" Type="http://schemas.openxmlformats.org/officeDocument/2006/relationships/hyperlink"/><Relationship Id="rId44" Target="http%3A%2F%2Fdx.doi.org%2F10.1038%2Fs42256-019-0114-4" TargetMode="External" Type="http://schemas.openxmlformats.org/officeDocument/2006/relationships/hyperlink"/><Relationship Id="rId45" Target="https%3A%2F%2Fwww.webofscience.com%2Fwos%2Fwoscc%2Ffull-record%2FWOS%3A000571266000006" TargetMode="External" Type="http://schemas.openxmlformats.org/officeDocument/2006/relationships/hyperlink"/><Relationship Id="rId46" Target="http%3A%2F%2Fdx.doi.org%2F10.1177%2F0022034520915714" TargetMode="External" Type="http://schemas.openxmlformats.org/officeDocument/2006/relationships/hyperlink"/><Relationship Id="rId47" Target="https%3A%2F%2Fwww.webofscience.com%2Fwos%2Fwoscc%2Ffull-record%2FWOS%3A000527892000001" TargetMode="External" Type="http://schemas.openxmlformats.org/officeDocument/2006/relationships/hyperlink"/><Relationship Id="rId48" Target="http%3A%2F%2Fdx.doi.org%2F10.7326%2FM18-1990" TargetMode="External" Type="http://schemas.openxmlformats.org/officeDocument/2006/relationships/hyperlink"/><Relationship Id="rId49" Target="https%3A%2F%2Fwww.webofscience.com%2Fwos%2Fwoscc%2Ffull-record%2FWOS%3A000454061700018" TargetMode="External" Type="http://schemas.openxmlformats.org/officeDocument/2006/relationships/hyperlink"/><Relationship Id="rId5" Target="http%3A%2F%2Fdx.doi.org%2F10.1016%2Fj.inffus.2021.05.008" TargetMode="External" Type="http://schemas.openxmlformats.org/officeDocument/2006/relationships/hyperlink"/><Relationship Id="rId50" Target="http%3A%2F%2Fdx.doi.org%2F10.1136%2Fbmj.m689" TargetMode="External" Type="http://schemas.openxmlformats.org/officeDocument/2006/relationships/hyperlink"/><Relationship Id="rId51" Target="https%3A%2F%2Fwww.webofscience.com%2Fwos%2Fwoscc%2Ffull-record%2FWOS%3A000523764500002" TargetMode="External" Type="http://schemas.openxmlformats.org/officeDocument/2006/relationships/hyperlink"/><Relationship Id="rId52" Target="http%3A%2F%2Fdx.doi.org%2F10.1007%2Fs10916-023-01925-4" TargetMode="External" Type="http://schemas.openxmlformats.org/officeDocument/2006/relationships/hyperlink"/><Relationship Id="rId53" Target="https%3A%2F%2Fwww.webofscience.com%2Fwos%2Fwoscc%2Ffull-record%2FWOS%3A000943634800001" TargetMode="External" Type="http://schemas.openxmlformats.org/officeDocument/2006/relationships/hyperlink"/><Relationship Id="rId54" Target="http%3A%2F%2Fdx.doi.org%2F10.1016%2Fj.annonc.2021.05.806" TargetMode="External" Type="http://schemas.openxmlformats.org/officeDocument/2006/relationships/hyperlink"/><Relationship Id="rId55" Target="https%3A%2F%2Fwww.webofscience.com%2Fwos%2Fwoscc%2Ffull-record%2FWOS%3A000687824100012" TargetMode="External" Type="http://schemas.openxmlformats.org/officeDocument/2006/relationships/hyperlink"/><Relationship Id="rId56" Target="http%3A%2F%2Fdx.doi.org%2F10.1002%2Fwps.20883" TargetMode="External" Type="http://schemas.openxmlformats.org/officeDocument/2006/relationships/hyperlink"/><Relationship Id="rId57" Target="https%3A%2F%2Fwww.webofscience.com%2Fwos%2Fwoscc%2Ffull-record%2FWOS%3A000694412400003" TargetMode="External" Type="http://schemas.openxmlformats.org/officeDocument/2006/relationships/hyperlink"/><Relationship Id="rId58" Target="http%3A%2F%2Fdx.doi.org%2F10.1038%2Fs42256-021-00307-0" TargetMode="External" Type="http://schemas.openxmlformats.org/officeDocument/2006/relationships/hyperlink"/><Relationship Id="rId59" Target="https%3A%2F%2Fwww.webofscience.com%2Fwos%2Fwoscc%2Ffull-record%2FWOS%3A000630122800002" TargetMode="External" Type="http://schemas.openxmlformats.org/officeDocument/2006/relationships/hyperlink"/><Relationship Id="rId6" Target="https%3A%2F%2Fwww.webofscience.com%2Fwos%2Fwoscc%2Ffull-record%2FWOS%3A000684868400005" TargetMode="External" Type="http://schemas.openxmlformats.org/officeDocument/2006/relationships/hyperlink"/><Relationship Id="rId60" Target="http%3A%2F%2Fdx.doi.org%2F10.1038%2Fs41586-023-06555-x" TargetMode="External" Type="http://schemas.openxmlformats.org/officeDocument/2006/relationships/hyperlink"/><Relationship Id="rId61" Target="https%3A%2F%2Fwww.webofscience.com%2Fwos%2Fwoscc%2Ffull-record%2FWOS%3A001078664900019" TargetMode="External" Type="http://schemas.openxmlformats.org/officeDocument/2006/relationships/hyperlink"/><Relationship Id="rId62" Target="http%3A%2F%2Fdx.doi.org%2F10.1146%2Fannurev-clinpsy-032816045037" TargetMode="External" Type="http://schemas.openxmlformats.org/officeDocument/2006/relationships/hyperlink"/><Relationship Id="rId63" Target="https%3A%2F%2Fwww.webofscience.com%2Fwos%2Fwoscc%2Ffull-record%2FWOS%3A000433057100004" TargetMode="External" Type="http://schemas.openxmlformats.org/officeDocument/2006/relationships/hyperlink"/><Relationship Id="rId64" Target="http%3A%2F%2Fdx.doi.org%2F10.1148%2Fradiol.2020192224" TargetMode="External" Type="http://schemas.openxmlformats.org/officeDocument/2006/relationships/hyperlink"/><Relationship Id="rId65" Target="https%3A%2F%2Fwww.webofscience.com%2Fwos%2Fwoscc%2Ffull-record%2FWOS%3A000520166000002" TargetMode="External" Type="http://schemas.openxmlformats.org/officeDocument/2006/relationships/hyperlink"/><Relationship Id="rId66" Target="http%3A%2F%2Fdx.doi.org%2F10.1109%2FCOMST.2022.3208773" TargetMode="External" Type="http://schemas.openxmlformats.org/officeDocument/2006/relationships/hyperlink"/><Relationship Id="rId67" Target="https%3A%2F%2Fwww.webofscience.com%2Fwos%2Fwoscc%2Ffull-record%2FWOS%3A000923685400011" TargetMode="External" Type="http://schemas.openxmlformats.org/officeDocument/2006/relationships/hyperlink"/><Relationship Id="rId68" Target="http%3A%2F%2Fdx.doi.org%2F10.1145%2F3375627.3375830" TargetMode="External" Type="http://schemas.openxmlformats.org/officeDocument/2006/relationships/hyperlink"/><Relationship Id="rId69" Target="https%3A%2F%2Fwww.webofscience.com%2Fwos%2Fwoscc%2Ffull-record%2FWOS%3A001108779100037" TargetMode="External" Type="http://schemas.openxmlformats.org/officeDocument/2006/relationships/hyperlink"/><Relationship Id="rId7" Target="http%3A%2F%2Fdx.doi.org%2F10.1038%2Fs41591-021-01614-0" TargetMode="External" Type="http://schemas.openxmlformats.org/officeDocument/2006/relationships/hyperlink"/><Relationship Id="rId70" Target="http%3A%2F%2Fdx.doi.org%2F10.1038%2Fs41591-019-0548-6" TargetMode="External" Type="http://schemas.openxmlformats.org/officeDocument/2006/relationships/hyperlink"/><Relationship Id="rId71" Target="https%3A%2F%2Fwww.webofscience.com%2Fwos%2Fwoscc%2Ffull-record%2FWOS%3A000484832800014" TargetMode="External" Type="http://schemas.openxmlformats.org/officeDocument/2006/relationships/hyperlink"/><Relationship Id="rId72" Target="http%3A%2F%2Fdx.doi.org%2F10.1016%2Fj.engappai.2022.104743" TargetMode="External" Type="http://schemas.openxmlformats.org/officeDocument/2006/relationships/hyperlink"/><Relationship Id="rId73" Target="https%3A%2F%2Fwww.webofscience.com%2Fwos%2Fwoscc%2Ffull-record%2FWOS%3A000795645300004" TargetMode="External" Type="http://schemas.openxmlformats.org/officeDocument/2006/relationships/hyperlink"/><Relationship Id="rId74" Target="http%3A%2F%2Fdx.doi.org%2F10.1038%2Fs41591-021-01343-4" TargetMode="External" Type="http://schemas.openxmlformats.org/officeDocument/2006/relationships/hyperlink"/><Relationship Id="rId75" Target="https%3A%2F%2Fwww.webofscience.com%2Fwos%2Fwoscc%2Ffull-record%2FWOS%3A000650698900017" TargetMode="External" Type="http://schemas.openxmlformats.org/officeDocument/2006/relationships/hyperlink"/><Relationship Id="rId76" Target="http%3A%2F%2Fdx.doi.org%2F10.1148%2Fradiol.2017171920" TargetMode="External" Type="http://schemas.openxmlformats.org/officeDocument/2006/relationships/hyperlink"/><Relationship Id="rId77" Target="https%3A%2F%2Fwww.webofscience.com%2Fwos%2Fwoscc%2Ffull-record%2FWOS%3A000425583200006" TargetMode="External" Type="http://schemas.openxmlformats.org/officeDocument/2006/relationships/hyperlink"/><Relationship Id="rId78" Target="http%3A%2F%2Fdx.doi.org%2F10.3389%2Ffbinf.2022.927312" TargetMode="External" Type="http://schemas.openxmlformats.org/officeDocument/2006/relationships/hyperlink"/><Relationship Id="rId79" Target="https%3A%2F%2Fwww.webofscience.com%2Fwos%2Fwoscc%2Ffull-record%2FWOS%3A001085486100001" TargetMode="External" Type="http://schemas.openxmlformats.org/officeDocument/2006/relationships/hyperlink"/><Relationship Id="rId8" Target="https%3A%2F%2Fwww.webofscience.com%2Fwos%2Fwoscc%2Ffull-record%2FWOS%3A000745382100001" TargetMode="External" Type="http://schemas.openxmlformats.org/officeDocument/2006/relationships/hyperlink"/><Relationship Id="rId80" Target="http%3A%2F%2Fdx.doi.org%2F10.1038%2Fs41591-021-01595-0" TargetMode="External" Type="http://schemas.openxmlformats.org/officeDocument/2006/relationships/hyperlink"/><Relationship Id="rId81" Target="https%3A%2F%2Fwww.webofscience.com%2Fwos%2Fwoscc%2Ffull-record%2FWOS%3A000729031100002" TargetMode="External" Type="http://schemas.openxmlformats.org/officeDocument/2006/relationships/hyperlink"/><Relationship Id="rId82" Target="http%3A%2F%2Fdx.doi.org%2F10.3390%2Fcomputers12050091" TargetMode="External" Type="http://schemas.openxmlformats.org/officeDocument/2006/relationships/hyperlink"/><Relationship Id="rId83" Target="https%3A%2F%2Fwww.webofscience.com%2Fwos%2Fwoscc%2Ffull-record%2FWOS%3A000997810700001" TargetMode="External" Type="http://schemas.openxmlformats.org/officeDocument/2006/relationships/hyperlink"/><Relationship Id="rId84" Target="http%3A%2F%2Fdx.doi.org%2F10.1097%2FMD.0000000000038813" TargetMode="External" Type="http://schemas.openxmlformats.org/officeDocument/2006/relationships/hyperlink"/><Relationship Id="rId85" Target="https%3A%2F%2Fwww.webofscience.com%2Fwos%2Fwoscc%2Ffull-record%2FWOS%3A001264845300017" TargetMode="External" Type="http://schemas.openxmlformats.org/officeDocument/2006/relationships/hyperlink"/><Relationship Id="rId86" Target="http%3A%2F%2Fdx.doi.org%2F10.1109%2FACCESS.2019.2962617" TargetMode="External" Type="http://schemas.openxmlformats.org/officeDocument/2006/relationships/hyperlink"/><Relationship Id="rId87" Target="https%3A%2F%2Fwww.webofscience.com%2Fwos%2Fwoscc%2Ffull-record%2FWOS%3A000549783300002" TargetMode="External" Type="http://schemas.openxmlformats.org/officeDocument/2006/relationships/hyperlink"/><Relationship Id="rId88" Target="http%3A%2F%2Fdx.doi.org%2F10.1038%2Fs41591-024-03423-7" TargetMode="External" Type="http://schemas.openxmlformats.org/officeDocument/2006/relationships/hyperlink"/><Relationship Id="rId89" Target="https%3A%2F%2Fwww.webofscience.com%2Fwos%2Fwoscc%2Ffull-record%2FWOS%3A001393036000001" TargetMode="External" Type="http://schemas.openxmlformats.org/officeDocument/2006/relationships/hyperlink"/><Relationship Id="rId9" Target="http%3A%2F%2Fdx.doi.org%2F10.1038%2Fs41591-018-0107-6" TargetMode="External" Type="http://schemas.openxmlformats.org/officeDocument/2006/relationships/hyperlink"/><Relationship Id="rId90" Target="http%3A%2F%2Fdx.doi.org%2F10.1038%2Fs41591-019-0715-9" TargetMode="External" Type="http://schemas.openxmlformats.org/officeDocument/2006/relationships/hyperlink"/><Relationship Id="rId91" Target="https%3A%2F%2Fwww.webofscience.com%2Fwos%2Fwoscc%2Ffull-record%2FWOS%3A000509831900026" TargetMode="External" Type="http://schemas.openxmlformats.org/officeDocument/2006/relationships/hyperlink"/><Relationship Id="rId92" Target="http%3A%2F%2Fdx.doi.org%2F10.3390%2Fpharmaceutics15071916" TargetMode="External" Type="http://schemas.openxmlformats.org/officeDocument/2006/relationships/hyperlink"/><Relationship Id="rId93" Target="https%3A%2F%2Fwww.webofscience.com%2Fwos%2Fwoscc%2Ffull-record%2FWOS%3A001036563700001" TargetMode="External" Type="http://schemas.openxmlformats.org/officeDocument/2006/relationships/hyperlink"/><Relationship Id="rId94" Target="http%3A%2F%2Fdx.doi.org%2F10.1145%2F3343440" TargetMode="External" Type="http://schemas.openxmlformats.org/officeDocument/2006/relationships/hyperlink"/><Relationship Id="rId95" Target="https%3A%2F%2Fwww.webofscience.com%2Fwos%2Fwoscc%2Ffull-record%2FWOS%3A000489551100015" TargetMode="External" Type="http://schemas.openxmlformats.org/officeDocument/2006/relationships/hyperlink"/><Relationship Id="rId96" Target="http%3A%2F%2Fdx.doi.org%2F10.1007%2Fs00330-021-07715-1" TargetMode="External" Type="http://schemas.openxmlformats.org/officeDocument/2006/relationships/hyperlink"/><Relationship Id="rId97" Target="https%3A%2F%2Fwww.webofscience.com%2Fwos%2Fwoscc%2Ffull-record%2FWOS%3A000621338200001" TargetMode="External" Type="http://schemas.openxmlformats.org/officeDocument/2006/relationships/hyperlink"/><Relationship Id="rId98" Target="http%3A%2F%2Fdx.doi.org%2F10.1038%2Fs41591-021-01506-3" TargetMode="External" Type="http://schemas.openxmlformats.org/officeDocument/2006/relationships/hyperlink"/><Relationship Id="rId99" Target="https%3A%2F%2Fwww.webofscience.com%2Fwos%2Fwoscc%2Ffull-record%2FWOS%3A0006961402000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10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78</v>
      </c>
      <c r="C2" t="s" s="0">
        <v>79</v>
      </c>
      <c r="D2" t="s" s="0">
        <v>80</v>
      </c>
      <c r="E2" t="s" s="0">
        <v>81</v>
      </c>
      <c r="F2" t="s" s="0">
        <v>82</v>
      </c>
      <c r="G2" t="s" s="0">
        <v>83</v>
      </c>
      <c r="H2" t="s" s="0">
        <v>84</v>
      </c>
      <c r="I2" t="s" s="0">
        <v>85</v>
      </c>
      <c r="J2" t="s" s="0">
        <v>86</v>
      </c>
      <c r="K2" t="s" s="0">
        <v>87</v>
      </c>
      <c r="L2" t="s" s="0">
        <v>88</v>
      </c>
      <c r="M2" t="s" s="0">
        <v>89</v>
      </c>
      <c r="N2" t="s" s="0">
        <v>90</v>
      </c>
      <c r="O2" t="s" s="0">
        <v>91</v>
      </c>
      <c r="P2" t="s" s="0">
        <v>92</v>
      </c>
      <c r="Q2" t="s" s="0">
        <v>93</v>
      </c>
      <c r="R2" t="s" s="0">
        <v>84</v>
      </c>
      <c r="S2" t="s" s="0">
        <v>84</v>
      </c>
      <c r="T2" t="s" s="0">
        <v>84</v>
      </c>
      <c r="U2" t="s" s="0">
        <v>84</v>
      </c>
      <c r="V2" t="s" s="0">
        <v>94</v>
      </c>
      <c r="W2" t="s" s="0">
        <v>95</v>
      </c>
      <c r="X2" t="s" s="0">
        <v>84</v>
      </c>
      <c r="Y2" t="s" s="0">
        <v>84</v>
      </c>
      <c r="Z2" t="s" s="0">
        <v>96</v>
      </c>
      <c r="AA2" t="s" s="0">
        <v>97</v>
      </c>
      <c r="AB2" t="s" s="0">
        <v>84</v>
      </c>
      <c r="AC2" t="s" s="0">
        <v>84</v>
      </c>
      <c r="AD2" t="s" s="0">
        <v>84</v>
      </c>
      <c r="AE2" t="s" s="0">
        <v>84</v>
      </c>
      <c r="AF2" t="s" s="0">
        <v>84</v>
      </c>
      <c r="AG2" t="s" s="0">
        <v>84</v>
      </c>
      <c r="AH2" t="s" s="0">
        <v>98</v>
      </c>
      <c r="AI2" t="s" s="0">
        <v>99</v>
      </c>
      <c r="AJ2" t="s" s="0">
        <v>100</v>
      </c>
      <c r="AK2" t="s" s="0">
        <v>84</v>
      </c>
      <c r="AL2" t="s" s="0">
        <v>101</v>
      </c>
      <c r="AM2" t="s" s="0">
        <v>102</v>
      </c>
      <c r="AN2" t="s" s="0">
        <v>103</v>
      </c>
      <c r="AO2" t="s" s="0">
        <v>104</v>
      </c>
      <c r="AP2" t="s" s="0">
        <v>105</v>
      </c>
      <c r="AQ2" t="s" s="0">
        <v>106</v>
      </c>
      <c r="AR2" t="s" s="0">
        <v>107</v>
      </c>
      <c r="AS2" t="s" s="0">
        <v>108</v>
      </c>
      <c r="AT2" t="s" s="0">
        <v>109</v>
      </c>
      <c r="AU2" t="s" s="0">
        <v>110</v>
      </c>
      <c r="AV2" t="s" s="0">
        <v>84</v>
      </c>
      <c r="AW2" t="s" s="0">
        <v>111</v>
      </c>
      <c r="AX2" t="s" s="0">
        <v>112</v>
      </c>
      <c r="AY2" t="s" s="0">
        <v>113</v>
      </c>
      <c r="AZ2" t="s" s="0">
        <v>114</v>
      </c>
      <c r="BA2" t="s" s="0">
        <v>115</v>
      </c>
      <c r="BB2" t="s" s="0">
        <v>116</v>
      </c>
      <c r="BC2" t="s" s="0">
        <v>84</v>
      </c>
      <c r="BD2" t="s" s="0">
        <v>84</v>
      </c>
      <c r="BE2" t="s" s="0">
        <v>84</v>
      </c>
      <c r="BF2" t="s" s="0">
        <v>84</v>
      </c>
      <c r="BG2" t="s" s="0">
        <v>117</v>
      </c>
      <c r="BH2" t="s" s="0">
        <v>118</v>
      </c>
      <c r="BI2" t="s" s="0">
        <v>84</v>
      </c>
      <c r="BJ2" t="s" s="0">
        <v>119</v>
      </c>
      <c r="BK2" t="s" s="1">
        <f>HYPERLINK("http://dx.doi.org/10.1038/s41568-018-0016-5","http://dx.doi.org/10.1038/s41568-018-0016-5")</f>
        <v>120</v>
      </c>
      <c r="BL2" t="s" s="0">
        <v>84</v>
      </c>
      <c r="BM2" t="s" s="0">
        <v>84</v>
      </c>
      <c r="BN2" t="s" s="0">
        <v>121</v>
      </c>
      <c r="BO2" t="s" s="0">
        <v>122</v>
      </c>
      <c r="BP2" t="s" s="0">
        <v>122</v>
      </c>
      <c r="BQ2" t="s" s="0">
        <v>123</v>
      </c>
      <c r="BR2" t="s" s="0">
        <v>124</v>
      </c>
      <c r="BS2" t="s" s="0">
        <v>125</v>
      </c>
      <c r="BT2" t="s" s="2">
        <f>HYPERLINK("https://www.webofscience.com/wos/woscc/full-record/WOS:000439569600010","View Record in Web of Science")</f>
        <v>126</v>
      </c>
      <c r="BU2" t="s" s="0">
        <v>127</v>
      </c>
      <c r="BV2" t="s" s="0">
        <v>128</v>
      </c>
      <c r="BW2" t="s" s="0">
        <v>129</v>
      </c>
      <c r="BX2" t="s" s="0">
        <v>130</v>
      </c>
    </row>
    <row r="3">
      <c r="A3" t="s" s="0">
        <v>131</v>
      </c>
      <c r="B3" t="s" s="0">
        <v>78</v>
      </c>
      <c r="C3" t="s" s="0">
        <v>132</v>
      </c>
      <c r="D3" t="s" s="0">
        <v>78</v>
      </c>
      <c r="E3" t="s" s="0">
        <v>133</v>
      </c>
      <c r="F3" t="s" s="0">
        <v>134</v>
      </c>
      <c r="G3" t="s" s="0">
        <v>135</v>
      </c>
      <c r="H3" t="s" s="0">
        <v>84</v>
      </c>
      <c r="I3" t="s" s="0">
        <v>85</v>
      </c>
      <c r="J3" t="s" s="0">
        <v>136</v>
      </c>
      <c r="K3" t="s" s="0">
        <v>137</v>
      </c>
      <c r="L3" t="s" s="0">
        <v>138</v>
      </c>
      <c r="M3" t="s" s="0">
        <v>139</v>
      </c>
      <c r="N3" t="s" s="0">
        <v>140</v>
      </c>
      <c r="O3" t="s" s="0">
        <v>141</v>
      </c>
      <c r="P3" t="s" s="0">
        <v>142</v>
      </c>
      <c r="Q3" t="s" s="0">
        <v>93</v>
      </c>
      <c r="R3" t="s" s="0">
        <v>84</v>
      </c>
      <c r="S3" t="s" s="0">
        <v>84</v>
      </c>
      <c r="T3" t="s" s="0">
        <v>84</v>
      </c>
      <c r="U3" t="s" s="0">
        <v>84</v>
      </c>
      <c r="V3" t="s" s="0">
        <v>143</v>
      </c>
      <c r="W3" t="s" s="0">
        <v>144</v>
      </c>
      <c r="X3" t="s" s="0">
        <v>84</v>
      </c>
      <c r="Y3" t="s" s="0">
        <v>84</v>
      </c>
      <c r="Z3" t="s" s="0">
        <v>96</v>
      </c>
      <c r="AA3" t="s" s="0">
        <v>145</v>
      </c>
      <c r="AB3" t="s" s="0">
        <v>84</v>
      </c>
      <c r="AC3" t="s" s="0">
        <v>84</v>
      </c>
      <c r="AD3" t="s" s="0">
        <v>84</v>
      </c>
      <c r="AE3" t="s" s="0">
        <v>84</v>
      </c>
      <c r="AF3" t="s" s="0">
        <v>84</v>
      </c>
      <c r="AG3" t="s" s="0">
        <v>84</v>
      </c>
      <c r="AH3" t="s" s="0">
        <v>84</v>
      </c>
      <c r="AI3" t="s" s="0">
        <v>146</v>
      </c>
      <c r="AJ3" t="s" s="0">
        <v>147</v>
      </c>
      <c r="AK3" t="s" s="0">
        <v>84</v>
      </c>
      <c r="AL3" t="s" s="0">
        <v>148</v>
      </c>
      <c r="AM3" t="s" s="0">
        <v>149</v>
      </c>
      <c r="AN3" t="s" s="0">
        <v>150</v>
      </c>
      <c r="AO3" t="s" s="0">
        <v>151</v>
      </c>
      <c r="AP3" t="s" s="0">
        <v>152</v>
      </c>
      <c r="AQ3" t="s" s="0">
        <v>106</v>
      </c>
      <c r="AR3" t="s" s="0">
        <v>107</v>
      </c>
      <c r="AS3" t="s" s="0">
        <v>108</v>
      </c>
      <c r="AT3" t="s" s="0">
        <v>84</v>
      </c>
      <c r="AU3" t="s" s="0">
        <v>153</v>
      </c>
      <c r="AV3" t="s" s="0">
        <v>84</v>
      </c>
      <c r="AW3" t="s" s="0">
        <v>154</v>
      </c>
      <c r="AX3" t="s" s="0">
        <v>155</v>
      </c>
      <c r="AY3" t="s" s="0">
        <v>156</v>
      </c>
      <c r="AZ3" t="s" s="0">
        <v>157</v>
      </c>
      <c r="BA3" t="s" s="0">
        <v>158</v>
      </c>
      <c r="BB3" t="s" s="0">
        <v>159</v>
      </c>
      <c r="BC3" t="s" s="0">
        <v>84</v>
      </c>
      <c r="BD3" t="s" s="0">
        <v>84</v>
      </c>
      <c r="BE3" t="s" s="0">
        <v>84</v>
      </c>
      <c r="BF3" t="s" s="0">
        <v>84</v>
      </c>
      <c r="BG3" t="s" s="0">
        <v>84</v>
      </c>
      <c r="BH3" t="s" s="0">
        <v>84</v>
      </c>
      <c r="BI3" t="s" s="0">
        <v>160</v>
      </c>
      <c r="BJ3" t="s" s="0">
        <v>161</v>
      </c>
      <c r="BK3" t="s" s="3">
        <f>HYPERLINK("http://dx.doi.org/10.1038/s41467-024-44824-z","http://dx.doi.org/10.1038/s41467-024-44824-z")</f>
        <v>162</v>
      </c>
      <c r="BL3" t="s" s="0">
        <v>84</v>
      </c>
      <c r="BM3" t="s" s="0">
        <v>84</v>
      </c>
      <c r="BN3" t="s" s="0">
        <v>80</v>
      </c>
      <c r="BO3" t="s" s="0">
        <v>163</v>
      </c>
      <c r="BP3" t="s" s="0">
        <v>164</v>
      </c>
      <c r="BQ3" t="s" s="0">
        <v>165</v>
      </c>
      <c r="BR3" t="s" s="0">
        <v>166</v>
      </c>
      <c r="BS3" t="s" s="0">
        <v>167</v>
      </c>
      <c r="BT3" t="s" s="4">
        <f>HYPERLINK("https://www.webofscience.com/wos/woscc/full-record/WOS:001148371500004","View Record in Web of Science")</f>
        <v>126</v>
      </c>
      <c r="BU3" t="s" s="0">
        <v>168</v>
      </c>
      <c r="BV3" t="s" s="0">
        <v>128</v>
      </c>
      <c r="BW3" t="s" s="0">
        <v>129</v>
      </c>
      <c r="BX3" t="s" s="0">
        <v>130</v>
      </c>
    </row>
    <row r="4">
      <c r="A4" t="s" s="0">
        <v>148</v>
      </c>
      <c r="B4" t="s" s="0">
        <v>78</v>
      </c>
      <c r="C4" t="s" s="0">
        <v>169</v>
      </c>
      <c r="D4" t="s" s="0">
        <v>170</v>
      </c>
      <c r="E4" t="s" s="0">
        <v>171</v>
      </c>
      <c r="F4" t="s" s="0">
        <v>172</v>
      </c>
      <c r="G4" t="s" s="0">
        <v>173</v>
      </c>
      <c r="H4" t="s" s="0">
        <v>84</v>
      </c>
      <c r="I4" t="s" s="0">
        <v>85</v>
      </c>
      <c r="J4" t="s" s="0">
        <v>174</v>
      </c>
      <c r="K4" t="s" s="0">
        <v>175</v>
      </c>
      <c r="L4" t="s" s="0">
        <v>84</v>
      </c>
      <c r="M4" t="s" s="0">
        <v>84</v>
      </c>
      <c r="N4" t="s" s="0">
        <v>84</v>
      </c>
      <c r="O4" t="s" s="0">
        <v>176</v>
      </c>
      <c r="P4" t="s" s="0">
        <v>177</v>
      </c>
      <c r="Q4" t="s" s="0">
        <v>93</v>
      </c>
      <c r="R4" t="s" s="0">
        <v>84</v>
      </c>
      <c r="S4" t="s" s="0">
        <v>84</v>
      </c>
      <c r="T4" t="s" s="0">
        <v>84</v>
      </c>
      <c r="U4" t="s" s="0">
        <v>84</v>
      </c>
      <c r="V4" t="s" s="0">
        <v>178</v>
      </c>
      <c r="W4" t="s" s="0">
        <v>179</v>
      </c>
      <c r="X4" t="s" s="0">
        <v>84</v>
      </c>
      <c r="Y4" t="s" s="0">
        <v>84</v>
      </c>
      <c r="Z4" t="s" s="0">
        <v>96</v>
      </c>
      <c r="AA4" t="s" s="0">
        <v>97</v>
      </c>
      <c r="AB4" t="s" s="0">
        <v>84</v>
      </c>
      <c r="AC4" t="s" s="0">
        <v>84</v>
      </c>
      <c r="AD4" t="s" s="0">
        <v>84</v>
      </c>
      <c r="AE4" t="s" s="0">
        <v>84</v>
      </c>
      <c r="AF4" t="s" s="0">
        <v>84</v>
      </c>
      <c r="AG4" t="s" s="0">
        <v>180</v>
      </c>
      <c r="AH4" t="s" s="0">
        <v>181</v>
      </c>
      <c r="AI4" t="s" s="0">
        <v>182</v>
      </c>
      <c r="AJ4" t="s" s="0">
        <v>183</v>
      </c>
      <c r="AK4" t="s" s="0">
        <v>84</v>
      </c>
      <c r="AL4" t="s" s="0">
        <v>184</v>
      </c>
      <c r="AM4" t="s" s="0">
        <v>185</v>
      </c>
      <c r="AN4" t="s" s="0">
        <v>186</v>
      </c>
      <c r="AO4" t="s" s="0">
        <v>187</v>
      </c>
      <c r="AP4" t="s" s="0">
        <v>188</v>
      </c>
      <c r="AQ4" t="s" s="0">
        <v>189</v>
      </c>
      <c r="AR4" t="s" s="0">
        <v>190</v>
      </c>
      <c r="AS4" t="s" s="0">
        <v>191</v>
      </c>
      <c r="AT4" t="s" s="0">
        <v>192</v>
      </c>
      <c r="AU4" t="s" s="0">
        <v>193</v>
      </c>
      <c r="AV4" t="s" s="0">
        <v>84</v>
      </c>
      <c r="AW4" t="s" s="0">
        <v>194</v>
      </c>
      <c r="AX4" t="s" s="0">
        <v>195</v>
      </c>
      <c r="AY4" t="s" s="0">
        <v>196</v>
      </c>
      <c r="AZ4" t="s" s="0">
        <v>197</v>
      </c>
      <c r="BA4" t="s" s="0">
        <v>198</v>
      </c>
      <c r="BB4" t="s" s="0">
        <v>84</v>
      </c>
      <c r="BC4" t="s" s="0">
        <v>84</v>
      </c>
      <c r="BD4" t="s" s="0">
        <v>84</v>
      </c>
      <c r="BE4" t="s" s="0">
        <v>84</v>
      </c>
      <c r="BF4" t="s" s="0">
        <v>84</v>
      </c>
      <c r="BG4" t="s" s="0">
        <v>169</v>
      </c>
      <c r="BH4" t="s" s="0">
        <v>199</v>
      </c>
      <c r="BI4" t="s" s="0">
        <v>84</v>
      </c>
      <c r="BJ4" t="s" s="0">
        <v>200</v>
      </c>
      <c r="BK4" t="s" s="5">
        <f>HYPERLINK("http://dx.doi.org/10.1016/j.inffus.2021.05.008","http://dx.doi.org/10.1016/j.inffus.2021.05.008")</f>
        <v>201</v>
      </c>
      <c r="BL4" t="s" s="0">
        <v>84</v>
      </c>
      <c r="BM4" t="s" s="0">
        <v>202</v>
      </c>
      <c r="BN4" t="s" s="0">
        <v>203</v>
      </c>
      <c r="BO4" t="s" s="0">
        <v>204</v>
      </c>
      <c r="BP4" t="s" s="0">
        <v>205</v>
      </c>
      <c r="BQ4" t="s" s="0">
        <v>206</v>
      </c>
      <c r="BR4" t="s" s="0">
        <v>84</v>
      </c>
      <c r="BS4" t="s" s="0">
        <v>207</v>
      </c>
      <c r="BT4" t="s" s="6">
        <f>HYPERLINK("https://www.webofscience.com/wos/woscc/full-record/WOS:000684868400005","View Record in Web of Science")</f>
        <v>126</v>
      </c>
      <c r="BU4" t="s" s="0">
        <v>208</v>
      </c>
      <c r="BV4" t="s" s="0">
        <v>128</v>
      </c>
      <c r="BW4" t="s" s="0">
        <v>129</v>
      </c>
      <c r="BX4" t="s" s="0">
        <v>130</v>
      </c>
    </row>
    <row r="5">
      <c r="A5" t="s" s="0">
        <v>209</v>
      </c>
      <c r="B5" t="s" s="0">
        <v>78</v>
      </c>
      <c r="C5" t="s" s="0">
        <v>210</v>
      </c>
      <c r="D5" t="s" s="0">
        <v>211</v>
      </c>
      <c r="E5" t="s" s="0">
        <v>212</v>
      </c>
      <c r="F5" t="s" s="0">
        <v>213</v>
      </c>
      <c r="G5" t="s" s="0">
        <v>214</v>
      </c>
      <c r="H5" t="s" s="0">
        <v>84</v>
      </c>
      <c r="I5" t="s" s="0">
        <v>85</v>
      </c>
      <c r="J5" t="s" s="0">
        <v>215</v>
      </c>
      <c r="K5" t="s" s="0">
        <v>216</v>
      </c>
      <c r="L5" t="s" s="0">
        <v>217</v>
      </c>
      <c r="M5" t="s" s="0">
        <v>218</v>
      </c>
      <c r="N5" t="s" s="0">
        <v>219</v>
      </c>
      <c r="O5" t="s" s="0">
        <v>220</v>
      </c>
      <c r="P5" t="s" s="0">
        <v>221</v>
      </c>
      <c r="Q5" t="s" s="0">
        <v>93</v>
      </c>
      <c r="R5" t="s" s="0">
        <v>84</v>
      </c>
      <c r="S5" t="s" s="0">
        <v>84</v>
      </c>
      <c r="T5" t="s" s="0">
        <v>84</v>
      </c>
      <c r="U5" t="s" s="0">
        <v>84</v>
      </c>
      <c r="V5" t="s" s="0">
        <v>222</v>
      </c>
      <c r="W5" t="s" s="0">
        <v>223</v>
      </c>
      <c r="X5" t="s" s="0">
        <v>84</v>
      </c>
      <c r="Y5" t="s" s="0">
        <v>84</v>
      </c>
      <c r="Z5" t="s" s="0">
        <v>96</v>
      </c>
      <c r="AA5" t="s" s="0">
        <v>97</v>
      </c>
      <c r="AB5" t="s" s="0">
        <v>84</v>
      </c>
      <c r="AC5" t="s" s="0">
        <v>84</v>
      </c>
      <c r="AD5" t="s" s="0">
        <v>84</v>
      </c>
      <c r="AE5" t="s" s="0">
        <v>84</v>
      </c>
      <c r="AF5" t="s" s="0">
        <v>84</v>
      </c>
      <c r="AG5" t="s" s="0">
        <v>84</v>
      </c>
      <c r="AH5" t="s" s="0">
        <v>224</v>
      </c>
      <c r="AI5" t="s" s="0">
        <v>225</v>
      </c>
      <c r="AJ5" t="s" s="0">
        <v>226</v>
      </c>
      <c r="AK5" t="s" s="0">
        <v>84</v>
      </c>
      <c r="AL5" t="s" s="0">
        <v>227</v>
      </c>
      <c r="AM5" t="s" s="0">
        <v>228</v>
      </c>
      <c r="AN5" t="s" s="0">
        <v>229</v>
      </c>
      <c r="AO5" t="s" s="0">
        <v>230</v>
      </c>
      <c r="AP5" t="s" s="0">
        <v>231</v>
      </c>
      <c r="AQ5" t="s" s="0">
        <v>106</v>
      </c>
      <c r="AR5" t="s" s="0">
        <v>107</v>
      </c>
      <c r="AS5" t="s" s="0">
        <v>108</v>
      </c>
      <c r="AT5" t="s" s="0">
        <v>232</v>
      </c>
      <c r="AU5" t="s" s="0">
        <v>233</v>
      </c>
      <c r="AV5" t="s" s="0">
        <v>84</v>
      </c>
      <c r="AW5" t="s" s="0">
        <v>234</v>
      </c>
      <c r="AX5" t="s" s="0">
        <v>235</v>
      </c>
      <c r="AY5" t="s" s="0">
        <v>236</v>
      </c>
      <c r="AZ5" t="s" s="0">
        <v>237</v>
      </c>
      <c r="BA5" t="s" s="0">
        <v>238</v>
      </c>
      <c r="BB5" t="s" s="0">
        <v>159</v>
      </c>
      <c r="BC5" t="s" s="0">
        <v>84</v>
      </c>
      <c r="BD5" t="s" s="0">
        <v>84</v>
      </c>
      <c r="BE5" t="s" s="0">
        <v>84</v>
      </c>
      <c r="BF5" t="s" s="0">
        <v>84</v>
      </c>
      <c r="BG5" t="s" s="0">
        <v>239</v>
      </c>
      <c r="BH5" t="s" s="0">
        <v>240</v>
      </c>
      <c r="BI5" t="s" s="0">
        <v>84</v>
      </c>
      <c r="BJ5" t="s" s="0">
        <v>241</v>
      </c>
      <c r="BK5" t="s" s="7">
        <f>HYPERLINK("http://dx.doi.org/10.1038/s41591-021-01614-0","http://dx.doi.org/10.1038/s41591-021-01614-0")</f>
        <v>242</v>
      </c>
      <c r="BL5" t="s" s="0">
        <v>84</v>
      </c>
      <c r="BM5" t="s" s="0">
        <v>236</v>
      </c>
      <c r="BN5" t="s" s="0">
        <v>116</v>
      </c>
      <c r="BO5" t="s" s="0">
        <v>243</v>
      </c>
      <c r="BP5" t="s" s="0">
        <v>244</v>
      </c>
      <c r="BQ5" t="s" s="0">
        <v>245</v>
      </c>
      <c r="BR5" t="s" s="0">
        <v>246</v>
      </c>
      <c r="BS5" t="s" s="0">
        <v>247</v>
      </c>
      <c r="BT5" t="s" s="8">
        <f>HYPERLINK("https://www.webofscience.com/wos/woscc/full-record/WOS:000745382100001","View Record in Web of Science")</f>
        <v>126</v>
      </c>
      <c r="BU5" t="s" s="0">
        <v>84</v>
      </c>
      <c r="BV5" t="s" s="0">
        <v>128</v>
      </c>
      <c r="BW5" t="s" s="0">
        <v>129</v>
      </c>
      <c r="BX5" t="s" s="0">
        <v>130</v>
      </c>
    </row>
    <row r="6">
      <c r="A6" t="s" s="0">
        <v>248</v>
      </c>
      <c r="B6" t="s" s="0">
        <v>78</v>
      </c>
      <c r="C6" t="s" s="0">
        <v>249</v>
      </c>
      <c r="D6" t="s" s="0">
        <v>250</v>
      </c>
      <c r="E6" t="s" s="0">
        <v>251</v>
      </c>
      <c r="F6" t="s" s="0">
        <v>252</v>
      </c>
      <c r="G6" t="s" s="0">
        <v>253</v>
      </c>
      <c r="H6" t="s" s="0">
        <v>84</v>
      </c>
      <c r="I6" t="s" s="0">
        <v>85</v>
      </c>
      <c r="J6" t="s" s="0">
        <v>254</v>
      </c>
      <c r="K6" t="s" s="0">
        <v>255</v>
      </c>
      <c r="L6" t="s" s="0">
        <v>256</v>
      </c>
      <c r="M6" t="s" s="0">
        <v>257</v>
      </c>
      <c r="N6" t="s" s="0">
        <v>258</v>
      </c>
      <c r="O6" t="s" s="0">
        <v>259</v>
      </c>
      <c r="P6" t="s" s="0">
        <v>260</v>
      </c>
      <c r="Q6" t="s" s="0">
        <v>93</v>
      </c>
      <c r="R6" t="s" s="0">
        <v>84</v>
      </c>
      <c r="S6" t="s" s="0">
        <v>84</v>
      </c>
      <c r="T6" t="s" s="0">
        <v>84</v>
      </c>
      <c r="U6" t="s" s="0">
        <v>84</v>
      </c>
      <c r="V6" t="s" s="0">
        <v>261</v>
      </c>
      <c r="W6" t="s" s="0">
        <v>223</v>
      </c>
      <c r="X6" t="s" s="0">
        <v>84</v>
      </c>
      <c r="Y6" t="s" s="0">
        <v>84</v>
      </c>
      <c r="Z6" t="s" s="0">
        <v>96</v>
      </c>
      <c r="AA6" t="s" s="0">
        <v>145</v>
      </c>
      <c r="AB6" t="s" s="0">
        <v>84</v>
      </c>
      <c r="AC6" t="s" s="0">
        <v>84</v>
      </c>
      <c r="AD6" t="s" s="0">
        <v>84</v>
      </c>
      <c r="AE6" t="s" s="0">
        <v>84</v>
      </c>
      <c r="AF6" t="s" s="0">
        <v>84</v>
      </c>
      <c r="AG6" t="s" s="0">
        <v>84</v>
      </c>
      <c r="AH6" t="s" s="0">
        <v>262</v>
      </c>
      <c r="AI6" t="s" s="0">
        <v>263</v>
      </c>
      <c r="AJ6" t="s" s="0">
        <v>264</v>
      </c>
      <c r="AK6" t="s" s="0">
        <v>84</v>
      </c>
      <c r="AL6" t="s" s="0">
        <v>265</v>
      </c>
      <c r="AM6" t="s" s="0">
        <v>266</v>
      </c>
      <c r="AN6" t="s" s="0">
        <v>267</v>
      </c>
      <c r="AO6" t="s" s="0">
        <v>80</v>
      </c>
      <c r="AP6" t="s" s="0">
        <v>268</v>
      </c>
      <c r="AQ6" t="s" s="0">
        <v>106</v>
      </c>
      <c r="AR6" t="s" s="0">
        <v>107</v>
      </c>
      <c r="AS6" t="s" s="0">
        <v>108</v>
      </c>
      <c r="AT6" t="s" s="0">
        <v>232</v>
      </c>
      <c r="AU6" t="s" s="0">
        <v>233</v>
      </c>
      <c r="AV6" t="s" s="0">
        <v>84</v>
      </c>
      <c r="AW6" t="s" s="0">
        <v>234</v>
      </c>
      <c r="AX6" t="s" s="0">
        <v>235</v>
      </c>
      <c r="AY6" t="s" s="0">
        <v>269</v>
      </c>
      <c r="AZ6" t="s" s="0">
        <v>114</v>
      </c>
      <c r="BA6" t="s" s="0">
        <v>270</v>
      </c>
      <c r="BB6" t="s" s="0">
        <v>80</v>
      </c>
      <c r="BC6" t="s" s="0">
        <v>84</v>
      </c>
      <c r="BD6" t="s" s="0">
        <v>84</v>
      </c>
      <c r="BE6" t="s" s="0">
        <v>84</v>
      </c>
      <c r="BF6" t="s" s="0">
        <v>84</v>
      </c>
      <c r="BG6" t="s" s="0">
        <v>271</v>
      </c>
      <c r="BH6" t="s" s="0">
        <v>272</v>
      </c>
      <c r="BI6" t="s" s="0">
        <v>84</v>
      </c>
      <c r="BJ6" t="s" s="0">
        <v>273</v>
      </c>
      <c r="BK6" t="s" s="9">
        <f>HYPERLINK("http://dx.doi.org/10.1038/s41591-018-0107-6","http://dx.doi.org/10.1038/s41591-018-0107-6")</f>
        <v>274</v>
      </c>
      <c r="BL6" t="s" s="0">
        <v>84</v>
      </c>
      <c r="BM6" t="s" s="0">
        <v>84</v>
      </c>
      <c r="BN6" t="s" s="0">
        <v>275</v>
      </c>
      <c r="BO6" t="s" s="0">
        <v>243</v>
      </c>
      <c r="BP6" t="s" s="0">
        <v>244</v>
      </c>
      <c r="BQ6" t="s" s="0">
        <v>276</v>
      </c>
      <c r="BR6" t="s" s="0">
        <v>277</v>
      </c>
      <c r="BS6" t="s" s="0">
        <v>278</v>
      </c>
      <c r="BT6" t="s" s="10">
        <f>HYPERLINK("https://www.webofscience.com/wos/woscc/full-record/WOS:000444174100015","View Record in Web of Science")</f>
        <v>126</v>
      </c>
      <c r="BU6" t="s" s="0">
        <v>84</v>
      </c>
      <c r="BV6" t="s" s="0">
        <v>128</v>
      </c>
      <c r="BW6" t="s" s="0">
        <v>129</v>
      </c>
      <c r="BX6" t="s" s="0">
        <v>130</v>
      </c>
    </row>
    <row r="7">
      <c r="A7" t="s" s="0">
        <v>275</v>
      </c>
      <c r="B7" t="s" s="0">
        <v>78</v>
      </c>
      <c r="C7" t="s" s="0">
        <v>279</v>
      </c>
      <c r="D7" t="s" s="0">
        <v>159</v>
      </c>
      <c r="E7" t="s" s="0">
        <v>280</v>
      </c>
      <c r="F7" t="s" s="0">
        <v>281</v>
      </c>
      <c r="G7" t="s" s="0">
        <v>282</v>
      </c>
      <c r="H7" t="s" s="0">
        <v>84</v>
      </c>
      <c r="I7" t="s" s="0">
        <v>283</v>
      </c>
      <c r="J7" t="s" s="0">
        <v>284</v>
      </c>
      <c r="K7" t="s" s="0">
        <v>285</v>
      </c>
      <c r="L7" t="s" s="0">
        <v>286</v>
      </c>
      <c r="M7" t="s" s="0">
        <v>287</v>
      </c>
      <c r="N7" t="s" s="0">
        <v>288</v>
      </c>
      <c r="O7" t="s" s="0">
        <v>289</v>
      </c>
      <c r="P7" t="s" s="0">
        <v>290</v>
      </c>
      <c r="Q7" t="s" s="0">
        <v>93</v>
      </c>
      <c r="R7" t="s" s="0">
        <v>84</v>
      </c>
      <c r="S7" t="s" s="0">
        <v>84</v>
      </c>
      <c r="T7" t="s" s="0">
        <v>84</v>
      </c>
      <c r="U7" t="s" s="0">
        <v>84</v>
      </c>
      <c r="V7" t="s" s="0">
        <v>291</v>
      </c>
      <c r="W7" t="s" s="0">
        <v>292</v>
      </c>
      <c r="X7" t="s" s="0">
        <v>84</v>
      </c>
      <c r="Y7" t="s" s="0">
        <v>84</v>
      </c>
      <c r="Z7" t="s" s="0">
        <v>96</v>
      </c>
      <c r="AA7" t="s" s="0">
        <v>145</v>
      </c>
      <c r="AB7" t="s" s="0">
        <v>84</v>
      </c>
      <c r="AC7" t="s" s="0">
        <v>84</v>
      </c>
      <c r="AD7" t="s" s="0">
        <v>84</v>
      </c>
      <c r="AE7" t="s" s="0">
        <v>84</v>
      </c>
      <c r="AF7" t="s" s="0">
        <v>84</v>
      </c>
      <c r="AG7" t="s" s="0">
        <v>293</v>
      </c>
      <c r="AH7" t="s" s="0">
        <v>294</v>
      </c>
      <c r="AI7" t="s" s="0">
        <v>84</v>
      </c>
      <c r="AJ7" t="s" s="0">
        <v>295</v>
      </c>
      <c r="AK7" t="s" s="0">
        <v>84</v>
      </c>
      <c r="AL7" t="s" s="0">
        <v>296</v>
      </c>
      <c r="AM7" t="s" s="0">
        <v>297</v>
      </c>
      <c r="AN7" t="s" s="0">
        <v>298</v>
      </c>
      <c r="AO7" t="s" s="0">
        <v>299</v>
      </c>
      <c r="AP7" t="s" s="0">
        <v>132</v>
      </c>
      <c r="AQ7" t="s" s="0">
        <v>300</v>
      </c>
      <c r="AR7" t="s" s="0">
        <v>301</v>
      </c>
      <c r="AS7" t="s" s="0">
        <v>302</v>
      </c>
      <c r="AT7" t="s" s="0">
        <v>303</v>
      </c>
      <c r="AU7" t="s" s="0">
        <v>84</v>
      </c>
      <c r="AV7" t="s" s="0">
        <v>84</v>
      </c>
      <c r="AW7" t="s" s="0">
        <v>304</v>
      </c>
      <c r="AX7" t="s" s="0">
        <v>305</v>
      </c>
      <c r="AY7" t="s" s="0">
        <v>306</v>
      </c>
      <c r="AZ7" t="s" s="0">
        <v>307</v>
      </c>
      <c r="BA7" t="s" s="0">
        <v>308</v>
      </c>
      <c r="BB7" t="s" s="0">
        <v>159</v>
      </c>
      <c r="BC7" t="s" s="0">
        <v>84</v>
      </c>
      <c r="BD7" t="s" s="0">
        <v>84</v>
      </c>
      <c r="BE7" t="s" s="0">
        <v>84</v>
      </c>
      <c r="BF7" t="s" s="0">
        <v>84</v>
      </c>
      <c r="BG7" t="s" s="0">
        <v>84</v>
      </c>
      <c r="BH7" t="s" s="0">
        <v>84</v>
      </c>
      <c r="BI7" t="s" s="0">
        <v>309</v>
      </c>
      <c r="BJ7" t="s" s="0">
        <v>310</v>
      </c>
      <c r="BK7" t="s" s="11">
        <f>HYPERLINK("http://dx.doi.org/10.1186/s12916-019-1426-2","http://dx.doi.org/10.1186/s12916-019-1426-2")</f>
        <v>311</v>
      </c>
      <c r="BL7" t="s" s="0">
        <v>84</v>
      </c>
      <c r="BM7" t="s" s="0">
        <v>84</v>
      </c>
      <c r="BN7" t="s" s="0">
        <v>80</v>
      </c>
      <c r="BO7" t="s" s="0">
        <v>312</v>
      </c>
      <c r="BP7" t="s" s="0">
        <v>313</v>
      </c>
      <c r="BQ7" t="s" s="0">
        <v>314</v>
      </c>
      <c r="BR7" t="s" s="0">
        <v>315</v>
      </c>
      <c r="BS7" t="s" s="0">
        <v>316</v>
      </c>
      <c r="BT7" t="s" s="12">
        <f>HYPERLINK("https://www.webofscience.com/wos/woscc/full-record/WOS:000508420300001","View Record in Web of Science")</f>
        <v>126</v>
      </c>
      <c r="BU7" t="s" s="0">
        <v>317</v>
      </c>
      <c r="BV7" t="s" s="0">
        <v>128</v>
      </c>
      <c r="BW7" t="s" s="0">
        <v>129</v>
      </c>
      <c r="BX7" t="s" s="0">
        <v>130</v>
      </c>
    </row>
    <row r="8">
      <c r="A8" t="s" s="0">
        <v>170</v>
      </c>
      <c r="B8" t="s" s="0">
        <v>78</v>
      </c>
      <c r="C8" t="s" s="0">
        <v>318</v>
      </c>
      <c r="D8" t="s" s="0">
        <v>319</v>
      </c>
      <c r="E8" t="s" s="0">
        <v>320</v>
      </c>
      <c r="F8" t="s" s="0">
        <v>321</v>
      </c>
      <c r="G8" t="s" s="0">
        <v>322</v>
      </c>
      <c r="H8" t="s" s="0">
        <v>84</v>
      </c>
      <c r="I8" t="s" s="0">
        <v>85</v>
      </c>
      <c r="J8" t="s" s="0">
        <v>323</v>
      </c>
      <c r="K8" t="s" s="0">
        <v>324</v>
      </c>
      <c r="L8" t="s" s="0">
        <v>325</v>
      </c>
      <c r="M8" t="s" s="0">
        <v>326</v>
      </c>
      <c r="N8" t="s" s="0">
        <v>327</v>
      </c>
      <c r="O8" t="s" s="0">
        <v>328</v>
      </c>
      <c r="P8" t="s" s="0">
        <v>329</v>
      </c>
      <c r="Q8" t="s" s="0">
        <v>93</v>
      </c>
      <c r="R8" t="s" s="0">
        <v>84</v>
      </c>
      <c r="S8" t="s" s="0">
        <v>330</v>
      </c>
      <c r="T8" t="s" s="0">
        <v>84</v>
      </c>
      <c r="U8" t="s" s="0">
        <v>84</v>
      </c>
      <c r="V8" t="s" s="0">
        <v>331</v>
      </c>
      <c r="W8" t="s" s="0">
        <v>292</v>
      </c>
      <c r="X8" t="s" s="0">
        <v>84</v>
      </c>
      <c r="Y8" t="s" s="0">
        <v>84</v>
      </c>
      <c r="Z8" t="s" s="0">
        <v>96</v>
      </c>
      <c r="AA8" t="s" s="0">
        <v>145</v>
      </c>
      <c r="AB8" t="s" s="0">
        <v>84</v>
      </c>
      <c r="AC8" t="s" s="0">
        <v>84</v>
      </c>
      <c r="AD8" t="s" s="0">
        <v>84</v>
      </c>
      <c r="AE8" t="s" s="0">
        <v>84</v>
      </c>
      <c r="AF8" t="s" s="0">
        <v>84</v>
      </c>
      <c r="AG8" t="s" s="0">
        <v>332</v>
      </c>
      <c r="AH8" t="s" s="0">
        <v>333</v>
      </c>
      <c r="AI8" t="s" s="0">
        <v>334</v>
      </c>
      <c r="AJ8" t="s" s="0">
        <v>335</v>
      </c>
      <c r="AK8" t="s" s="0">
        <v>84</v>
      </c>
      <c r="AL8" t="s" s="0">
        <v>240</v>
      </c>
      <c r="AM8" t="s" s="0">
        <v>336</v>
      </c>
      <c r="AN8" t="s" s="0">
        <v>337</v>
      </c>
      <c r="AO8" t="s" s="0">
        <v>338</v>
      </c>
      <c r="AP8" t="s" s="0">
        <v>339</v>
      </c>
      <c r="AQ8" t="s" s="0">
        <v>300</v>
      </c>
      <c r="AR8" t="s" s="0">
        <v>301</v>
      </c>
      <c r="AS8" t="s" s="0">
        <v>302</v>
      </c>
      <c r="AT8" t="s" s="0">
        <v>303</v>
      </c>
      <c r="AU8" t="s" s="0">
        <v>84</v>
      </c>
      <c r="AV8" t="s" s="0">
        <v>84</v>
      </c>
      <c r="AW8" t="s" s="0">
        <v>304</v>
      </c>
      <c r="AX8" t="s" s="0">
        <v>305</v>
      </c>
      <c r="AY8" t="s" s="0">
        <v>340</v>
      </c>
      <c r="AZ8" t="s" s="0">
        <v>307</v>
      </c>
      <c r="BA8" t="s" s="0">
        <v>308</v>
      </c>
      <c r="BB8" t="s" s="0">
        <v>159</v>
      </c>
      <c r="BC8" t="s" s="0">
        <v>84</v>
      </c>
      <c r="BD8" t="s" s="0">
        <v>84</v>
      </c>
      <c r="BE8" t="s" s="0">
        <v>84</v>
      </c>
      <c r="BF8" t="s" s="0">
        <v>84</v>
      </c>
      <c r="BG8" t="s" s="0">
        <v>84</v>
      </c>
      <c r="BH8" t="s" s="0">
        <v>84</v>
      </c>
      <c r="BI8" t="s" s="0">
        <v>341</v>
      </c>
      <c r="BJ8" t="s" s="0">
        <v>342</v>
      </c>
      <c r="BK8" t="s" s="13">
        <f>HYPERLINK("http://dx.doi.org/10.1186/s12916-019-1466-7","http://dx.doi.org/10.1186/s12916-019-1466-7")</f>
        <v>343</v>
      </c>
      <c r="BL8" t="s" s="0">
        <v>84</v>
      </c>
      <c r="BM8" t="s" s="0">
        <v>84</v>
      </c>
      <c r="BN8" t="s" s="0">
        <v>344</v>
      </c>
      <c r="BO8" t="s" s="0">
        <v>312</v>
      </c>
      <c r="BP8" t="s" s="0">
        <v>313</v>
      </c>
      <c r="BQ8" t="s" s="0">
        <v>345</v>
      </c>
      <c r="BR8" t="s" s="0">
        <v>346</v>
      </c>
      <c r="BS8" t="s" s="0">
        <v>347</v>
      </c>
      <c r="BT8" t="s" s="14">
        <f>HYPERLINK("https://www.webofscience.com/wos/woscc/full-record/WOS:000510874900001","View Record in Web of Science")</f>
        <v>126</v>
      </c>
      <c r="BU8" t="s" s="0">
        <v>348</v>
      </c>
      <c r="BV8" t="s" s="0">
        <v>128</v>
      </c>
      <c r="BW8" t="s" s="0">
        <v>129</v>
      </c>
      <c r="BX8" t="s" s="0">
        <v>130</v>
      </c>
    </row>
    <row r="9">
      <c r="A9" t="s" s="0">
        <v>349</v>
      </c>
      <c r="B9" t="s" s="0">
        <v>78</v>
      </c>
      <c r="C9" t="s" s="0">
        <v>350</v>
      </c>
      <c r="D9" t="s" s="0">
        <v>338</v>
      </c>
      <c r="E9" t="s" s="0">
        <v>351</v>
      </c>
      <c r="F9" t="s" s="0">
        <v>352</v>
      </c>
      <c r="G9" t="s" s="0">
        <v>353</v>
      </c>
      <c r="H9" t="s" s="0">
        <v>84</v>
      </c>
      <c r="I9" t="s" s="0">
        <v>85</v>
      </c>
      <c r="J9" t="s" s="0">
        <v>354</v>
      </c>
      <c r="K9" t="s" s="0">
        <v>355</v>
      </c>
      <c r="L9" t="s" s="0">
        <v>356</v>
      </c>
      <c r="M9" t="s" s="0">
        <v>357</v>
      </c>
      <c r="N9" t="s" s="0">
        <v>358</v>
      </c>
      <c r="O9" t="s" s="0">
        <v>359</v>
      </c>
      <c r="P9" t="s" s="0">
        <v>360</v>
      </c>
      <c r="Q9" t="s" s="0">
        <v>93</v>
      </c>
      <c r="R9" t="s" s="0">
        <v>84</v>
      </c>
      <c r="S9" t="s" s="0">
        <v>84</v>
      </c>
      <c r="T9" t="s" s="0">
        <v>84</v>
      </c>
      <c r="U9" t="s" s="0">
        <v>84</v>
      </c>
      <c r="V9" t="s" s="0">
        <v>361</v>
      </c>
      <c r="W9" t="s" s="0">
        <v>223</v>
      </c>
      <c r="X9" t="s" s="0">
        <v>84</v>
      </c>
      <c r="Y9" t="s" s="0">
        <v>84</v>
      </c>
      <c r="Z9" t="s" s="0">
        <v>96</v>
      </c>
      <c r="AA9" t="s" s="0">
        <v>145</v>
      </c>
      <c r="AB9" t="s" s="0">
        <v>84</v>
      </c>
      <c r="AC9" t="s" s="0">
        <v>84</v>
      </c>
      <c r="AD9" t="s" s="0">
        <v>84</v>
      </c>
      <c r="AE9" t="s" s="0">
        <v>84</v>
      </c>
      <c r="AF9" t="s" s="0">
        <v>84</v>
      </c>
      <c r="AG9" t="s" s="0">
        <v>84</v>
      </c>
      <c r="AH9" t="s" s="0">
        <v>362</v>
      </c>
      <c r="AI9" t="s" s="0">
        <v>363</v>
      </c>
      <c r="AJ9" t="s" s="0">
        <v>364</v>
      </c>
      <c r="AK9" t="s" s="0">
        <v>84</v>
      </c>
      <c r="AL9" t="s" s="0">
        <v>365</v>
      </c>
      <c r="AM9" t="s" s="0">
        <v>366</v>
      </c>
      <c r="AN9" t="s" s="0">
        <v>367</v>
      </c>
      <c r="AO9" t="s" s="0">
        <v>368</v>
      </c>
      <c r="AP9" t="s" s="0">
        <v>369</v>
      </c>
      <c r="AQ9" t="s" s="0">
        <v>106</v>
      </c>
      <c r="AR9" t="s" s="0">
        <v>107</v>
      </c>
      <c r="AS9" t="s" s="0">
        <v>108</v>
      </c>
      <c r="AT9" t="s" s="0">
        <v>232</v>
      </c>
      <c r="AU9" t="s" s="0">
        <v>233</v>
      </c>
      <c r="AV9" t="s" s="0">
        <v>84</v>
      </c>
      <c r="AW9" t="s" s="0">
        <v>234</v>
      </c>
      <c r="AX9" t="s" s="0">
        <v>235</v>
      </c>
      <c r="AY9" t="s" s="0">
        <v>370</v>
      </c>
      <c r="AZ9" t="s" s="0">
        <v>307</v>
      </c>
      <c r="BA9" t="s" s="0">
        <v>371</v>
      </c>
      <c r="BB9" t="s" s="0">
        <v>159</v>
      </c>
      <c r="BC9" t="s" s="0">
        <v>84</v>
      </c>
      <c r="BD9" t="s" s="0">
        <v>84</v>
      </c>
      <c r="BE9" t="s" s="0">
        <v>84</v>
      </c>
      <c r="BF9" t="s" s="0">
        <v>84</v>
      </c>
      <c r="BG9" t="s" s="0">
        <v>372</v>
      </c>
      <c r="BH9" t="s" s="0">
        <v>365</v>
      </c>
      <c r="BI9" t="s" s="0">
        <v>84</v>
      </c>
      <c r="BJ9" t="s" s="0">
        <v>373</v>
      </c>
      <c r="BK9" t="s" s="15">
        <f>HYPERLINK("http://dx.doi.org/10.1038/s41591-018-0307-0","http://dx.doi.org/10.1038/s41591-018-0307-0")</f>
        <v>374</v>
      </c>
      <c r="BL9" t="s" s="0">
        <v>84</v>
      </c>
      <c r="BM9" t="s" s="0">
        <v>84</v>
      </c>
      <c r="BN9" t="s" s="0">
        <v>344</v>
      </c>
      <c r="BO9" t="s" s="0">
        <v>243</v>
      </c>
      <c r="BP9" t="s" s="0">
        <v>244</v>
      </c>
      <c r="BQ9" t="s" s="0">
        <v>375</v>
      </c>
      <c r="BR9" t="s" s="0">
        <v>376</v>
      </c>
      <c r="BS9" t="s" s="0">
        <v>377</v>
      </c>
      <c r="BT9" t="s" s="16">
        <f>HYPERLINK("https://www.webofscience.com/wos/woscc/full-record/WOS:000455027700017","View Record in Web of Science")</f>
        <v>126</v>
      </c>
      <c r="BU9" t="s" s="0">
        <v>84</v>
      </c>
      <c r="BV9" t="s" s="0">
        <v>128</v>
      </c>
      <c r="BW9" t="s" s="0">
        <v>129</v>
      </c>
      <c r="BX9" t="s" s="0">
        <v>130</v>
      </c>
    </row>
    <row r="10">
      <c r="A10" t="s" s="0">
        <v>378</v>
      </c>
      <c r="B10" t="s" s="0">
        <v>78</v>
      </c>
      <c r="C10" t="s" s="0">
        <v>379</v>
      </c>
      <c r="D10" t="s" s="0">
        <v>250</v>
      </c>
      <c r="E10" t="s" s="0">
        <v>380</v>
      </c>
      <c r="F10" t="s" s="0">
        <v>381</v>
      </c>
      <c r="G10" t="s" s="0">
        <v>382</v>
      </c>
      <c r="H10" t="s" s="0">
        <v>84</v>
      </c>
      <c r="I10" t="s" s="0">
        <v>85</v>
      </c>
      <c r="J10" t="s" s="0">
        <v>383</v>
      </c>
      <c r="K10" t="s" s="0">
        <v>384</v>
      </c>
      <c r="L10" t="s" s="0">
        <v>385</v>
      </c>
      <c r="M10" t="s" s="0">
        <v>386</v>
      </c>
      <c r="N10" t="s" s="0">
        <v>387</v>
      </c>
      <c r="O10" t="s" s="0">
        <v>388</v>
      </c>
      <c r="P10" t="s" s="0">
        <v>389</v>
      </c>
      <c r="Q10" t="s" s="0">
        <v>93</v>
      </c>
      <c r="R10" t="s" s="0">
        <v>84</v>
      </c>
      <c r="S10" t="s" s="0">
        <v>84</v>
      </c>
      <c r="T10" t="s" s="0">
        <v>84</v>
      </c>
      <c r="U10" t="s" s="0">
        <v>84</v>
      </c>
      <c r="V10" t="s" s="0">
        <v>390</v>
      </c>
      <c r="W10" t="s" s="0">
        <v>391</v>
      </c>
      <c r="X10" t="s" s="0">
        <v>84</v>
      </c>
      <c r="Y10" t="s" s="0">
        <v>84</v>
      </c>
      <c r="Z10" t="s" s="0">
        <v>96</v>
      </c>
      <c r="AA10" t="s" s="0">
        <v>145</v>
      </c>
      <c r="AB10" t="s" s="0">
        <v>84</v>
      </c>
      <c r="AC10" t="s" s="0">
        <v>84</v>
      </c>
      <c r="AD10" t="s" s="0">
        <v>84</v>
      </c>
      <c r="AE10" t="s" s="0">
        <v>84</v>
      </c>
      <c r="AF10" t="s" s="0">
        <v>84</v>
      </c>
      <c r="AG10" t="s" s="0">
        <v>392</v>
      </c>
      <c r="AH10" t="s" s="0">
        <v>393</v>
      </c>
      <c r="AI10" t="s" s="0">
        <v>394</v>
      </c>
      <c r="AJ10" t="s" s="0">
        <v>395</v>
      </c>
      <c r="AK10" t="s" s="0">
        <v>84</v>
      </c>
      <c r="AL10" t="s" s="0">
        <v>396</v>
      </c>
      <c r="AM10" t="s" s="0">
        <v>397</v>
      </c>
      <c r="AN10" t="s" s="0">
        <v>398</v>
      </c>
      <c r="AO10" t="s" s="0">
        <v>371</v>
      </c>
      <c r="AP10" t="s" s="0">
        <v>399</v>
      </c>
      <c r="AQ10" t="s" s="0">
        <v>400</v>
      </c>
      <c r="AR10" t="s" s="0">
        <v>401</v>
      </c>
      <c r="AS10" t="s" s="0">
        <v>402</v>
      </c>
      <c r="AT10" t="s" s="0">
        <v>403</v>
      </c>
      <c r="AU10" t="s" s="0">
        <v>404</v>
      </c>
      <c r="AV10" t="s" s="0">
        <v>84</v>
      </c>
      <c r="AW10" t="s" s="0">
        <v>405</v>
      </c>
      <c r="AX10" t="s" s="0">
        <v>406</v>
      </c>
      <c r="AY10" t="s" s="0">
        <v>407</v>
      </c>
      <c r="AZ10" t="s" s="0">
        <v>307</v>
      </c>
      <c r="BA10" t="s" s="0">
        <v>408</v>
      </c>
      <c r="BB10" t="s" s="0">
        <v>170</v>
      </c>
      <c r="BC10" t="s" s="0">
        <v>84</v>
      </c>
      <c r="BD10" t="s" s="0">
        <v>84</v>
      </c>
      <c r="BE10" t="s" s="0">
        <v>84</v>
      </c>
      <c r="BF10" t="s" s="0">
        <v>84</v>
      </c>
      <c r="BG10" t="s" s="0">
        <v>409</v>
      </c>
      <c r="BH10" t="s" s="0">
        <v>410</v>
      </c>
      <c r="BI10" t="s" s="0">
        <v>84</v>
      </c>
      <c r="BJ10" t="s" s="0">
        <v>411</v>
      </c>
      <c r="BK10" t="s" s="17">
        <f>HYPERLINK("http://dx.doi.org/10.3322/caac.21552","http://dx.doi.org/10.3322/caac.21552")</f>
        <v>412</v>
      </c>
      <c r="BL10" t="s" s="0">
        <v>84</v>
      </c>
      <c r="BM10" t="s" s="0">
        <v>84</v>
      </c>
      <c r="BN10" t="s" s="0">
        <v>239</v>
      </c>
      <c r="BO10" t="s" s="0">
        <v>122</v>
      </c>
      <c r="BP10" t="s" s="0">
        <v>122</v>
      </c>
      <c r="BQ10" t="s" s="0">
        <v>413</v>
      </c>
      <c r="BR10" t="s" s="0">
        <v>414</v>
      </c>
      <c r="BS10" t="s" s="0">
        <v>415</v>
      </c>
      <c r="BT10" t="s" s="18">
        <f>HYPERLINK("https://www.webofscience.com/wos/woscc/full-record/WOS:000460475700005","View Record in Web of Science")</f>
        <v>126</v>
      </c>
      <c r="BU10" t="s" s="0">
        <v>416</v>
      </c>
      <c r="BV10" t="s" s="0">
        <v>128</v>
      </c>
      <c r="BW10" t="s" s="0">
        <v>129</v>
      </c>
      <c r="BX10" t="s" s="0">
        <v>130</v>
      </c>
    </row>
    <row r="11">
      <c r="A11" t="s" s="0">
        <v>417</v>
      </c>
      <c r="B11" t="s" s="0">
        <v>78</v>
      </c>
      <c r="C11" t="s" s="0">
        <v>418</v>
      </c>
      <c r="D11" t="s" s="0">
        <v>211</v>
      </c>
      <c r="E11" t="s" s="0">
        <v>419</v>
      </c>
      <c r="F11" t="s" s="0">
        <v>420</v>
      </c>
      <c r="G11" t="s" s="0">
        <v>421</v>
      </c>
      <c r="H11" t="s" s="0">
        <v>84</v>
      </c>
      <c r="I11" t="s" s="0">
        <v>85</v>
      </c>
      <c r="J11" t="s" s="0">
        <v>422</v>
      </c>
      <c r="K11" t="s" s="0">
        <v>423</v>
      </c>
      <c r="L11" t="s" s="0">
        <v>424</v>
      </c>
      <c r="M11" t="s" s="0">
        <v>424</v>
      </c>
      <c r="N11" t="s" s="0">
        <v>425</v>
      </c>
      <c r="O11" t="s" s="0">
        <v>426</v>
      </c>
      <c r="P11" t="s" s="0">
        <v>427</v>
      </c>
      <c r="Q11" t="s" s="0">
        <v>93</v>
      </c>
      <c r="R11" t="s" s="0">
        <v>84</v>
      </c>
      <c r="S11" t="s" s="0">
        <v>84</v>
      </c>
      <c r="T11" t="s" s="0">
        <v>84</v>
      </c>
      <c r="U11" t="s" s="0">
        <v>84</v>
      </c>
      <c r="V11" t="s" s="0">
        <v>428</v>
      </c>
      <c r="W11" t="s" s="0">
        <v>429</v>
      </c>
      <c r="X11" t="s" s="0">
        <v>84</v>
      </c>
      <c r="Y11" t="s" s="0">
        <v>84</v>
      </c>
      <c r="Z11" t="s" s="0">
        <v>96</v>
      </c>
      <c r="AA11" t="s" s="0">
        <v>97</v>
      </c>
      <c r="AB11" t="s" s="0">
        <v>84</v>
      </c>
      <c r="AC11" t="s" s="0">
        <v>84</v>
      </c>
      <c r="AD11" t="s" s="0">
        <v>84</v>
      </c>
      <c r="AE11" t="s" s="0">
        <v>84</v>
      </c>
      <c r="AF11" t="s" s="0">
        <v>84</v>
      </c>
      <c r="AG11" t="s" s="0">
        <v>430</v>
      </c>
      <c r="AH11" t="s" s="0">
        <v>431</v>
      </c>
      <c r="AI11" t="s" s="0">
        <v>84</v>
      </c>
      <c r="AJ11" t="s" s="0">
        <v>432</v>
      </c>
      <c r="AK11" t="s" s="0">
        <v>84</v>
      </c>
      <c r="AL11" t="s" s="0">
        <v>433</v>
      </c>
      <c r="AM11" t="s" s="0">
        <v>434</v>
      </c>
      <c r="AN11" t="s" s="0">
        <v>435</v>
      </c>
      <c r="AO11" t="s" s="0">
        <v>436</v>
      </c>
      <c r="AP11" t="s" s="0">
        <v>437</v>
      </c>
      <c r="AQ11" t="s" s="0">
        <v>189</v>
      </c>
      <c r="AR11" t="s" s="0">
        <v>190</v>
      </c>
      <c r="AS11" t="s" s="0">
        <v>191</v>
      </c>
      <c r="AT11" t="s" s="0">
        <v>438</v>
      </c>
      <c r="AU11" t="s" s="0">
        <v>439</v>
      </c>
      <c r="AV11" t="s" s="0">
        <v>84</v>
      </c>
      <c r="AW11" t="s" s="0">
        <v>440</v>
      </c>
      <c r="AX11" t="s" s="0">
        <v>441</v>
      </c>
      <c r="AY11" t="s" s="0">
        <v>307</v>
      </c>
      <c r="AZ11" t="s" s="0">
        <v>307</v>
      </c>
      <c r="BA11" t="s" s="0">
        <v>442</v>
      </c>
      <c r="BB11" t="s" s="0">
        <v>170</v>
      </c>
      <c r="BC11" t="s" s="0">
        <v>443</v>
      </c>
      <c r="BD11" t="s" s="0">
        <v>84</v>
      </c>
      <c r="BE11" t="s" s="0">
        <v>84</v>
      </c>
      <c r="BF11" t="s" s="0">
        <v>84</v>
      </c>
      <c r="BG11" t="s" s="0">
        <v>444</v>
      </c>
      <c r="BH11" t="s" s="0">
        <v>409</v>
      </c>
      <c r="BI11" t="s" s="0">
        <v>84</v>
      </c>
      <c r="BJ11" t="s" s="0">
        <v>445</v>
      </c>
      <c r="BK11" t="s" s="19">
        <f>HYPERLINK("http://dx.doi.org/10.1016/j.zemedi.2018.11.002","http://dx.doi.org/10.1016/j.zemedi.2018.11.002")</f>
        <v>446</v>
      </c>
      <c r="BL11" t="s" s="0">
        <v>84</v>
      </c>
      <c r="BM11" t="s" s="0">
        <v>84</v>
      </c>
      <c r="BN11" t="s" s="0">
        <v>417</v>
      </c>
      <c r="BO11" t="s" s="0">
        <v>447</v>
      </c>
      <c r="BP11" t="s" s="0">
        <v>447</v>
      </c>
      <c r="BQ11" t="s" s="0">
        <v>448</v>
      </c>
      <c r="BR11" t="s" s="0">
        <v>449</v>
      </c>
      <c r="BS11" t="s" s="0">
        <v>450</v>
      </c>
      <c r="BT11" t="s" s="20">
        <f>HYPERLINK("https://www.webofscience.com/wos/woscc/full-record/WOS:000469897200003","View Record in Web of Science")</f>
        <v>126</v>
      </c>
      <c r="BU11" t="s" s="0">
        <v>451</v>
      </c>
      <c r="BV11" t="s" s="0">
        <v>128</v>
      </c>
      <c r="BW11" t="s" s="0">
        <v>129</v>
      </c>
      <c r="BX11" t="s" s="0">
        <v>130</v>
      </c>
    </row>
    <row r="12">
      <c r="A12" t="s" s="0">
        <v>270</v>
      </c>
      <c r="B12" t="s" s="0">
        <v>78</v>
      </c>
      <c r="C12" t="s" s="0">
        <v>452</v>
      </c>
      <c r="D12" t="s" s="0">
        <v>453</v>
      </c>
      <c r="E12" t="s" s="0">
        <v>454</v>
      </c>
      <c r="F12" t="s" s="0">
        <v>455</v>
      </c>
      <c r="G12" t="s" s="0">
        <v>456</v>
      </c>
      <c r="H12" t="s" s="0">
        <v>84</v>
      </c>
      <c r="I12" t="s" s="0">
        <v>85</v>
      </c>
      <c r="J12" t="s" s="0">
        <v>457</v>
      </c>
      <c r="K12" t="s" s="0">
        <v>458</v>
      </c>
      <c r="L12" t="s" s="0">
        <v>459</v>
      </c>
      <c r="M12" t="s" s="0">
        <v>460</v>
      </c>
      <c r="N12" t="s" s="0">
        <v>461</v>
      </c>
      <c r="O12" t="s" s="0">
        <v>462</v>
      </c>
      <c r="P12" t="s" s="0">
        <v>463</v>
      </c>
      <c r="Q12" t="s" s="0">
        <v>93</v>
      </c>
      <c r="R12" t="s" s="0">
        <v>84</v>
      </c>
      <c r="S12" t="s" s="0">
        <v>464</v>
      </c>
      <c r="T12" t="s" s="0">
        <v>84</v>
      </c>
      <c r="U12" t="s" s="0">
        <v>84</v>
      </c>
      <c r="V12" t="s" s="0">
        <v>465</v>
      </c>
      <c r="W12" t="s" s="0">
        <v>466</v>
      </c>
      <c r="X12" t="s" s="0">
        <v>84</v>
      </c>
      <c r="Y12" t="s" s="0">
        <v>84</v>
      </c>
      <c r="Z12" t="s" s="0">
        <v>96</v>
      </c>
      <c r="AA12" t="s" s="0">
        <v>97</v>
      </c>
      <c r="AB12" t="s" s="0">
        <v>84</v>
      </c>
      <c r="AC12" t="s" s="0">
        <v>84</v>
      </c>
      <c r="AD12" t="s" s="0">
        <v>84</v>
      </c>
      <c r="AE12" t="s" s="0">
        <v>84</v>
      </c>
      <c r="AF12" t="s" s="0">
        <v>84</v>
      </c>
      <c r="AG12" t="s" s="0">
        <v>84</v>
      </c>
      <c r="AH12" t="s" s="0">
        <v>467</v>
      </c>
      <c r="AI12" t="s" s="0">
        <v>468</v>
      </c>
      <c r="AJ12" t="s" s="0">
        <v>84</v>
      </c>
      <c r="AK12" t="s" s="0">
        <v>84</v>
      </c>
      <c r="AL12" t="s" s="0">
        <v>469</v>
      </c>
      <c r="AM12" t="s" s="0">
        <v>105</v>
      </c>
      <c r="AN12" t="s" s="0">
        <v>470</v>
      </c>
      <c r="AO12" t="s" s="0">
        <v>275</v>
      </c>
      <c r="AP12" t="s" s="0">
        <v>471</v>
      </c>
      <c r="AQ12" t="s" s="0">
        <v>189</v>
      </c>
      <c r="AR12" t="s" s="0">
        <v>190</v>
      </c>
      <c r="AS12" t="s" s="0">
        <v>191</v>
      </c>
      <c r="AT12" t="s" s="0">
        <v>84</v>
      </c>
      <c r="AU12" t="s" s="0">
        <v>472</v>
      </c>
      <c r="AV12" t="s" s="0">
        <v>84</v>
      </c>
      <c r="AW12" t="s" s="0">
        <v>473</v>
      </c>
      <c r="AX12" t="s" s="0">
        <v>474</v>
      </c>
      <c r="AY12" t="s" s="0">
        <v>475</v>
      </c>
      <c r="AZ12" t="s" s="0">
        <v>476</v>
      </c>
      <c r="BA12" t="s" s="0">
        <v>170</v>
      </c>
      <c r="BB12" t="s" s="0">
        <v>338</v>
      </c>
      <c r="BC12" t="s" s="0">
        <v>84</v>
      </c>
      <c r="BD12" t="s" s="0">
        <v>84</v>
      </c>
      <c r="BE12" t="s" s="0">
        <v>84</v>
      </c>
      <c r="BF12" t="s" s="0">
        <v>84</v>
      </c>
      <c r="BG12" t="s" s="0">
        <v>477</v>
      </c>
      <c r="BH12" t="s" s="0">
        <v>478</v>
      </c>
      <c r="BI12" t="s" s="0">
        <v>84</v>
      </c>
      <c r="BJ12" t="s" s="0">
        <v>479</v>
      </c>
      <c r="BK12" t="s" s="21">
        <f>HYPERLINK("http://dx.doi.org/10.1016/S2589-7500(20)30219-3","http://dx.doi.org/10.1016/S2589-7500(20)30219-3")</f>
        <v>480</v>
      </c>
      <c r="BL12" t="s" s="0">
        <v>84</v>
      </c>
      <c r="BM12" t="s" s="0">
        <v>84</v>
      </c>
      <c r="BN12" t="s" s="0">
        <v>275</v>
      </c>
      <c r="BO12" t="s" s="0">
        <v>481</v>
      </c>
      <c r="BP12" t="s" s="0">
        <v>482</v>
      </c>
      <c r="BQ12" t="s" s="0">
        <v>483</v>
      </c>
      <c r="BR12" t="s" s="0">
        <v>484</v>
      </c>
      <c r="BS12" t="s" s="0">
        <v>485</v>
      </c>
      <c r="BT12" t="s" s="22">
        <f>HYPERLINK("https://www.webofscience.com/wos/woscc/full-record/WOS:000581145100012","View Record in Web of Science")</f>
        <v>126</v>
      </c>
      <c r="BU12" t="s" s="0">
        <v>486</v>
      </c>
      <c r="BV12" t="s" s="0">
        <v>128</v>
      </c>
      <c r="BW12" t="s" s="0">
        <v>129</v>
      </c>
      <c r="BX12" t="s" s="0">
        <v>130</v>
      </c>
    </row>
    <row r="13">
      <c r="A13" t="s" s="0">
        <v>104</v>
      </c>
      <c r="B13" t="s" s="0">
        <v>78</v>
      </c>
      <c r="C13" t="s" s="0">
        <v>341</v>
      </c>
      <c r="D13" t="s" s="0">
        <v>453</v>
      </c>
      <c r="E13" t="s" s="0">
        <v>487</v>
      </c>
      <c r="F13" t="s" s="0">
        <v>488</v>
      </c>
      <c r="G13" t="s" s="0">
        <v>489</v>
      </c>
      <c r="H13" t="s" s="0">
        <v>84</v>
      </c>
      <c r="I13" t="s" s="0">
        <v>85</v>
      </c>
      <c r="J13" t="s" s="0">
        <v>457</v>
      </c>
      <c r="K13" t="s" s="0">
        <v>458</v>
      </c>
      <c r="L13" t="s" s="0">
        <v>490</v>
      </c>
      <c r="M13" t="s" s="0">
        <v>491</v>
      </c>
      <c r="N13" t="s" s="0">
        <v>492</v>
      </c>
      <c r="O13" t="s" s="0">
        <v>493</v>
      </c>
      <c r="P13" t="s" s="0">
        <v>494</v>
      </c>
      <c r="Q13" t="s" s="0">
        <v>93</v>
      </c>
      <c r="R13" t="s" s="0">
        <v>84</v>
      </c>
      <c r="S13" t="s" s="0">
        <v>464</v>
      </c>
      <c r="T13" t="s" s="0">
        <v>84</v>
      </c>
      <c r="U13" t="s" s="0">
        <v>84</v>
      </c>
      <c r="V13" t="s" s="0">
        <v>495</v>
      </c>
      <c r="W13" t="s" s="0">
        <v>466</v>
      </c>
      <c r="X13" t="s" s="0">
        <v>84</v>
      </c>
      <c r="Y13" t="s" s="0">
        <v>84</v>
      </c>
      <c r="Z13" t="s" s="0">
        <v>96</v>
      </c>
      <c r="AA13" t="s" s="0">
        <v>97</v>
      </c>
      <c r="AB13" t="s" s="0">
        <v>84</v>
      </c>
      <c r="AC13" t="s" s="0">
        <v>84</v>
      </c>
      <c r="AD13" t="s" s="0">
        <v>84</v>
      </c>
      <c r="AE13" t="s" s="0">
        <v>84</v>
      </c>
      <c r="AF13" t="s" s="0">
        <v>84</v>
      </c>
      <c r="AG13" t="s" s="0">
        <v>84</v>
      </c>
      <c r="AH13" t="s" s="0">
        <v>496</v>
      </c>
      <c r="AI13" t="s" s="0">
        <v>497</v>
      </c>
      <c r="AJ13" t="s" s="0">
        <v>498</v>
      </c>
      <c r="AK13" t="s" s="0">
        <v>84</v>
      </c>
      <c r="AL13" t="s" s="0">
        <v>499</v>
      </c>
      <c r="AM13" t="s" s="0">
        <v>500</v>
      </c>
      <c r="AN13" t="s" s="0">
        <v>501</v>
      </c>
      <c r="AO13" t="s" s="0">
        <v>502</v>
      </c>
      <c r="AP13" t="s" s="0">
        <v>503</v>
      </c>
      <c r="AQ13" t="s" s="0">
        <v>189</v>
      </c>
      <c r="AR13" t="s" s="0">
        <v>190</v>
      </c>
      <c r="AS13" t="s" s="0">
        <v>191</v>
      </c>
      <c r="AT13" t="s" s="0">
        <v>84</v>
      </c>
      <c r="AU13" t="s" s="0">
        <v>472</v>
      </c>
      <c r="AV13" t="s" s="0">
        <v>84</v>
      </c>
      <c r="AW13" t="s" s="0">
        <v>473</v>
      </c>
      <c r="AX13" t="s" s="0">
        <v>474</v>
      </c>
      <c r="AY13" t="s" s="0">
        <v>475</v>
      </c>
      <c r="AZ13" t="s" s="0">
        <v>476</v>
      </c>
      <c r="BA13" t="s" s="0">
        <v>170</v>
      </c>
      <c r="BB13" t="s" s="0">
        <v>338</v>
      </c>
      <c r="BC13" t="s" s="0">
        <v>84</v>
      </c>
      <c r="BD13" t="s" s="0">
        <v>84</v>
      </c>
      <c r="BE13" t="s" s="0">
        <v>84</v>
      </c>
      <c r="BF13" t="s" s="0">
        <v>84</v>
      </c>
      <c r="BG13" t="s" s="0">
        <v>504</v>
      </c>
      <c r="BH13" t="s" s="0">
        <v>505</v>
      </c>
      <c r="BI13" t="s" s="0">
        <v>84</v>
      </c>
      <c r="BJ13" t="s" s="0">
        <v>506</v>
      </c>
      <c r="BK13" t="s" s="23">
        <f>HYPERLINK("http://dx.doi.org/10.1016/S2589-7500(20)30218-1","http://dx.doi.org/10.1016/S2589-7500(20)30218-1")</f>
        <v>507</v>
      </c>
      <c r="BL13" t="s" s="0">
        <v>84</v>
      </c>
      <c r="BM13" t="s" s="0">
        <v>84</v>
      </c>
      <c r="BN13" t="s" s="0">
        <v>275</v>
      </c>
      <c r="BO13" t="s" s="0">
        <v>481</v>
      </c>
      <c r="BP13" t="s" s="0">
        <v>482</v>
      </c>
      <c r="BQ13" t="s" s="0">
        <v>483</v>
      </c>
      <c r="BR13" t="s" s="0">
        <v>508</v>
      </c>
      <c r="BS13" t="s" s="0">
        <v>509</v>
      </c>
      <c r="BT13" t="s" s="24">
        <f>HYPERLINK("https://www.webofscience.com/wos/woscc/full-record/WOS:000581145100011","View Record in Web of Science")</f>
        <v>126</v>
      </c>
      <c r="BU13" t="s" s="0">
        <v>486</v>
      </c>
      <c r="BV13" t="s" s="0">
        <v>128</v>
      </c>
      <c r="BW13" t="s" s="0">
        <v>129</v>
      </c>
      <c r="BX13" t="s" s="0">
        <v>130</v>
      </c>
    </row>
    <row r="14">
      <c r="A14" t="s" s="0">
        <v>308</v>
      </c>
      <c r="B14" t="s" s="0">
        <v>78</v>
      </c>
      <c r="C14" t="s" s="0">
        <v>510</v>
      </c>
      <c r="D14" t="s" s="0">
        <v>170</v>
      </c>
      <c r="E14" t="s" s="0">
        <v>511</v>
      </c>
      <c r="F14" t="s" s="0">
        <v>512</v>
      </c>
      <c r="G14" t="s" s="0">
        <v>513</v>
      </c>
      <c r="H14" t="s" s="0">
        <v>84</v>
      </c>
      <c r="I14" t="s" s="0">
        <v>85</v>
      </c>
      <c r="J14" t="s" s="0">
        <v>514</v>
      </c>
      <c r="K14" t="s" s="0">
        <v>515</v>
      </c>
      <c r="L14" t="s" s="0">
        <v>516</v>
      </c>
      <c r="M14" t="s" s="0">
        <v>517</v>
      </c>
      <c r="N14" t="s" s="0">
        <v>518</v>
      </c>
      <c r="O14" t="s" s="0">
        <v>519</v>
      </c>
      <c r="P14" t="s" s="0">
        <v>520</v>
      </c>
      <c r="Q14" t="s" s="0">
        <v>93</v>
      </c>
      <c r="R14" t="s" s="0">
        <v>84</v>
      </c>
      <c r="S14" t="s" s="0">
        <v>84</v>
      </c>
      <c r="T14" t="s" s="0">
        <v>84</v>
      </c>
      <c r="U14" t="s" s="0">
        <v>84</v>
      </c>
      <c r="V14" t="s" s="0">
        <v>521</v>
      </c>
      <c r="W14" t="s" s="0">
        <v>522</v>
      </c>
      <c r="X14" t="s" s="0">
        <v>84</v>
      </c>
      <c r="Y14" t="s" s="0">
        <v>84</v>
      </c>
      <c r="Z14" t="s" s="0">
        <v>96</v>
      </c>
      <c r="AA14" t="s" s="0">
        <v>97</v>
      </c>
      <c r="AB14" t="s" s="0">
        <v>84</v>
      </c>
      <c r="AC14" t="s" s="0">
        <v>84</v>
      </c>
      <c r="AD14" t="s" s="0">
        <v>84</v>
      </c>
      <c r="AE14" t="s" s="0">
        <v>84</v>
      </c>
      <c r="AF14" t="s" s="0">
        <v>84</v>
      </c>
      <c r="AG14" t="s" s="0">
        <v>523</v>
      </c>
      <c r="AH14" t="s" s="0">
        <v>524</v>
      </c>
      <c r="AI14" t="s" s="0">
        <v>525</v>
      </c>
      <c r="AJ14" t="s" s="0">
        <v>526</v>
      </c>
      <c r="AK14" t="s" s="0">
        <v>84</v>
      </c>
      <c r="AL14" t="s" s="0">
        <v>527</v>
      </c>
      <c r="AM14" t="s" s="0">
        <v>528</v>
      </c>
      <c r="AN14" t="s" s="0">
        <v>529</v>
      </c>
      <c r="AO14" t="s" s="0">
        <v>270</v>
      </c>
      <c r="AP14" t="s" s="0">
        <v>530</v>
      </c>
      <c r="AQ14" t="s" s="0">
        <v>400</v>
      </c>
      <c r="AR14" t="s" s="0">
        <v>401</v>
      </c>
      <c r="AS14" t="s" s="0">
        <v>402</v>
      </c>
      <c r="AT14" t="s" s="0">
        <v>531</v>
      </c>
      <c r="AU14" t="s" s="0">
        <v>532</v>
      </c>
      <c r="AV14" t="s" s="0">
        <v>84</v>
      </c>
      <c r="AW14" t="s" s="0">
        <v>533</v>
      </c>
      <c r="AX14" t="s" s="0">
        <v>534</v>
      </c>
      <c r="AY14" t="s" s="0">
        <v>535</v>
      </c>
      <c r="AZ14" t="s" s="0">
        <v>307</v>
      </c>
      <c r="BA14" t="s" s="0">
        <v>80</v>
      </c>
      <c r="BB14" t="s" s="0">
        <v>453</v>
      </c>
      <c r="BC14" t="s" s="0">
        <v>84</v>
      </c>
      <c r="BD14" t="s" s="0">
        <v>84</v>
      </c>
      <c r="BE14" t="s" s="0">
        <v>84</v>
      </c>
      <c r="BF14" t="s" s="0">
        <v>84</v>
      </c>
      <c r="BG14" t="s" s="0">
        <v>84</v>
      </c>
      <c r="BH14" t="s" s="0">
        <v>84</v>
      </c>
      <c r="BI14" t="s" s="0">
        <v>536</v>
      </c>
      <c r="BJ14" t="s" s="0">
        <v>537</v>
      </c>
      <c r="BK14" t="s" s="25">
        <f>HYPERLINK("http://dx.doi.org/10.1002/widm.1312","http://dx.doi.org/10.1002/widm.1312")</f>
        <v>538</v>
      </c>
      <c r="BL14" t="s" s="0">
        <v>84</v>
      </c>
      <c r="BM14" t="s" s="0">
        <v>84</v>
      </c>
      <c r="BN14" t="s" s="0">
        <v>539</v>
      </c>
      <c r="BO14" t="s" s="0">
        <v>204</v>
      </c>
      <c r="BP14" t="s" s="0">
        <v>205</v>
      </c>
      <c r="BQ14" t="s" s="0">
        <v>540</v>
      </c>
      <c r="BR14" t="s" s="0">
        <v>541</v>
      </c>
      <c r="BS14" t="s" s="0">
        <v>542</v>
      </c>
      <c r="BT14" t="s" s="26">
        <f>HYPERLINK("https://www.webofscience.com/wos/woscc/full-record/WOS:000471293100005","View Record in Web of Science")</f>
        <v>126</v>
      </c>
      <c r="BU14" t="s" s="0">
        <v>208</v>
      </c>
      <c r="BV14" t="s" s="0">
        <v>128</v>
      </c>
      <c r="BW14" t="s" s="0">
        <v>129</v>
      </c>
      <c r="BX14" t="s" s="0">
        <v>130</v>
      </c>
    </row>
    <row r="15">
      <c r="A15" t="s" s="0">
        <v>170</v>
      </c>
      <c r="B15" t="s" s="0">
        <v>78</v>
      </c>
      <c r="C15" t="s" s="0">
        <v>543</v>
      </c>
      <c r="D15" t="s" s="0">
        <v>78</v>
      </c>
      <c r="E15" t="s" s="0">
        <v>544</v>
      </c>
      <c r="F15" t="s" s="0">
        <v>545</v>
      </c>
      <c r="G15" t="s" s="0">
        <v>546</v>
      </c>
      <c r="H15" t="s" s="0">
        <v>84</v>
      </c>
      <c r="I15" t="s" s="0">
        <v>85</v>
      </c>
      <c r="J15" t="s" s="0">
        <v>547</v>
      </c>
      <c r="K15" t="s" s="0">
        <v>548</v>
      </c>
      <c r="L15" t="s" s="0">
        <v>549</v>
      </c>
      <c r="M15" t="s" s="0">
        <v>550</v>
      </c>
      <c r="N15" t="s" s="0">
        <v>551</v>
      </c>
      <c r="O15" t="s" s="0">
        <v>552</v>
      </c>
      <c r="P15" t="s" s="0">
        <v>553</v>
      </c>
      <c r="Q15" t="s" s="0">
        <v>93</v>
      </c>
      <c r="R15" t="s" s="0">
        <v>84</v>
      </c>
      <c r="S15" t="s" s="0">
        <v>84</v>
      </c>
      <c r="T15" t="s" s="0">
        <v>84</v>
      </c>
      <c r="U15" t="s" s="0">
        <v>84</v>
      </c>
      <c r="V15" t="s" s="0">
        <v>554</v>
      </c>
      <c r="W15" t="s" s="0">
        <v>555</v>
      </c>
      <c r="X15" t="s" s="0">
        <v>84</v>
      </c>
      <c r="Y15" t="s" s="0">
        <v>84</v>
      </c>
      <c r="Z15" t="s" s="0">
        <v>96</v>
      </c>
      <c r="AA15" t="s" s="0">
        <v>97</v>
      </c>
      <c r="AB15" t="s" s="0">
        <v>84</v>
      </c>
      <c r="AC15" t="s" s="0">
        <v>84</v>
      </c>
      <c r="AD15" t="s" s="0">
        <v>84</v>
      </c>
      <c r="AE15" t="s" s="0">
        <v>84</v>
      </c>
      <c r="AF15" t="s" s="0">
        <v>84</v>
      </c>
      <c r="AG15" t="s" s="0">
        <v>556</v>
      </c>
      <c r="AH15" t="s" s="0">
        <v>557</v>
      </c>
      <c r="AI15" t="s" s="0">
        <v>558</v>
      </c>
      <c r="AJ15" t="s" s="0">
        <v>559</v>
      </c>
      <c r="AK15" t="s" s="0">
        <v>84</v>
      </c>
      <c r="AL15" t="s" s="0">
        <v>560</v>
      </c>
      <c r="AM15" t="s" s="0">
        <v>561</v>
      </c>
      <c r="AN15" t="s" s="0">
        <v>562</v>
      </c>
      <c r="AO15" t="s" s="0">
        <v>453</v>
      </c>
      <c r="AP15" t="s" s="0">
        <v>563</v>
      </c>
      <c r="AQ15" t="s" s="0">
        <v>564</v>
      </c>
      <c r="AR15" t="s" s="0">
        <v>565</v>
      </c>
      <c r="AS15" t="s" s="0">
        <v>566</v>
      </c>
      <c r="AT15" t="s" s="0">
        <v>567</v>
      </c>
      <c r="AU15" t="s" s="0">
        <v>84</v>
      </c>
      <c r="AV15" t="s" s="0">
        <v>84</v>
      </c>
      <c r="AW15" t="s" s="0">
        <v>568</v>
      </c>
      <c r="AX15" t="s" s="0">
        <v>569</v>
      </c>
      <c r="AY15" t="s" s="0">
        <v>307</v>
      </c>
      <c r="AZ15" t="s" s="0">
        <v>307</v>
      </c>
      <c r="BA15" t="s" s="0">
        <v>121</v>
      </c>
      <c r="BB15" t="s" s="0">
        <v>84</v>
      </c>
      <c r="BC15" t="s" s="0">
        <v>84</v>
      </c>
      <c r="BD15" t="s" s="0">
        <v>84</v>
      </c>
      <c r="BE15" t="s" s="0">
        <v>84</v>
      </c>
      <c r="BF15" t="s" s="0">
        <v>84</v>
      </c>
      <c r="BG15" t="s" s="0">
        <v>570</v>
      </c>
      <c r="BH15" t="s" s="0">
        <v>433</v>
      </c>
      <c r="BI15" t="s" s="0">
        <v>84</v>
      </c>
      <c r="BJ15" t="s" s="0">
        <v>571</v>
      </c>
      <c r="BK15" t="s" s="27">
        <f>HYPERLINK("http://dx.doi.org/10.2147/CLEP.S196293","http://dx.doi.org/10.2147/CLEP.S196293")</f>
        <v>572</v>
      </c>
      <c r="BL15" t="s" s="0">
        <v>84</v>
      </c>
      <c r="BM15" t="s" s="0">
        <v>84</v>
      </c>
      <c r="BN15" t="s" s="0">
        <v>338</v>
      </c>
      <c r="BO15" t="s" s="0">
        <v>573</v>
      </c>
      <c r="BP15" t="s" s="0">
        <v>573</v>
      </c>
      <c r="BQ15" t="s" s="0">
        <v>574</v>
      </c>
      <c r="BR15" t="s" s="0">
        <v>575</v>
      </c>
      <c r="BS15" t="s" s="0">
        <v>576</v>
      </c>
      <c r="BT15" t="s" s="28">
        <f>HYPERLINK("https://www.webofscience.com/wos/woscc/full-record/WOS:000467113200001","View Record in Web of Science")</f>
        <v>126</v>
      </c>
      <c r="BU15" t="s" s="0">
        <v>168</v>
      </c>
      <c r="BV15" t="s" s="0">
        <v>128</v>
      </c>
      <c r="BW15" t="s" s="0">
        <v>129</v>
      </c>
      <c r="BX15" t="s" s="0">
        <v>130</v>
      </c>
    </row>
    <row r="16">
      <c r="A16" t="s" s="0">
        <v>211</v>
      </c>
      <c r="B16" t="s" s="0">
        <v>78</v>
      </c>
      <c r="C16" t="s" s="0">
        <v>577</v>
      </c>
      <c r="D16" t="s" s="0">
        <v>170</v>
      </c>
      <c r="E16" t="s" s="0">
        <v>578</v>
      </c>
      <c r="F16" t="s" s="0">
        <v>579</v>
      </c>
      <c r="G16" t="s" s="0">
        <v>580</v>
      </c>
      <c r="H16" t="s" s="0">
        <v>84</v>
      </c>
      <c r="I16" t="s" s="0">
        <v>85</v>
      </c>
      <c r="J16" t="s" s="0">
        <v>581</v>
      </c>
      <c r="K16" t="s" s="0">
        <v>458</v>
      </c>
      <c r="L16" t="s" s="0">
        <v>582</v>
      </c>
      <c r="M16" t="s" s="0">
        <v>583</v>
      </c>
      <c r="N16" t="s" s="0">
        <v>84</v>
      </c>
      <c r="O16" t="s" s="0">
        <v>584</v>
      </c>
      <c r="P16" t="s" s="0">
        <v>585</v>
      </c>
      <c r="Q16" t="s" s="0">
        <v>93</v>
      </c>
      <c r="R16" t="s" s="0">
        <v>84</v>
      </c>
      <c r="S16" t="s" s="0">
        <v>84</v>
      </c>
      <c r="T16" t="s" s="0">
        <v>84</v>
      </c>
      <c r="U16" t="s" s="0">
        <v>84</v>
      </c>
      <c r="V16" t="s" s="0">
        <v>586</v>
      </c>
      <c r="W16" t="s" s="0">
        <v>466</v>
      </c>
      <c r="X16" t="s" s="0">
        <v>84</v>
      </c>
      <c r="Y16" t="s" s="0">
        <v>84</v>
      </c>
      <c r="Z16" t="s" s="0">
        <v>96</v>
      </c>
      <c r="AA16" t="s" s="0">
        <v>97</v>
      </c>
      <c r="AB16" t="s" s="0">
        <v>84</v>
      </c>
      <c r="AC16" t="s" s="0">
        <v>84</v>
      </c>
      <c r="AD16" t="s" s="0">
        <v>84</v>
      </c>
      <c r="AE16" t="s" s="0">
        <v>84</v>
      </c>
      <c r="AF16" t="s" s="0">
        <v>84</v>
      </c>
      <c r="AG16" t="s" s="0">
        <v>84</v>
      </c>
      <c r="AH16" t="s" s="0">
        <v>587</v>
      </c>
      <c r="AI16" t="s" s="0">
        <v>588</v>
      </c>
      <c r="AJ16" t="s" s="0">
        <v>589</v>
      </c>
      <c r="AK16" t="s" s="0">
        <v>84</v>
      </c>
      <c r="AL16" t="s" s="0">
        <v>590</v>
      </c>
      <c r="AM16" t="s" s="0">
        <v>591</v>
      </c>
      <c r="AN16" t="s" s="0">
        <v>592</v>
      </c>
      <c r="AO16" t="s" s="0">
        <v>338</v>
      </c>
      <c r="AP16" t="s" s="0">
        <v>593</v>
      </c>
      <c r="AQ16" t="s" s="0">
        <v>189</v>
      </c>
      <c r="AR16" t="s" s="0">
        <v>190</v>
      </c>
      <c r="AS16" t="s" s="0">
        <v>191</v>
      </c>
      <c r="AT16" t="s" s="0">
        <v>84</v>
      </c>
      <c r="AU16" t="s" s="0">
        <v>472</v>
      </c>
      <c r="AV16" t="s" s="0">
        <v>84</v>
      </c>
      <c r="AW16" t="s" s="0">
        <v>473</v>
      </c>
      <c r="AX16" t="s" s="0">
        <v>474</v>
      </c>
      <c r="AY16" t="s" s="0">
        <v>594</v>
      </c>
      <c r="AZ16" t="s" s="0">
        <v>307</v>
      </c>
      <c r="BA16" t="s" s="0">
        <v>159</v>
      </c>
      <c r="BB16" t="s" s="0">
        <v>319</v>
      </c>
      <c r="BC16" t="s" s="0">
        <v>84</v>
      </c>
      <c r="BD16" t="s" s="0">
        <v>84</v>
      </c>
      <c r="BE16" t="s" s="0">
        <v>84</v>
      </c>
      <c r="BF16" t="s" s="0">
        <v>84</v>
      </c>
      <c r="BG16" t="s" s="0">
        <v>595</v>
      </c>
      <c r="BH16" t="s" s="0">
        <v>596</v>
      </c>
      <c r="BI16" t="s" s="0">
        <v>84</v>
      </c>
      <c r="BJ16" t="s" s="0">
        <v>597</v>
      </c>
      <c r="BK16" t="s" s="29">
        <f>HYPERLINK("http://dx.doi.org/10.1016/S2589-7500(19)30123-2","http://dx.doi.org/10.1016/S2589-7500(19)30123-2")</f>
        <v>598</v>
      </c>
      <c r="BL16" t="s" s="0">
        <v>84</v>
      </c>
      <c r="BM16" t="s" s="0">
        <v>84</v>
      </c>
      <c r="BN16" t="s" s="0">
        <v>599</v>
      </c>
      <c r="BO16" t="s" s="0">
        <v>481</v>
      </c>
      <c r="BP16" t="s" s="0">
        <v>482</v>
      </c>
      <c r="BQ16" t="s" s="0">
        <v>600</v>
      </c>
      <c r="BR16" t="s" s="0">
        <v>84</v>
      </c>
      <c r="BS16" t="s" s="0">
        <v>601</v>
      </c>
      <c r="BT16" t="s" s="30">
        <f>HYPERLINK("https://www.webofscience.com/wos/woscc/full-record/WOS:000525871300011","View Record in Web of Science")</f>
        <v>126</v>
      </c>
      <c r="BU16" t="s" s="0">
        <v>168</v>
      </c>
      <c r="BV16" t="s" s="0">
        <v>128</v>
      </c>
      <c r="BW16" t="s" s="0">
        <v>129</v>
      </c>
      <c r="BX16" t="s" s="0">
        <v>130</v>
      </c>
    </row>
    <row r="17">
      <c r="A17" t="s" s="0">
        <v>602</v>
      </c>
      <c r="B17" t="s" s="0">
        <v>78</v>
      </c>
      <c r="C17" t="s" s="0">
        <v>418</v>
      </c>
      <c r="D17" t="s" s="0">
        <v>211</v>
      </c>
      <c r="E17" t="s" s="0">
        <v>603</v>
      </c>
      <c r="F17" t="s" s="0">
        <v>604</v>
      </c>
      <c r="G17" t="s" s="0">
        <v>605</v>
      </c>
      <c r="H17" t="s" s="0">
        <v>84</v>
      </c>
      <c r="I17" t="s" s="0">
        <v>85</v>
      </c>
      <c r="J17" t="s" s="0">
        <v>606</v>
      </c>
      <c r="K17" t="s" s="0">
        <v>607</v>
      </c>
      <c r="L17" t="s" s="0">
        <v>608</v>
      </c>
      <c r="M17" t="s" s="0">
        <v>609</v>
      </c>
      <c r="N17" t="s" s="0">
        <v>610</v>
      </c>
      <c r="O17" t="s" s="0">
        <v>611</v>
      </c>
      <c r="P17" t="s" s="0">
        <v>612</v>
      </c>
      <c r="Q17" t="s" s="0">
        <v>93</v>
      </c>
      <c r="R17" t="s" s="0">
        <v>84</v>
      </c>
      <c r="S17" t="s" s="0">
        <v>84</v>
      </c>
      <c r="T17" t="s" s="0">
        <v>84</v>
      </c>
      <c r="U17" t="s" s="0">
        <v>84</v>
      </c>
      <c r="V17" t="s" s="0">
        <v>613</v>
      </c>
      <c r="W17" t="s" s="0">
        <v>614</v>
      </c>
      <c r="X17" t="s" s="0">
        <v>84</v>
      </c>
      <c r="Y17" t="s" s="0">
        <v>84</v>
      </c>
      <c r="Z17" t="s" s="0">
        <v>96</v>
      </c>
      <c r="AA17" t="s" s="0">
        <v>145</v>
      </c>
      <c r="AB17" t="s" s="0">
        <v>84</v>
      </c>
      <c r="AC17" t="s" s="0">
        <v>84</v>
      </c>
      <c r="AD17" t="s" s="0">
        <v>84</v>
      </c>
      <c r="AE17" t="s" s="0">
        <v>84</v>
      </c>
      <c r="AF17" t="s" s="0">
        <v>84</v>
      </c>
      <c r="AG17" t="s" s="0">
        <v>84</v>
      </c>
      <c r="AH17" t="s" s="0">
        <v>615</v>
      </c>
      <c r="AI17" t="s" s="0">
        <v>616</v>
      </c>
      <c r="AJ17" t="s" s="0">
        <v>617</v>
      </c>
      <c r="AK17" t="s" s="0">
        <v>84</v>
      </c>
      <c r="AL17" t="s" s="0">
        <v>238</v>
      </c>
      <c r="AM17" t="s" s="0">
        <v>618</v>
      </c>
      <c r="AN17" t="s" s="0">
        <v>619</v>
      </c>
      <c r="AO17" t="s" s="0">
        <v>121</v>
      </c>
      <c r="AP17" t="s" s="0">
        <v>620</v>
      </c>
      <c r="AQ17" t="s" s="0">
        <v>621</v>
      </c>
      <c r="AR17" t="s" s="0">
        <v>622</v>
      </c>
      <c r="AS17" t="s" s="0">
        <v>623</v>
      </c>
      <c r="AT17" t="s" s="0">
        <v>624</v>
      </c>
      <c r="AU17" t="s" s="0">
        <v>625</v>
      </c>
      <c r="AV17" t="s" s="0">
        <v>84</v>
      </c>
      <c r="AW17" t="s" s="0">
        <v>626</v>
      </c>
      <c r="AX17" t="s" s="0">
        <v>627</v>
      </c>
      <c r="AY17" t="s" s="0">
        <v>628</v>
      </c>
      <c r="AZ17" t="s" s="0">
        <v>307</v>
      </c>
      <c r="BA17" t="s" s="0">
        <v>629</v>
      </c>
      <c r="BB17" t="s" s="0">
        <v>248</v>
      </c>
      <c r="BC17" t="s" s="0">
        <v>84</v>
      </c>
      <c r="BD17" t="s" s="0">
        <v>84</v>
      </c>
      <c r="BE17" t="s" s="0">
        <v>84</v>
      </c>
      <c r="BF17" t="s" s="0">
        <v>84</v>
      </c>
      <c r="BG17" t="s" s="0">
        <v>630</v>
      </c>
      <c r="BH17" t="s" s="0">
        <v>631</v>
      </c>
      <c r="BI17" t="s" s="0">
        <v>84</v>
      </c>
      <c r="BJ17" t="s" s="0">
        <v>632</v>
      </c>
      <c r="BK17" t="s" s="31">
        <f>HYPERLINK("http://dx.doi.org/10.1001/jama.2019.5791","http://dx.doi.org/10.1001/jama.2019.5791")</f>
        <v>633</v>
      </c>
      <c r="BL17" t="s" s="0">
        <v>84</v>
      </c>
      <c r="BM17" t="s" s="0">
        <v>84</v>
      </c>
      <c r="BN17" t="s" s="0">
        <v>158</v>
      </c>
      <c r="BO17" t="s" s="0">
        <v>312</v>
      </c>
      <c r="BP17" t="s" s="0">
        <v>313</v>
      </c>
      <c r="BQ17" t="s" s="0">
        <v>634</v>
      </c>
      <c r="BR17" t="s" s="0">
        <v>635</v>
      </c>
      <c r="BS17" t="s" s="0">
        <v>636</v>
      </c>
      <c r="BT17" t="s" s="32">
        <f>HYPERLINK("https://www.webofscience.com/wos/woscc/full-record/WOS:000469297300022","View Record in Web of Science")</f>
        <v>126</v>
      </c>
      <c r="BU17" t="s" s="0">
        <v>637</v>
      </c>
      <c r="BV17" t="s" s="0">
        <v>128</v>
      </c>
      <c r="BW17" t="s" s="0">
        <v>129</v>
      </c>
      <c r="BX17" t="s" s="0">
        <v>130</v>
      </c>
    </row>
    <row r="18">
      <c r="A18" t="s" s="0">
        <v>638</v>
      </c>
      <c r="B18" t="s" s="0">
        <v>78</v>
      </c>
      <c r="C18" t="s" s="0">
        <v>639</v>
      </c>
      <c r="D18" t="s" s="0">
        <v>159</v>
      </c>
      <c r="E18" t="s" s="0">
        <v>640</v>
      </c>
      <c r="F18" t="s" s="0">
        <v>641</v>
      </c>
      <c r="G18" t="s" s="0">
        <v>642</v>
      </c>
      <c r="H18" t="s" s="0">
        <v>84</v>
      </c>
      <c r="I18" t="s" s="0">
        <v>283</v>
      </c>
      <c r="J18" t="s" s="0">
        <v>643</v>
      </c>
      <c r="K18" t="s" s="0">
        <v>644</v>
      </c>
      <c r="L18" t="s" s="0">
        <v>645</v>
      </c>
      <c r="M18" t="s" s="0">
        <v>646</v>
      </c>
      <c r="N18" t="s" s="0">
        <v>647</v>
      </c>
      <c r="O18" t="s" s="0">
        <v>648</v>
      </c>
      <c r="P18" t="s" s="0">
        <v>649</v>
      </c>
      <c r="Q18" t="s" s="0">
        <v>93</v>
      </c>
      <c r="R18" t="s" s="0">
        <v>84</v>
      </c>
      <c r="S18" t="s" s="0">
        <v>84</v>
      </c>
      <c r="T18" t="s" s="0">
        <v>84</v>
      </c>
      <c r="U18" t="s" s="0">
        <v>84</v>
      </c>
      <c r="V18" t="s" s="0">
        <v>650</v>
      </c>
      <c r="W18" t="s" s="0">
        <v>466</v>
      </c>
      <c r="X18" t="s" s="0">
        <v>84</v>
      </c>
      <c r="Y18" t="s" s="0">
        <v>84</v>
      </c>
      <c r="Z18" t="s" s="0">
        <v>96</v>
      </c>
      <c r="AA18" t="s" s="0">
        <v>145</v>
      </c>
      <c r="AB18" t="s" s="0">
        <v>84</v>
      </c>
      <c r="AC18" t="s" s="0">
        <v>84</v>
      </c>
      <c r="AD18" t="s" s="0">
        <v>84</v>
      </c>
      <c r="AE18" t="s" s="0">
        <v>84</v>
      </c>
      <c r="AF18" t="s" s="0">
        <v>84</v>
      </c>
      <c r="AG18" t="s" s="0">
        <v>84</v>
      </c>
      <c r="AH18" t="s" s="0">
        <v>651</v>
      </c>
      <c r="AI18" t="s" s="0">
        <v>652</v>
      </c>
      <c r="AJ18" t="s" s="0">
        <v>653</v>
      </c>
      <c r="AK18" t="s" s="0">
        <v>84</v>
      </c>
      <c r="AL18" t="s" s="0">
        <v>148</v>
      </c>
      <c r="AM18" t="s" s="0">
        <v>654</v>
      </c>
      <c r="AN18" t="s" s="0">
        <v>655</v>
      </c>
      <c r="AO18" t="s" s="0">
        <v>371</v>
      </c>
      <c r="AP18" t="s" s="0">
        <v>656</v>
      </c>
      <c r="AQ18" t="s" s="0">
        <v>189</v>
      </c>
      <c r="AR18" t="s" s="0">
        <v>190</v>
      </c>
      <c r="AS18" t="s" s="0">
        <v>191</v>
      </c>
      <c r="AT18" t="s" s="0">
        <v>84</v>
      </c>
      <c r="AU18" t="s" s="0">
        <v>472</v>
      </c>
      <c r="AV18" t="s" s="0">
        <v>84</v>
      </c>
      <c r="AW18" t="s" s="0">
        <v>473</v>
      </c>
      <c r="AX18" t="s" s="0">
        <v>474</v>
      </c>
      <c r="AY18" t="s" s="0">
        <v>657</v>
      </c>
      <c r="AZ18" t="s" s="0">
        <v>197</v>
      </c>
      <c r="BA18" t="s" s="0">
        <v>250</v>
      </c>
      <c r="BB18" t="s" s="0">
        <v>121</v>
      </c>
      <c r="BC18" t="s" s="0">
        <v>84</v>
      </c>
      <c r="BD18" t="s" s="0">
        <v>84</v>
      </c>
      <c r="BE18" t="s" s="0">
        <v>84</v>
      </c>
      <c r="BF18" t="s" s="0">
        <v>84</v>
      </c>
      <c r="BG18" t="s" s="0">
        <v>658</v>
      </c>
      <c r="BH18" t="s" s="0">
        <v>659</v>
      </c>
      <c r="BI18" t="s" s="0">
        <v>84</v>
      </c>
      <c r="BJ18" t="s" s="0">
        <v>84</v>
      </c>
      <c r="BK18" t="s" s="0">
        <v>84</v>
      </c>
      <c r="BL18" t="s" s="0">
        <v>84</v>
      </c>
      <c r="BM18" t="s" s="0">
        <v>84</v>
      </c>
      <c r="BN18" t="s" s="0">
        <v>319</v>
      </c>
      <c r="BO18" t="s" s="0">
        <v>481</v>
      </c>
      <c r="BP18" t="s" s="0">
        <v>482</v>
      </c>
      <c r="BQ18" t="s" s="0">
        <v>660</v>
      </c>
      <c r="BR18" t="s" s="0">
        <v>661</v>
      </c>
      <c r="BS18" t="s" s="0">
        <v>662</v>
      </c>
      <c r="BT18" t="s" s="33">
        <f>HYPERLINK("https://www.webofscience.com/wos/woscc/full-record/WOS:000723682800012","View Record in Web of Science")</f>
        <v>126</v>
      </c>
      <c r="BU18" t="s" s="0">
        <v>168</v>
      </c>
      <c r="BV18" t="s" s="0">
        <v>128</v>
      </c>
      <c r="BW18" t="s" s="0">
        <v>129</v>
      </c>
      <c r="BX18" t="s" s="0">
        <v>130</v>
      </c>
    </row>
    <row r="19">
      <c r="A19" t="s" s="0">
        <v>663</v>
      </c>
      <c r="B19" t="s" s="0">
        <v>78</v>
      </c>
      <c r="C19" t="s" s="0">
        <v>664</v>
      </c>
      <c r="D19" t="s" s="0">
        <v>159</v>
      </c>
      <c r="E19" t="s" s="0">
        <v>665</v>
      </c>
      <c r="F19" t="s" s="0">
        <v>666</v>
      </c>
      <c r="G19" t="s" s="0">
        <v>667</v>
      </c>
      <c r="H19" t="s" s="0">
        <v>84</v>
      </c>
      <c r="I19" t="s" s="0">
        <v>283</v>
      </c>
      <c r="J19" t="s" s="0">
        <v>668</v>
      </c>
      <c r="K19" t="s" s="0">
        <v>669</v>
      </c>
      <c r="L19" t="s" s="0">
        <v>84</v>
      </c>
      <c r="M19" t="s" s="0">
        <v>84</v>
      </c>
      <c r="N19" t="s" s="0">
        <v>84</v>
      </c>
      <c r="O19" t="s" s="0">
        <v>670</v>
      </c>
      <c r="P19" t="s" s="0">
        <v>671</v>
      </c>
      <c r="Q19" t="s" s="0">
        <v>93</v>
      </c>
      <c r="R19" t="s" s="0">
        <v>84</v>
      </c>
      <c r="S19" t="s" s="0">
        <v>84</v>
      </c>
      <c r="T19" t="s" s="0">
        <v>84</v>
      </c>
      <c r="U19" t="s" s="0">
        <v>84</v>
      </c>
      <c r="V19" t="s" s="0">
        <v>672</v>
      </c>
      <c r="W19" t="s" s="0">
        <v>673</v>
      </c>
      <c r="X19" t="s" s="0">
        <v>84</v>
      </c>
      <c r="Y19" t="s" s="0">
        <v>84</v>
      </c>
      <c r="Z19" t="s" s="0">
        <v>96</v>
      </c>
      <c r="AA19" t="s" s="0">
        <v>674</v>
      </c>
      <c r="AB19" t="s" s="0">
        <v>84</v>
      </c>
      <c r="AC19" t="s" s="0">
        <v>84</v>
      </c>
      <c r="AD19" t="s" s="0">
        <v>84</v>
      </c>
      <c r="AE19" t="s" s="0">
        <v>84</v>
      </c>
      <c r="AF19" t="s" s="0">
        <v>84</v>
      </c>
      <c r="AG19" t="s" s="0">
        <v>84</v>
      </c>
      <c r="AH19" t="s" s="0">
        <v>675</v>
      </c>
      <c r="AI19" t="s" s="0">
        <v>676</v>
      </c>
      <c r="AJ19" t="s" s="0">
        <v>84</v>
      </c>
      <c r="AK19" t="s" s="0">
        <v>84</v>
      </c>
      <c r="AL19" t="s" s="0">
        <v>677</v>
      </c>
      <c r="AM19" t="s" s="0">
        <v>678</v>
      </c>
      <c r="AN19" t="s" s="0">
        <v>679</v>
      </c>
      <c r="AO19" t="s" s="0">
        <v>116</v>
      </c>
      <c r="AP19" t="s" s="0">
        <v>680</v>
      </c>
      <c r="AQ19" t="s" s="0">
        <v>681</v>
      </c>
      <c r="AR19" t="s" s="0">
        <v>682</v>
      </c>
      <c r="AS19" t="s" s="0">
        <v>683</v>
      </c>
      <c r="AT19" t="s" s="0">
        <v>684</v>
      </c>
      <c r="AU19" t="s" s="0">
        <v>685</v>
      </c>
      <c r="AV19" t="s" s="0">
        <v>84</v>
      </c>
      <c r="AW19" t="s" s="0">
        <v>686</v>
      </c>
      <c r="AX19" t="s" s="0">
        <v>687</v>
      </c>
      <c r="AY19" t="s" s="0">
        <v>688</v>
      </c>
      <c r="AZ19" t="s" s="0">
        <v>307</v>
      </c>
      <c r="BA19" t="s" s="0">
        <v>248</v>
      </c>
      <c r="BB19" t="s" s="0">
        <v>211</v>
      </c>
      <c r="BC19" t="s" s="0">
        <v>84</v>
      </c>
      <c r="BD19" t="s" s="0">
        <v>84</v>
      </c>
      <c r="BE19" t="s" s="0">
        <v>84</v>
      </c>
      <c r="BF19" t="s" s="0">
        <v>84</v>
      </c>
      <c r="BG19" t="s" s="0">
        <v>689</v>
      </c>
      <c r="BH19" t="s" s="0">
        <v>690</v>
      </c>
      <c r="BI19" t="s" s="0">
        <v>84</v>
      </c>
      <c r="BJ19" t="s" s="0">
        <v>691</v>
      </c>
      <c r="BK19" t="s" s="34">
        <f>HYPERLINK("http://dx.doi.org/10.1016/S1470-2045(19)30149-4","http://dx.doi.org/10.1016/S1470-2045(19)30149-4")</f>
        <v>692</v>
      </c>
      <c r="BL19" t="s" s="0">
        <v>84</v>
      </c>
      <c r="BM19" t="s" s="0">
        <v>84</v>
      </c>
      <c r="BN19" t="s" s="0">
        <v>275</v>
      </c>
      <c r="BO19" t="s" s="0">
        <v>122</v>
      </c>
      <c r="BP19" t="s" s="0">
        <v>122</v>
      </c>
      <c r="BQ19" t="s" s="0">
        <v>693</v>
      </c>
      <c r="BR19" t="s" s="0">
        <v>694</v>
      </c>
      <c r="BS19" t="s" s="0">
        <v>695</v>
      </c>
      <c r="BT19" t="s" s="35">
        <f>HYPERLINK("https://www.webofscience.com/wos/woscc/full-record/WOS:000466380000034","View Record in Web of Science")</f>
        <v>126</v>
      </c>
      <c r="BU19" t="s" s="0">
        <v>84</v>
      </c>
      <c r="BV19" t="s" s="0">
        <v>84</v>
      </c>
      <c r="BW19" t="s" s="0">
        <v>84</v>
      </c>
      <c r="BX19" t="s" s="0">
        <v>130</v>
      </c>
    </row>
    <row r="20">
      <c r="A20" t="s" s="0">
        <v>696</v>
      </c>
      <c r="B20" t="s" s="0">
        <v>78</v>
      </c>
      <c r="C20" t="s" s="0">
        <v>697</v>
      </c>
      <c r="D20" t="s" s="0">
        <v>78</v>
      </c>
      <c r="E20" t="s" s="0">
        <v>698</v>
      </c>
      <c r="F20" t="s" s="0">
        <v>699</v>
      </c>
      <c r="G20" t="s" s="0">
        <v>700</v>
      </c>
      <c r="H20" t="s" s="0">
        <v>84</v>
      </c>
      <c r="I20" t="s" s="0">
        <v>85</v>
      </c>
      <c r="J20" t="s" s="0">
        <v>701</v>
      </c>
      <c r="K20" t="s" s="0">
        <v>702</v>
      </c>
      <c r="L20" t="s" s="0">
        <v>703</v>
      </c>
      <c r="M20" t="s" s="0">
        <v>704</v>
      </c>
      <c r="N20" t="s" s="0">
        <v>705</v>
      </c>
      <c r="O20" t="s" s="0">
        <v>706</v>
      </c>
      <c r="P20" t="s" s="0">
        <v>707</v>
      </c>
      <c r="Q20" t="s" s="0">
        <v>93</v>
      </c>
      <c r="R20" t="s" s="0">
        <v>84</v>
      </c>
      <c r="S20" t="s" s="0">
        <v>84</v>
      </c>
      <c r="T20" t="s" s="0">
        <v>84</v>
      </c>
      <c r="U20" t="s" s="0">
        <v>84</v>
      </c>
      <c r="V20" t="s" s="0">
        <v>708</v>
      </c>
      <c r="W20" t="s" s="0">
        <v>673</v>
      </c>
      <c r="X20" t="s" s="0">
        <v>84</v>
      </c>
      <c r="Y20" t="s" s="0">
        <v>84</v>
      </c>
      <c r="Z20" t="s" s="0">
        <v>96</v>
      </c>
      <c r="AA20" t="s" s="0">
        <v>145</v>
      </c>
      <c r="AB20" t="s" s="0">
        <v>84</v>
      </c>
      <c r="AC20" t="s" s="0">
        <v>84</v>
      </c>
      <c r="AD20" t="s" s="0">
        <v>84</v>
      </c>
      <c r="AE20" t="s" s="0">
        <v>84</v>
      </c>
      <c r="AF20" t="s" s="0">
        <v>84</v>
      </c>
      <c r="AG20" t="s" s="0">
        <v>84</v>
      </c>
      <c r="AH20" t="s" s="0">
        <v>709</v>
      </c>
      <c r="AI20" t="s" s="0">
        <v>710</v>
      </c>
      <c r="AJ20" t="s" s="0">
        <v>711</v>
      </c>
      <c r="AK20" t="s" s="0">
        <v>84</v>
      </c>
      <c r="AL20" t="s" s="0">
        <v>712</v>
      </c>
      <c r="AM20" t="s" s="0">
        <v>713</v>
      </c>
      <c r="AN20" t="s" s="0">
        <v>714</v>
      </c>
      <c r="AO20" t="s" s="0">
        <v>453</v>
      </c>
      <c r="AP20" t="s" s="0">
        <v>715</v>
      </c>
      <c r="AQ20" t="s" s="0">
        <v>681</v>
      </c>
      <c r="AR20" t="s" s="0">
        <v>682</v>
      </c>
      <c r="AS20" t="s" s="0">
        <v>683</v>
      </c>
      <c r="AT20" t="s" s="0">
        <v>684</v>
      </c>
      <c r="AU20" t="s" s="0">
        <v>685</v>
      </c>
      <c r="AV20" t="s" s="0">
        <v>84</v>
      </c>
      <c r="AW20" t="s" s="0">
        <v>686</v>
      </c>
      <c r="AX20" t="s" s="0">
        <v>687</v>
      </c>
      <c r="AY20" t="s" s="0">
        <v>269</v>
      </c>
      <c r="AZ20" t="s" s="0">
        <v>114</v>
      </c>
      <c r="BA20" t="s" s="0">
        <v>436</v>
      </c>
      <c r="BB20" t="s" s="0">
        <v>80</v>
      </c>
      <c r="BC20" t="s" s="0">
        <v>84</v>
      </c>
      <c r="BD20" t="s" s="0">
        <v>84</v>
      </c>
      <c r="BE20" t="s" s="0">
        <v>84</v>
      </c>
      <c r="BF20" t="s" s="0">
        <v>84</v>
      </c>
      <c r="BG20" t="s" s="0">
        <v>716</v>
      </c>
      <c r="BH20" t="s" s="0">
        <v>717</v>
      </c>
      <c r="BI20" t="s" s="0">
        <v>84</v>
      </c>
      <c r="BJ20" t="s" s="0">
        <v>718</v>
      </c>
      <c r="BK20" t="s" s="36">
        <f>HYPERLINK("http://dx.doi.org/10.1016/S1470-2045(18)30413-3","http://dx.doi.org/10.1016/S1470-2045(18)30413-3")</f>
        <v>719</v>
      </c>
      <c r="BL20" t="s" s="0">
        <v>84</v>
      </c>
      <c r="BM20" t="s" s="0">
        <v>84</v>
      </c>
      <c r="BN20" t="s" s="0">
        <v>275</v>
      </c>
      <c r="BO20" t="s" s="0">
        <v>122</v>
      </c>
      <c r="BP20" t="s" s="0">
        <v>122</v>
      </c>
      <c r="BQ20" t="s" s="0">
        <v>720</v>
      </c>
      <c r="BR20" t="s" s="0">
        <v>721</v>
      </c>
      <c r="BS20" t="s" s="0">
        <v>722</v>
      </c>
      <c r="BT20" t="s" s="37">
        <f>HYPERLINK("https://www.webofscience.com/wos/woscc/full-record/WOS:000443278100039","View Record in Web of Science")</f>
        <v>126</v>
      </c>
      <c r="BU20" t="s" s="0">
        <v>84</v>
      </c>
      <c r="BV20" t="s" s="0">
        <v>128</v>
      </c>
      <c r="BW20" t="s" s="0">
        <v>129</v>
      </c>
      <c r="BX20" t="s" s="0">
        <v>130</v>
      </c>
    </row>
    <row r="21">
      <c r="A21" t="s" s="0">
        <v>723</v>
      </c>
      <c r="B21" t="s" s="0">
        <v>78</v>
      </c>
      <c r="C21" t="s" s="0">
        <v>132</v>
      </c>
      <c r="D21" t="s" s="0">
        <v>344</v>
      </c>
      <c r="E21" t="s" s="0">
        <v>724</v>
      </c>
      <c r="F21" t="s" s="0">
        <v>725</v>
      </c>
      <c r="G21" t="s" s="0">
        <v>726</v>
      </c>
      <c r="H21" t="s" s="0">
        <v>84</v>
      </c>
      <c r="I21" t="s" s="0">
        <v>85</v>
      </c>
      <c r="J21" t="s" s="0">
        <v>727</v>
      </c>
      <c r="K21" t="s" s="0">
        <v>728</v>
      </c>
      <c r="L21" t="s" s="0">
        <v>729</v>
      </c>
      <c r="M21" t="s" s="0">
        <v>730</v>
      </c>
      <c r="N21" t="s" s="0">
        <v>731</v>
      </c>
      <c r="O21" t="s" s="0">
        <v>732</v>
      </c>
      <c r="P21" t="s" s="0">
        <v>733</v>
      </c>
      <c r="Q21" t="s" s="0">
        <v>93</v>
      </c>
      <c r="R21" t="s" s="0">
        <v>84</v>
      </c>
      <c r="S21" t="s" s="0">
        <v>84</v>
      </c>
      <c r="T21" t="s" s="0">
        <v>84</v>
      </c>
      <c r="U21" t="s" s="0">
        <v>84</v>
      </c>
      <c r="V21" t="s" s="0">
        <v>734</v>
      </c>
      <c r="W21" t="s" s="0">
        <v>735</v>
      </c>
      <c r="X21" t="s" s="0">
        <v>84</v>
      </c>
      <c r="Y21" t="s" s="0">
        <v>84</v>
      </c>
      <c r="Z21" t="s" s="0">
        <v>96</v>
      </c>
      <c r="AA21" t="s" s="0">
        <v>97</v>
      </c>
      <c r="AB21" t="s" s="0">
        <v>84</v>
      </c>
      <c r="AC21" t="s" s="0">
        <v>84</v>
      </c>
      <c r="AD21" t="s" s="0">
        <v>84</v>
      </c>
      <c r="AE21" t="s" s="0">
        <v>84</v>
      </c>
      <c r="AF21" t="s" s="0">
        <v>84</v>
      </c>
      <c r="AG21" t="s" s="0">
        <v>736</v>
      </c>
      <c r="AH21" t="s" s="0">
        <v>737</v>
      </c>
      <c r="AI21" t="s" s="0">
        <v>738</v>
      </c>
      <c r="AJ21" t="s" s="0">
        <v>739</v>
      </c>
      <c r="AK21" t="s" s="0">
        <v>84</v>
      </c>
      <c r="AL21" t="s" s="0">
        <v>740</v>
      </c>
      <c r="AM21" t="s" s="0">
        <v>741</v>
      </c>
      <c r="AN21" t="s" s="0">
        <v>742</v>
      </c>
      <c r="AO21" t="s" s="0">
        <v>338</v>
      </c>
      <c r="AP21" t="s" s="0">
        <v>743</v>
      </c>
      <c r="AQ21" t="s" s="0">
        <v>744</v>
      </c>
      <c r="AR21" t="s" s="0">
        <v>301</v>
      </c>
      <c r="AS21" t="s" s="0">
        <v>745</v>
      </c>
      <c r="AT21" t="s" s="0">
        <v>746</v>
      </c>
      <c r="AU21" t="s" s="0">
        <v>747</v>
      </c>
      <c r="AV21" t="s" s="0">
        <v>84</v>
      </c>
      <c r="AW21" t="s" s="0">
        <v>748</v>
      </c>
      <c r="AX21" t="s" s="0">
        <v>749</v>
      </c>
      <c r="AY21" t="s" s="0">
        <v>750</v>
      </c>
      <c r="AZ21" t="s" s="0">
        <v>307</v>
      </c>
      <c r="BA21" t="s" s="0">
        <v>751</v>
      </c>
      <c r="BB21" t="s" s="0">
        <v>170</v>
      </c>
      <c r="BC21" t="s" s="0">
        <v>84</v>
      </c>
      <c r="BD21" t="s" s="0">
        <v>84</v>
      </c>
      <c r="BE21" t="s" s="0">
        <v>84</v>
      </c>
      <c r="BF21" t="s" s="0">
        <v>84</v>
      </c>
      <c r="BG21" t="s" s="0">
        <v>752</v>
      </c>
      <c r="BH21" t="s" s="0">
        <v>753</v>
      </c>
      <c r="BI21" t="s" s="0">
        <v>84</v>
      </c>
      <c r="BJ21" t="s" s="0">
        <v>754</v>
      </c>
      <c r="BK21" t="s" s="38">
        <f>HYPERLINK("http://dx.doi.org/10.1136/bjophthalmol-2018-313173","http://dx.doi.org/10.1136/bjophthalmol-2018-313173")</f>
        <v>755</v>
      </c>
      <c r="BL21" t="s" s="0">
        <v>84</v>
      </c>
      <c r="BM21" t="s" s="0">
        <v>84</v>
      </c>
      <c r="BN21" t="s" s="0">
        <v>80</v>
      </c>
      <c r="BO21" t="s" s="0">
        <v>756</v>
      </c>
      <c r="BP21" t="s" s="0">
        <v>756</v>
      </c>
      <c r="BQ21" t="s" s="0">
        <v>757</v>
      </c>
      <c r="BR21" t="s" s="0">
        <v>758</v>
      </c>
      <c r="BS21" t="s" s="0">
        <v>759</v>
      </c>
      <c r="BT21" t="s" s="39">
        <f>HYPERLINK("https://www.webofscience.com/wos/woscc/full-record/WOS:000459028400003","View Record in Web of Science")</f>
        <v>126</v>
      </c>
      <c r="BU21" t="s" s="0">
        <v>208</v>
      </c>
      <c r="BV21" t="s" s="0">
        <v>128</v>
      </c>
      <c r="BW21" t="s" s="0">
        <v>129</v>
      </c>
      <c r="BX21" t="s" s="0">
        <v>130</v>
      </c>
    </row>
    <row r="22">
      <c r="A22" t="s" s="0">
        <v>723</v>
      </c>
      <c r="B22" t="s" s="0">
        <v>78</v>
      </c>
      <c r="C22" t="s" s="0">
        <v>760</v>
      </c>
      <c r="D22" t="s" s="0">
        <v>453</v>
      </c>
      <c r="E22" t="s" s="0">
        <v>761</v>
      </c>
      <c r="F22" t="s" s="0">
        <v>762</v>
      </c>
      <c r="G22" t="s" s="0">
        <v>763</v>
      </c>
      <c r="H22" t="s" s="0">
        <v>84</v>
      </c>
      <c r="I22" t="s" s="0">
        <v>85</v>
      </c>
      <c r="J22" t="s" s="0">
        <v>764</v>
      </c>
      <c r="K22" t="s" s="0">
        <v>765</v>
      </c>
      <c r="L22" t="s" s="0">
        <v>84</v>
      </c>
      <c r="M22" t="s" s="0">
        <v>84</v>
      </c>
      <c r="N22" t="s" s="0">
        <v>84</v>
      </c>
      <c r="O22" t="s" s="0">
        <v>766</v>
      </c>
      <c r="P22" t="s" s="0">
        <v>767</v>
      </c>
      <c r="Q22" t="s" s="0">
        <v>93</v>
      </c>
      <c r="R22" t="s" s="0">
        <v>84</v>
      </c>
      <c r="S22" t="s" s="0">
        <v>84</v>
      </c>
      <c r="T22" t="s" s="0">
        <v>84</v>
      </c>
      <c r="U22" t="s" s="0">
        <v>84</v>
      </c>
      <c r="V22" t="s" s="0">
        <v>768</v>
      </c>
      <c r="W22" t="s" s="0">
        <v>769</v>
      </c>
      <c r="X22" t="s" s="0">
        <v>84</v>
      </c>
      <c r="Y22" t="s" s="0">
        <v>84</v>
      </c>
      <c r="Z22" t="s" s="0">
        <v>96</v>
      </c>
      <c r="AA22" t="s" s="0">
        <v>97</v>
      </c>
      <c r="AB22" t="s" s="0">
        <v>84</v>
      </c>
      <c r="AC22" t="s" s="0">
        <v>84</v>
      </c>
      <c r="AD22" t="s" s="0">
        <v>84</v>
      </c>
      <c r="AE22" t="s" s="0">
        <v>84</v>
      </c>
      <c r="AF22" t="s" s="0">
        <v>84</v>
      </c>
      <c r="AG22" t="s" s="0">
        <v>84</v>
      </c>
      <c r="AH22" t="s" s="0">
        <v>770</v>
      </c>
      <c r="AI22" t="s" s="0">
        <v>771</v>
      </c>
      <c r="AJ22" t="s" s="0">
        <v>772</v>
      </c>
      <c r="AK22" t="s" s="0">
        <v>84</v>
      </c>
      <c r="AL22" t="s" s="0">
        <v>620</v>
      </c>
      <c r="AM22" t="s" s="0">
        <v>773</v>
      </c>
      <c r="AN22" t="s" s="0">
        <v>774</v>
      </c>
      <c r="AO22" t="s" s="0">
        <v>158</v>
      </c>
      <c r="AP22" t="s" s="0">
        <v>775</v>
      </c>
      <c r="AQ22" t="s" s="0">
        <v>106</v>
      </c>
      <c r="AR22" t="s" s="0">
        <v>107</v>
      </c>
      <c r="AS22" t="s" s="0">
        <v>108</v>
      </c>
      <c r="AT22" t="s" s="0">
        <v>776</v>
      </c>
      <c r="AU22" t="s" s="0">
        <v>84</v>
      </c>
      <c r="AV22" t="s" s="0">
        <v>84</v>
      </c>
      <c r="AW22" t="s" s="0">
        <v>777</v>
      </c>
      <c r="AX22" t="s" s="0">
        <v>778</v>
      </c>
      <c r="AY22" t="s" s="0">
        <v>779</v>
      </c>
      <c r="AZ22" t="s" s="0">
        <v>197</v>
      </c>
      <c r="BA22" t="s" s="0">
        <v>453</v>
      </c>
      <c r="BB22" t="s" s="0">
        <v>159</v>
      </c>
      <c r="BC22" t="s" s="0">
        <v>84</v>
      </c>
      <c r="BD22" t="s" s="0">
        <v>84</v>
      </c>
      <c r="BE22" t="s" s="0">
        <v>84</v>
      </c>
      <c r="BF22" t="s" s="0">
        <v>84</v>
      </c>
      <c r="BG22" t="s" s="0">
        <v>84</v>
      </c>
      <c r="BH22" t="s" s="0">
        <v>84</v>
      </c>
      <c r="BI22" t="s" s="0">
        <v>211</v>
      </c>
      <c r="BJ22" t="s" s="0">
        <v>780</v>
      </c>
      <c r="BK22" t="s" s="40">
        <f>HYPERLINK("http://dx.doi.org/10.1038/s41746-020-00376-2","http://dx.doi.org/10.1038/s41746-020-00376-2")</f>
        <v>781</v>
      </c>
      <c r="BL22" t="s" s="0">
        <v>84</v>
      </c>
      <c r="BM22" t="s" s="0">
        <v>84</v>
      </c>
      <c r="BN22" t="s" s="0">
        <v>80</v>
      </c>
      <c r="BO22" t="s" s="0">
        <v>782</v>
      </c>
      <c r="BP22" t="s" s="0">
        <v>782</v>
      </c>
      <c r="BQ22" t="s" s="0">
        <v>783</v>
      </c>
      <c r="BR22" t="s" s="0">
        <v>784</v>
      </c>
      <c r="BS22" t="s" s="0">
        <v>785</v>
      </c>
      <c r="BT22" t="s" s="41">
        <f>HYPERLINK("https://www.webofscience.com/wos/woscc/full-record/WOS:000610370300001","View Record in Web of Science")</f>
        <v>126</v>
      </c>
      <c r="BU22" t="s" s="0">
        <v>168</v>
      </c>
      <c r="BV22" t="s" s="0">
        <v>128</v>
      </c>
      <c r="BW22" t="s" s="0">
        <v>129</v>
      </c>
      <c r="BX22" t="s" s="0">
        <v>130</v>
      </c>
    </row>
    <row r="23">
      <c r="A23" t="s" s="0">
        <v>275</v>
      </c>
      <c r="B23" t="s" s="0">
        <v>78</v>
      </c>
      <c r="C23" t="s" s="0">
        <v>786</v>
      </c>
      <c r="D23" t="s" s="0">
        <v>453</v>
      </c>
      <c r="E23" t="s" s="0">
        <v>787</v>
      </c>
      <c r="F23" t="s" s="0">
        <v>788</v>
      </c>
      <c r="G23" t="s" s="0">
        <v>789</v>
      </c>
      <c r="H23" t="s" s="0">
        <v>84</v>
      </c>
      <c r="I23" t="s" s="0">
        <v>85</v>
      </c>
      <c r="J23" t="s" s="0">
        <v>790</v>
      </c>
      <c r="K23" t="s" s="0">
        <v>791</v>
      </c>
      <c r="L23" t="s" s="0">
        <v>792</v>
      </c>
      <c r="M23" t="s" s="0">
        <v>793</v>
      </c>
      <c r="N23" t="s" s="0">
        <v>794</v>
      </c>
      <c r="O23" t="s" s="0">
        <v>795</v>
      </c>
      <c r="P23" t="s" s="0">
        <v>796</v>
      </c>
      <c r="Q23" t="s" s="0">
        <v>93</v>
      </c>
      <c r="R23" t="s" s="0">
        <v>84</v>
      </c>
      <c r="S23" t="s" s="0">
        <v>84</v>
      </c>
      <c r="T23" t="s" s="0">
        <v>84</v>
      </c>
      <c r="U23" t="s" s="0">
        <v>84</v>
      </c>
      <c r="V23" t="s" s="0">
        <v>797</v>
      </c>
      <c r="W23" t="s" s="0">
        <v>798</v>
      </c>
      <c r="X23" t="s" s="0">
        <v>84</v>
      </c>
      <c r="Y23" t="s" s="0">
        <v>84</v>
      </c>
      <c r="Z23" t="s" s="0">
        <v>96</v>
      </c>
      <c r="AA23" t="s" s="0">
        <v>145</v>
      </c>
      <c r="AB23" t="s" s="0">
        <v>84</v>
      </c>
      <c r="AC23" t="s" s="0">
        <v>84</v>
      </c>
      <c r="AD23" t="s" s="0">
        <v>84</v>
      </c>
      <c r="AE23" t="s" s="0">
        <v>84</v>
      </c>
      <c r="AF23" t="s" s="0">
        <v>84</v>
      </c>
      <c r="AG23" t="s" s="0">
        <v>799</v>
      </c>
      <c r="AH23" t="s" s="0">
        <v>800</v>
      </c>
      <c r="AI23" t="s" s="0">
        <v>84</v>
      </c>
      <c r="AJ23" t="s" s="0">
        <v>84</v>
      </c>
      <c r="AK23" t="s" s="0">
        <v>84</v>
      </c>
      <c r="AL23" t="s" s="0">
        <v>365</v>
      </c>
      <c r="AM23" t="s" s="0">
        <v>801</v>
      </c>
      <c r="AN23" t="s" s="0">
        <v>802</v>
      </c>
      <c r="AO23" t="s" s="0">
        <v>344</v>
      </c>
      <c r="AP23" t="s" s="0">
        <v>227</v>
      </c>
      <c r="AQ23" t="s" s="0">
        <v>300</v>
      </c>
      <c r="AR23" t="s" s="0">
        <v>301</v>
      </c>
      <c r="AS23" t="s" s="0">
        <v>302</v>
      </c>
      <c r="AT23" t="s" s="0">
        <v>84</v>
      </c>
      <c r="AU23" t="s" s="0">
        <v>803</v>
      </c>
      <c r="AV23" t="s" s="0">
        <v>84</v>
      </c>
      <c r="AW23" t="s" s="0">
        <v>804</v>
      </c>
      <c r="AX23" t="s" s="0">
        <v>805</v>
      </c>
      <c r="AY23" t="s" s="0">
        <v>806</v>
      </c>
      <c r="AZ23" t="s" s="0">
        <v>307</v>
      </c>
      <c r="BA23" t="s" s="0">
        <v>436</v>
      </c>
      <c r="BB23" t="s" s="0">
        <v>84</v>
      </c>
      <c r="BC23" t="s" s="0">
        <v>84</v>
      </c>
      <c r="BD23" t="s" s="0">
        <v>84</v>
      </c>
      <c r="BE23" t="s" s="0">
        <v>84</v>
      </c>
      <c r="BF23" t="s" s="0">
        <v>84</v>
      </c>
      <c r="BG23" t="s" s="0">
        <v>84</v>
      </c>
      <c r="BH23" t="s" s="0">
        <v>84</v>
      </c>
      <c r="BI23" t="s" s="0">
        <v>807</v>
      </c>
      <c r="BJ23" t="s" s="0">
        <v>808</v>
      </c>
      <c r="BK23" t="s" s="42">
        <f>HYPERLINK("http://dx.doi.org/10.1186/s12874-019-0681-4","http://dx.doi.org/10.1186/s12874-019-0681-4")</f>
        <v>809</v>
      </c>
      <c r="BL23" t="s" s="0">
        <v>84</v>
      </c>
      <c r="BM23" t="s" s="0">
        <v>84</v>
      </c>
      <c r="BN23" t="s" s="0">
        <v>115</v>
      </c>
      <c r="BO23" t="s" s="0">
        <v>810</v>
      </c>
      <c r="BP23" t="s" s="0">
        <v>810</v>
      </c>
      <c r="BQ23" t="s" s="0">
        <v>811</v>
      </c>
      <c r="BR23" t="s" s="0">
        <v>812</v>
      </c>
      <c r="BS23" t="s" s="0">
        <v>813</v>
      </c>
      <c r="BT23" t="s" s="43">
        <f>HYPERLINK("https://www.webofscience.com/wos/woscc/full-record/WOS:000462329600001","View Record in Web of Science")</f>
        <v>126</v>
      </c>
      <c r="BU23" t="s" s="0">
        <v>168</v>
      </c>
      <c r="BV23" t="s" s="0">
        <v>128</v>
      </c>
      <c r="BW23" t="s" s="0">
        <v>129</v>
      </c>
      <c r="BX23" t="s" s="0">
        <v>130</v>
      </c>
    </row>
    <row r="24">
      <c r="A24" t="s" s="0">
        <v>344</v>
      </c>
      <c r="B24" t="s" s="0">
        <v>78</v>
      </c>
      <c r="C24" t="s" s="0">
        <v>238</v>
      </c>
      <c r="D24" t="s" s="0">
        <v>211</v>
      </c>
      <c r="E24" t="s" s="0">
        <v>814</v>
      </c>
      <c r="F24" t="s" s="0">
        <v>815</v>
      </c>
      <c r="G24" t="s" s="0">
        <v>816</v>
      </c>
      <c r="H24" t="s" s="0">
        <v>84</v>
      </c>
      <c r="I24" t="s" s="0">
        <v>85</v>
      </c>
      <c r="J24" t="s" s="0">
        <v>817</v>
      </c>
      <c r="K24" t="s" s="0">
        <v>818</v>
      </c>
      <c r="L24" t="s" s="0">
        <v>819</v>
      </c>
      <c r="M24" t="s" s="0">
        <v>820</v>
      </c>
      <c r="N24" t="s" s="0">
        <v>821</v>
      </c>
      <c r="O24" t="s" s="0">
        <v>822</v>
      </c>
      <c r="P24" t="s" s="0">
        <v>823</v>
      </c>
      <c r="Q24" t="s" s="0">
        <v>93</v>
      </c>
      <c r="R24" t="s" s="0">
        <v>84</v>
      </c>
      <c r="S24" t="s" s="0">
        <v>84</v>
      </c>
      <c r="T24" t="s" s="0">
        <v>84</v>
      </c>
      <c r="U24" t="s" s="0">
        <v>84</v>
      </c>
      <c r="V24" t="s" s="0">
        <v>824</v>
      </c>
      <c r="W24" t="s" s="0">
        <v>825</v>
      </c>
      <c r="X24" t="s" s="0">
        <v>84</v>
      </c>
      <c r="Y24" t="s" s="0">
        <v>84</v>
      </c>
      <c r="Z24" t="s" s="0">
        <v>96</v>
      </c>
      <c r="AA24" t="s" s="0">
        <v>145</v>
      </c>
      <c r="AB24" t="s" s="0">
        <v>84</v>
      </c>
      <c r="AC24" t="s" s="0">
        <v>84</v>
      </c>
      <c r="AD24" t="s" s="0">
        <v>84</v>
      </c>
      <c r="AE24" t="s" s="0">
        <v>84</v>
      </c>
      <c r="AF24" t="s" s="0">
        <v>84</v>
      </c>
      <c r="AG24" t="s" s="0">
        <v>84</v>
      </c>
      <c r="AH24" t="s" s="0">
        <v>826</v>
      </c>
      <c r="AI24" t="s" s="0">
        <v>84</v>
      </c>
      <c r="AJ24" t="s" s="0">
        <v>84</v>
      </c>
      <c r="AK24" t="s" s="0">
        <v>84</v>
      </c>
      <c r="AL24" t="s" s="0">
        <v>827</v>
      </c>
      <c r="AM24" t="s" s="0">
        <v>828</v>
      </c>
      <c r="AN24" t="s" s="0">
        <v>829</v>
      </c>
      <c r="AO24" t="s" s="0">
        <v>830</v>
      </c>
      <c r="AP24" t="s" s="0">
        <v>831</v>
      </c>
      <c r="AQ24" t="s" s="0">
        <v>106</v>
      </c>
      <c r="AR24" t="s" s="0">
        <v>107</v>
      </c>
      <c r="AS24" t="s" s="0">
        <v>108</v>
      </c>
      <c r="AT24" t="s" s="0">
        <v>84</v>
      </c>
      <c r="AU24" t="s" s="0">
        <v>832</v>
      </c>
      <c r="AV24" t="s" s="0">
        <v>84</v>
      </c>
      <c r="AW24" t="s" s="0">
        <v>833</v>
      </c>
      <c r="AX24" t="s" s="0">
        <v>834</v>
      </c>
      <c r="AY24" t="s" s="0">
        <v>835</v>
      </c>
      <c r="AZ24" t="s" s="0">
        <v>307</v>
      </c>
      <c r="BA24" t="s" s="0">
        <v>159</v>
      </c>
      <c r="BB24" t="s" s="0">
        <v>121</v>
      </c>
      <c r="BC24" t="s" s="0">
        <v>84</v>
      </c>
      <c r="BD24" t="s" s="0">
        <v>84</v>
      </c>
      <c r="BE24" t="s" s="0">
        <v>84</v>
      </c>
      <c r="BF24" t="s" s="0">
        <v>84</v>
      </c>
      <c r="BG24" t="s" s="0">
        <v>836</v>
      </c>
      <c r="BH24" t="s" s="0">
        <v>837</v>
      </c>
      <c r="BI24" t="s" s="0">
        <v>84</v>
      </c>
      <c r="BJ24" t="s" s="0">
        <v>838</v>
      </c>
      <c r="BK24" t="s" s="44">
        <f>HYPERLINK("http://dx.doi.org/10.1038/s42256-019-0114-4","http://dx.doi.org/10.1038/s42256-019-0114-4")</f>
        <v>839</v>
      </c>
      <c r="BL24" t="s" s="0">
        <v>84</v>
      </c>
      <c r="BM24" t="s" s="0">
        <v>84</v>
      </c>
      <c r="BN24" t="s" s="0">
        <v>344</v>
      </c>
      <c r="BO24" t="s" s="0">
        <v>840</v>
      </c>
      <c r="BP24" t="s" s="0">
        <v>205</v>
      </c>
      <c r="BQ24" t="s" s="0">
        <v>841</v>
      </c>
      <c r="BR24" t="s" s="0">
        <v>84</v>
      </c>
      <c r="BS24" t="s" s="0">
        <v>842</v>
      </c>
      <c r="BT24" t="s" s="45">
        <f>HYPERLINK("https://www.webofscience.com/wos/woscc/full-record/WOS:000571266000006","View Record in Web of Science")</f>
        <v>126</v>
      </c>
      <c r="BU24" t="s" s="0">
        <v>127</v>
      </c>
      <c r="BV24" t="s" s="0">
        <v>128</v>
      </c>
      <c r="BW24" t="s" s="0">
        <v>129</v>
      </c>
      <c r="BX24" t="s" s="0">
        <v>130</v>
      </c>
    </row>
    <row r="25">
      <c r="A25" t="s" s="0">
        <v>638</v>
      </c>
      <c r="B25" t="s" s="0">
        <v>78</v>
      </c>
      <c r="C25" t="s" s="0">
        <v>151</v>
      </c>
      <c r="D25" t="s" s="0">
        <v>80</v>
      </c>
      <c r="E25" t="s" s="0">
        <v>843</v>
      </c>
      <c r="F25" t="s" s="0">
        <v>844</v>
      </c>
      <c r="G25" t="s" s="0">
        <v>845</v>
      </c>
      <c r="H25" t="s" s="0">
        <v>84</v>
      </c>
      <c r="I25" t="s" s="0">
        <v>85</v>
      </c>
      <c r="J25" t="s" s="0">
        <v>846</v>
      </c>
      <c r="K25" t="s" s="0">
        <v>847</v>
      </c>
      <c r="L25" t="s" s="0">
        <v>84</v>
      </c>
      <c r="M25" t="s" s="0">
        <v>84</v>
      </c>
      <c r="N25" t="s" s="0">
        <v>84</v>
      </c>
      <c r="O25" t="s" s="0">
        <v>848</v>
      </c>
      <c r="P25" t="s" s="0">
        <v>849</v>
      </c>
      <c r="Q25" t="s" s="0">
        <v>93</v>
      </c>
      <c r="R25" t="s" s="0">
        <v>84</v>
      </c>
      <c r="S25" t="s" s="0">
        <v>84</v>
      </c>
      <c r="T25" t="s" s="0">
        <v>84</v>
      </c>
      <c r="U25" t="s" s="0">
        <v>84</v>
      </c>
      <c r="V25" t="s" s="0">
        <v>850</v>
      </c>
      <c r="W25" t="s" s="0">
        <v>851</v>
      </c>
      <c r="X25" t="s" s="0">
        <v>84</v>
      </c>
      <c r="Y25" t="s" s="0">
        <v>84</v>
      </c>
      <c r="Z25" t="s" s="0">
        <v>96</v>
      </c>
      <c r="AA25" t="s" s="0">
        <v>145</v>
      </c>
      <c r="AB25" t="s" s="0">
        <v>84</v>
      </c>
      <c r="AC25" t="s" s="0">
        <v>84</v>
      </c>
      <c r="AD25" t="s" s="0">
        <v>84</v>
      </c>
      <c r="AE25" t="s" s="0">
        <v>84</v>
      </c>
      <c r="AF25" t="s" s="0">
        <v>84</v>
      </c>
      <c r="AG25" t="s" s="0">
        <v>852</v>
      </c>
      <c r="AH25" t="s" s="0">
        <v>84</v>
      </c>
      <c r="AI25" t="s" s="0">
        <v>853</v>
      </c>
      <c r="AJ25" t="s" s="0">
        <v>854</v>
      </c>
      <c r="AK25" t="s" s="0">
        <v>84</v>
      </c>
      <c r="AL25" t="s" s="0">
        <v>371</v>
      </c>
      <c r="AM25" t="s" s="0">
        <v>855</v>
      </c>
      <c r="AN25" t="s" s="0">
        <v>856</v>
      </c>
      <c r="AO25" t="s" s="0">
        <v>857</v>
      </c>
      <c r="AP25" t="s" s="0">
        <v>858</v>
      </c>
      <c r="AQ25" t="s" s="0">
        <v>859</v>
      </c>
      <c r="AR25" t="s" s="0">
        <v>860</v>
      </c>
      <c r="AS25" t="s" s="0">
        <v>861</v>
      </c>
      <c r="AT25" t="s" s="0">
        <v>862</v>
      </c>
      <c r="AU25" t="s" s="0">
        <v>863</v>
      </c>
      <c r="AV25" t="s" s="0">
        <v>84</v>
      </c>
      <c r="AW25" t="s" s="0">
        <v>864</v>
      </c>
      <c r="AX25" t="s" s="0">
        <v>865</v>
      </c>
      <c r="AY25" t="s" s="0">
        <v>866</v>
      </c>
      <c r="AZ25" t="s" s="0">
        <v>476</v>
      </c>
      <c r="BA25" t="s" s="0">
        <v>867</v>
      </c>
      <c r="BB25" t="s" s="0">
        <v>344</v>
      </c>
      <c r="BC25" t="s" s="0">
        <v>84</v>
      </c>
      <c r="BD25" t="s" s="0">
        <v>84</v>
      </c>
      <c r="BE25" t="s" s="0">
        <v>84</v>
      </c>
      <c r="BF25" t="s" s="0">
        <v>84</v>
      </c>
      <c r="BG25" t="s" s="0">
        <v>868</v>
      </c>
      <c r="BH25" t="s" s="0">
        <v>869</v>
      </c>
      <c r="BI25" t="s" s="0">
        <v>870</v>
      </c>
      <c r="BJ25" t="s" s="0">
        <v>871</v>
      </c>
      <c r="BK25" t="s" s="46">
        <f>HYPERLINK("http://dx.doi.org/10.1177/0022034520915714","http://dx.doi.org/10.1177/0022034520915714")</f>
        <v>872</v>
      </c>
      <c r="BL25" t="s" s="0">
        <v>84</v>
      </c>
      <c r="BM25" t="s" s="0">
        <v>873</v>
      </c>
      <c r="BN25" t="s" s="0">
        <v>319</v>
      </c>
      <c r="BO25" t="s" s="0">
        <v>874</v>
      </c>
      <c r="BP25" t="s" s="0">
        <v>874</v>
      </c>
      <c r="BQ25" t="s" s="0">
        <v>875</v>
      </c>
      <c r="BR25" t="s" s="0">
        <v>876</v>
      </c>
      <c r="BS25" t="s" s="0">
        <v>877</v>
      </c>
      <c r="BT25" t="s" s="47">
        <f>HYPERLINK("https://www.webofscience.com/wos/woscc/full-record/WOS:000527892000001","View Record in Web of Science")</f>
        <v>126</v>
      </c>
      <c r="BU25" t="s" s="0">
        <v>208</v>
      </c>
      <c r="BV25" t="s" s="0">
        <v>128</v>
      </c>
      <c r="BW25" t="s" s="0">
        <v>129</v>
      </c>
      <c r="BX25" t="s" s="0">
        <v>130</v>
      </c>
    </row>
    <row r="26">
      <c r="A26" t="s" s="0">
        <v>116</v>
      </c>
      <c r="B26" t="s" s="0">
        <v>78</v>
      </c>
      <c r="C26" t="s" s="0">
        <v>760</v>
      </c>
      <c r="D26" t="s" s="0">
        <v>170</v>
      </c>
      <c r="E26" t="s" s="0">
        <v>878</v>
      </c>
      <c r="F26" t="s" s="0">
        <v>879</v>
      </c>
      <c r="G26" t="s" s="0">
        <v>880</v>
      </c>
      <c r="H26" t="s" s="0">
        <v>84</v>
      </c>
      <c r="I26" t="s" s="0">
        <v>283</v>
      </c>
      <c r="J26" t="s" s="0">
        <v>881</v>
      </c>
      <c r="K26" t="s" s="0">
        <v>882</v>
      </c>
      <c r="L26" t="s" s="0">
        <v>883</v>
      </c>
      <c r="M26" t="s" s="0">
        <v>884</v>
      </c>
      <c r="N26" t="s" s="0">
        <v>885</v>
      </c>
      <c r="O26" t="s" s="0">
        <v>886</v>
      </c>
      <c r="P26" t="s" s="0">
        <v>887</v>
      </c>
      <c r="Q26" t="s" s="0">
        <v>93</v>
      </c>
      <c r="R26" t="s" s="0">
        <v>84</v>
      </c>
      <c r="S26" t="s" s="0">
        <v>84</v>
      </c>
      <c r="T26" t="s" s="0">
        <v>84</v>
      </c>
      <c r="U26" t="s" s="0">
        <v>84</v>
      </c>
      <c r="V26" t="s" s="0">
        <v>888</v>
      </c>
      <c r="W26" t="s" s="0">
        <v>889</v>
      </c>
      <c r="X26" t="s" s="0">
        <v>84</v>
      </c>
      <c r="Y26" t="s" s="0">
        <v>84</v>
      </c>
      <c r="Z26" t="s" s="0">
        <v>96</v>
      </c>
      <c r="AA26" t="s" s="0">
        <v>674</v>
      </c>
      <c r="AB26" t="s" s="0">
        <v>84</v>
      </c>
      <c r="AC26" t="s" s="0">
        <v>84</v>
      </c>
      <c r="AD26" t="s" s="0">
        <v>84</v>
      </c>
      <c r="AE26" t="s" s="0">
        <v>84</v>
      </c>
      <c r="AF26" t="s" s="0">
        <v>84</v>
      </c>
      <c r="AG26" t="s" s="0">
        <v>84</v>
      </c>
      <c r="AH26" t="s" s="0">
        <v>890</v>
      </c>
      <c r="AI26" t="s" s="0">
        <v>891</v>
      </c>
      <c r="AJ26" t="s" s="0">
        <v>84</v>
      </c>
      <c r="AK26" t="s" s="0">
        <v>84</v>
      </c>
      <c r="AL26" t="s" s="0">
        <v>469</v>
      </c>
      <c r="AM26" t="s" s="0">
        <v>892</v>
      </c>
      <c r="AN26" t="s" s="0">
        <v>893</v>
      </c>
      <c r="AO26" t="s" s="0">
        <v>116</v>
      </c>
      <c r="AP26" t="s" s="0">
        <v>209</v>
      </c>
      <c r="AQ26" t="s" s="0">
        <v>894</v>
      </c>
      <c r="AR26" t="s" s="0">
        <v>895</v>
      </c>
      <c r="AS26" t="s" s="0">
        <v>896</v>
      </c>
      <c r="AT26" t="s" s="0">
        <v>897</v>
      </c>
      <c r="AU26" t="s" s="0">
        <v>898</v>
      </c>
      <c r="AV26" t="s" s="0">
        <v>84</v>
      </c>
      <c r="AW26" t="s" s="0">
        <v>899</v>
      </c>
      <c r="AX26" t="s" s="0">
        <v>900</v>
      </c>
      <c r="AY26" t="s" s="0">
        <v>901</v>
      </c>
      <c r="AZ26" t="s" s="0">
        <v>114</v>
      </c>
      <c r="BA26" t="s" s="0">
        <v>902</v>
      </c>
      <c r="BB26" t="s" s="0">
        <v>275</v>
      </c>
      <c r="BC26" t="s" s="0">
        <v>84</v>
      </c>
      <c r="BD26" t="s" s="0">
        <v>84</v>
      </c>
      <c r="BE26" t="s" s="0">
        <v>84</v>
      </c>
      <c r="BF26" t="s" s="0">
        <v>84</v>
      </c>
      <c r="BG26" t="s" s="0">
        <v>903</v>
      </c>
      <c r="BH26" t="s" s="0">
        <v>272</v>
      </c>
      <c r="BI26" t="s" s="0">
        <v>84</v>
      </c>
      <c r="BJ26" t="s" s="0">
        <v>904</v>
      </c>
      <c r="BK26" t="s" s="48">
        <f>HYPERLINK("http://dx.doi.org/10.7326/M18-1990","http://dx.doi.org/10.7326/M18-1990")</f>
        <v>905</v>
      </c>
      <c r="BL26" t="s" s="0">
        <v>84</v>
      </c>
      <c r="BM26" t="s" s="0">
        <v>84</v>
      </c>
      <c r="BN26" t="s" s="0">
        <v>116</v>
      </c>
      <c r="BO26" t="s" s="0">
        <v>312</v>
      </c>
      <c r="BP26" t="s" s="0">
        <v>313</v>
      </c>
      <c r="BQ26" t="s" s="0">
        <v>906</v>
      </c>
      <c r="BR26" t="s" s="0">
        <v>907</v>
      </c>
      <c r="BS26" t="s" s="0">
        <v>908</v>
      </c>
      <c r="BT26" t="s" s="49">
        <f>HYPERLINK("https://www.webofscience.com/wos/woscc/full-record/WOS:000454061700018","View Record in Web of Science")</f>
        <v>126</v>
      </c>
      <c r="BU26" t="s" s="0">
        <v>127</v>
      </c>
      <c r="BV26" t="s" s="0">
        <v>84</v>
      </c>
      <c r="BW26" t="s" s="0">
        <v>84</v>
      </c>
      <c r="BX26" t="s" s="0">
        <v>130</v>
      </c>
    </row>
    <row r="27">
      <c r="A27" t="s" s="0">
        <v>436</v>
      </c>
      <c r="B27" t="s" s="0">
        <v>78</v>
      </c>
      <c r="C27" t="s" s="0">
        <v>909</v>
      </c>
      <c r="D27" t="s" s="0">
        <v>170</v>
      </c>
      <c r="E27" t="s" s="0">
        <v>910</v>
      </c>
      <c r="F27" t="s" s="0">
        <v>911</v>
      </c>
      <c r="G27" t="s" s="0">
        <v>912</v>
      </c>
      <c r="H27" t="s" s="0">
        <v>84</v>
      </c>
      <c r="I27" t="s" s="0">
        <v>85</v>
      </c>
      <c r="J27" t="s" s="0">
        <v>913</v>
      </c>
      <c r="K27" t="s" s="0">
        <v>914</v>
      </c>
      <c r="L27" t="s" s="0">
        <v>915</v>
      </c>
      <c r="M27" t="s" s="0">
        <v>916</v>
      </c>
      <c r="N27" t="s" s="0">
        <v>917</v>
      </c>
      <c r="O27" t="s" s="0">
        <v>918</v>
      </c>
      <c r="P27" t="s" s="0">
        <v>919</v>
      </c>
      <c r="Q27" t="s" s="0">
        <v>93</v>
      </c>
      <c r="R27" t="s" s="0">
        <v>84</v>
      </c>
      <c r="S27" t="s" s="0">
        <v>84</v>
      </c>
      <c r="T27" t="s" s="0">
        <v>84</v>
      </c>
      <c r="U27" t="s" s="0">
        <v>84</v>
      </c>
      <c r="V27" t="s" s="0">
        <v>920</v>
      </c>
      <c r="W27" t="s" s="0">
        <v>921</v>
      </c>
      <c r="X27" t="s" s="0">
        <v>84</v>
      </c>
      <c r="Y27" t="s" s="0">
        <v>84</v>
      </c>
      <c r="Z27" t="s" s="0">
        <v>96</v>
      </c>
      <c r="AA27" t="s" s="0">
        <v>97</v>
      </c>
      <c r="AB27" t="s" s="0">
        <v>84</v>
      </c>
      <c r="AC27" t="s" s="0">
        <v>84</v>
      </c>
      <c r="AD27" t="s" s="0">
        <v>84</v>
      </c>
      <c r="AE27" t="s" s="0">
        <v>84</v>
      </c>
      <c r="AF27" t="s" s="0">
        <v>84</v>
      </c>
      <c r="AG27" t="s" s="0">
        <v>84</v>
      </c>
      <c r="AH27" t="s" s="0">
        <v>922</v>
      </c>
      <c r="AI27" t="s" s="0">
        <v>923</v>
      </c>
      <c r="AJ27" t="s" s="0">
        <v>924</v>
      </c>
      <c r="AK27" t="s" s="0">
        <v>84</v>
      </c>
      <c r="AL27" t="s" s="0">
        <v>925</v>
      </c>
      <c r="AM27" t="s" s="0">
        <v>926</v>
      </c>
      <c r="AN27" t="s" s="0">
        <v>927</v>
      </c>
      <c r="AO27" t="s" s="0">
        <v>80</v>
      </c>
      <c r="AP27" t="s" s="0">
        <v>928</v>
      </c>
      <c r="AQ27" t="s" s="0">
        <v>744</v>
      </c>
      <c r="AR27" t="s" s="0">
        <v>301</v>
      </c>
      <c r="AS27" t="s" s="0">
        <v>745</v>
      </c>
      <c r="AT27" t="s" s="0">
        <v>929</v>
      </c>
      <c r="AU27" t="s" s="0">
        <v>930</v>
      </c>
      <c r="AV27" t="s" s="0">
        <v>84</v>
      </c>
      <c r="AW27" t="s" s="0">
        <v>931</v>
      </c>
      <c r="AX27" t="s" s="0">
        <v>932</v>
      </c>
      <c r="AY27" t="s" s="0">
        <v>933</v>
      </c>
      <c r="AZ27" t="s" s="0">
        <v>476</v>
      </c>
      <c r="BA27" t="s" s="0">
        <v>934</v>
      </c>
      <c r="BB27" t="s" s="0">
        <v>84</v>
      </c>
      <c r="BC27" t="s" s="0">
        <v>84</v>
      </c>
      <c r="BD27" t="s" s="0">
        <v>84</v>
      </c>
      <c r="BE27" t="s" s="0">
        <v>84</v>
      </c>
      <c r="BF27" t="s" s="0">
        <v>84</v>
      </c>
      <c r="BG27" t="s" s="0">
        <v>84</v>
      </c>
      <c r="BH27" t="s" s="0">
        <v>84</v>
      </c>
      <c r="BI27" t="s" s="0">
        <v>935</v>
      </c>
      <c r="BJ27" t="s" s="0">
        <v>936</v>
      </c>
      <c r="BK27" t="s" s="50">
        <f>HYPERLINK("http://dx.doi.org/10.1136/bmj.m689","http://dx.doi.org/10.1136/bmj.m689")</f>
        <v>937</v>
      </c>
      <c r="BL27" t="s" s="0">
        <v>84</v>
      </c>
      <c r="BM27" t="s" s="0">
        <v>84</v>
      </c>
      <c r="BN27" t="s" s="0">
        <v>275</v>
      </c>
      <c r="BO27" t="s" s="0">
        <v>312</v>
      </c>
      <c r="BP27" t="s" s="0">
        <v>313</v>
      </c>
      <c r="BQ27" t="s" s="0">
        <v>938</v>
      </c>
      <c r="BR27" t="s" s="0">
        <v>939</v>
      </c>
      <c r="BS27" t="s" s="0">
        <v>940</v>
      </c>
      <c r="BT27" t="s" s="51">
        <f>HYPERLINK("https://www.webofscience.com/wos/woscc/full-record/WOS:000523764500002","View Record in Web of Science")</f>
        <v>126</v>
      </c>
      <c r="BU27" t="s" s="0">
        <v>941</v>
      </c>
      <c r="BV27" t="s" s="0">
        <v>128</v>
      </c>
      <c r="BW27" t="s" s="0">
        <v>129</v>
      </c>
      <c r="BX27" t="s" s="0">
        <v>130</v>
      </c>
    </row>
    <row r="28">
      <c r="A28" t="s" s="0">
        <v>502</v>
      </c>
      <c r="B28" t="s" s="0">
        <v>78</v>
      </c>
      <c r="C28" t="s" s="0">
        <v>942</v>
      </c>
      <c r="D28" t="s" s="0">
        <v>453</v>
      </c>
      <c r="E28" t="s" s="0">
        <v>943</v>
      </c>
      <c r="F28" t="s" s="0">
        <v>944</v>
      </c>
      <c r="G28" t="s" s="0">
        <v>945</v>
      </c>
      <c r="H28" t="s" s="0">
        <v>84</v>
      </c>
      <c r="I28" t="s" s="0">
        <v>85</v>
      </c>
      <c r="J28" t="s" s="0">
        <v>946</v>
      </c>
      <c r="K28" t="s" s="0">
        <v>947</v>
      </c>
      <c r="L28" t="s" s="0">
        <v>948</v>
      </c>
      <c r="M28" t="s" s="0">
        <v>948</v>
      </c>
      <c r="N28" t="s" s="0">
        <v>949</v>
      </c>
      <c r="O28" t="s" s="0">
        <v>950</v>
      </c>
      <c r="P28" t="s" s="0">
        <v>951</v>
      </c>
      <c r="Q28" t="s" s="0">
        <v>93</v>
      </c>
      <c r="R28" t="s" s="0">
        <v>84</v>
      </c>
      <c r="S28" t="s" s="0">
        <v>84</v>
      </c>
      <c r="T28" t="s" s="0">
        <v>84</v>
      </c>
      <c r="U28" t="s" s="0">
        <v>84</v>
      </c>
      <c r="V28" t="s" s="0">
        <v>952</v>
      </c>
      <c r="W28" t="s" s="0">
        <v>953</v>
      </c>
      <c r="X28" t="s" s="0">
        <v>84</v>
      </c>
      <c r="Y28" t="s" s="0">
        <v>84</v>
      </c>
      <c r="Z28" t="s" s="0">
        <v>96</v>
      </c>
      <c r="AA28" t="s" s="0">
        <v>145</v>
      </c>
      <c r="AB28" t="s" s="0">
        <v>84</v>
      </c>
      <c r="AC28" t="s" s="0">
        <v>84</v>
      </c>
      <c r="AD28" t="s" s="0">
        <v>84</v>
      </c>
      <c r="AE28" t="s" s="0">
        <v>84</v>
      </c>
      <c r="AF28" t="s" s="0">
        <v>84</v>
      </c>
      <c r="AG28" t="s" s="0">
        <v>954</v>
      </c>
      <c r="AH28" t="s" s="0">
        <v>955</v>
      </c>
      <c r="AI28" t="s" s="0">
        <v>956</v>
      </c>
      <c r="AJ28" t="s" s="0">
        <v>957</v>
      </c>
      <c r="AK28" t="s" s="0">
        <v>84</v>
      </c>
      <c r="AL28" t="s" s="0">
        <v>502</v>
      </c>
      <c r="AM28" t="s" s="0">
        <v>958</v>
      </c>
      <c r="AN28" t="s" s="0">
        <v>959</v>
      </c>
      <c r="AO28" t="s" s="0">
        <v>238</v>
      </c>
      <c r="AP28" t="s" s="0">
        <v>960</v>
      </c>
      <c r="AQ28" t="s" s="0">
        <v>961</v>
      </c>
      <c r="AR28" t="s" s="0">
        <v>682</v>
      </c>
      <c r="AS28" t="s" s="0">
        <v>962</v>
      </c>
      <c r="AT28" t="s" s="0">
        <v>963</v>
      </c>
      <c r="AU28" t="s" s="0">
        <v>964</v>
      </c>
      <c r="AV28" t="s" s="0">
        <v>84</v>
      </c>
      <c r="AW28" t="s" s="0">
        <v>965</v>
      </c>
      <c r="AX28" t="s" s="0">
        <v>966</v>
      </c>
      <c r="AY28" t="s" s="0">
        <v>967</v>
      </c>
      <c r="AZ28" t="s" s="0">
        <v>228</v>
      </c>
      <c r="BA28" t="s" s="0">
        <v>148</v>
      </c>
      <c r="BB28" t="s" s="0">
        <v>159</v>
      </c>
      <c r="BC28" t="s" s="0">
        <v>84</v>
      </c>
      <c r="BD28" t="s" s="0">
        <v>84</v>
      </c>
      <c r="BE28" t="s" s="0">
        <v>84</v>
      </c>
      <c r="BF28" t="s" s="0">
        <v>84</v>
      </c>
      <c r="BG28" t="s" s="0">
        <v>84</v>
      </c>
      <c r="BH28" t="s" s="0">
        <v>84</v>
      </c>
      <c r="BI28" t="s" s="0">
        <v>723</v>
      </c>
      <c r="BJ28" t="s" s="0">
        <v>968</v>
      </c>
      <c r="BK28" t="s" s="52">
        <f>HYPERLINK("http://dx.doi.org/10.1007/s10916-023-01925-4","http://dx.doi.org/10.1007/s10916-023-01925-4")</f>
        <v>969</v>
      </c>
      <c r="BL28" t="s" s="0">
        <v>84</v>
      </c>
      <c r="BM28" t="s" s="0">
        <v>84</v>
      </c>
      <c r="BN28" t="s" s="0">
        <v>211</v>
      </c>
      <c r="BO28" t="s" s="0">
        <v>782</v>
      </c>
      <c r="BP28" t="s" s="0">
        <v>782</v>
      </c>
      <c r="BQ28" t="s" s="0">
        <v>970</v>
      </c>
      <c r="BR28" t="s" s="0">
        <v>971</v>
      </c>
      <c r="BS28" t="s" s="0">
        <v>972</v>
      </c>
      <c r="BT28" t="s" s="53">
        <f>HYPERLINK("https://www.webofscience.com/wos/woscc/full-record/WOS:000943634800001","View Record in Web of Science")</f>
        <v>126</v>
      </c>
      <c r="BU28" t="s" s="0">
        <v>973</v>
      </c>
      <c r="BV28" t="s" s="0">
        <v>128</v>
      </c>
      <c r="BW28" t="s" s="0">
        <v>129</v>
      </c>
      <c r="BX28" t="s" s="0">
        <v>130</v>
      </c>
    </row>
    <row r="29">
      <c r="A29" t="s" s="0">
        <v>372</v>
      </c>
      <c r="B29" t="s" s="0">
        <v>78</v>
      </c>
      <c r="C29" t="s" s="0">
        <v>974</v>
      </c>
      <c r="D29" t="s" s="0">
        <v>170</v>
      </c>
      <c r="E29" t="s" s="0">
        <v>975</v>
      </c>
      <c r="F29" t="s" s="0">
        <v>976</v>
      </c>
      <c r="G29" t="s" s="0">
        <v>977</v>
      </c>
      <c r="H29" t="s" s="0">
        <v>84</v>
      </c>
      <c r="I29" t="s" s="0">
        <v>85</v>
      </c>
      <c r="J29" t="s" s="0">
        <v>978</v>
      </c>
      <c r="K29" t="s" s="0">
        <v>979</v>
      </c>
      <c r="L29" t="s" s="0">
        <v>980</v>
      </c>
      <c r="M29" t="s" s="0">
        <v>981</v>
      </c>
      <c r="N29" t="s" s="0">
        <v>982</v>
      </c>
      <c r="O29" t="s" s="0">
        <v>983</v>
      </c>
      <c r="P29" t="s" s="0">
        <v>984</v>
      </c>
      <c r="Q29" t="s" s="0">
        <v>93</v>
      </c>
      <c r="R29" t="s" s="0">
        <v>84</v>
      </c>
      <c r="S29" t="s" s="0">
        <v>84</v>
      </c>
      <c r="T29" t="s" s="0">
        <v>84</v>
      </c>
      <c r="U29" t="s" s="0">
        <v>84</v>
      </c>
      <c r="V29" t="s" s="0">
        <v>985</v>
      </c>
      <c r="W29" t="s" s="0">
        <v>986</v>
      </c>
      <c r="X29" t="s" s="0">
        <v>84</v>
      </c>
      <c r="Y29" t="s" s="0">
        <v>84</v>
      </c>
      <c r="Z29" t="s" s="0">
        <v>96</v>
      </c>
      <c r="AA29" t="s" s="0">
        <v>145</v>
      </c>
      <c r="AB29" t="s" s="0">
        <v>84</v>
      </c>
      <c r="AC29" t="s" s="0">
        <v>84</v>
      </c>
      <c r="AD29" t="s" s="0">
        <v>84</v>
      </c>
      <c r="AE29" t="s" s="0">
        <v>84</v>
      </c>
      <c r="AF29" t="s" s="0">
        <v>84</v>
      </c>
      <c r="AG29" t="s" s="0">
        <v>987</v>
      </c>
      <c r="AH29" t="s" s="0">
        <v>988</v>
      </c>
      <c r="AI29" t="s" s="0">
        <v>989</v>
      </c>
      <c r="AJ29" t="s" s="0">
        <v>990</v>
      </c>
      <c r="AK29" t="s" s="0">
        <v>84</v>
      </c>
      <c r="AL29" t="s" s="0">
        <v>991</v>
      </c>
      <c r="AM29" t="s" s="0">
        <v>992</v>
      </c>
      <c r="AN29" t="s" s="0">
        <v>437</v>
      </c>
      <c r="AO29" t="s" s="0">
        <v>319</v>
      </c>
      <c r="AP29" t="s" s="0">
        <v>503</v>
      </c>
      <c r="AQ29" t="s" s="0">
        <v>189</v>
      </c>
      <c r="AR29" t="s" s="0">
        <v>190</v>
      </c>
      <c r="AS29" t="s" s="0">
        <v>191</v>
      </c>
      <c r="AT29" t="s" s="0">
        <v>993</v>
      </c>
      <c r="AU29" t="s" s="0">
        <v>994</v>
      </c>
      <c r="AV29" t="s" s="0">
        <v>84</v>
      </c>
      <c r="AW29" t="s" s="0">
        <v>995</v>
      </c>
      <c r="AX29" t="s" s="0">
        <v>996</v>
      </c>
      <c r="AY29" t="s" s="0">
        <v>997</v>
      </c>
      <c r="AZ29" t="s" s="0">
        <v>197</v>
      </c>
      <c r="BA29" t="s" s="0">
        <v>299</v>
      </c>
      <c r="BB29" t="s" s="0">
        <v>80</v>
      </c>
      <c r="BC29" t="s" s="0">
        <v>84</v>
      </c>
      <c r="BD29" t="s" s="0">
        <v>84</v>
      </c>
      <c r="BE29" t="s" s="0">
        <v>84</v>
      </c>
      <c r="BF29" t="s" s="0">
        <v>84</v>
      </c>
      <c r="BG29" t="s" s="0">
        <v>998</v>
      </c>
      <c r="BH29" t="s" s="0">
        <v>999</v>
      </c>
      <c r="BI29" t="s" s="0">
        <v>84</v>
      </c>
      <c r="BJ29" t="s" s="0">
        <v>1000</v>
      </c>
      <c r="BK29" t="s" s="54">
        <f>HYPERLINK("http://dx.doi.org/10.1016/j.annonc.2021.05.806","http://dx.doi.org/10.1016/j.annonc.2021.05.806")</f>
        <v>1001</v>
      </c>
      <c r="BL29" t="s" s="0">
        <v>84</v>
      </c>
      <c r="BM29" t="s" s="0">
        <v>1002</v>
      </c>
      <c r="BN29" t="s" s="0">
        <v>121</v>
      </c>
      <c r="BO29" t="s" s="0">
        <v>122</v>
      </c>
      <c r="BP29" t="s" s="0">
        <v>122</v>
      </c>
      <c r="BQ29" t="s" s="0">
        <v>1003</v>
      </c>
      <c r="BR29" t="s" s="0">
        <v>1004</v>
      </c>
      <c r="BS29" t="s" s="0">
        <v>1005</v>
      </c>
      <c r="BT29" t="s" s="55">
        <f>HYPERLINK("https://www.webofscience.com/wos/woscc/full-record/WOS:000687824100012","View Record in Web of Science")</f>
        <v>126</v>
      </c>
      <c r="BU29" t="s" s="0">
        <v>208</v>
      </c>
      <c r="BV29" t="s" s="0">
        <v>128</v>
      </c>
      <c r="BW29" t="s" s="0">
        <v>129</v>
      </c>
      <c r="BX29" t="s" s="0">
        <v>130</v>
      </c>
    </row>
    <row r="30">
      <c r="A30" t="s" s="0">
        <v>275</v>
      </c>
      <c r="B30" t="s" s="0">
        <v>78</v>
      </c>
      <c r="C30" t="s" s="0">
        <v>867</v>
      </c>
      <c r="D30" t="s" s="0">
        <v>250</v>
      </c>
      <c r="E30" t="s" s="0">
        <v>1006</v>
      </c>
      <c r="F30" t="s" s="0">
        <v>1007</v>
      </c>
      <c r="G30" t="s" s="0">
        <v>1008</v>
      </c>
      <c r="H30" t="s" s="0">
        <v>84</v>
      </c>
      <c r="I30" t="s" s="0">
        <v>283</v>
      </c>
      <c r="J30" t="s" s="0">
        <v>1009</v>
      </c>
      <c r="K30" t="s" s="0">
        <v>84</v>
      </c>
      <c r="L30" t="s" s="0">
        <v>1010</v>
      </c>
      <c r="M30" t="s" s="0">
        <v>1011</v>
      </c>
      <c r="N30" t="s" s="0">
        <v>1012</v>
      </c>
      <c r="O30" t="s" s="0">
        <v>1013</v>
      </c>
      <c r="P30" t="s" s="0">
        <v>1014</v>
      </c>
      <c r="Q30" t="s" s="0">
        <v>93</v>
      </c>
      <c r="R30" t="s" s="0">
        <v>84</v>
      </c>
      <c r="S30" t="s" s="0">
        <v>84</v>
      </c>
      <c r="T30" t="s" s="0">
        <v>84</v>
      </c>
      <c r="U30" t="s" s="0">
        <v>84</v>
      </c>
      <c r="V30" t="s" s="0">
        <v>1015</v>
      </c>
      <c r="W30" t="s" s="0">
        <v>1016</v>
      </c>
      <c r="X30" t="s" s="0">
        <v>84</v>
      </c>
      <c r="Y30" t="s" s="0">
        <v>84</v>
      </c>
      <c r="Z30" t="s" s="0">
        <v>96</v>
      </c>
      <c r="AA30" t="s" s="0">
        <v>145</v>
      </c>
      <c r="AB30" t="s" s="0">
        <v>84</v>
      </c>
      <c r="AC30" t="s" s="0">
        <v>84</v>
      </c>
      <c r="AD30" t="s" s="0">
        <v>84</v>
      </c>
      <c r="AE30" t="s" s="0">
        <v>84</v>
      </c>
      <c r="AF30" t="s" s="0">
        <v>84</v>
      </c>
      <c r="AG30" t="s" s="0">
        <v>1017</v>
      </c>
      <c r="AH30" t="s" s="0">
        <v>1018</v>
      </c>
      <c r="AI30" t="s" s="0">
        <v>1019</v>
      </c>
      <c r="AJ30" t="s" s="0">
        <v>1020</v>
      </c>
      <c r="AK30" t="s" s="0">
        <v>84</v>
      </c>
      <c r="AL30" t="s" s="0">
        <v>1021</v>
      </c>
      <c r="AM30" t="s" s="0">
        <v>868</v>
      </c>
      <c r="AN30" t="s" s="0">
        <v>1022</v>
      </c>
      <c r="AO30" t="s" s="0">
        <v>1023</v>
      </c>
      <c r="AP30" t="s" s="0">
        <v>1024</v>
      </c>
      <c r="AQ30" t="s" s="0">
        <v>400</v>
      </c>
      <c r="AR30" t="s" s="0">
        <v>401</v>
      </c>
      <c r="AS30" t="s" s="0">
        <v>402</v>
      </c>
      <c r="AT30" t="s" s="0">
        <v>1025</v>
      </c>
      <c r="AU30" t="s" s="0">
        <v>1026</v>
      </c>
      <c r="AV30" t="s" s="0">
        <v>84</v>
      </c>
      <c r="AW30" t="s" s="0">
        <v>1016</v>
      </c>
      <c r="AX30" t="s" s="0">
        <v>1027</v>
      </c>
      <c r="AY30" t="s" s="0">
        <v>1028</v>
      </c>
      <c r="AZ30" t="s" s="0">
        <v>197</v>
      </c>
      <c r="BA30" t="s" s="0">
        <v>248</v>
      </c>
      <c r="BB30" t="s" s="0">
        <v>250</v>
      </c>
      <c r="BC30" t="s" s="0">
        <v>84</v>
      </c>
      <c r="BD30" t="s" s="0">
        <v>84</v>
      </c>
      <c r="BE30" t="s" s="0">
        <v>84</v>
      </c>
      <c r="BF30" t="s" s="0">
        <v>84</v>
      </c>
      <c r="BG30" t="s" s="0">
        <v>1029</v>
      </c>
      <c r="BH30" t="s" s="0">
        <v>1030</v>
      </c>
      <c r="BI30" t="s" s="0">
        <v>84</v>
      </c>
      <c r="BJ30" t="s" s="0">
        <v>1031</v>
      </c>
      <c r="BK30" t="s" s="56">
        <f>HYPERLINK("http://dx.doi.org/10.1002/wps.20883","http://dx.doi.org/10.1002/wps.20883")</f>
        <v>1032</v>
      </c>
      <c r="BL30" t="s" s="0">
        <v>84</v>
      </c>
      <c r="BM30" t="s" s="0">
        <v>84</v>
      </c>
      <c r="BN30" t="s" s="0">
        <v>115</v>
      </c>
      <c r="BO30" t="s" s="0">
        <v>1033</v>
      </c>
      <c r="BP30" t="s" s="0">
        <v>1033</v>
      </c>
      <c r="BQ30" t="s" s="0">
        <v>1034</v>
      </c>
      <c r="BR30" t="s" s="0">
        <v>1035</v>
      </c>
      <c r="BS30" t="s" s="0">
        <v>1036</v>
      </c>
      <c r="BT30" t="s" s="57">
        <f>HYPERLINK("https://www.webofscience.com/wos/woscc/full-record/WOS:000694412400003","View Record in Web of Science")</f>
        <v>126</v>
      </c>
      <c r="BU30" t="s" s="0">
        <v>1037</v>
      </c>
      <c r="BV30" t="s" s="0">
        <v>128</v>
      </c>
      <c r="BW30" t="s" s="0">
        <v>129</v>
      </c>
      <c r="BX30" t="s" s="0">
        <v>130</v>
      </c>
    </row>
    <row r="31">
      <c r="A31" t="s" s="0">
        <v>338</v>
      </c>
      <c r="B31" t="s" s="0">
        <v>78</v>
      </c>
      <c r="C31" t="s" s="0">
        <v>1038</v>
      </c>
      <c r="D31" t="s" s="0">
        <v>170</v>
      </c>
      <c r="E31" t="s" s="0">
        <v>1039</v>
      </c>
      <c r="F31" t="s" s="0">
        <v>1040</v>
      </c>
      <c r="G31" t="s" s="0">
        <v>1041</v>
      </c>
      <c r="H31" t="s" s="0">
        <v>84</v>
      </c>
      <c r="I31" t="s" s="0">
        <v>85</v>
      </c>
      <c r="J31" t="s" s="0">
        <v>1042</v>
      </c>
      <c r="K31" t="s" s="0">
        <v>1043</v>
      </c>
      <c r="L31" t="s" s="0">
        <v>1044</v>
      </c>
      <c r="M31" t="s" s="0">
        <v>1045</v>
      </c>
      <c r="N31" t="s" s="0">
        <v>1046</v>
      </c>
      <c r="O31" t="s" s="0">
        <v>1047</v>
      </c>
      <c r="P31" t="s" s="0">
        <v>1048</v>
      </c>
      <c r="Q31" t="s" s="0">
        <v>93</v>
      </c>
      <c r="R31" t="s" s="0">
        <v>84</v>
      </c>
      <c r="S31" t="s" s="0">
        <v>1049</v>
      </c>
      <c r="T31" t="s" s="0">
        <v>84</v>
      </c>
      <c r="U31" t="s" s="0">
        <v>84</v>
      </c>
      <c r="V31" t="s" s="0">
        <v>1050</v>
      </c>
      <c r="W31" t="s" s="0">
        <v>825</v>
      </c>
      <c r="X31" t="s" s="0">
        <v>84</v>
      </c>
      <c r="Y31" t="s" s="0">
        <v>84</v>
      </c>
      <c r="Z31" t="s" s="0">
        <v>96</v>
      </c>
      <c r="AA31" t="s" s="0">
        <v>145</v>
      </c>
      <c r="AB31" t="s" s="0">
        <v>84</v>
      </c>
      <c r="AC31" t="s" s="0">
        <v>84</v>
      </c>
      <c r="AD31" t="s" s="0">
        <v>84</v>
      </c>
      <c r="AE31" t="s" s="0">
        <v>84</v>
      </c>
      <c r="AF31" t="s" s="0">
        <v>84</v>
      </c>
      <c r="AG31" t="s" s="0">
        <v>84</v>
      </c>
      <c r="AH31" t="s" s="0">
        <v>1051</v>
      </c>
      <c r="AI31" t="s" s="0">
        <v>1052</v>
      </c>
      <c r="AJ31" t="s" s="0">
        <v>1053</v>
      </c>
      <c r="AK31" t="s" s="0">
        <v>84</v>
      </c>
      <c r="AL31" t="s" s="0">
        <v>151</v>
      </c>
      <c r="AM31" t="s" s="0">
        <v>1054</v>
      </c>
      <c r="AN31" t="s" s="0">
        <v>1055</v>
      </c>
      <c r="AO31" t="s" s="0">
        <v>250</v>
      </c>
      <c r="AP31" t="s" s="0">
        <v>1056</v>
      </c>
      <c r="AQ31" t="s" s="0">
        <v>106</v>
      </c>
      <c r="AR31" t="s" s="0">
        <v>107</v>
      </c>
      <c r="AS31" t="s" s="0">
        <v>108</v>
      </c>
      <c r="AT31" t="s" s="0">
        <v>84</v>
      </c>
      <c r="AU31" t="s" s="0">
        <v>832</v>
      </c>
      <c r="AV31" t="s" s="0">
        <v>84</v>
      </c>
      <c r="AW31" t="s" s="0">
        <v>833</v>
      </c>
      <c r="AX31" t="s" s="0">
        <v>834</v>
      </c>
      <c r="AY31" t="s" s="0">
        <v>1057</v>
      </c>
      <c r="AZ31" t="s" s="0">
        <v>197</v>
      </c>
      <c r="BA31" t="s" s="0">
        <v>250</v>
      </c>
      <c r="BB31" t="s" s="0">
        <v>250</v>
      </c>
      <c r="BC31" t="s" s="0">
        <v>84</v>
      </c>
      <c r="BD31" t="s" s="0">
        <v>84</v>
      </c>
      <c r="BE31" t="s" s="0">
        <v>84</v>
      </c>
      <c r="BF31" t="s" s="0">
        <v>84</v>
      </c>
      <c r="BG31" t="s" s="0">
        <v>1058</v>
      </c>
      <c r="BH31" t="s" s="0">
        <v>1059</v>
      </c>
      <c r="BI31" t="s" s="0">
        <v>84</v>
      </c>
      <c r="BJ31" t="s" s="0">
        <v>1060</v>
      </c>
      <c r="BK31" t="s" s="58">
        <f>HYPERLINK("http://dx.doi.org/10.1038/s42256-021-00307-0","http://dx.doi.org/10.1038/s42256-021-00307-0")</f>
        <v>1061</v>
      </c>
      <c r="BL31" t="s" s="0">
        <v>84</v>
      </c>
      <c r="BM31" t="s" s="0">
        <v>1057</v>
      </c>
      <c r="BN31" t="s" s="0">
        <v>436</v>
      </c>
      <c r="BO31" t="s" s="0">
        <v>840</v>
      </c>
      <c r="BP31" t="s" s="0">
        <v>205</v>
      </c>
      <c r="BQ31" t="s" s="0">
        <v>1062</v>
      </c>
      <c r="BR31" t="s" s="0">
        <v>84</v>
      </c>
      <c r="BS31" t="s" s="0">
        <v>1063</v>
      </c>
      <c r="BT31" t="s" s="59">
        <f>HYPERLINK("https://www.webofscience.com/wos/woscc/full-record/WOS:000630122800002","View Record in Web of Science")</f>
        <v>126</v>
      </c>
      <c r="BU31" t="s" s="0">
        <v>941</v>
      </c>
      <c r="BV31" t="s" s="0">
        <v>128</v>
      </c>
      <c r="BW31" t="s" s="0">
        <v>129</v>
      </c>
      <c r="BX31" t="s" s="0">
        <v>130</v>
      </c>
    </row>
    <row r="32">
      <c r="A32" t="s" s="0">
        <v>239</v>
      </c>
      <c r="B32" t="s" s="0">
        <v>78</v>
      </c>
      <c r="C32" t="s" s="0">
        <v>1064</v>
      </c>
      <c r="D32" t="s" s="0">
        <v>78</v>
      </c>
      <c r="E32" t="s" s="0">
        <v>1065</v>
      </c>
      <c r="F32" t="s" s="0">
        <v>1066</v>
      </c>
      <c r="G32" t="s" s="0">
        <v>1067</v>
      </c>
      <c r="H32" t="s" s="0">
        <v>84</v>
      </c>
      <c r="I32" t="s" s="0">
        <v>85</v>
      </c>
      <c r="J32" t="s" s="0">
        <v>1068</v>
      </c>
      <c r="K32" t="s" s="0">
        <v>1069</v>
      </c>
      <c r="L32" t="s" s="0">
        <v>1070</v>
      </c>
      <c r="M32" t="s" s="0">
        <v>1071</v>
      </c>
      <c r="N32" t="s" s="0">
        <v>1072</v>
      </c>
      <c r="O32" t="s" s="0">
        <v>1073</v>
      </c>
      <c r="P32" t="s" s="0">
        <v>1074</v>
      </c>
      <c r="Q32" t="s" s="0">
        <v>93</v>
      </c>
      <c r="R32" t="s" s="0">
        <v>84</v>
      </c>
      <c r="S32" t="s" s="0">
        <v>1075</v>
      </c>
      <c r="T32" t="s" s="0">
        <v>84</v>
      </c>
      <c r="U32" t="s" s="0">
        <v>84</v>
      </c>
      <c r="V32" t="s" s="0">
        <v>1076</v>
      </c>
      <c r="W32" t="s" s="0">
        <v>1077</v>
      </c>
      <c r="X32" t="s" s="0">
        <v>84</v>
      </c>
      <c r="Y32" t="s" s="0">
        <v>84</v>
      </c>
      <c r="Z32" t="s" s="0">
        <v>96</v>
      </c>
      <c r="AA32" t="s" s="0">
        <v>145</v>
      </c>
      <c r="AB32" t="s" s="0">
        <v>84</v>
      </c>
      <c r="AC32" t="s" s="0">
        <v>84</v>
      </c>
      <c r="AD32" t="s" s="0">
        <v>84</v>
      </c>
      <c r="AE32" t="s" s="0">
        <v>84</v>
      </c>
      <c r="AF32" t="s" s="0">
        <v>84</v>
      </c>
      <c r="AG32" t="s" s="0">
        <v>84</v>
      </c>
      <c r="AH32" t="s" s="0">
        <v>1078</v>
      </c>
      <c r="AI32" t="s" s="0">
        <v>1079</v>
      </c>
      <c r="AJ32" t="s" s="0">
        <v>1080</v>
      </c>
      <c r="AK32" t="s" s="0">
        <v>84</v>
      </c>
      <c r="AL32" t="s" s="0">
        <v>677</v>
      </c>
      <c r="AM32" t="s" s="0">
        <v>1081</v>
      </c>
      <c r="AN32" t="s" s="0">
        <v>1082</v>
      </c>
      <c r="AO32" t="s" s="0">
        <v>371</v>
      </c>
      <c r="AP32" t="s" s="0">
        <v>577</v>
      </c>
      <c r="AQ32" t="s" s="0">
        <v>106</v>
      </c>
      <c r="AR32" t="s" s="0">
        <v>107</v>
      </c>
      <c r="AS32" t="s" s="0">
        <v>108</v>
      </c>
      <c r="AT32" t="s" s="0">
        <v>1083</v>
      </c>
      <c r="AU32" t="s" s="0">
        <v>1084</v>
      </c>
      <c r="AV32" t="s" s="0">
        <v>84</v>
      </c>
      <c r="AW32" t="s" s="0">
        <v>1077</v>
      </c>
      <c r="AX32" t="s" s="0">
        <v>1085</v>
      </c>
      <c r="AY32" t="s" s="0">
        <v>1086</v>
      </c>
      <c r="AZ32" t="s" s="0">
        <v>228</v>
      </c>
      <c r="BA32" t="s" s="0">
        <v>1087</v>
      </c>
      <c r="BB32" t="s" s="0">
        <v>1088</v>
      </c>
      <c r="BC32" t="s" s="0">
        <v>84</v>
      </c>
      <c r="BD32" t="s" s="0">
        <v>84</v>
      </c>
      <c r="BE32" t="s" s="0">
        <v>84</v>
      </c>
      <c r="BF32" t="s" s="0">
        <v>84</v>
      </c>
      <c r="BG32" t="s" s="0">
        <v>1089</v>
      </c>
      <c r="BH32" t="s" s="0">
        <v>272</v>
      </c>
      <c r="BI32" t="s" s="0">
        <v>84</v>
      </c>
      <c r="BJ32" t="s" s="0">
        <v>1090</v>
      </c>
      <c r="BK32" t="s" s="60">
        <f>HYPERLINK("http://dx.doi.org/10.1038/s41586-023-06555-x","http://dx.doi.org/10.1038/s41586-023-06555-x")</f>
        <v>1091</v>
      </c>
      <c r="BL32" t="s" s="0">
        <v>84</v>
      </c>
      <c r="BM32" t="s" s="0">
        <v>1092</v>
      </c>
      <c r="BN32" t="s" s="0">
        <v>417</v>
      </c>
      <c r="BO32" t="s" s="0">
        <v>163</v>
      </c>
      <c r="BP32" t="s" s="0">
        <v>164</v>
      </c>
      <c r="BQ32" t="s" s="0">
        <v>1093</v>
      </c>
      <c r="BR32" t="s" s="0">
        <v>1094</v>
      </c>
      <c r="BS32" t="s" s="0">
        <v>1095</v>
      </c>
      <c r="BT32" t="s" s="61">
        <f>HYPERLINK("https://www.webofscience.com/wos/woscc/full-record/WOS:001078664900019","View Record in Web of Science")</f>
        <v>126</v>
      </c>
      <c r="BU32" t="s" s="0">
        <v>941</v>
      </c>
      <c r="BV32" t="s" s="0">
        <v>128</v>
      </c>
      <c r="BW32" t="s" s="0">
        <v>129</v>
      </c>
      <c r="BX32" t="s" s="0">
        <v>130</v>
      </c>
    </row>
    <row r="33">
      <c r="A33" t="s" s="0">
        <v>275</v>
      </c>
      <c r="B33" t="s" s="0">
        <v>78</v>
      </c>
      <c r="C33" t="s" s="0">
        <v>1096</v>
      </c>
      <c r="D33" t="s" s="0">
        <v>211</v>
      </c>
      <c r="E33" t="s" s="0">
        <v>1097</v>
      </c>
      <c r="F33" t="s" s="0">
        <v>1098</v>
      </c>
      <c r="G33" t="s" s="0">
        <v>1099</v>
      </c>
      <c r="H33" t="s" s="0">
        <v>84</v>
      </c>
      <c r="I33" t="s" s="0">
        <v>1100</v>
      </c>
      <c r="J33" t="s" s="0">
        <v>1101</v>
      </c>
      <c r="K33" t="s" s="0">
        <v>1102</v>
      </c>
      <c r="L33" t="s" s="0">
        <v>84</v>
      </c>
      <c r="M33" t="s" s="0">
        <v>84</v>
      </c>
      <c r="N33" t="s" s="0">
        <v>84</v>
      </c>
      <c r="O33" t="s" s="0">
        <v>1103</v>
      </c>
      <c r="P33" t="s" s="0">
        <v>1104</v>
      </c>
      <c r="Q33" t="s" s="0">
        <v>93</v>
      </c>
      <c r="R33" t="s" s="0">
        <v>84</v>
      </c>
      <c r="S33" t="s" s="0">
        <v>84</v>
      </c>
      <c r="T33" t="s" s="0">
        <v>84</v>
      </c>
      <c r="U33" t="s" s="0">
        <v>1105</v>
      </c>
      <c r="V33" t="s" s="0">
        <v>1106</v>
      </c>
      <c r="W33" t="s" s="0">
        <v>1107</v>
      </c>
      <c r="X33" t="s" s="0">
        <v>1108</v>
      </c>
      <c r="Y33" t="s" s="0">
        <v>84</v>
      </c>
      <c r="Z33" t="s" s="0">
        <v>96</v>
      </c>
      <c r="AA33" t="s" s="0">
        <v>1109</v>
      </c>
      <c r="AB33" t="s" s="0">
        <v>84</v>
      </c>
      <c r="AC33" t="s" s="0">
        <v>84</v>
      </c>
      <c r="AD33" t="s" s="0">
        <v>84</v>
      </c>
      <c r="AE33" t="s" s="0">
        <v>84</v>
      </c>
      <c r="AF33" t="s" s="0">
        <v>84</v>
      </c>
      <c r="AG33" t="s" s="0">
        <v>1110</v>
      </c>
      <c r="AH33" t="s" s="0">
        <v>1111</v>
      </c>
      <c r="AI33" t="s" s="0">
        <v>1112</v>
      </c>
      <c r="AJ33" t="s" s="0">
        <v>1113</v>
      </c>
      <c r="AK33" t="s" s="0">
        <v>84</v>
      </c>
      <c r="AL33" t="s" s="0">
        <v>1114</v>
      </c>
      <c r="AM33" t="s" s="0">
        <v>1115</v>
      </c>
      <c r="AN33" t="s" s="0">
        <v>1116</v>
      </c>
      <c r="AO33" t="s" s="0">
        <v>539</v>
      </c>
      <c r="AP33" t="s" s="0">
        <v>1117</v>
      </c>
      <c r="AQ33" t="s" s="0">
        <v>1118</v>
      </c>
      <c r="AR33" t="s" s="0">
        <v>1119</v>
      </c>
      <c r="AS33" t="s" s="0">
        <v>1120</v>
      </c>
      <c r="AT33" t="s" s="0">
        <v>1121</v>
      </c>
      <c r="AU33" t="s" s="0">
        <v>84</v>
      </c>
      <c r="AV33" t="s" s="0">
        <v>84</v>
      </c>
      <c r="AW33" t="s" s="0">
        <v>1122</v>
      </c>
      <c r="AX33" t="s" s="0">
        <v>1123</v>
      </c>
      <c r="AY33" t="s" s="0">
        <v>114</v>
      </c>
      <c r="AZ33" t="s" s="0">
        <v>114</v>
      </c>
      <c r="BA33" t="s" s="0">
        <v>502</v>
      </c>
      <c r="BB33" t="s" s="0">
        <v>84</v>
      </c>
      <c r="BC33" t="s" s="0">
        <v>84</v>
      </c>
      <c r="BD33" t="s" s="0">
        <v>84</v>
      </c>
      <c r="BE33" t="s" s="0">
        <v>84</v>
      </c>
      <c r="BF33" t="s" s="0">
        <v>84</v>
      </c>
      <c r="BG33" t="s" s="0">
        <v>1124</v>
      </c>
      <c r="BH33" t="s" s="0">
        <v>1125</v>
      </c>
      <c r="BI33" t="s" s="0">
        <v>84</v>
      </c>
      <c r="BJ33" t="s" s="0">
        <v>1126</v>
      </c>
      <c r="BK33" t="s" s="62">
        <f>HYPERLINK("http://dx.doi.org/10.1146/annurev-clinpsy-032816045037","http://dx.doi.org/10.1146/annurev-clinpsy-032816045037")</f>
        <v>1127</v>
      </c>
      <c r="BL33" t="s" s="0">
        <v>84</v>
      </c>
      <c r="BM33" t="s" s="0">
        <v>84</v>
      </c>
      <c r="BN33" t="s" s="0">
        <v>238</v>
      </c>
      <c r="BO33" t="s" s="0">
        <v>1128</v>
      </c>
      <c r="BP33" t="s" s="0">
        <v>1129</v>
      </c>
      <c r="BQ33" t="s" s="0">
        <v>1130</v>
      </c>
      <c r="BR33" t="s" s="0">
        <v>1131</v>
      </c>
      <c r="BS33" t="s" s="0">
        <v>1132</v>
      </c>
      <c r="BT33" t="s" s="63">
        <f>HYPERLINK("https://www.webofscience.com/wos/woscc/full-record/WOS:000433057100004","View Record in Web of Science")</f>
        <v>126</v>
      </c>
      <c r="BU33" t="s" s="0">
        <v>84</v>
      </c>
      <c r="BV33" t="s" s="0">
        <v>128</v>
      </c>
      <c r="BW33" t="s" s="0">
        <v>129</v>
      </c>
      <c r="BX33" t="s" s="0">
        <v>130</v>
      </c>
    </row>
    <row r="34">
      <c r="A34" t="s" s="0">
        <v>338</v>
      </c>
      <c r="B34" t="s" s="0">
        <v>78</v>
      </c>
      <c r="C34" t="s" s="0">
        <v>1133</v>
      </c>
      <c r="D34" t="s" s="0">
        <v>78</v>
      </c>
      <c r="E34" t="s" s="0">
        <v>1134</v>
      </c>
      <c r="F34" t="s" s="0">
        <v>1135</v>
      </c>
      <c r="G34" t="s" s="0">
        <v>1136</v>
      </c>
      <c r="H34" t="s" s="0">
        <v>84</v>
      </c>
      <c r="I34" t="s" s="0">
        <v>283</v>
      </c>
      <c r="J34" t="s" s="0">
        <v>1137</v>
      </c>
      <c r="K34" t="s" s="0">
        <v>1138</v>
      </c>
      <c r="L34" t="s" s="0">
        <v>1139</v>
      </c>
      <c r="M34" t="s" s="0">
        <v>1140</v>
      </c>
      <c r="N34" t="s" s="0">
        <v>1141</v>
      </c>
      <c r="O34" t="s" s="0">
        <v>1142</v>
      </c>
      <c r="P34" t="s" s="0">
        <v>1143</v>
      </c>
      <c r="Q34" t="s" s="0">
        <v>93</v>
      </c>
      <c r="R34" t="s" s="0">
        <v>84</v>
      </c>
      <c r="S34" t="s" s="0">
        <v>84</v>
      </c>
      <c r="T34" t="s" s="0">
        <v>84</v>
      </c>
      <c r="U34" t="s" s="0">
        <v>84</v>
      </c>
      <c r="V34" t="s" s="0">
        <v>1144</v>
      </c>
      <c r="W34" t="s" s="0">
        <v>1145</v>
      </c>
      <c r="X34" t="s" s="0">
        <v>84</v>
      </c>
      <c r="Y34" t="s" s="0">
        <v>84</v>
      </c>
      <c r="Z34" t="s" s="0">
        <v>96</v>
      </c>
      <c r="AA34" t="s" s="0">
        <v>97</v>
      </c>
      <c r="AB34" t="s" s="0">
        <v>84</v>
      </c>
      <c r="AC34" t="s" s="0">
        <v>84</v>
      </c>
      <c r="AD34" t="s" s="0">
        <v>84</v>
      </c>
      <c r="AE34" t="s" s="0">
        <v>84</v>
      </c>
      <c r="AF34" t="s" s="0">
        <v>84</v>
      </c>
      <c r="AG34" t="s" s="0">
        <v>84</v>
      </c>
      <c r="AH34" t="s" s="0">
        <v>1146</v>
      </c>
      <c r="AI34" t="s" s="0">
        <v>1147</v>
      </c>
      <c r="AJ34" t="s" s="0">
        <v>1148</v>
      </c>
      <c r="AK34" t="s" s="0">
        <v>84</v>
      </c>
      <c r="AL34" t="s" s="0">
        <v>1149</v>
      </c>
      <c r="AM34" t="s" s="0">
        <v>1150</v>
      </c>
      <c r="AN34" t="s" s="0">
        <v>1151</v>
      </c>
      <c r="AO34" t="s" s="0">
        <v>211</v>
      </c>
      <c r="AP34" t="s" s="0">
        <v>752</v>
      </c>
      <c r="AQ34" t="s" s="0">
        <v>1152</v>
      </c>
      <c r="AR34" t="s" s="0">
        <v>1153</v>
      </c>
      <c r="AS34" t="s" s="0">
        <v>1154</v>
      </c>
      <c r="AT34" t="s" s="0">
        <v>1155</v>
      </c>
      <c r="AU34" t="s" s="0">
        <v>84</v>
      </c>
      <c r="AV34" t="s" s="0">
        <v>84</v>
      </c>
      <c r="AW34" t="s" s="0">
        <v>1145</v>
      </c>
      <c r="AX34" t="s" s="0">
        <v>1156</v>
      </c>
      <c r="AY34" t="s" s="0">
        <v>873</v>
      </c>
      <c r="AZ34" t="s" s="0">
        <v>476</v>
      </c>
      <c r="BA34" t="s" s="0">
        <v>1157</v>
      </c>
      <c r="BB34" t="s" s="0">
        <v>159</v>
      </c>
      <c r="BC34" t="s" s="0">
        <v>84</v>
      </c>
      <c r="BD34" t="s" s="0">
        <v>84</v>
      </c>
      <c r="BE34" t="s" s="0">
        <v>84</v>
      </c>
      <c r="BF34" t="s" s="0">
        <v>84</v>
      </c>
      <c r="BG34" t="s" s="0">
        <v>453</v>
      </c>
      <c r="BH34" t="s" s="0">
        <v>158</v>
      </c>
      <c r="BI34" t="s" s="0">
        <v>84</v>
      </c>
      <c r="BJ34" t="s" s="0">
        <v>1158</v>
      </c>
      <c r="BK34" t="s" s="64">
        <f>HYPERLINK("http://dx.doi.org/10.1148/radiol.2020192224","http://dx.doi.org/10.1148/radiol.2020192224")</f>
        <v>1159</v>
      </c>
      <c r="BL34" t="s" s="0">
        <v>84</v>
      </c>
      <c r="BM34" t="s" s="0">
        <v>84</v>
      </c>
      <c r="BN34" t="s" s="0">
        <v>275</v>
      </c>
      <c r="BO34" t="s" s="0">
        <v>447</v>
      </c>
      <c r="BP34" t="s" s="0">
        <v>447</v>
      </c>
      <c r="BQ34" t="s" s="0">
        <v>1160</v>
      </c>
      <c r="BR34" t="s" s="0">
        <v>1161</v>
      </c>
      <c r="BS34" t="s" s="0">
        <v>1162</v>
      </c>
      <c r="BT34" t="s" s="65">
        <f>HYPERLINK("https://www.webofscience.com/wos/woscc/full-record/WOS:000520166000002","View Record in Web of Science")</f>
        <v>126</v>
      </c>
      <c r="BU34" t="s" s="0">
        <v>127</v>
      </c>
      <c r="BV34" t="s" s="0">
        <v>128</v>
      </c>
      <c r="BW34" t="s" s="0">
        <v>129</v>
      </c>
      <c r="BX34" t="s" s="0">
        <v>130</v>
      </c>
    </row>
    <row r="35">
      <c r="A35" t="s" s="0">
        <v>270</v>
      </c>
      <c r="B35" t="s" s="0">
        <v>78</v>
      </c>
      <c r="C35" t="s" s="0">
        <v>275</v>
      </c>
      <c r="D35" t="s" s="0">
        <v>78</v>
      </c>
      <c r="E35" t="s" s="0">
        <v>1163</v>
      </c>
      <c r="F35" t="s" s="0">
        <v>1164</v>
      </c>
      <c r="G35" t="s" s="0">
        <v>1165</v>
      </c>
      <c r="H35" t="s" s="0">
        <v>84</v>
      </c>
      <c r="I35" t="s" s="0">
        <v>85</v>
      </c>
      <c r="J35" t="s" s="0">
        <v>1166</v>
      </c>
      <c r="K35" t="s" s="0">
        <v>1167</v>
      </c>
      <c r="L35" t="s" s="0">
        <v>1168</v>
      </c>
      <c r="M35" t="s" s="0">
        <v>1169</v>
      </c>
      <c r="N35" t="s" s="0">
        <v>1170</v>
      </c>
      <c r="O35" t="s" s="0">
        <v>1171</v>
      </c>
      <c r="P35" t="s" s="0">
        <v>1172</v>
      </c>
      <c r="Q35" t="s" s="0">
        <v>93</v>
      </c>
      <c r="R35" t="s" s="0">
        <v>84</v>
      </c>
      <c r="S35" t="s" s="0">
        <v>84</v>
      </c>
      <c r="T35" t="s" s="0">
        <v>84</v>
      </c>
      <c r="U35" t="s" s="0">
        <v>84</v>
      </c>
      <c r="V35" t="s" s="0">
        <v>1173</v>
      </c>
      <c r="W35" t="s" s="0">
        <v>1174</v>
      </c>
      <c r="X35" t="s" s="0">
        <v>84</v>
      </c>
      <c r="Y35" t="s" s="0">
        <v>84</v>
      </c>
      <c r="Z35" t="s" s="0">
        <v>96</v>
      </c>
      <c r="AA35" t="s" s="0">
        <v>145</v>
      </c>
      <c r="AB35" t="s" s="0">
        <v>84</v>
      </c>
      <c r="AC35" t="s" s="0">
        <v>84</v>
      </c>
      <c r="AD35" t="s" s="0">
        <v>84</v>
      </c>
      <c r="AE35" t="s" s="0">
        <v>84</v>
      </c>
      <c r="AF35" t="s" s="0">
        <v>84</v>
      </c>
      <c r="AG35" t="s" s="0">
        <v>1175</v>
      </c>
      <c r="AH35" t="s" s="0">
        <v>1176</v>
      </c>
      <c r="AI35" t="s" s="0">
        <v>1177</v>
      </c>
      <c r="AJ35" t="s" s="0">
        <v>1178</v>
      </c>
      <c r="AK35" t="s" s="0">
        <v>84</v>
      </c>
      <c r="AL35" t="s" s="0">
        <v>1064</v>
      </c>
      <c r="AM35" t="s" s="0">
        <v>1179</v>
      </c>
      <c r="AN35" t="s" s="0">
        <v>1180</v>
      </c>
      <c r="AO35" t="s" s="0">
        <v>1181</v>
      </c>
      <c r="AP35" t="s" s="0">
        <v>1182</v>
      </c>
      <c r="AQ35" t="s" s="0">
        <v>1183</v>
      </c>
      <c r="AR35" t="s" s="0">
        <v>1184</v>
      </c>
      <c r="AS35" t="s" s="0">
        <v>1185</v>
      </c>
      <c r="AT35" t="s" s="0">
        <v>84</v>
      </c>
      <c r="AU35" t="s" s="0">
        <v>1186</v>
      </c>
      <c r="AV35" t="s" s="0">
        <v>84</v>
      </c>
      <c r="AW35" t="s" s="0">
        <v>1187</v>
      </c>
      <c r="AX35" t="s" s="0">
        <v>1188</v>
      </c>
      <c r="AY35" t="s" s="0">
        <v>237</v>
      </c>
      <c r="AZ35" t="s" s="0">
        <v>237</v>
      </c>
      <c r="BA35" t="s" s="0">
        <v>270</v>
      </c>
      <c r="BB35" t="s" s="0">
        <v>453</v>
      </c>
      <c r="BC35" t="s" s="0">
        <v>84</v>
      </c>
      <c r="BD35" t="s" s="0">
        <v>84</v>
      </c>
      <c r="BE35" t="s" s="0">
        <v>84</v>
      </c>
      <c r="BF35" t="s" s="0">
        <v>84</v>
      </c>
      <c r="BG35" t="s" s="0">
        <v>1189</v>
      </c>
      <c r="BH35" t="s" s="0">
        <v>1190</v>
      </c>
      <c r="BI35" t="s" s="0">
        <v>84</v>
      </c>
      <c r="BJ35" t="s" s="0">
        <v>1191</v>
      </c>
      <c r="BK35" t="s" s="66">
        <f>HYPERLINK("http://dx.doi.org/10.1109/COMST.2022.3208773","http://dx.doi.org/10.1109/COMST.2022.3208773")</f>
        <v>1192</v>
      </c>
      <c r="BL35" t="s" s="0">
        <v>84</v>
      </c>
      <c r="BM35" t="s" s="0">
        <v>84</v>
      </c>
      <c r="BN35" t="s" s="0">
        <v>104</v>
      </c>
      <c r="BO35" t="s" s="0">
        <v>1193</v>
      </c>
      <c r="BP35" t="s" s="0">
        <v>1194</v>
      </c>
      <c r="BQ35" t="s" s="0">
        <v>1195</v>
      </c>
      <c r="BR35" t="s" s="0">
        <v>84</v>
      </c>
      <c r="BS35" t="s" s="0">
        <v>1196</v>
      </c>
      <c r="BT35" t="s" s="67">
        <f>HYPERLINK("https://www.webofscience.com/wos/woscc/full-record/WOS:000923685400011","View Record in Web of Science")</f>
        <v>126</v>
      </c>
      <c r="BU35" t="s" s="0">
        <v>127</v>
      </c>
      <c r="BV35" t="s" s="0">
        <v>128</v>
      </c>
      <c r="BW35" t="s" s="0">
        <v>129</v>
      </c>
      <c r="BX35" t="s" s="0">
        <v>130</v>
      </c>
    </row>
    <row r="36">
      <c r="A36" t="s" s="0">
        <v>319</v>
      </c>
      <c r="B36" t="s" s="0">
        <v>78</v>
      </c>
      <c r="C36" t="s" s="0">
        <v>830</v>
      </c>
      <c r="D36" t="s" s="0">
        <v>78</v>
      </c>
      <c r="E36" t="s" s="0">
        <v>1197</v>
      </c>
      <c r="F36" t="s" s="0">
        <v>1198</v>
      </c>
      <c r="G36" t="s" s="0">
        <v>1199</v>
      </c>
      <c r="H36" t="s" s="0">
        <v>84</v>
      </c>
      <c r="I36" t="s" s="0">
        <v>1200</v>
      </c>
      <c r="J36" t="s" s="0">
        <v>1201</v>
      </c>
      <c r="K36" t="s" s="0">
        <v>1202</v>
      </c>
      <c r="L36" t="s" s="0">
        <v>1203</v>
      </c>
      <c r="M36" t="s" s="0">
        <v>1204</v>
      </c>
      <c r="N36" t="s" s="0">
        <v>1205</v>
      </c>
      <c r="O36" t="s" s="0">
        <v>1206</v>
      </c>
      <c r="P36" t="s" s="0">
        <v>1207</v>
      </c>
      <c r="Q36" t="s" s="0">
        <v>1208</v>
      </c>
      <c r="R36" t="s" s="0">
        <v>84</v>
      </c>
      <c r="S36" t="s" s="0">
        <v>84</v>
      </c>
      <c r="T36" t="s" s="0">
        <v>1209</v>
      </c>
      <c r="U36" t="s" s="0">
        <v>84</v>
      </c>
      <c r="V36" t="s" s="0">
        <v>1210</v>
      </c>
      <c r="W36" t="s" s="0">
        <v>1211</v>
      </c>
      <c r="X36" t="s" s="0">
        <v>84</v>
      </c>
      <c r="Y36" t="s" s="0">
        <v>84</v>
      </c>
      <c r="Z36" t="s" s="0">
        <v>96</v>
      </c>
      <c r="AA36" t="s" s="0">
        <v>1212</v>
      </c>
      <c r="AB36" t="s" s="0">
        <v>1213</v>
      </c>
      <c r="AC36" t="s" s="0">
        <v>1214</v>
      </c>
      <c r="AD36" t="s" s="0">
        <v>1215</v>
      </c>
      <c r="AE36" t="s" s="0">
        <v>1216</v>
      </c>
      <c r="AF36" t="s" s="0">
        <v>84</v>
      </c>
      <c r="AG36" t="s" s="0">
        <v>1217</v>
      </c>
      <c r="AH36" t="s" s="0">
        <v>84</v>
      </c>
      <c r="AI36" t="s" s="0">
        <v>84</v>
      </c>
      <c r="AJ36" t="s" s="0">
        <v>1218</v>
      </c>
      <c r="AK36" t="s" s="0">
        <v>84</v>
      </c>
      <c r="AL36" t="s" s="0">
        <v>371</v>
      </c>
      <c r="AM36" t="s" s="0">
        <v>1219</v>
      </c>
      <c r="AN36" t="s" s="0">
        <v>1220</v>
      </c>
      <c r="AO36" t="s" s="0">
        <v>159</v>
      </c>
      <c r="AP36" t="s" s="0">
        <v>365</v>
      </c>
      <c r="AQ36" t="s" s="0">
        <v>1221</v>
      </c>
      <c r="AR36" t="s" s="0">
        <v>682</v>
      </c>
      <c r="AS36" t="s" s="0">
        <v>1222</v>
      </c>
      <c r="AT36" t="s" s="0">
        <v>84</v>
      </c>
      <c r="AU36" t="s" s="0">
        <v>84</v>
      </c>
      <c r="AV36" t="s" s="0">
        <v>1223</v>
      </c>
      <c r="AW36" t="s" s="0">
        <v>84</v>
      </c>
      <c r="AX36" t="s" s="0">
        <v>84</v>
      </c>
      <c r="AY36" t="s" s="0">
        <v>476</v>
      </c>
      <c r="AZ36" t="s" s="0">
        <v>476</v>
      </c>
      <c r="BA36" t="s" s="0">
        <v>84</v>
      </c>
      <c r="BB36" t="s" s="0">
        <v>84</v>
      </c>
      <c r="BC36" t="s" s="0">
        <v>84</v>
      </c>
      <c r="BD36" t="s" s="0">
        <v>84</v>
      </c>
      <c r="BE36" t="s" s="0">
        <v>84</v>
      </c>
      <c r="BF36" t="s" s="0">
        <v>84</v>
      </c>
      <c r="BG36" t="s" s="0">
        <v>1224</v>
      </c>
      <c r="BH36" t="s" s="0">
        <v>1225</v>
      </c>
      <c r="BI36" t="s" s="0">
        <v>84</v>
      </c>
      <c r="BJ36" t="s" s="0">
        <v>1226</v>
      </c>
      <c r="BK36" t="s" s="68">
        <f>HYPERLINK("http://dx.doi.org/10.1145/3375627.3375830","http://dx.doi.org/10.1145/3375627.3375830")</f>
        <v>1227</v>
      </c>
      <c r="BL36" t="s" s="0">
        <v>84</v>
      </c>
      <c r="BM36" t="s" s="0">
        <v>84</v>
      </c>
      <c r="BN36" t="s" s="0">
        <v>344</v>
      </c>
      <c r="BO36" t="s" s="0">
        <v>1228</v>
      </c>
      <c r="BP36" t="s" s="0">
        <v>1229</v>
      </c>
      <c r="BQ36" t="s" s="0">
        <v>1230</v>
      </c>
      <c r="BR36" t="s" s="0">
        <v>84</v>
      </c>
      <c r="BS36" t="s" s="0">
        <v>1231</v>
      </c>
      <c r="BT36" t="s" s="69">
        <f>HYPERLINK("https://www.webofscience.com/wos/woscc/full-record/WOS:001108779100037","View Record in Web of Science")</f>
        <v>126</v>
      </c>
      <c r="BU36" t="s" s="0">
        <v>1232</v>
      </c>
      <c r="BV36" t="s" s="0">
        <v>84</v>
      </c>
      <c r="BW36" t="s" s="0">
        <v>84</v>
      </c>
      <c r="BX36" t="s" s="0">
        <v>130</v>
      </c>
    </row>
    <row r="37">
      <c r="A37" t="s" s="0">
        <v>319</v>
      </c>
      <c r="B37" t="s" s="0">
        <v>78</v>
      </c>
      <c r="C37" t="s" s="0">
        <v>1233</v>
      </c>
      <c r="D37" t="s" s="0">
        <v>170</v>
      </c>
      <c r="E37" t="s" s="0">
        <v>1234</v>
      </c>
      <c r="F37" t="s" s="0">
        <v>1235</v>
      </c>
      <c r="G37" t="s" s="0">
        <v>1236</v>
      </c>
      <c r="H37" t="s" s="0">
        <v>84</v>
      </c>
      <c r="I37" t="s" s="0">
        <v>283</v>
      </c>
      <c r="J37" t="s" s="0">
        <v>1237</v>
      </c>
      <c r="K37" t="s" s="0">
        <v>1238</v>
      </c>
      <c r="L37" t="s" s="0">
        <v>84</v>
      </c>
      <c r="M37" t="s" s="0">
        <v>84</v>
      </c>
      <c r="N37" t="s" s="0">
        <v>84</v>
      </c>
      <c r="O37" t="s" s="0">
        <v>1239</v>
      </c>
      <c r="P37" t="s" s="0">
        <v>1240</v>
      </c>
      <c r="Q37" t="s" s="0">
        <v>93</v>
      </c>
      <c r="R37" t="s" s="0">
        <v>84</v>
      </c>
      <c r="S37" t="s" s="0">
        <v>84</v>
      </c>
      <c r="T37" t="s" s="0">
        <v>84</v>
      </c>
      <c r="U37" t="s" s="0">
        <v>84</v>
      </c>
      <c r="V37" t="s" s="0">
        <v>1241</v>
      </c>
      <c r="W37" t="s" s="0">
        <v>223</v>
      </c>
      <c r="X37" t="s" s="0">
        <v>84</v>
      </c>
      <c r="Y37" t="s" s="0">
        <v>84</v>
      </c>
      <c r="Z37" t="s" s="0">
        <v>96</v>
      </c>
      <c r="AA37" t="s" s="0">
        <v>145</v>
      </c>
      <c r="AB37" t="s" s="0">
        <v>84</v>
      </c>
      <c r="AC37" t="s" s="0">
        <v>84</v>
      </c>
      <c r="AD37" t="s" s="0">
        <v>84</v>
      </c>
      <c r="AE37" t="s" s="0">
        <v>84</v>
      </c>
      <c r="AF37" t="s" s="0">
        <v>84</v>
      </c>
      <c r="AG37" t="s" s="0">
        <v>84</v>
      </c>
      <c r="AH37" t="s" s="0">
        <v>84</v>
      </c>
      <c r="AI37" t="s" s="0">
        <v>1242</v>
      </c>
      <c r="AJ37" t="s" s="0">
        <v>1243</v>
      </c>
      <c r="AK37" t="s" s="0">
        <v>84</v>
      </c>
      <c r="AL37" t="s" s="0">
        <v>270</v>
      </c>
      <c r="AM37" t="s" s="0">
        <v>1244</v>
      </c>
      <c r="AN37" t="s" s="0">
        <v>1245</v>
      </c>
      <c r="AO37" t="s" s="0">
        <v>344</v>
      </c>
      <c r="AP37" t="s" s="0">
        <v>1246</v>
      </c>
      <c r="AQ37" t="s" s="0">
        <v>106</v>
      </c>
      <c r="AR37" t="s" s="0">
        <v>107</v>
      </c>
      <c r="AS37" t="s" s="0">
        <v>108</v>
      </c>
      <c r="AT37" t="s" s="0">
        <v>232</v>
      </c>
      <c r="AU37" t="s" s="0">
        <v>233</v>
      </c>
      <c r="AV37" t="s" s="0">
        <v>84</v>
      </c>
      <c r="AW37" t="s" s="0">
        <v>234</v>
      </c>
      <c r="AX37" t="s" s="0">
        <v>235</v>
      </c>
      <c r="AY37" t="s" s="0">
        <v>1247</v>
      </c>
      <c r="AZ37" t="s" s="0">
        <v>307</v>
      </c>
      <c r="BA37" t="s" s="0">
        <v>371</v>
      </c>
      <c r="BB37" t="s" s="0">
        <v>80</v>
      </c>
      <c r="BC37" t="s" s="0">
        <v>84</v>
      </c>
      <c r="BD37" t="s" s="0">
        <v>84</v>
      </c>
      <c r="BE37" t="s" s="0">
        <v>84</v>
      </c>
      <c r="BF37" t="s" s="0">
        <v>84</v>
      </c>
      <c r="BG37" t="s" s="0">
        <v>1248</v>
      </c>
      <c r="BH37" t="s" s="0">
        <v>1249</v>
      </c>
      <c r="BI37" t="s" s="0">
        <v>84</v>
      </c>
      <c r="BJ37" t="s" s="0">
        <v>1250</v>
      </c>
      <c r="BK37" t="s" s="70">
        <f>HYPERLINK("http://dx.doi.org/10.1038/s41591-019-0548-6","http://dx.doi.org/10.1038/s41591-019-0548-6")</f>
        <v>1251</v>
      </c>
      <c r="BL37" t="s" s="0">
        <v>84</v>
      </c>
      <c r="BM37" t="s" s="0">
        <v>84</v>
      </c>
      <c r="BN37" t="s" s="0">
        <v>453</v>
      </c>
      <c r="BO37" t="s" s="0">
        <v>243</v>
      </c>
      <c r="BP37" t="s" s="0">
        <v>244</v>
      </c>
      <c r="BQ37" t="s" s="0">
        <v>1252</v>
      </c>
      <c r="BR37" t="s" s="0">
        <v>1253</v>
      </c>
      <c r="BS37" t="s" s="0">
        <v>1254</v>
      </c>
      <c r="BT37" t="s" s="71">
        <f>HYPERLINK("https://www.webofscience.com/wos/woscc/full-record/WOS:000484832800014","View Record in Web of Science")</f>
        <v>126</v>
      </c>
      <c r="BU37" t="s" s="0">
        <v>84</v>
      </c>
      <c r="BV37" t="s" s="0">
        <v>128</v>
      </c>
      <c r="BW37" t="s" s="0">
        <v>129</v>
      </c>
      <c r="BX37" t="s" s="0">
        <v>130</v>
      </c>
    </row>
    <row r="38">
      <c r="A38" t="s" s="0">
        <v>1255</v>
      </c>
      <c r="B38" t="s" s="0">
        <v>78</v>
      </c>
      <c r="C38" t="s" s="0">
        <v>1256</v>
      </c>
      <c r="D38" t="s" s="0">
        <v>170</v>
      </c>
      <c r="E38" t="s" s="0">
        <v>1257</v>
      </c>
      <c r="F38" t="s" s="0">
        <v>1258</v>
      </c>
      <c r="G38" t="s" s="0">
        <v>1259</v>
      </c>
      <c r="H38" t="s" s="0">
        <v>84</v>
      </c>
      <c r="I38" t="s" s="0">
        <v>85</v>
      </c>
      <c r="J38" t="s" s="0">
        <v>1260</v>
      </c>
      <c r="K38" t="s" s="0">
        <v>1261</v>
      </c>
      <c r="L38" t="s" s="0">
        <v>84</v>
      </c>
      <c r="M38" t="s" s="0">
        <v>84</v>
      </c>
      <c r="N38" t="s" s="0">
        <v>84</v>
      </c>
      <c r="O38" t="s" s="0">
        <v>1262</v>
      </c>
      <c r="P38" t="s" s="0">
        <v>1263</v>
      </c>
      <c r="Q38" t="s" s="0">
        <v>93</v>
      </c>
      <c r="R38" t="s" s="0">
        <v>84</v>
      </c>
      <c r="S38" t="s" s="0">
        <v>84</v>
      </c>
      <c r="T38" t="s" s="0">
        <v>84</v>
      </c>
      <c r="U38" t="s" s="0">
        <v>84</v>
      </c>
      <c r="V38" t="s" s="0">
        <v>1264</v>
      </c>
      <c r="W38" t="s" s="0">
        <v>1265</v>
      </c>
      <c r="X38" t="s" s="0">
        <v>84</v>
      </c>
      <c r="Y38" t="s" s="0">
        <v>84</v>
      </c>
      <c r="Z38" t="s" s="0">
        <v>96</v>
      </c>
      <c r="AA38" t="s" s="0">
        <v>145</v>
      </c>
      <c r="AB38" t="s" s="0">
        <v>84</v>
      </c>
      <c r="AC38" t="s" s="0">
        <v>84</v>
      </c>
      <c r="AD38" t="s" s="0">
        <v>84</v>
      </c>
      <c r="AE38" t="s" s="0">
        <v>84</v>
      </c>
      <c r="AF38" t="s" s="0">
        <v>84</v>
      </c>
      <c r="AG38" t="s" s="0">
        <v>1266</v>
      </c>
      <c r="AH38" t="s" s="0">
        <v>1267</v>
      </c>
      <c r="AI38" t="s" s="0">
        <v>1268</v>
      </c>
      <c r="AJ38" t="s" s="0">
        <v>1269</v>
      </c>
      <c r="AK38" t="s" s="0">
        <v>84</v>
      </c>
      <c r="AL38" t="s" s="0">
        <v>1270</v>
      </c>
      <c r="AM38" t="s" s="0">
        <v>1271</v>
      </c>
      <c r="AN38" t="s" s="0">
        <v>1272</v>
      </c>
      <c r="AO38" t="s" s="0">
        <v>270</v>
      </c>
      <c r="AP38" t="s" s="0">
        <v>1273</v>
      </c>
      <c r="AQ38" t="s" s="0">
        <v>1274</v>
      </c>
      <c r="AR38" t="s" s="0">
        <v>1275</v>
      </c>
      <c r="AS38" t="s" s="0">
        <v>1276</v>
      </c>
      <c r="AT38" t="s" s="0">
        <v>1277</v>
      </c>
      <c r="AU38" t="s" s="0">
        <v>1278</v>
      </c>
      <c r="AV38" t="s" s="0">
        <v>84</v>
      </c>
      <c r="AW38" t="s" s="0">
        <v>1279</v>
      </c>
      <c r="AX38" t="s" s="0">
        <v>1280</v>
      </c>
      <c r="AY38" t="s" s="0">
        <v>1281</v>
      </c>
      <c r="AZ38" t="s" s="0">
        <v>237</v>
      </c>
      <c r="BA38" t="s" s="0">
        <v>1282</v>
      </c>
      <c r="BB38" t="s" s="0">
        <v>84</v>
      </c>
      <c r="BC38" t="s" s="0">
        <v>84</v>
      </c>
      <c r="BD38" t="s" s="0">
        <v>84</v>
      </c>
      <c r="BE38" t="s" s="0">
        <v>84</v>
      </c>
      <c r="BF38" t="s" s="0">
        <v>84</v>
      </c>
      <c r="BG38" t="s" s="0">
        <v>84</v>
      </c>
      <c r="BH38" t="s" s="0">
        <v>84</v>
      </c>
      <c r="BI38" t="s" s="0">
        <v>1283</v>
      </c>
      <c r="BJ38" t="s" s="0">
        <v>1284</v>
      </c>
      <c r="BK38" t="s" s="72">
        <f>HYPERLINK("http://dx.doi.org/10.1016/j.engappai.2022.104743","http://dx.doi.org/10.1016/j.engappai.2022.104743")</f>
        <v>1285</v>
      </c>
      <c r="BL38" t="s" s="0">
        <v>84</v>
      </c>
      <c r="BM38" t="s" s="0">
        <v>1286</v>
      </c>
      <c r="BN38" t="s" s="0">
        <v>265</v>
      </c>
      <c r="BO38" t="s" s="0">
        <v>1287</v>
      </c>
      <c r="BP38" t="s" s="0">
        <v>1288</v>
      </c>
      <c r="BQ38" t="s" s="0">
        <v>1289</v>
      </c>
      <c r="BR38" t="s" s="0">
        <v>84</v>
      </c>
      <c r="BS38" t="s" s="0">
        <v>1290</v>
      </c>
      <c r="BT38" t="s" s="73">
        <f>HYPERLINK("https://www.webofscience.com/wos/woscc/full-record/WOS:000795645300004","View Record in Web of Science")</f>
        <v>126</v>
      </c>
      <c r="BU38" t="s" s="0">
        <v>84</v>
      </c>
      <c r="BV38" t="s" s="0">
        <v>128</v>
      </c>
      <c r="BW38" t="s" s="0">
        <v>129</v>
      </c>
      <c r="BX38" t="s" s="0">
        <v>130</v>
      </c>
    </row>
    <row r="39">
      <c r="A39" t="s" s="0">
        <v>170</v>
      </c>
      <c r="B39" t="s" s="0">
        <v>78</v>
      </c>
      <c r="C39" t="s" s="0">
        <v>1291</v>
      </c>
      <c r="D39" t="s" s="0">
        <v>78</v>
      </c>
      <c r="E39" t="s" s="0">
        <v>1292</v>
      </c>
      <c r="F39" t="s" s="0">
        <v>1293</v>
      </c>
      <c r="G39" t="s" s="0">
        <v>1294</v>
      </c>
      <c r="H39" t="s" s="0">
        <v>84</v>
      </c>
      <c r="I39" t="s" s="0">
        <v>85</v>
      </c>
      <c r="J39" t="s" s="0">
        <v>1295</v>
      </c>
      <c r="K39" t="s" s="0">
        <v>1296</v>
      </c>
      <c r="L39" t="s" s="0">
        <v>84</v>
      </c>
      <c r="M39" t="s" s="0">
        <v>84</v>
      </c>
      <c r="N39" t="s" s="0">
        <v>84</v>
      </c>
      <c r="O39" t="s" s="0">
        <v>1297</v>
      </c>
      <c r="P39" t="s" s="0">
        <v>1298</v>
      </c>
      <c r="Q39" t="s" s="0">
        <v>93</v>
      </c>
      <c r="R39" t="s" s="0">
        <v>84</v>
      </c>
      <c r="S39" t="s" s="0">
        <v>84</v>
      </c>
      <c r="T39" t="s" s="0">
        <v>84</v>
      </c>
      <c r="U39" t="s" s="0">
        <v>84</v>
      </c>
      <c r="V39" t="s" s="0">
        <v>1299</v>
      </c>
      <c r="W39" t="s" s="0">
        <v>223</v>
      </c>
      <c r="X39" t="s" s="0">
        <v>84</v>
      </c>
      <c r="Y39" t="s" s="0">
        <v>84</v>
      </c>
      <c r="Z39" t="s" s="0">
        <v>96</v>
      </c>
      <c r="AA39" t="s" s="0">
        <v>97</v>
      </c>
      <c r="AB39" t="s" s="0">
        <v>84</v>
      </c>
      <c r="AC39" t="s" s="0">
        <v>84</v>
      </c>
      <c r="AD39" t="s" s="0">
        <v>84</v>
      </c>
      <c r="AE39" t="s" s="0">
        <v>84</v>
      </c>
      <c r="AF39" t="s" s="0">
        <v>84</v>
      </c>
      <c r="AG39" t="s" s="0">
        <v>84</v>
      </c>
      <c r="AH39" t="s" s="0">
        <v>1300</v>
      </c>
      <c r="AI39" t="s" s="0">
        <v>1301</v>
      </c>
      <c r="AJ39" t="s" s="0">
        <v>1302</v>
      </c>
      <c r="AK39" t="s" s="0">
        <v>84</v>
      </c>
      <c r="AL39" t="s" s="0">
        <v>1303</v>
      </c>
      <c r="AM39" t="s" s="0">
        <v>1304</v>
      </c>
      <c r="AN39" t="s" s="0">
        <v>869</v>
      </c>
      <c r="AO39" t="s" s="0">
        <v>453</v>
      </c>
      <c r="AP39" t="s" s="0">
        <v>639</v>
      </c>
      <c r="AQ39" t="s" s="0">
        <v>106</v>
      </c>
      <c r="AR39" t="s" s="0">
        <v>107</v>
      </c>
      <c r="AS39" t="s" s="0">
        <v>108</v>
      </c>
      <c r="AT39" t="s" s="0">
        <v>232</v>
      </c>
      <c r="AU39" t="s" s="0">
        <v>233</v>
      </c>
      <c r="AV39" t="s" s="0">
        <v>84</v>
      </c>
      <c r="AW39" t="s" s="0">
        <v>234</v>
      </c>
      <c r="AX39" t="s" s="0">
        <v>235</v>
      </c>
      <c r="AY39" t="s" s="0">
        <v>1305</v>
      </c>
      <c r="AZ39" t="s" s="0">
        <v>197</v>
      </c>
      <c r="BA39" t="s" s="0">
        <v>599</v>
      </c>
      <c r="BB39" t="s" s="0">
        <v>211</v>
      </c>
      <c r="BC39" t="s" s="0">
        <v>84</v>
      </c>
      <c r="BD39" t="s" s="0">
        <v>84</v>
      </c>
      <c r="BE39" t="s" s="0">
        <v>84</v>
      </c>
      <c r="BF39" t="s" s="0">
        <v>84</v>
      </c>
      <c r="BG39" t="s" s="0">
        <v>1306</v>
      </c>
      <c r="BH39" t="s" s="0">
        <v>1307</v>
      </c>
      <c r="BI39" t="s" s="0">
        <v>84</v>
      </c>
      <c r="BJ39" t="s" s="0">
        <v>1308</v>
      </c>
      <c r="BK39" t="s" s="74">
        <f>HYPERLINK("http://dx.doi.org/10.1038/s41591-021-01343-4","http://dx.doi.org/10.1038/s41591-021-01343-4")</f>
        <v>1309</v>
      </c>
      <c r="BL39" t="s" s="0">
        <v>84</v>
      </c>
      <c r="BM39" t="s" s="0">
        <v>84</v>
      </c>
      <c r="BN39" t="s" s="0">
        <v>338</v>
      </c>
      <c r="BO39" t="s" s="0">
        <v>243</v>
      </c>
      <c r="BP39" t="s" s="0">
        <v>244</v>
      </c>
      <c r="BQ39" t="s" s="0">
        <v>1310</v>
      </c>
      <c r="BR39" t="s" s="0">
        <v>1311</v>
      </c>
      <c r="BS39" t="s" s="0">
        <v>1312</v>
      </c>
      <c r="BT39" t="s" s="75">
        <f>HYPERLINK("https://www.webofscience.com/wos/woscc/full-record/WOS:000650698900017","View Record in Web of Science")</f>
        <v>126</v>
      </c>
      <c r="BU39" t="s" s="0">
        <v>127</v>
      </c>
      <c r="BV39" t="s" s="0">
        <v>128</v>
      </c>
      <c r="BW39" t="s" s="0">
        <v>129</v>
      </c>
      <c r="BX39" t="s" s="0">
        <v>130</v>
      </c>
    </row>
    <row r="40">
      <c r="A40" t="s" s="0">
        <v>121</v>
      </c>
      <c r="B40" t="s" s="0">
        <v>78</v>
      </c>
      <c r="C40" t="s" s="0">
        <v>410</v>
      </c>
      <c r="D40" t="s" s="0">
        <v>159</v>
      </c>
      <c r="E40" t="s" s="0">
        <v>1313</v>
      </c>
      <c r="F40" t="s" s="0">
        <v>1314</v>
      </c>
      <c r="G40" t="s" s="0">
        <v>1315</v>
      </c>
      <c r="H40" t="s" s="0">
        <v>84</v>
      </c>
      <c r="I40" t="s" s="0">
        <v>85</v>
      </c>
      <c r="J40" t="s" s="0">
        <v>1316</v>
      </c>
      <c r="K40" t="s" s="0">
        <v>1317</v>
      </c>
      <c r="L40" t="s" s="0">
        <v>1318</v>
      </c>
      <c r="M40" t="s" s="0">
        <v>1319</v>
      </c>
      <c r="N40" t="s" s="0">
        <v>1320</v>
      </c>
      <c r="O40" t="s" s="0">
        <v>1321</v>
      </c>
      <c r="P40" t="s" s="0">
        <v>1322</v>
      </c>
      <c r="Q40" t="s" s="0">
        <v>93</v>
      </c>
      <c r="R40" t="s" s="0">
        <v>84</v>
      </c>
      <c r="S40" t="s" s="0">
        <v>84</v>
      </c>
      <c r="T40" t="s" s="0">
        <v>84</v>
      </c>
      <c r="U40" t="s" s="0">
        <v>84</v>
      </c>
      <c r="V40" t="s" s="0">
        <v>1323</v>
      </c>
      <c r="W40" t="s" s="0">
        <v>1145</v>
      </c>
      <c r="X40" t="s" s="0">
        <v>84</v>
      </c>
      <c r="Y40" t="s" s="0">
        <v>84</v>
      </c>
      <c r="Z40" t="s" s="0">
        <v>96</v>
      </c>
      <c r="AA40" t="s" s="0">
        <v>97</v>
      </c>
      <c r="AB40" t="s" s="0">
        <v>84</v>
      </c>
      <c r="AC40" t="s" s="0">
        <v>84</v>
      </c>
      <c r="AD40" t="s" s="0">
        <v>84</v>
      </c>
      <c r="AE40" t="s" s="0">
        <v>84</v>
      </c>
      <c r="AF40" t="s" s="0">
        <v>84</v>
      </c>
      <c r="AG40" t="s" s="0">
        <v>84</v>
      </c>
      <c r="AH40" t="s" s="0">
        <v>1324</v>
      </c>
      <c r="AI40" t="s" s="0">
        <v>84</v>
      </c>
      <c r="AJ40" t="s" s="0">
        <v>1325</v>
      </c>
      <c r="AK40" t="s" s="0">
        <v>84</v>
      </c>
      <c r="AL40" t="s" s="0">
        <v>1326</v>
      </c>
      <c r="AM40" t="s" s="0">
        <v>1327</v>
      </c>
      <c r="AN40" t="s" s="0">
        <v>1328</v>
      </c>
      <c r="AO40" t="s" s="0">
        <v>116</v>
      </c>
      <c r="AP40" t="s" s="0">
        <v>1329</v>
      </c>
      <c r="AQ40" t="s" s="0">
        <v>1152</v>
      </c>
      <c r="AR40" t="s" s="0">
        <v>1153</v>
      </c>
      <c r="AS40" t="s" s="0">
        <v>1154</v>
      </c>
      <c r="AT40" t="s" s="0">
        <v>1155</v>
      </c>
      <c r="AU40" t="s" s="0">
        <v>1330</v>
      </c>
      <c r="AV40" t="s" s="0">
        <v>84</v>
      </c>
      <c r="AW40" t="s" s="0">
        <v>1145</v>
      </c>
      <c r="AX40" t="s" s="0">
        <v>1156</v>
      </c>
      <c r="AY40" t="s" s="0">
        <v>1331</v>
      </c>
      <c r="AZ40" t="s" s="0">
        <v>114</v>
      </c>
      <c r="BA40" t="s" s="0">
        <v>350</v>
      </c>
      <c r="BB40" t="s" s="0">
        <v>250</v>
      </c>
      <c r="BC40" t="s" s="0">
        <v>84</v>
      </c>
      <c r="BD40" t="s" s="0">
        <v>84</v>
      </c>
      <c r="BE40" t="s" s="0">
        <v>84</v>
      </c>
      <c r="BF40" t="s" s="0">
        <v>84</v>
      </c>
      <c r="BG40" t="s" s="0">
        <v>1332</v>
      </c>
      <c r="BH40" t="s" s="0">
        <v>1333</v>
      </c>
      <c r="BI40" t="s" s="0">
        <v>84</v>
      </c>
      <c r="BJ40" t="s" s="0">
        <v>1334</v>
      </c>
      <c r="BK40" t="s" s="76">
        <f>HYPERLINK("http://dx.doi.org/10.1148/radiol.2017171920","http://dx.doi.org/10.1148/radiol.2017171920")</f>
        <v>1335</v>
      </c>
      <c r="BL40" t="s" s="0">
        <v>84</v>
      </c>
      <c r="BM40" t="s" s="0">
        <v>84</v>
      </c>
      <c r="BN40" t="s" s="0">
        <v>338</v>
      </c>
      <c r="BO40" t="s" s="0">
        <v>447</v>
      </c>
      <c r="BP40" t="s" s="0">
        <v>447</v>
      </c>
      <c r="BQ40" t="s" s="0">
        <v>1336</v>
      </c>
      <c r="BR40" t="s" s="0">
        <v>1337</v>
      </c>
      <c r="BS40" t="s" s="0">
        <v>1338</v>
      </c>
      <c r="BT40" t="s" s="77">
        <f>HYPERLINK("https://www.webofscience.com/wos/woscc/full-record/WOS:000425583200006","View Record in Web of Science")</f>
        <v>126</v>
      </c>
      <c r="BU40" t="s" s="0">
        <v>84</v>
      </c>
      <c r="BV40" t="s" s="0">
        <v>128</v>
      </c>
      <c r="BW40" t="s" s="0">
        <v>129</v>
      </c>
      <c r="BX40" t="s" s="0">
        <v>130</v>
      </c>
    </row>
    <row r="41">
      <c r="A41" t="s" s="0">
        <v>80</v>
      </c>
      <c r="B41" t="s" s="0">
        <v>78</v>
      </c>
      <c r="C41" t="s" s="0">
        <v>902</v>
      </c>
      <c r="D41" t="s" s="0">
        <v>170</v>
      </c>
      <c r="E41" t="s" s="0">
        <v>1339</v>
      </c>
      <c r="F41" t="s" s="0">
        <v>1340</v>
      </c>
      <c r="G41" t="s" s="0">
        <v>1341</v>
      </c>
      <c r="H41" t="s" s="0">
        <v>84</v>
      </c>
      <c r="I41" t="s" s="0">
        <v>1342</v>
      </c>
      <c r="J41" t="s" s="0">
        <v>1343</v>
      </c>
      <c r="K41" t="s" s="0">
        <v>1344</v>
      </c>
      <c r="L41" t="s" s="0">
        <v>1345</v>
      </c>
      <c r="M41" t="s" s="0">
        <v>1345</v>
      </c>
      <c r="N41" t="s" s="0">
        <v>1346</v>
      </c>
      <c r="O41" t="s" s="0">
        <v>1347</v>
      </c>
      <c r="P41" t="s" s="0">
        <v>1348</v>
      </c>
      <c r="Q41" t="s" s="0">
        <v>93</v>
      </c>
      <c r="R41" t="s" s="0">
        <v>84</v>
      </c>
      <c r="S41" t="s" s="0">
        <v>84</v>
      </c>
      <c r="T41" t="s" s="0">
        <v>84</v>
      </c>
      <c r="U41" t="s" s="0">
        <v>84</v>
      </c>
      <c r="V41" t="s" s="0">
        <v>1349</v>
      </c>
      <c r="W41" t="s" s="0">
        <v>1350</v>
      </c>
      <c r="X41" t="s" s="0">
        <v>84</v>
      </c>
      <c r="Y41" t="s" s="0">
        <v>84</v>
      </c>
      <c r="Z41" t="s" s="0">
        <v>96</v>
      </c>
      <c r="AA41" t="s" s="0">
        <v>97</v>
      </c>
      <c r="AB41" t="s" s="0">
        <v>84</v>
      </c>
      <c r="AC41" t="s" s="0">
        <v>84</v>
      </c>
      <c r="AD41" t="s" s="0">
        <v>84</v>
      </c>
      <c r="AE41" t="s" s="0">
        <v>84</v>
      </c>
      <c r="AF41" t="s" s="0">
        <v>84</v>
      </c>
      <c r="AG41" t="s" s="0">
        <v>1351</v>
      </c>
      <c r="AH41" t="s" s="0">
        <v>1352</v>
      </c>
      <c r="AI41" t="s" s="0">
        <v>1353</v>
      </c>
      <c r="AJ41" t="s" s="0">
        <v>1354</v>
      </c>
      <c r="AK41" t="s" s="0">
        <v>84</v>
      </c>
      <c r="AL41" t="s" s="0">
        <v>1355</v>
      </c>
      <c r="AM41" t="s" s="0">
        <v>1356</v>
      </c>
      <c r="AN41" t="s" s="0">
        <v>1357</v>
      </c>
      <c r="AO41" t="s" s="0">
        <v>344</v>
      </c>
      <c r="AP41" t="s" s="0">
        <v>1358</v>
      </c>
      <c r="AQ41" t="s" s="0">
        <v>1359</v>
      </c>
      <c r="AR41" t="s" s="0">
        <v>1360</v>
      </c>
      <c r="AS41" t="s" s="0">
        <v>1361</v>
      </c>
      <c r="AT41" t="s" s="0">
        <v>84</v>
      </c>
      <c r="AU41" t="s" s="0">
        <v>1362</v>
      </c>
      <c r="AV41" t="s" s="0">
        <v>84</v>
      </c>
      <c r="AW41" t="s" s="0">
        <v>1363</v>
      </c>
      <c r="AX41" t="s" s="0">
        <v>1364</v>
      </c>
      <c r="AY41" t="s" s="0">
        <v>1365</v>
      </c>
      <c r="AZ41" t="s" s="0">
        <v>237</v>
      </c>
      <c r="BA41" t="s" s="0">
        <v>170</v>
      </c>
      <c r="BB41" t="s" s="0">
        <v>84</v>
      </c>
      <c r="BC41" t="s" s="0">
        <v>84</v>
      </c>
      <c r="BD41" t="s" s="0">
        <v>84</v>
      </c>
      <c r="BE41" t="s" s="0">
        <v>84</v>
      </c>
      <c r="BF41" t="s" s="0">
        <v>84</v>
      </c>
      <c r="BG41" t="s" s="0">
        <v>84</v>
      </c>
      <c r="BH41" t="s" s="0">
        <v>84</v>
      </c>
      <c r="BI41" t="s" s="0">
        <v>1366</v>
      </c>
      <c r="BJ41" t="s" s="0">
        <v>1367</v>
      </c>
      <c r="BK41" t="s" s="78">
        <f>HYPERLINK("http://dx.doi.org/10.3389/fbinf.2022.927312","http://dx.doi.org/10.3389/fbinf.2022.927312")</f>
        <v>1368</v>
      </c>
      <c r="BL41" t="s" s="0">
        <v>84</v>
      </c>
      <c r="BM41" t="s" s="0">
        <v>84</v>
      </c>
      <c r="BN41" t="s" s="0">
        <v>308</v>
      </c>
      <c r="BO41" t="s" s="0">
        <v>1369</v>
      </c>
      <c r="BP41" t="s" s="0">
        <v>1369</v>
      </c>
      <c r="BQ41" t="s" s="0">
        <v>1370</v>
      </c>
      <c r="BR41" t="s" s="0">
        <v>1371</v>
      </c>
      <c r="BS41" t="s" s="0">
        <v>1372</v>
      </c>
      <c r="BT41" t="s" s="79">
        <f>HYPERLINK("https://www.webofscience.com/wos/woscc/full-record/WOS:001085486100001","View Record in Web of Science")</f>
        <v>126</v>
      </c>
      <c r="BU41" t="s" s="0">
        <v>168</v>
      </c>
      <c r="BV41" t="s" s="0">
        <v>84</v>
      </c>
      <c r="BW41" t="s" s="0">
        <v>84</v>
      </c>
      <c r="BX41" t="s" s="0">
        <v>130</v>
      </c>
    </row>
    <row r="42">
      <c r="A42" t="s" s="0">
        <v>116</v>
      </c>
      <c r="B42" t="s" s="0">
        <v>78</v>
      </c>
      <c r="C42" t="s" s="0">
        <v>1282</v>
      </c>
      <c r="D42" t="s" s="0">
        <v>170</v>
      </c>
      <c r="E42" t="s" s="0">
        <v>1373</v>
      </c>
      <c r="F42" t="s" s="0">
        <v>1374</v>
      </c>
      <c r="G42" t="s" s="0">
        <v>1375</v>
      </c>
      <c r="H42" t="s" s="0">
        <v>84</v>
      </c>
      <c r="I42" t="s" s="0">
        <v>85</v>
      </c>
      <c r="J42" t="s" s="0">
        <v>1376</v>
      </c>
      <c r="K42" t="s" s="0">
        <v>1377</v>
      </c>
      <c r="L42" t="s" s="0">
        <v>1378</v>
      </c>
      <c r="M42" t="s" s="0">
        <v>1379</v>
      </c>
      <c r="N42" t="s" s="0">
        <v>1380</v>
      </c>
      <c r="O42" t="s" s="0">
        <v>1381</v>
      </c>
      <c r="P42" t="s" s="0">
        <v>1382</v>
      </c>
      <c r="Q42" t="s" s="0">
        <v>93</v>
      </c>
      <c r="R42" t="s" s="0">
        <v>84</v>
      </c>
      <c r="S42" t="s" s="0">
        <v>84</v>
      </c>
      <c r="T42" t="s" s="0">
        <v>84</v>
      </c>
      <c r="U42" t="s" s="0">
        <v>84</v>
      </c>
      <c r="V42" t="s" s="0">
        <v>1383</v>
      </c>
      <c r="W42" t="s" s="0">
        <v>223</v>
      </c>
      <c r="X42" t="s" s="0">
        <v>84</v>
      </c>
      <c r="Y42" t="s" s="0">
        <v>84</v>
      </c>
      <c r="Z42" t="s" s="0">
        <v>96</v>
      </c>
      <c r="AA42" t="s" s="0">
        <v>145</v>
      </c>
      <c r="AB42" t="s" s="0">
        <v>84</v>
      </c>
      <c r="AC42" t="s" s="0">
        <v>84</v>
      </c>
      <c r="AD42" t="s" s="0">
        <v>84</v>
      </c>
      <c r="AE42" t="s" s="0">
        <v>84</v>
      </c>
      <c r="AF42" t="s" s="0">
        <v>84</v>
      </c>
      <c r="AG42" t="s" s="0">
        <v>84</v>
      </c>
      <c r="AH42" t="s" s="0">
        <v>1384</v>
      </c>
      <c r="AI42" t="s" s="0">
        <v>1385</v>
      </c>
      <c r="AJ42" t="s" s="0">
        <v>1386</v>
      </c>
      <c r="AK42" t="s" s="0">
        <v>84</v>
      </c>
      <c r="AL42" t="s" s="0">
        <v>830</v>
      </c>
      <c r="AM42" t="s" s="0">
        <v>1387</v>
      </c>
      <c r="AN42" t="s" s="0">
        <v>1388</v>
      </c>
      <c r="AO42" t="s" s="0">
        <v>80</v>
      </c>
      <c r="AP42" t="s" s="0">
        <v>1389</v>
      </c>
      <c r="AQ42" t="s" s="0">
        <v>106</v>
      </c>
      <c r="AR42" t="s" s="0">
        <v>107</v>
      </c>
      <c r="AS42" t="s" s="0">
        <v>108</v>
      </c>
      <c r="AT42" t="s" s="0">
        <v>232</v>
      </c>
      <c r="AU42" t="s" s="0">
        <v>233</v>
      </c>
      <c r="AV42" t="s" s="0">
        <v>84</v>
      </c>
      <c r="AW42" t="s" s="0">
        <v>234</v>
      </c>
      <c r="AX42" t="s" s="0">
        <v>235</v>
      </c>
      <c r="AY42" t="s" s="0">
        <v>196</v>
      </c>
      <c r="AZ42" t="s" s="0">
        <v>197</v>
      </c>
      <c r="BA42" t="s" s="0">
        <v>599</v>
      </c>
      <c r="BB42" t="s" s="0">
        <v>275</v>
      </c>
      <c r="BC42" t="s" s="0">
        <v>84</v>
      </c>
      <c r="BD42" t="s" s="0">
        <v>84</v>
      </c>
      <c r="BE42" t="s" s="0">
        <v>84</v>
      </c>
      <c r="BF42" t="s" s="0">
        <v>84</v>
      </c>
      <c r="BG42" t="s" s="0">
        <v>1390</v>
      </c>
      <c r="BH42" t="s" s="0">
        <v>272</v>
      </c>
      <c r="BI42" t="s" s="0">
        <v>84</v>
      </c>
      <c r="BJ42" t="s" s="0">
        <v>1391</v>
      </c>
      <c r="BK42" t="s" s="80">
        <f>HYPERLINK("http://dx.doi.org/10.1038/s41591-021-01595-0","http://dx.doi.org/10.1038/s41591-021-01595-0")</f>
        <v>1392</v>
      </c>
      <c r="BL42" t="s" s="0">
        <v>84</v>
      </c>
      <c r="BM42" t="s" s="0">
        <v>196</v>
      </c>
      <c r="BN42" t="s" s="0">
        <v>308</v>
      </c>
      <c r="BO42" t="s" s="0">
        <v>243</v>
      </c>
      <c r="BP42" t="s" s="0">
        <v>244</v>
      </c>
      <c r="BQ42" t="s" s="0">
        <v>1393</v>
      </c>
      <c r="BR42" t="s" s="0">
        <v>1394</v>
      </c>
      <c r="BS42" t="s" s="0">
        <v>1395</v>
      </c>
      <c r="BT42" t="s" s="81">
        <f>HYPERLINK("https://www.webofscience.com/wos/woscc/full-record/WOS:000729031100002","View Record in Web of Science")</f>
        <v>126</v>
      </c>
      <c r="BU42" t="s" s="0">
        <v>208</v>
      </c>
      <c r="BV42" t="s" s="0">
        <v>128</v>
      </c>
      <c r="BW42" t="s" s="0">
        <v>129</v>
      </c>
      <c r="BX42" t="s" s="0">
        <v>130</v>
      </c>
    </row>
    <row r="43">
      <c r="A43" t="s" s="0">
        <v>116</v>
      </c>
      <c r="B43" t="s" s="0">
        <v>78</v>
      </c>
      <c r="C43" t="s" s="0">
        <v>1396</v>
      </c>
      <c r="D43" t="s" s="0">
        <v>159</v>
      </c>
      <c r="E43" t="s" s="0">
        <v>1397</v>
      </c>
      <c r="F43" t="s" s="0">
        <v>1398</v>
      </c>
      <c r="G43" t="s" s="0">
        <v>1399</v>
      </c>
      <c r="H43" t="s" s="0">
        <v>84</v>
      </c>
      <c r="I43" t="s" s="0">
        <v>1342</v>
      </c>
      <c r="J43" t="s" s="0">
        <v>1400</v>
      </c>
      <c r="K43" t="s" s="0">
        <v>1401</v>
      </c>
      <c r="L43" t="s" s="0">
        <v>84</v>
      </c>
      <c r="M43" t="s" s="0">
        <v>84</v>
      </c>
      <c r="N43" t="s" s="0">
        <v>84</v>
      </c>
      <c r="O43" t="s" s="0">
        <v>1402</v>
      </c>
      <c r="P43" t="s" s="0">
        <v>1403</v>
      </c>
      <c r="Q43" t="s" s="0">
        <v>93</v>
      </c>
      <c r="R43" t="s" s="0">
        <v>84</v>
      </c>
      <c r="S43" t="s" s="0">
        <v>84</v>
      </c>
      <c r="T43" t="s" s="0">
        <v>84</v>
      </c>
      <c r="U43" t="s" s="0">
        <v>84</v>
      </c>
      <c r="V43" t="s" s="0">
        <v>1404</v>
      </c>
      <c r="W43" t="s" s="0">
        <v>1405</v>
      </c>
      <c r="X43" t="s" s="0">
        <v>84</v>
      </c>
      <c r="Y43" t="s" s="0">
        <v>84</v>
      </c>
      <c r="Z43" t="s" s="0">
        <v>96</v>
      </c>
      <c r="AA43" t="s" s="0">
        <v>97</v>
      </c>
      <c r="AB43" t="s" s="0">
        <v>84</v>
      </c>
      <c r="AC43" t="s" s="0">
        <v>84</v>
      </c>
      <c r="AD43" t="s" s="0">
        <v>84</v>
      </c>
      <c r="AE43" t="s" s="0">
        <v>84</v>
      </c>
      <c r="AF43" t="s" s="0">
        <v>84</v>
      </c>
      <c r="AG43" t="s" s="0">
        <v>1406</v>
      </c>
      <c r="AH43" t="s" s="0">
        <v>1407</v>
      </c>
      <c r="AI43" t="s" s="0">
        <v>84</v>
      </c>
      <c r="AJ43" t="s" s="0">
        <v>1408</v>
      </c>
      <c r="AK43" t="s" s="0">
        <v>84</v>
      </c>
      <c r="AL43" t="s" s="0">
        <v>1409</v>
      </c>
      <c r="AM43" t="s" s="0">
        <v>1410</v>
      </c>
      <c r="AN43" t="s" s="0">
        <v>1411</v>
      </c>
      <c r="AO43" t="s" s="0">
        <v>121</v>
      </c>
      <c r="AP43" t="s" s="0">
        <v>1412</v>
      </c>
      <c r="AQ43" t="s" s="0">
        <v>1413</v>
      </c>
      <c r="AR43" t="s" s="0">
        <v>1414</v>
      </c>
      <c r="AS43" t="s" s="0">
        <v>1415</v>
      </c>
      <c r="AT43" t="s" s="0">
        <v>1416</v>
      </c>
      <c r="AU43" t="s" s="0">
        <v>84</v>
      </c>
      <c r="AV43" t="s" s="0">
        <v>84</v>
      </c>
      <c r="AW43" t="s" s="0">
        <v>1405</v>
      </c>
      <c r="AX43" t="s" s="0">
        <v>1417</v>
      </c>
      <c r="AY43" t="s" s="0">
        <v>1418</v>
      </c>
      <c r="AZ43" t="s" s="0">
        <v>228</v>
      </c>
      <c r="BA43" t="s" s="0">
        <v>275</v>
      </c>
      <c r="BB43" t="s" s="0">
        <v>211</v>
      </c>
      <c r="BC43" t="s" s="0">
        <v>84</v>
      </c>
      <c r="BD43" t="s" s="0">
        <v>84</v>
      </c>
      <c r="BE43" t="s" s="0">
        <v>84</v>
      </c>
      <c r="BF43" t="s" s="0">
        <v>84</v>
      </c>
      <c r="BG43" t="s" s="0">
        <v>84</v>
      </c>
      <c r="BH43" t="s" s="0">
        <v>84</v>
      </c>
      <c r="BI43" t="s" s="0">
        <v>1124</v>
      </c>
      <c r="BJ43" t="s" s="0">
        <v>1419</v>
      </c>
      <c r="BK43" t="s" s="82">
        <f>HYPERLINK("http://dx.doi.org/10.3390/computers12050091","http://dx.doi.org/10.3390/computers12050091")</f>
        <v>1420</v>
      </c>
      <c r="BL43" t="s" s="0">
        <v>84</v>
      </c>
      <c r="BM43" t="s" s="0">
        <v>84</v>
      </c>
      <c r="BN43" t="s" s="0">
        <v>417</v>
      </c>
      <c r="BO43" t="s" s="0">
        <v>1421</v>
      </c>
      <c r="BP43" t="s" s="0">
        <v>205</v>
      </c>
      <c r="BQ43" t="s" s="0">
        <v>1422</v>
      </c>
      <c r="BR43" t="s" s="0">
        <v>84</v>
      </c>
      <c r="BS43" t="s" s="0">
        <v>1423</v>
      </c>
      <c r="BT43" t="s" s="83">
        <f>HYPERLINK("https://www.webofscience.com/wos/woscc/full-record/WOS:000997810700001","View Record in Web of Science")</f>
        <v>126</v>
      </c>
      <c r="BU43" t="s" s="0">
        <v>168</v>
      </c>
      <c r="BV43" t="s" s="0">
        <v>84</v>
      </c>
      <c r="BW43" t="s" s="0">
        <v>84</v>
      </c>
      <c r="BX43" t="s" s="0">
        <v>130</v>
      </c>
    </row>
    <row r="44">
      <c r="A44" t="s" s="0">
        <v>344</v>
      </c>
      <c r="B44" t="s" s="0">
        <v>78</v>
      </c>
      <c r="C44" t="s" s="0">
        <v>365</v>
      </c>
      <c r="D44" t="s" s="0">
        <v>453</v>
      </c>
      <c r="E44" t="s" s="0">
        <v>1424</v>
      </c>
      <c r="F44" t="s" s="0">
        <v>1425</v>
      </c>
      <c r="G44" t="s" s="0">
        <v>1426</v>
      </c>
      <c r="H44" t="s" s="0">
        <v>84</v>
      </c>
      <c r="I44" t="s" s="0">
        <v>85</v>
      </c>
      <c r="J44" t="s" s="0">
        <v>1427</v>
      </c>
      <c r="K44" t="s" s="0">
        <v>1428</v>
      </c>
      <c r="L44" t="s" s="0">
        <v>84</v>
      </c>
      <c r="M44" t="s" s="0">
        <v>84</v>
      </c>
      <c r="N44" t="s" s="0">
        <v>84</v>
      </c>
      <c r="O44" t="s" s="0">
        <v>1429</v>
      </c>
      <c r="P44" t="s" s="0">
        <v>1430</v>
      </c>
      <c r="Q44" t="s" s="0">
        <v>93</v>
      </c>
      <c r="R44" t="s" s="0">
        <v>84</v>
      </c>
      <c r="S44" t="s" s="0">
        <v>84</v>
      </c>
      <c r="T44" t="s" s="0">
        <v>84</v>
      </c>
      <c r="U44" t="s" s="0">
        <v>84</v>
      </c>
      <c r="V44" t="s" s="0">
        <v>1431</v>
      </c>
      <c r="W44" t="s" s="0">
        <v>1432</v>
      </c>
      <c r="X44" t="s" s="0">
        <v>84</v>
      </c>
      <c r="Y44" t="s" s="0">
        <v>84</v>
      </c>
      <c r="Z44" t="s" s="0">
        <v>96</v>
      </c>
      <c r="AA44" t="s" s="0">
        <v>145</v>
      </c>
      <c r="AB44" t="s" s="0">
        <v>84</v>
      </c>
      <c r="AC44" t="s" s="0">
        <v>84</v>
      </c>
      <c r="AD44" t="s" s="0">
        <v>84</v>
      </c>
      <c r="AE44" t="s" s="0">
        <v>84</v>
      </c>
      <c r="AF44" t="s" s="0">
        <v>84</v>
      </c>
      <c r="AG44" t="s" s="0">
        <v>1433</v>
      </c>
      <c r="AH44" t="s" s="0">
        <v>1434</v>
      </c>
      <c r="AI44" t="s" s="0">
        <v>1435</v>
      </c>
      <c r="AJ44" t="s" s="0">
        <v>1436</v>
      </c>
      <c r="AK44" t="s" s="0">
        <v>84</v>
      </c>
      <c r="AL44" t="s" s="0">
        <v>339</v>
      </c>
      <c r="AM44" t="s" s="0">
        <v>1437</v>
      </c>
      <c r="AN44" t="s" s="0">
        <v>958</v>
      </c>
      <c r="AO44" t="s" s="0">
        <v>1438</v>
      </c>
      <c r="AP44" t="s" s="0">
        <v>1224</v>
      </c>
      <c r="AQ44" t="s" s="0">
        <v>1439</v>
      </c>
      <c r="AR44" t="s" s="0">
        <v>895</v>
      </c>
      <c r="AS44" t="s" s="0">
        <v>1440</v>
      </c>
      <c r="AT44" t="s" s="0">
        <v>1441</v>
      </c>
      <c r="AU44" t="s" s="0">
        <v>1442</v>
      </c>
      <c r="AV44" t="s" s="0">
        <v>84</v>
      </c>
      <c r="AW44" t="s" s="0">
        <v>1432</v>
      </c>
      <c r="AX44" t="s" s="0">
        <v>1443</v>
      </c>
      <c r="AY44" t="s" s="0">
        <v>1444</v>
      </c>
      <c r="AZ44" t="s" s="0">
        <v>157</v>
      </c>
      <c r="BA44" t="s" s="0">
        <v>751</v>
      </c>
      <c r="BB44" t="s" s="0">
        <v>599</v>
      </c>
      <c r="BC44" t="s" s="0">
        <v>84</v>
      </c>
      <c r="BD44" t="s" s="0">
        <v>84</v>
      </c>
      <c r="BE44" t="s" s="0">
        <v>84</v>
      </c>
      <c r="BF44" t="s" s="0">
        <v>84</v>
      </c>
      <c r="BG44" t="s" s="0">
        <v>84</v>
      </c>
      <c r="BH44" t="s" s="0">
        <v>84</v>
      </c>
      <c r="BI44" t="s" s="0">
        <v>1445</v>
      </c>
      <c r="BJ44" t="s" s="0">
        <v>1446</v>
      </c>
      <c r="BK44" t="s" s="84">
        <f>HYPERLINK("http://dx.doi.org/10.1097/MD.0000000000038813","http://dx.doi.org/10.1097/MD.0000000000038813")</f>
        <v>1447</v>
      </c>
      <c r="BL44" t="s" s="0">
        <v>84</v>
      </c>
      <c r="BM44" t="s" s="0">
        <v>84</v>
      </c>
      <c r="BN44" t="s" s="0">
        <v>502</v>
      </c>
      <c r="BO44" t="s" s="0">
        <v>312</v>
      </c>
      <c r="BP44" t="s" s="0">
        <v>313</v>
      </c>
      <c r="BQ44" t="s" s="0">
        <v>1448</v>
      </c>
      <c r="BR44" t="s" s="0">
        <v>1449</v>
      </c>
      <c r="BS44" t="s" s="0">
        <v>1450</v>
      </c>
      <c r="BT44" t="s" s="85">
        <f>HYPERLINK("https://www.webofscience.com/wos/woscc/full-record/WOS:001264845300017","View Record in Web of Science")</f>
        <v>126</v>
      </c>
      <c r="BU44" t="s" s="0">
        <v>168</v>
      </c>
      <c r="BV44" t="s" s="0">
        <v>129</v>
      </c>
      <c r="BW44" t="s" s="0">
        <v>129</v>
      </c>
      <c r="BX44" t="s" s="0">
        <v>130</v>
      </c>
    </row>
    <row r="45">
      <c r="A45" t="s" s="0">
        <v>270</v>
      </c>
      <c r="B45" t="s" s="0">
        <v>78</v>
      </c>
      <c r="C45" t="s" s="0">
        <v>1451</v>
      </c>
      <c r="D45" t="s" s="0">
        <v>78</v>
      </c>
      <c r="E45" t="s" s="0">
        <v>1452</v>
      </c>
      <c r="F45" t="s" s="0">
        <v>1453</v>
      </c>
      <c r="G45" t="s" s="0">
        <v>1454</v>
      </c>
      <c r="H45" t="s" s="0">
        <v>84</v>
      </c>
      <c r="I45" t="s" s="0">
        <v>85</v>
      </c>
      <c r="J45" t="s" s="0">
        <v>1455</v>
      </c>
      <c r="K45" t="s" s="0">
        <v>1456</v>
      </c>
      <c r="L45" t="s" s="0">
        <v>84</v>
      </c>
      <c r="M45" t="s" s="0">
        <v>84</v>
      </c>
      <c r="N45" t="s" s="0">
        <v>84</v>
      </c>
      <c r="O45" t="s" s="0">
        <v>1457</v>
      </c>
      <c r="P45" t="s" s="0">
        <v>84</v>
      </c>
      <c r="Q45" t="s" s="0">
        <v>93</v>
      </c>
      <c r="R45" t="s" s="0">
        <v>84</v>
      </c>
      <c r="S45" t="s" s="0">
        <v>84</v>
      </c>
      <c r="T45" t="s" s="0">
        <v>84</v>
      </c>
      <c r="U45" t="s" s="0">
        <v>84</v>
      </c>
      <c r="V45" t="s" s="0">
        <v>1458</v>
      </c>
      <c r="W45" t="s" s="0">
        <v>1459</v>
      </c>
      <c r="X45" t="s" s="0">
        <v>84</v>
      </c>
      <c r="Y45" t="s" s="0">
        <v>84</v>
      </c>
      <c r="Z45" t="s" s="0">
        <v>96</v>
      </c>
      <c r="AA45" t="s" s="0">
        <v>145</v>
      </c>
      <c r="AB45" t="s" s="0">
        <v>84</v>
      </c>
      <c r="AC45" t="s" s="0">
        <v>84</v>
      </c>
      <c r="AD45" t="s" s="0">
        <v>84</v>
      </c>
      <c r="AE45" t="s" s="0">
        <v>84</v>
      </c>
      <c r="AF45" t="s" s="0">
        <v>84</v>
      </c>
      <c r="AG45" t="s" s="0">
        <v>1460</v>
      </c>
      <c r="AH45" t="s" s="0">
        <v>84</v>
      </c>
      <c r="AI45" t="s" s="0">
        <v>84</v>
      </c>
      <c r="AJ45" t="s" s="0">
        <v>1461</v>
      </c>
      <c r="AK45" t="s" s="0">
        <v>84</v>
      </c>
      <c r="AL45" t="s" s="0">
        <v>1255</v>
      </c>
      <c r="AM45" t="s" s="0">
        <v>1437</v>
      </c>
      <c r="AN45" t="s" s="0">
        <v>1462</v>
      </c>
      <c r="AO45" t="s" s="0">
        <v>116</v>
      </c>
      <c r="AP45" t="s" s="0">
        <v>1463</v>
      </c>
      <c r="AQ45" t="s" s="0">
        <v>1183</v>
      </c>
      <c r="AR45" t="s" s="0">
        <v>1184</v>
      </c>
      <c r="AS45" t="s" s="0">
        <v>1185</v>
      </c>
      <c r="AT45" t="s" s="0">
        <v>1464</v>
      </c>
      <c r="AU45" t="s" s="0">
        <v>84</v>
      </c>
      <c r="AV45" t="s" s="0">
        <v>84</v>
      </c>
      <c r="AW45" t="s" s="0">
        <v>1459</v>
      </c>
      <c r="AX45" t="s" s="0">
        <v>1465</v>
      </c>
      <c r="AY45" t="s" s="0">
        <v>476</v>
      </c>
      <c r="AZ45" t="s" s="0">
        <v>476</v>
      </c>
      <c r="BA45" t="s" s="0">
        <v>116</v>
      </c>
      <c r="BB45" t="s" s="0">
        <v>84</v>
      </c>
      <c r="BC45" t="s" s="0">
        <v>84</v>
      </c>
      <c r="BD45" t="s" s="0">
        <v>84</v>
      </c>
      <c r="BE45" t="s" s="0">
        <v>84</v>
      </c>
      <c r="BF45" t="s" s="0">
        <v>84</v>
      </c>
      <c r="BG45" t="s" s="0">
        <v>1466</v>
      </c>
      <c r="BH45" t="s" s="0">
        <v>1467</v>
      </c>
      <c r="BI45" t="s" s="0">
        <v>84</v>
      </c>
      <c r="BJ45" t="s" s="0">
        <v>1468</v>
      </c>
      <c r="BK45" t="s" s="86">
        <f>HYPERLINK("http://dx.doi.org/10.1109/ACCESS.2019.2962617","http://dx.doi.org/10.1109/ACCESS.2019.2962617")</f>
        <v>1469</v>
      </c>
      <c r="BL45" t="s" s="0">
        <v>84</v>
      </c>
      <c r="BM45" t="s" s="0">
        <v>84</v>
      </c>
      <c r="BN45" t="s" s="0">
        <v>116</v>
      </c>
      <c r="BO45" t="s" s="0">
        <v>1470</v>
      </c>
      <c r="BP45" t="s" s="0">
        <v>1471</v>
      </c>
      <c r="BQ45" t="s" s="0">
        <v>1472</v>
      </c>
      <c r="BR45" t="s" s="0">
        <v>84</v>
      </c>
      <c r="BS45" t="s" s="0">
        <v>1473</v>
      </c>
      <c r="BT45" t="s" s="87">
        <f>HYPERLINK("https://www.webofscience.com/wos/woscc/full-record/WOS:000549783300002","View Record in Web of Science")</f>
        <v>126</v>
      </c>
      <c r="BU45" t="s" s="0">
        <v>168</v>
      </c>
      <c r="BV45" t="s" s="0">
        <v>128</v>
      </c>
      <c r="BW45" t="s" s="0">
        <v>129</v>
      </c>
      <c r="BX45" t="s" s="0">
        <v>130</v>
      </c>
    </row>
    <row r="46">
      <c r="A46" t="s" s="0">
        <v>239</v>
      </c>
      <c r="B46" t="s" s="0">
        <v>78</v>
      </c>
      <c r="C46" t="s" s="0">
        <v>1474</v>
      </c>
      <c r="D46" t="s" s="0">
        <v>78</v>
      </c>
      <c r="E46" t="s" s="0">
        <v>1475</v>
      </c>
      <c r="F46" t="s" s="0">
        <v>1476</v>
      </c>
      <c r="G46" t="s" s="0">
        <v>1477</v>
      </c>
      <c r="H46" t="s" s="0">
        <v>84</v>
      </c>
      <c r="I46" t="s" s="0">
        <v>85</v>
      </c>
      <c r="J46" t="s" s="0">
        <v>1478</v>
      </c>
      <c r="K46" t="s" s="0">
        <v>1479</v>
      </c>
      <c r="L46" t="s" s="0">
        <v>1480</v>
      </c>
      <c r="M46" t="s" s="0">
        <v>1481</v>
      </c>
      <c r="N46" t="s" s="0">
        <v>1482</v>
      </c>
      <c r="O46" t="s" s="0">
        <v>1483</v>
      </c>
      <c r="P46" t="s" s="0">
        <v>1484</v>
      </c>
      <c r="Q46" t="s" s="0">
        <v>93</v>
      </c>
      <c r="R46" t="s" s="0">
        <v>84</v>
      </c>
      <c r="S46" t="s" s="0">
        <v>84</v>
      </c>
      <c r="T46" t="s" s="0">
        <v>84</v>
      </c>
      <c r="U46" t="s" s="0">
        <v>84</v>
      </c>
      <c r="V46" t="s" s="0">
        <v>1485</v>
      </c>
      <c r="W46" t="s" s="0">
        <v>223</v>
      </c>
      <c r="X46" t="s" s="0">
        <v>84</v>
      </c>
      <c r="Y46" t="s" s="0">
        <v>84</v>
      </c>
      <c r="Z46" t="s" s="0">
        <v>96</v>
      </c>
      <c r="AA46" t="s" s="0">
        <v>145</v>
      </c>
      <c r="AB46" t="s" s="0">
        <v>84</v>
      </c>
      <c r="AC46" t="s" s="0">
        <v>84</v>
      </c>
      <c r="AD46" t="s" s="0">
        <v>84</v>
      </c>
      <c r="AE46" t="s" s="0">
        <v>84</v>
      </c>
      <c r="AF46" t="s" s="0">
        <v>84</v>
      </c>
      <c r="AG46" t="s" s="0">
        <v>84</v>
      </c>
      <c r="AH46" t="s" s="0">
        <v>1486</v>
      </c>
      <c r="AI46" t="s" s="0">
        <v>1487</v>
      </c>
      <c r="AJ46" t="s" s="0">
        <v>1488</v>
      </c>
      <c r="AK46" t="s" s="0">
        <v>84</v>
      </c>
      <c r="AL46" t="s" s="0">
        <v>602</v>
      </c>
      <c r="AM46" t="s" s="0">
        <v>1489</v>
      </c>
      <c r="AN46" t="s" s="0">
        <v>1490</v>
      </c>
      <c r="AO46" t="s" s="0">
        <v>1491</v>
      </c>
      <c r="AP46" t="s" s="0">
        <v>1492</v>
      </c>
      <c r="AQ46" t="s" s="0">
        <v>106</v>
      </c>
      <c r="AR46" t="s" s="0">
        <v>107</v>
      </c>
      <c r="AS46" t="s" s="0">
        <v>108</v>
      </c>
      <c r="AT46" t="s" s="0">
        <v>232</v>
      </c>
      <c r="AU46" t="s" s="0">
        <v>233</v>
      </c>
      <c r="AV46" t="s" s="0">
        <v>84</v>
      </c>
      <c r="AW46" t="s" s="0">
        <v>234</v>
      </c>
      <c r="AX46" t="s" s="0">
        <v>235</v>
      </c>
      <c r="AY46" t="s" s="0">
        <v>1493</v>
      </c>
      <c r="AZ46" t="s" s="0">
        <v>1494</v>
      </c>
      <c r="BA46" t="s" s="0">
        <v>239</v>
      </c>
      <c r="BB46" t="s" s="0">
        <v>250</v>
      </c>
      <c r="BC46" t="s" s="0">
        <v>84</v>
      </c>
      <c r="BD46" t="s" s="0">
        <v>84</v>
      </c>
      <c r="BE46" t="s" s="0">
        <v>84</v>
      </c>
      <c r="BF46" t="s" s="0">
        <v>84</v>
      </c>
      <c r="BG46" t="s" s="0">
        <v>1495</v>
      </c>
      <c r="BH46" t="s" s="0">
        <v>1496</v>
      </c>
      <c r="BI46" t="s" s="0">
        <v>84</v>
      </c>
      <c r="BJ46" t="s" s="0">
        <v>1497</v>
      </c>
      <c r="BK46" t="s" s="88">
        <f>HYPERLINK("http://dx.doi.org/10.1038/s41591-024-03423-7","http://dx.doi.org/10.1038/s41591-024-03423-7")</f>
        <v>1498</v>
      </c>
      <c r="BL46" t="s" s="0">
        <v>84</v>
      </c>
      <c r="BM46" t="s" s="0">
        <v>1499</v>
      </c>
      <c r="BN46" t="s" s="0">
        <v>116</v>
      </c>
      <c r="BO46" t="s" s="0">
        <v>243</v>
      </c>
      <c r="BP46" t="s" s="0">
        <v>244</v>
      </c>
      <c r="BQ46" t="s" s="0">
        <v>1500</v>
      </c>
      <c r="BR46" t="s" s="0">
        <v>1501</v>
      </c>
      <c r="BS46" t="s" s="0">
        <v>1502</v>
      </c>
      <c r="BT46" t="s" s="89">
        <f>HYPERLINK("https://www.webofscience.com/wos/woscc/full-record/WOS:001393036000001","View Record in Web of Science")</f>
        <v>126</v>
      </c>
      <c r="BU46" t="s" s="0">
        <v>208</v>
      </c>
      <c r="BV46" t="s" s="0">
        <v>129</v>
      </c>
      <c r="BW46" t="s" s="0">
        <v>129</v>
      </c>
      <c r="BX46" t="s" s="0">
        <v>130</v>
      </c>
    </row>
    <row r="47">
      <c r="A47" t="s" s="0">
        <v>371</v>
      </c>
      <c r="B47" t="s" s="0">
        <v>78</v>
      </c>
      <c r="C47" t="s" s="0">
        <v>1503</v>
      </c>
      <c r="D47" t="s" s="0">
        <v>78</v>
      </c>
      <c r="E47" t="s" s="0">
        <v>1504</v>
      </c>
      <c r="F47" t="s" s="0">
        <v>1505</v>
      </c>
      <c r="G47" t="s" s="0">
        <v>1506</v>
      </c>
      <c r="H47" t="s" s="0">
        <v>84</v>
      </c>
      <c r="I47" t="s" s="0">
        <v>85</v>
      </c>
      <c r="J47" t="s" s="0">
        <v>1507</v>
      </c>
      <c r="K47" t="s" s="0">
        <v>1508</v>
      </c>
      <c r="L47" t="s" s="0">
        <v>1509</v>
      </c>
      <c r="M47" t="s" s="0">
        <v>1510</v>
      </c>
      <c r="N47" t="s" s="0">
        <v>1511</v>
      </c>
      <c r="O47" t="s" s="0">
        <v>1512</v>
      </c>
      <c r="P47" t="s" s="0">
        <v>1513</v>
      </c>
      <c r="Q47" t="s" s="0">
        <v>93</v>
      </c>
      <c r="R47" t="s" s="0">
        <v>84</v>
      </c>
      <c r="S47" t="s" s="0">
        <v>84</v>
      </c>
      <c r="T47" t="s" s="0">
        <v>84</v>
      </c>
      <c r="U47" t="s" s="0">
        <v>84</v>
      </c>
      <c r="V47" t="s" s="0">
        <v>1514</v>
      </c>
      <c r="W47" t="s" s="0">
        <v>223</v>
      </c>
      <c r="X47" t="s" s="0">
        <v>84</v>
      </c>
      <c r="Y47" t="s" s="0">
        <v>84</v>
      </c>
      <c r="Z47" t="s" s="0">
        <v>96</v>
      </c>
      <c r="AA47" t="s" s="0">
        <v>145</v>
      </c>
      <c r="AB47" t="s" s="0">
        <v>84</v>
      </c>
      <c r="AC47" t="s" s="0">
        <v>84</v>
      </c>
      <c r="AD47" t="s" s="0">
        <v>84</v>
      </c>
      <c r="AE47" t="s" s="0">
        <v>84</v>
      </c>
      <c r="AF47" t="s" s="0">
        <v>84</v>
      </c>
      <c r="AG47" t="s" s="0">
        <v>84</v>
      </c>
      <c r="AH47" t="s" s="0">
        <v>1515</v>
      </c>
      <c r="AI47" t="s" s="0">
        <v>1516</v>
      </c>
      <c r="AJ47" t="s" s="0">
        <v>1517</v>
      </c>
      <c r="AK47" t="s" s="0">
        <v>84</v>
      </c>
      <c r="AL47" t="s" s="0">
        <v>1518</v>
      </c>
      <c r="AM47" t="s" s="0">
        <v>1519</v>
      </c>
      <c r="AN47" t="s" s="0">
        <v>1520</v>
      </c>
      <c r="AO47" t="s" s="0">
        <v>319</v>
      </c>
      <c r="AP47" t="s" s="0">
        <v>1521</v>
      </c>
      <c r="AQ47" t="s" s="0">
        <v>106</v>
      </c>
      <c r="AR47" t="s" s="0">
        <v>107</v>
      </c>
      <c r="AS47" t="s" s="0">
        <v>108</v>
      </c>
      <c r="AT47" t="s" s="0">
        <v>232</v>
      </c>
      <c r="AU47" t="s" s="0">
        <v>233</v>
      </c>
      <c r="AV47" t="s" s="0">
        <v>84</v>
      </c>
      <c r="AW47" t="s" s="0">
        <v>234</v>
      </c>
      <c r="AX47" t="s" s="0">
        <v>235</v>
      </c>
      <c r="AY47" t="s" s="0">
        <v>1522</v>
      </c>
      <c r="AZ47" t="s" s="0">
        <v>476</v>
      </c>
      <c r="BA47" t="s" s="0">
        <v>417</v>
      </c>
      <c r="BB47" t="s" s="0">
        <v>159</v>
      </c>
      <c r="BC47" t="s" s="0">
        <v>84</v>
      </c>
      <c r="BD47" t="s" s="0">
        <v>84</v>
      </c>
      <c r="BE47" t="s" s="0">
        <v>84</v>
      </c>
      <c r="BF47" t="s" s="0">
        <v>84</v>
      </c>
      <c r="BG47" t="s" s="0">
        <v>560</v>
      </c>
      <c r="BH47" t="s" s="0">
        <v>272</v>
      </c>
      <c r="BI47" t="s" s="0">
        <v>84</v>
      </c>
      <c r="BJ47" t="s" s="0">
        <v>1523</v>
      </c>
      <c r="BK47" t="s" s="90">
        <f>HYPERLINK("http://dx.doi.org/10.1038/s41591-019-0715-9","http://dx.doi.org/10.1038/s41591-019-0715-9")</f>
        <v>1524</v>
      </c>
      <c r="BL47" t="s" s="0">
        <v>84</v>
      </c>
      <c r="BM47" t="s" s="0">
        <v>84</v>
      </c>
      <c r="BN47" t="s" s="0">
        <v>1255</v>
      </c>
      <c r="BO47" t="s" s="0">
        <v>243</v>
      </c>
      <c r="BP47" t="s" s="0">
        <v>244</v>
      </c>
      <c r="BQ47" t="s" s="0">
        <v>1525</v>
      </c>
      <c r="BR47" t="s" s="0">
        <v>1526</v>
      </c>
      <c r="BS47" t="s" s="0">
        <v>1527</v>
      </c>
      <c r="BT47" t="s" s="91">
        <f>HYPERLINK("https://www.webofscience.com/wos/woscc/full-record/WOS:000509831900026","View Record in Web of Science")</f>
        <v>126</v>
      </c>
      <c r="BU47" t="s" s="0">
        <v>127</v>
      </c>
      <c r="BV47" t="s" s="0">
        <v>128</v>
      </c>
      <c r="BW47" t="s" s="0">
        <v>129</v>
      </c>
      <c r="BX47" t="s" s="0">
        <v>130</v>
      </c>
    </row>
    <row r="48">
      <c r="A48" t="s" s="0">
        <v>539</v>
      </c>
      <c r="B48" t="s" s="0">
        <v>78</v>
      </c>
      <c r="C48" t="s" s="0">
        <v>1528</v>
      </c>
      <c r="D48" t="s" s="0">
        <v>250</v>
      </c>
      <c r="E48" t="s" s="0">
        <v>1529</v>
      </c>
      <c r="F48" t="s" s="0">
        <v>1530</v>
      </c>
      <c r="G48" t="s" s="0">
        <v>1531</v>
      </c>
      <c r="H48" t="s" s="0">
        <v>84</v>
      </c>
      <c r="I48" t="s" s="0">
        <v>85</v>
      </c>
      <c r="J48" t="s" s="0">
        <v>1532</v>
      </c>
      <c r="K48" t="s" s="0">
        <v>1533</v>
      </c>
      <c r="L48" t="s" s="0">
        <v>84</v>
      </c>
      <c r="M48" t="s" s="0">
        <v>84</v>
      </c>
      <c r="N48" t="s" s="0">
        <v>84</v>
      </c>
      <c r="O48" t="s" s="0">
        <v>1534</v>
      </c>
      <c r="P48" t="s" s="0">
        <v>1535</v>
      </c>
      <c r="Q48" t="s" s="0">
        <v>93</v>
      </c>
      <c r="R48" t="s" s="0">
        <v>84</v>
      </c>
      <c r="S48" t="s" s="0">
        <v>84</v>
      </c>
      <c r="T48" t="s" s="0">
        <v>84</v>
      </c>
      <c r="U48" t="s" s="0">
        <v>84</v>
      </c>
      <c r="V48" t="s" s="0">
        <v>1536</v>
      </c>
      <c r="W48" t="s" s="0">
        <v>1537</v>
      </c>
      <c r="X48" t="s" s="0">
        <v>84</v>
      </c>
      <c r="Y48" t="s" s="0">
        <v>84</v>
      </c>
      <c r="Z48" t="s" s="0">
        <v>96</v>
      </c>
      <c r="AA48" t="s" s="0">
        <v>97</v>
      </c>
      <c r="AB48" t="s" s="0">
        <v>84</v>
      </c>
      <c r="AC48" t="s" s="0">
        <v>84</v>
      </c>
      <c r="AD48" t="s" s="0">
        <v>84</v>
      </c>
      <c r="AE48" t="s" s="0">
        <v>84</v>
      </c>
      <c r="AF48" t="s" s="0">
        <v>84</v>
      </c>
      <c r="AG48" t="s" s="0">
        <v>1538</v>
      </c>
      <c r="AH48" t="s" s="0">
        <v>1539</v>
      </c>
      <c r="AI48" t="s" s="0">
        <v>1540</v>
      </c>
      <c r="AJ48" t="s" s="0">
        <v>1541</v>
      </c>
      <c r="AK48" t="s" s="0">
        <v>84</v>
      </c>
      <c r="AL48" t="s" s="0">
        <v>1542</v>
      </c>
      <c r="AM48" t="s" s="0">
        <v>1543</v>
      </c>
      <c r="AN48" t="s" s="0">
        <v>1544</v>
      </c>
      <c r="AO48" t="s" s="0">
        <v>442</v>
      </c>
      <c r="AP48" t="s" s="0">
        <v>1545</v>
      </c>
      <c r="AQ48" t="s" s="0">
        <v>1413</v>
      </c>
      <c r="AR48" t="s" s="0">
        <v>1414</v>
      </c>
      <c r="AS48" t="s" s="0">
        <v>1415</v>
      </c>
      <c r="AT48" t="s" s="0">
        <v>84</v>
      </c>
      <c r="AU48" t="s" s="0">
        <v>1546</v>
      </c>
      <c r="AV48" t="s" s="0">
        <v>84</v>
      </c>
      <c r="AW48" t="s" s="0">
        <v>1537</v>
      </c>
      <c r="AX48" t="s" s="0">
        <v>1547</v>
      </c>
      <c r="AY48" t="s" s="0">
        <v>1548</v>
      </c>
      <c r="AZ48" t="s" s="0">
        <v>228</v>
      </c>
      <c r="BA48" t="s" s="0">
        <v>158</v>
      </c>
      <c r="BB48" t="s" s="0">
        <v>344</v>
      </c>
      <c r="BC48" t="s" s="0">
        <v>84</v>
      </c>
      <c r="BD48" t="s" s="0">
        <v>84</v>
      </c>
      <c r="BE48" t="s" s="0">
        <v>84</v>
      </c>
      <c r="BF48" t="s" s="0">
        <v>84</v>
      </c>
      <c r="BG48" t="s" s="0">
        <v>84</v>
      </c>
      <c r="BH48" t="s" s="0">
        <v>84</v>
      </c>
      <c r="BI48" t="s" s="0">
        <v>1549</v>
      </c>
      <c r="BJ48" t="s" s="0">
        <v>1550</v>
      </c>
      <c r="BK48" t="s" s="92">
        <f>HYPERLINK("http://dx.doi.org/10.3390/pharmaceutics15071916","http://dx.doi.org/10.3390/pharmaceutics15071916")</f>
        <v>1551</v>
      </c>
      <c r="BL48" t="s" s="0">
        <v>84</v>
      </c>
      <c r="BM48" t="s" s="0">
        <v>84</v>
      </c>
      <c r="BN48" t="s" s="0">
        <v>830</v>
      </c>
      <c r="BO48" t="s" s="0">
        <v>1552</v>
      </c>
      <c r="BP48" t="s" s="0">
        <v>1552</v>
      </c>
      <c r="BQ48" t="s" s="0">
        <v>1553</v>
      </c>
      <c r="BR48" t="s" s="0">
        <v>1554</v>
      </c>
      <c r="BS48" t="s" s="0">
        <v>1555</v>
      </c>
      <c r="BT48" t="s" s="93">
        <f>HYPERLINK("https://www.webofscience.com/wos/woscc/full-record/WOS:001036563700001","View Record in Web of Science")</f>
        <v>126</v>
      </c>
      <c r="BU48" t="s" s="0">
        <v>1556</v>
      </c>
      <c r="BV48" t="s" s="0">
        <v>128</v>
      </c>
      <c r="BW48" t="s" s="0">
        <v>129</v>
      </c>
      <c r="BX48" t="s" s="0">
        <v>130</v>
      </c>
    </row>
    <row r="49">
      <c r="A49" t="s" s="0">
        <v>638</v>
      </c>
      <c r="B49" t="s" s="0">
        <v>78</v>
      </c>
      <c r="C49" t="s" s="0">
        <v>1557</v>
      </c>
      <c r="D49" t="s" s="0">
        <v>250</v>
      </c>
      <c r="E49" t="s" s="0">
        <v>1558</v>
      </c>
      <c r="F49" t="s" s="0">
        <v>1559</v>
      </c>
      <c r="G49" t="s" s="0">
        <v>1560</v>
      </c>
      <c r="H49" t="s" s="0">
        <v>84</v>
      </c>
      <c r="I49" t="s" s="0">
        <v>85</v>
      </c>
      <c r="J49" t="s" s="0">
        <v>1561</v>
      </c>
      <c r="K49" t="s" s="0">
        <v>1562</v>
      </c>
      <c r="L49" t="s" s="0">
        <v>84</v>
      </c>
      <c r="M49" t="s" s="0">
        <v>84</v>
      </c>
      <c r="N49" t="s" s="0">
        <v>84</v>
      </c>
      <c r="O49" t="s" s="0">
        <v>1563</v>
      </c>
      <c r="P49" t="s" s="0">
        <v>1564</v>
      </c>
      <c r="Q49" t="s" s="0">
        <v>93</v>
      </c>
      <c r="R49" t="s" s="0">
        <v>84</v>
      </c>
      <c r="S49" t="s" s="0">
        <v>84</v>
      </c>
      <c r="T49" t="s" s="0">
        <v>84</v>
      </c>
      <c r="U49" t="s" s="0">
        <v>84</v>
      </c>
      <c r="V49" t="s" s="0">
        <v>1565</v>
      </c>
      <c r="W49" t="s" s="0">
        <v>1566</v>
      </c>
      <c r="X49" t="s" s="0">
        <v>84</v>
      </c>
      <c r="Y49" t="s" s="0">
        <v>84</v>
      </c>
      <c r="Z49" t="s" s="0">
        <v>96</v>
      </c>
      <c r="AA49" t="s" s="0">
        <v>97</v>
      </c>
      <c r="AB49" t="s" s="0">
        <v>84</v>
      </c>
      <c r="AC49" t="s" s="0">
        <v>84</v>
      </c>
      <c r="AD49" t="s" s="0">
        <v>84</v>
      </c>
      <c r="AE49" t="s" s="0">
        <v>84</v>
      </c>
      <c r="AF49" t="s" s="0">
        <v>84</v>
      </c>
      <c r="AG49" t="s" s="0">
        <v>1567</v>
      </c>
      <c r="AH49" t="s" s="0">
        <v>1568</v>
      </c>
      <c r="AI49" t="s" s="0">
        <v>84</v>
      </c>
      <c r="AJ49" t="s" s="0">
        <v>84</v>
      </c>
      <c r="AK49" t="s" s="0">
        <v>84</v>
      </c>
      <c r="AL49" t="s" s="0">
        <v>563</v>
      </c>
      <c r="AM49" t="s" s="0">
        <v>1569</v>
      </c>
      <c r="AN49" t="s" s="0">
        <v>1179</v>
      </c>
      <c r="AO49" t="s" s="0">
        <v>338</v>
      </c>
      <c r="AP49" t="s" s="0">
        <v>1570</v>
      </c>
      <c r="AQ49" t="s" s="0">
        <v>1221</v>
      </c>
      <c r="AR49" t="s" s="0">
        <v>682</v>
      </c>
      <c r="AS49" t="s" s="0">
        <v>1571</v>
      </c>
      <c r="AT49" t="s" s="0">
        <v>1572</v>
      </c>
      <c r="AU49" t="s" s="0">
        <v>1573</v>
      </c>
      <c r="AV49" t="s" s="0">
        <v>84</v>
      </c>
      <c r="AW49" t="s" s="0">
        <v>1574</v>
      </c>
      <c r="AX49" t="s" s="0">
        <v>1575</v>
      </c>
      <c r="AY49" t="s" s="0">
        <v>1247</v>
      </c>
      <c r="AZ49" t="s" s="0">
        <v>307</v>
      </c>
      <c r="BA49" t="s" s="0">
        <v>560</v>
      </c>
      <c r="BB49" t="s" s="0">
        <v>453</v>
      </c>
      <c r="BC49" t="s" s="0">
        <v>84</v>
      </c>
      <c r="BD49" t="s" s="0">
        <v>84</v>
      </c>
      <c r="BE49" t="s" s="0">
        <v>84</v>
      </c>
      <c r="BF49" t="s" s="0">
        <v>84</v>
      </c>
      <c r="BG49" t="s" s="0">
        <v>84</v>
      </c>
      <c r="BH49" t="s" s="0">
        <v>84</v>
      </c>
      <c r="BI49" t="s" s="0">
        <v>209</v>
      </c>
      <c r="BJ49" t="s" s="0">
        <v>1576</v>
      </c>
      <c r="BK49" t="s" s="94">
        <f>HYPERLINK("http://dx.doi.org/10.1145/3343440","http://dx.doi.org/10.1145/3343440")</f>
        <v>1577</v>
      </c>
      <c r="BL49" t="s" s="0">
        <v>84</v>
      </c>
      <c r="BM49" t="s" s="0">
        <v>84</v>
      </c>
      <c r="BN49" t="s" s="0">
        <v>365</v>
      </c>
      <c r="BO49" t="s" s="0">
        <v>1578</v>
      </c>
      <c r="BP49" t="s" s="0">
        <v>205</v>
      </c>
      <c r="BQ49" t="s" s="0">
        <v>1579</v>
      </c>
      <c r="BR49" t="s" s="0">
        <v>84</v>
      </c>
      <c r="BS49" t="s" s="0">
        <v>1580</v>
      </c>
      <c r="BT49" t="s" s="95">
        <f>HYPERLINK("https://www.webofscience.com/wos/woscc/full-record/WOS:000489551100015","View Record in Web of Science")</f>
        <v>126</v>
      </c>
      <c r="BU49" t="s" s="0">
        <v>84</v>
      </c>
      <c r="BV49" t="s" s="0">
        <v>128</v>
      </c>
      <c r="BW49" t="s" s="0">
        <v>129</v>
      </c>
      <c r="BX49" t="s" s="0">
        <v>130</v>
      </c>
    </row>
    <row r="50">
      <c r="A50" t="s" s="0">
        <v>275</v>
      </c>
      <c r="B50" t="s" s="0">
        <v>78</v>
      </c>
      <c r="C50" t="s" s="0">
        <v>527</v>
      </c>
      <c r="D50" t="s" s="0">
        <v>159</v>
      </c>
      <c r="E50" t="s" s="0">
        <v>1581</v>
      </c>
      <c r="F50" t="s" s="0">
        <v>1582</v>
      </c>
      <c r="G50" t="s" s="0">
        <v>1583</v>
      </c>
      <c r="H50" t="s" s="0">
        <v>84</v>
      </c>
      <c r="I50" t="s" s="0">
        <v>85</v>
      </c>
      <c r="J50" t="s" s="0">
        <v>1584</v>
      </c>
      <c r="K50" t="s" s="0">
        <v>1585</v>
      </c>
      <c r="L50" t="s" s="0">
        <v>84</v>
      </c>
      <c r="M50" t="s" s="0">
        <v>84</v>
      </c>
      <c r="N50" t="s" s="0">
        <v>84</v>
      </c>
      <c r="O50" t="s" s="0">
        <v>1586</v>
      </c>
      <c r="P50" t="s" s="0">
        <v>1587</v>
      </c>
      <c r="Q50" t="s" s="0">
        <v>93</v>
      </c>
      <c r="R50" t="s" s="0">
        <v>84</v>
      </c>
      <c r="S50" t="s" s="0">
        <v>84</v>
      </c>
      <c r="T50" t="s" s="0">
        <v>84</v>
      </c>
      <c r="U50" t="s" s="0">
        <v>84</v>
      </c>
      <c r="V50" t="s" s="0">
        <v>1588</v>
      </c>
      <c r="W50" t="s" s="0">
        <v>1589</v>
      </c>
      <c r="X50" t="s" s="0">
        <v>84</v>
      </c>
      <c r="Y50" t="s" s="0">
        <v>84</v>
      </c>
      <c r="Z50" t="s" s="0">
        <v>96</v>
      </c>
      <c r="AA50" t="s" s="0">
        <v>145</v>
      </c>
      <c r="AB50" t="s" s="0">
        <v>84</v>
      </c>
      <c r="AC50" t="s" s="0">
        <v>84</v>
      </c>
      <c r="AD50" t="s" s="0">
        <v>84</v>
      </c>
      <c r="AE50" t="s" s="0">
        <v>84</v>
      </c>
      <c r="AF50" t="s" s="0">
        <v>84</v>
      </c>
      <c r="AG50" t="s" s="0">
        <v>1590</v>
      </c>
      <c r="AH50" t="s" s="0">
        <v>84</v>
      </c>
      <c r="AI50" t="s" s="0">
        <v>1591</v>
      </c>
      <c r="AJ50" t="s" s="0">
        <v>84</v>
      </c>
      <c r="AK50" t="s" s="0">
        <v>84</v>
      </c>
      <c r="AL50" t="s" s="0">
        <v>417</v>
      </c>
      <c r="AM50" t="s" s="0">
        <v>1592</v>
      </c>
      <c r="AN50" t="s" s="0">
        <v>1593</v>
      </c>
      <c r="AO50" t="s" s="0">
        <v>170</v>
      </c>
      <c r="AP50" t="s" s="0">
        <v>539</v>
      </c>
      <c r="AQ50" t="s" s="0">
        <v>961</v>
      </c>
      <c r="AR50" t="s" s="0">
        <v>682</v>
      </c>
      <c r="AS50" t="s" s="0">
        <v>962</v>
      </c>
      <c r="AT50" t="s" s="0">
        <v>1594</v>
      </c>
      <c r="AU50" t="s" s="0">
        <v>1595</v>
      </c>
      <c r="AV50" t="s" s="0">
        <v>84</v>
      </c>
      <c r="AW50" t="s" s="0">
        <v>1596</v>
      </c>
      <c r="AX50" t="s" s="0">
        <v>1597</v>
      </c>
      <c r="AY50" t="s" s="0">
        <v>1002</v>
      </c>
      <c r="AZ50" t="s" s="0">
        <v>197</v>
      </c>
      <c r="BA50" t="s" s="0">
        <v>239</v>
      </c>
      <c r="BB50" t="s" s="0">
        <v>116</v>
      </c>
      <c r="BC50" t="s" s="0">
        <v>84</v>
      </c>
      <c r="BD50" t="s" s="0">
        <v>84</v>
      </c>
      <c r="BE50" t="s" s="0">
        <v>84</v>
      </c>
      <c r="BF50" t="s" s="0">
        <v>84</v>
      </c>
      <c r="BG50" t="s" s="0">
        <v>1598</v>
      </c>
      <c r="BH50" t="s" s="0">
        <v>1599</v>
      </c>
      <c r="BI50" t="s" s="0">
        <v>84</v>
      </c>
      <c r="BJ50" t="s" s="0">
        <v>1600</v>
      </c>
      <c r="BK50" t="s" s="96">
        <f>HYPERLINK("http://dx.doi.org/10.1007/s00330-021-07715-1","http://dx.doi.org/10.1007/s00330-021-07715-1")</f>
        <v>1601</v>
      </c>
      <c r="BL50" t="s" s="0">
        <v>84</v>
      </c>
      <c r="BM50" t="s" s="0">
        <v>1602</v>
      </c>
      <c r="BN50" t="s" s="0">
        <v>80</v>
      </c>
      <c r="BO50" t="s" s="0">
        <v>447</v>
      </c>
      <c r="BP50" t="s" s="0">
        <v>447</v>
      </c>
      <c r="BQ50" t="s" s="0">
        <v>1603</v>
      </c>
      <c r="BR50" t="s" s="0">
        <v>1604</v>
      </c>
      <c r="BS50" t="s" s="0">
        <v>1605</v>
      </c>
      <c r="BT50" t="s" s="97">
        <f>HYPERLINK("https://www.webofscience.com/wos/woscc/full-record/WOS:000621338200001","View Record in Web of Science")</f>
        <v>126</v>
      </c>
      <c r="BU50" t="s" s="0">
        <v>208</v>
      </c>
      <c r="BV50" t="s" s="0">
        <v>128</v>
      </c>
      <c r="BW50" t="s" s="0">
        <v>129</v>
      </c>
      <c r="BX50" t="s" s="0">
        <v>130</v>
      </c>
    </row>
    <row r="51">
      <c r="A51" t="s" s="0">
        <v>158</v>
      </c>
      <c r="B51" t="s" s="0">
        <v>78</v>
      </c>
      <c r="C51" t="s" s="0">
        <v>471</v>
      </c>
      <c r="D51" t="s" s="0">
        <v>159</v>
      </c>
      <c r="E51" t="s" s="0">
        <v>1606</v>
      </c>
      <c r="F51" t="s" s="0">
        <v>1607</v>
      </c>
      <c r="G51" t="s" s="0">
        <v>1608</v>
      </c>
      <c r="H51" t="s" s="0">
        <v>84</v>
      </c>
      <c r="I51" t="s" s="0">
        <v>85</v>
      </c>
      <c r="J51" t="s" s="0">
        <v>1609</v>
      </c>
      <c r="K51" t="s" s="0">
        <v>1610</v>
      </c>
      <c r="L51" t="s" s="0">
        <v>1611</v>
      </c>
      <c r="M51" t="s" s="0">
        <v>1612</v>
      </c>
      <c r="N51" t="s" s="0">
        <v>1613</v>
      </c>
      <c r="O51" t="s" s="0">
        <v>1614</v>
      </c>
      <c r="P51" t="s" s="0">
        <v>1615</v>
      </c>
      <c r="Q51" t="s" s="0">
        <v>93</v>
      </c>
      <c r="R51" t="s" s="0">
        <v>84</v>
      </c>
      <c r="S51" t="s" s="0">
        <v>84</v>
      </c>
      <c r="T51" t="s" s="0">
        <v>84</v>
      </c>
      <c r="U51" t="s" s="0">
        <v>84</v>
      </c>
      <c r="V51" t="s" s="0">
        <v>1616</v>
      </c>
      <c r="W51" t="s" s="0">
        <v>223</v>
      </c>
      <c r="X51" t="s" s="0">
        <v>84</v>
      </c>
      <c r="Y51" t="s" s="0">
        <v>84</v>
      </c>
      <c r="Z51" t="s" s="0">
        <v>96</v>
      </c>
      <c r="AA51" t="s" s="0">
        <v>145</v>
      </c>
      <c r="AB51" t="s" s="0">
        <v>84</v>
      </c>
      <c r="AC51" t="s" s="0">
        <v>84</v>
      </c>
      <c r="AD51" t="s" s="0">
        <v>84</v>
      </c>
      <c r="AE51" t="s" s="0">
        <v>84</v>
      </c>
      <c r="AF51" t="s" s="0">
        <v>84</v>
      </c>
      <c r="AG51" t="s" s="0">
        <v>84</v>
      </c>
      <c r="AH51" t="s" s="0">
        <v>1617</v>
      </c>
      <c r="AI51" t="s" s="0">
        <v>1618</v>
      </c>
      <c r="AJ51" t="s" s="0">
        <v>1619</v>
      </c>
      <c r="AK51" t="s" s="0">
        <v>84</v>
      </c>
      <c r="AL51" t="s" s="0">
        <v>1620</v>
      </c>
      <c r="AM51" t="s" s="0">
        <v>1621</v>
      </c>
      <c r="AN51" t="s" s="0">
        <v>1622</v>
      </c>
      <c r="AO51" t="s" s="0">
        <v>121</v>
      </c>
      <c r="AP51" t="s" s="0">
        <v>230</v>
      </c>
      <c r="AQ51" t="s" s="0">
        <v>106</v>
      </c>
      <c r="AR51" t="s" s="0">
        <v>107</v>
      </c>
      <c r="AS51" t="s" s="0">
        <v>108</v>
      </c>
      <c r="AT51" t="s" s="0">
        <v>232</v>
      </c>
      <c r="AU51" t="s" s="0">
        <v>233</v>
      </c>
      <c r="AV51" t="s" s="0">
        <v>84</v>
      </c>
      <c r="AW51" t="s" s="0">
        <v>234</v>
      </c>
      <c r="AX51" t="s" s="0">
        <v>235</v>
      </c>
      <c r="AY51" t="s" s="0">
        <v>1028</v>
      </c>
      <c r="AZ51" t="s" s="0">
        <v>197</v>
      </c>
      <c r="BA51" t="s" s="0">
        <v>599</v>
      </c>
      <c r="BB51" t="s" s="0">
        <v>338</v>
      </c>
      <c r="BC51" t="s" s="0">
        <v>84</v>
      </c>
      <c r="BD51" t="s" s="0">
        <v>84</v>
      </c>
      <c r="BE51" t="s" s="0">
        <v>84</v>
      </c>
      <c r="BF51" t="s" s="0">
        <v>84</v>
      </c>
      <c r="BG51" t="s" s="0">
        <v>1623</v>
      </c>
      <c r="BH51" t="s" s="0">
        <v>272</v>
      </c>
      <c r="BI51" t="s" s="0">
        <v>84</v>
      </c>
      <c r="BJ51" t="s" s="0">
        <v>1624</v>
      </c>
      <c r="BK51" t="s" s="98">
        <f>HYPERLINK("http://dx.doi.org/10.1038/s41591-021-01506-3","http://dx.doi.org/10.1038/s41591-021-01506-3")</f>
        <v>1625</v>
      </c>
      <c r="BL51" t="s" s="0">
        <v>84</v>
      </c>
      <c r="BM51" t="s" s="0">
        <v>997</v>
      </c>
      <c r="BN51" t="s" s="0">
        <v>371</v>
      </c>
      <c r="BO51" t="s" s="0">
        <v>243</v>
      </c>
      <c r="BP51" t="s" s="0">
        <v>244</v>
      </c>
      <c r="BQ51" t="s" s="0">
        <v>1626</v>
      </c>
      <c r="BR51" t="s" s="0">
        <v>1627</v>
      </c>
      <c r="BS51" t="s" s="0">
        <v>1628</v>
      </c>
      <c r="BT51" t="s" s="99">
        <f>HYPERLINK("https://www.webofscience.com/wos/woscc/full-record/WOS:000696140200002","View Record in Web of Science")</f>
        <v>126</v>
      </c>
      <c r="BU51" t="s" s="0">
        <v>208</v>
      </c>
      <c r="BV51" t="s" s="0">
        <v>128</v>
      </c>
      <c r="BW51" t="s" s="0">
        <v>129</v>
      </c>
      <c r="BX51" t="s" s="0">
        <v>130</v>
      </c>
    </row>
    <row r="52">
      <c r="A52" t="s" s="0">
        <v>308</v>
      </c>
      <c r="B52" t="s" s="0">
        <v>78</v>
      </c>
      <c r="C52" t="s" s="0">
        <v>240</v>
      </c>
      <c r="D52" t="s" s="0">
        <v>250</v>
      </c>
      <c r="E52" t="s" s="0">
        <v>1629</v>
      </c>
      <c r="F52" t="s" s="0">
        <v>1630</v>
      </c>
      <c r="G52" t="s" s="0">
        <v>1631</v>
      </c>
      <c r="H52" t="s" s="0">
        <v>84</v>
      </c>
      <c r="I52" t="s" s="0">
        <v>85</v>
      </c>
      <c r="J52" t="s" s="0">
        <v>1632</v>
      </c>
      <c r="K52" t="s" s="0">
        <v>1633</v>
      </c>
      <c r="L52" t="s" s="0">
        <v>1634</v>
      </c>
      <c r="M52" t="s" s="0">
        <v>1634</v>
      </c>
      <c r="N52" t="s" s="0">
        <v>1635</v>
      </c>
      <c r="O52" t="s" s="0">
        <v>1636</v>
      </c>
      <c r="P52" t="s" s="0">
        <v>1637</v>
      </c>
      <c r="Q52" t="s" s="0">
        <v>93</v>
      </c>
      <c r="R52" t="s" s="0">
        <v>84</v>
      </c>
      <c r="S52" t="s" s="0">
        <v>84</v>
      </c>
      <c r="T52" t="s" s="0">
        <v>84</v>
      </c>
      <c r="U52" t="s" s="0">
        <v>84</v>
      </c>
      <c r="V52" t="s" s="0">
        <v>1638</v>
      </c>
      <c r="W52" t="s" s="0">
        <v>1459</v>
      </c>
      <c r="X52" t="s" s="0">
        <v>84</v>
      </c>
      <c r="Y52" t="s" s="0">
        <v>84</v>
      </c>
      <c r="Z52" t="s" s="0">
        <v>96</v>
      </c>
      <c r="AA52" t="s" s="0">
        <v>97</v>
      </c>
      <c r="AB52" t="s" s="0">
        <v>84</v>
      </c>
      <c r="AC52" t="s" s="0">
        <v>84</v>
      </c>
      <c r="AD52" t="s" s="0">
        <v>84</v>
      </c>
      <c r="AE52" t="s" s="0">
        <v>84</v>
      </c>
      <c r="AF52" t="s" s="0">
        <v>84</v>
      </c>
      <c r="AG52" t="s" s="0">
        <v>1639</v>
      </c>
      <c r="AH52" t="s" s="0">
        <v>1640</v>
      </c>
      <c r="AI52" t="s" s="0">
        <v>1641</v>
      </c>
      <c r="AJ52" t="s" s="0">
        <v>1642</v>
      </c>
      <c r="AK52" t="s" s="0">
        <v>84</v>
      </c>
      <c r="AL52" t="s" s="0">
        <v>1225</v>
      </c>
      <c r="AM52" t="s" s="0">
        <v>1643</v>
      </c>
      <c r="AN52" t="s" s="0">
        <v>1644</v>
      </c>
      <c r="AO52" t="s" s="0">
        <v>101</v>
      </c>
      <c r="AP52" t="s" s="0">
        <v>1645</v>
      </c>
      <c r="AQ52" t="s" s="0">
        <v>1183</v>
      </c>
      <c r="AR52" t="s" s="0">
        <v>1184</v>
      </c>
      <c r="AS52" t="s" s="0">
        <v>1185</v>
      </c>
      <c r="AT52" t="s" s="0">
        <v>1464</v>
      </c>
      <c r="AU52" t="s" s="0">
        <v>84</v>
      </c>
      <c r="AV52" t="s" s="0">
        <v>84</v>
      </c>
      <c r="AW52" t="s" s="0">
        <v>1459</v>
      </c>
      <c r="AX52" t="s" s="0">
        <v>1465</v>
      </c>
      <c r="AY52" t="s" s="0">
        <v>157</v>
      </c>
      <c r="AZ52" t="s" s="0">
        <v>157</v>
      </c>
      <c r="BA52" t="s" s="0">
        <v>275</v>
      </c>
      <c r="BB52" t="s" s="0">
        <v>84</v>
      </c>
      <c r="BC52" t="s" s="0">
        <v>84</v>
      </c>
      <c r="BD52" t="s" s="0">
        <v>84</v>
      </c>
      <c r="BE52" t="s" s="0">
        <v>84</v>
      </c>
      <c r="BF52" t="s" s="0">
        <v>84</v>
      </c>
      <c r="BG52" t="s" s="0">
        <v>1646</v>
      </c>
      <c r="BH52" t="s" s="0">
        <v>1647</v>
      </c>
      <c r="BI52" t="s" s="0">
        <v>84</v>
      </c>
      <c r="BJ52" t="s" s="0">
        <v>1648</v>
      </c>
      <c r="BK52" t="s" s="100">
        <f>HYPERLINK("http://dx.doi.org/10.1109/ACCESS.2024.3365742","http://dx.doi.org/10.1109/ACCESS.2024.3365742")</f>
        <v>1649</v>
      </c>
      <c r="BL52" t="s" s="0">
        <v>84</v>
      </c>
      <c r="BM52" t="s" s="0">
        <v>84</v>
      </c>
      <c r="BN52" t="s" s="0">
        <v>365</v>
      </c>
      <c r="BO52" t="s" s="0">
        <v>1470</v>
      </c>
      <c r="BP52" t="s" s="0">
        <v>1471</v>
      </c>
      <c r="BQ52" t="s" s="0">
        <v>1650</v>
      </c>
      <c r="BR52" t="s" s="0">
        <v>84</v>
      </c>
      <c r="BS52" t="s" s="0">
        <v>1651</v>
      </c>
      <c r="BT52" t="s" s="101">
        <f>HYPERLINK("https://www.webofscience.com/wos/woscc/full-record/WOS:001173153100001","View Record in Web of Science")</f>
        <v>126</v>
      </c>
      <c r="BU52" t="s" s="0">
        <v>168</v>
      </c>
      <c r="BV52" t="s" s="0">
        <v>128</v>
      </c>
      <c r="BW52" t="s" s="0">
        <v>129</v>
      </c>
      <c r="BX52" t="s" s="0">
        <v>130</v>
      </c>
    </row>
    <row r="53">
      <c r="A53" t="s" s="0">
        <v>121</v>
      </c>
      <c r="B53" t="s" s="0">
        <v>78</v>
      </c>
      <c r="C53" t="s" s="0">
        <v>663</v>
      </c>
      <c r="D53" t="s" s="0">
        <v>78</v>
      </c>
      <c r="E53" t="s" s="0">
        <v>1652</v>
      </c>
      <c r="F53" t="s" s="0">
        <v>1653</v>
      </c>
      <c r="G53" t="s" s="0">
        <v>1654</v>
      </c>
      <c r="H53" t="s" s="0">
        <v>84</v>
      </c>
      <c r="I53" t="s" s="0">
        <v>283</v>
      </c>
      <c r="J53" t="s" s="0">
        <v>1655</v>
      </c>
      <c r="K53" t="s" s="0">
        <v>1656</v>
      </c>
      <c r="L53" t="s" s="0">
        <v>1657</v>
      </c>
      <c r="M53" t="s" s="0">
        <v>1658</v>
      </c>
      <c r="N53" t="s" s="0">
        <v>1659</v>
      </c>
      <c r="O53" t="s" s="0">
        <v>1660</v>
      </c>
      <c r="P53" t="s" s="0">
        <v>1661</v>
      </c>
      <c r="Q53" t="s" s="0">
        <v>93</v>
      </c>
      <c r="R53" t="s" s="0">
        <v>84</v>
      </c>
      <c r="S53" t="s" s="0">
        <v>84</v>
      </c>
      <c r="T53" t="s" s="0">
        <v>84</v>
      </c>
      <c r="U53" t="s" s="0">
        <v>84</v>
      </c>
      <c r="V53" t="s" s="0">
        <v>1662</v>
      </c>
      <c r="W53" t="s" s="0">
        <v>1663</v>
      </c>
      <c r="X53" t="s" s="0">
        <v>84</v>
      </c>
      <c r="Y53" t="s" s="0">
        <v>84</v>
      </c>
      <c r="Z53" t="s" s="0">
        <v>96</v>
      </c>
      <c r="AA53" t="s" s="0">
        <v>145</v>
      </c>
      <c r="AB53" t="s" s="0">
        <v>84</v>
      </c>
      <c r="AC53" t="s" s="0">
        <v>84</v>
      </c>
      <c r="AD53" t="s" s="0">
        <v>84</v>
      </c>
      <c r="AE53" t="s" s="0">
        <v>84</v>
      </c>
      <c r="AF53" t="s" s="0">
        <v>84</v>
      </c>
      <c r="AG53" t="s" s="0">
        <v>1664</v>
      </c>
      <c r="AH53" t="s" s="0">
        <v>1665</v>
      </c>
      <c r="AI53" t="s" s="0">
        <v>84</v>
      </c>
      <c r="AJ53" t="s" s="0">
        <v>1666</v>
      </c>
      <c r="AK53" t="s" s="0">
        <v>84</v>
      </c>
      <c r="AL53" t="s" s="0">
        <v>1409</v>
      </c>
      <c r="AM53" t="s" s="0">
        <v>1667</v>
      </c>
      <c r="AN53" t="s" s="0">
        <v>1668</v>
      </c>
      <c r="AO53" t="s" s="0">
        <v>857</v>
      </c>
      <c r="AP53" t="s" s="0">
        <v>1669</v>
      </c>
      <c r="AQ53" t="s" s="0">
        <v>1670</v>
      </c>
      <c r="AR53" t="s" s="0">
        <v>1671</v>
      </c>
      <c r="AS53" t="s" s="0">
        <v>1672</v>
      </c>
      <c r="AT53" t="s" s="0">
        <v>1673</v>
      </c>
      <c r="AU53" t="s" s="0">
        <v>1674</v>
      </c>
      <c r="AV53" t="s" s="0">
        <v>84</v>
      </c>
      <c r="AW53" t="s" s="0">
        <v>1675</v>
      </c>
      <c r="AX53" t="s" s="0">
        <v>1676</v>
      </c>
      <c r="AY53" t="s" s="0">
        <v>1677</v>
      </c>
      <c r="AZ53" t="s" s="0">
        <v>197</v>
      </c>
      <c r="BA53" t="s" s="0">
        <v>503</v>
      </c>
      <c r="BB53" t="s" s="0">
        <v>84</v>
      </c>
      <c r="BC53" t="s" s="0">
        <v>84</v>
      </c>
      <c r="BD53" t="s" s="0">
        <v>84</v>
      </c>
      <c r="BE53" t="s" s="0">
        <v>84</v>
      </c>
      <c r="BF53" t="s" s="0">
        <v>84</v>
      </c>
      <c r="BG53" t="s" s="0">
        <v>84</v>
      </c>
      <c r="BH53" t="s" s="0">
        <v>84</v>
      </c>
      <c r="BI53" t="s" s="0">
        <v>1678</v>
      </c>
      <c r="BJ53" t="s" s="0">
        <v>1679</v>
      </c>
      <c r="BK53" t="s" s="102">
        <f>HYPERLINK("http://dx.doi.org/10.1016/j.jbi.2020.103655","http://dx.doi.org/10.1016/j.jbi.2020.103655")</f>
        <v>1680</v>
      </c>
      <c r="BL53" t="s" s="0">
        <v>84</v>
      </c>
      <c r="BM53" t="s" s="0">
        <v>84</v>
      </c>
      <c r="BN53" t="s" s="0">
        <v>121</v>
      </c>
      <c r="BO53" t="s" s="0">
        <v>1681</v>
      </c>
      <c r="BP53" t="s" s="0">
        <v>1682</v>
      </c>
      <c r="BQ53" t="s" s="0">
        <v>1683</v>
      </c>
      <c r="BR53" t="s" s="0">
        <v>1684</v>
      </c>
      <c r="BS53" t="s" s="0">
        <v>1685</v>
      </c>
      <c r="BT53" t="s" s="103">
        <f>HYPERLINK("https://www.webofscience.com/wos/woscc/full-record/WOS:000615920800010","View Record in Web of Science")</f>
        <v>126</v>
      </c>
      <c r="BU53" t="s" s="0">
        <v>1686</v>
      </c>
      <c r="BV53" t="s" s="0">
        <v>128</v>
      </c>
      <c r="BW53" t="s" s="0">
        <v>129</v>
      </c>
      <c r="BX53" t="s" s="0">
        <v>130</v>
      </c>
    </row>
    <row r="54">
      <c r="A54" t="s" s="0">
        <v>308</v>
      </c>
      <c r="B54" t="s" s="0">
        <v>78</v>
      </c>
      <c r="C54" t="s" s="0">
        <v>1687</v>
      </c>
      <c r="D54" t="s" s="0">
        <v>159</v>
      </c>
      <c r="E54" t="s" s="0">
        <v>1688</v>
      </c>
      <c r="F54" t="s" s="0">
        <v>1689</v>
      </c>
      <c r="G54" t="s" s="0">
        <v>1690</v>
      </c>
      <c r="H54" t="s" s="0">
        <v>84</v>
      </c>
      <c r="I54" t="s" s="0">
        <v>85</v>
      </c>
      <c r="J54" t="s" s="0">
        <v>1691</v>
      </c>
      <c r="K54" t="s" s="0">
        <v>1692</v>
      </c>
      <c r="L54" t="s" s="0">
        <v>1693</v>
      </c>
      <c r="M54" t="s" s="0">
        <v>1694</v>
      </c>
      <c r="N54" t="s" s="0">
        <v>1695</v>
      </c>
      <c r="O54" t="s" s="0">
        <v>1696</v>
      </c>
      <c r="P54" t="s" s="0">
        <v>1697</v>
      </c>
      <c r="Q54" t="s" s="0">
        <v>93</v>
      </c>
      <c r="R54" t="s" s="0">
        <v>84</v>
      </c>
      <c r="S54" t="s" s="0">
        <v>84</v>
      </c>
      <c r="T54" t="s" s="0">
        <v>84</v>
      </c>
      <c r="U54" t="s" s="0">
        <v>84</v>
      </c>
      <c r="V54" t="s" s="0">
        <v>1698</v>
      </c>
      <c r="W54" t="s" s="0">
        <v>1699</v>
      </c>
      <c r="X54" t="s" s="0">
        <v>84</v>
      </c>
      <c r="Y54" t="s" s="0">
        <v>84</v>
      </c>
      <c r="Z54" t="s" s="0">
        <v>96</v>
      </c>
      <c r="AA54" t="s" s="0">
        <v>145</v>
      </c>
      <c r="AB54" t="s" s="0">
        <v>84</v>
      </c>
      <c r="AC54" t="s" s="0">
        <v>84</v>
      </c>
      <c r="AD54" t="s" s="0">
        <v>84</v>
      </c>
      <c r="AE54" t="s" s="0">
        <v>84</v>
      </c>
      <c r="AF54" t="s" s="0">
        <v>84</v>
      </c>
      <c r="AG54" t="s" s="0">
        <v>1700</v>
      </c>
      <c r="AH54" t="s" s="0">
        <v>1701</v>
      </c>
      <c r="AI54" t="s" s="0">
        <v>1702</v>
      </c>
      <c r="AJ54" t="s" s="0">
        <v>1703</v>
      </c>
      <c r="AK54" t="s" s="0">
        <v>84</v>
      </c>
      <c r="AL54" t="s" s="0">
        <v>1255</v>
      </c>
      <c r="AM54" t="s" s="0">
        <v>1704</v>
      </c>
      <c r="AN54" t="s" s="0">
        <v>1705</v>
      </c>
      <c r="AO54" t="s" s="0">
        <v>250</v>
      </c>
      <c r="AP54" t="s" s="0">
        <v>1706</v>
      </c>
      <c r="AQ54" t="s" s="0">
        <v>1439</v>
      </c>
      <c r="AR54" t="s" s="0">
        <v>895</v>
      </c>
      <c r="AS54" t="s" s="0">
        <v>1440</v>
      </c>
      <c r="AT54" t="s" s="0">
        <v>1707</v>
      </c>
      <c r="AU54" t="s" s="0">
        <v>1708</v>
      </c>
      <c r="AV54" t="s" s="0">
        <v>84</v>
      </c>
      <c r="AW54" t="s" s="0">
        <v>1709</v>
      </c>
      <c r="AX54" t="s" s="0">
        <v>1710</v>
      </c>
      <c r="AY54" t="s" s="0">
        <v>1711</v>
      </c>
      <c r="AZ54" t="s" s="0">
        <v>114</v>
      </c>
      <c r="BA54" t="s" s="0">
        <v>830</v>
      </c>
      <c r="BB54" t="s" s="0">
        <v>453</v>
      </c>
      <c r="BC54" t="s" s="0">
        <v>84</v>
      </c>
      <c r="BD54" t="s" s="0">
        <v>84</v>
      </c>
      <c r="BE54" t="s" s="0">
        <v>84</v>
      </c>
      <c r="BF54" t="s" s="0">
        <v>84</v>
      </c>
      <c r="BG54" t="s" s="0">
        <v>1712</v>
      </c>
      <c r="BH54" t="s" s="0">
        <v>1713</v>
      </c>
      <c r="BI54" t="s" s="0">
        <v>84</v>
      </c>
      <c r="BJ54" t="s" s="0">
        <v>1714</v>
      </c>
      <c r="BK54" t="s" s="104">
        <f>HYPERLINK("http://dx.doi.org/10.1097/CCM.0000000000002936","http://dx.doi.org/10.1097/CCM.0000000000002936")</f>
        <v>1715</v>
      </c>
      <c r="BL54" t="s" s="0">
        <v>84</v>
      </c>
      <c r="BM54" t="s" s="0">
        <v>84</v>
      </c>
      <c r="BN54" t="s" s="0">
        <v>344</v>
      </c>
      <c r="BO54" t="s" s="0">
        <v>1716</v>
      </c>
      <c r="BP54" t="s" s="0">
        <v>313</v>
      </c>
      <c r="BQ54" t="s" s="0">
        <v>1717</v>
      </c>
      <c r="BR54" t="s" s="0">
        <v>1718</v>
      </c>
      <c r="BS54" t="s" s="0">
        <v>1719</v>
      </c>
      <c r="BT54" t="s" s="105">
        <f>HYPERLINK("https://www.webofscience.com/wos/woscc/full-record/WOS:000427775500031","View Record in Web of Science")</f>
        <v>126</v>
      </c>
      <c r="BU54" t="s" s="0">
        <v>84</v>
      </c>
      <c r="BV54" t="s" s="0">
        <v>128</v>
      </c>
      <c r="BW54" t="s" s="0">
        <v>129</v>
      </c>
      <c r="BX54" t="s" s="0">
        <v>130</v>
      </c>
    </row>
    <row r="55">
      <c r="A55" t="s" s="0">
        <v>925</v>
      </c>
      <c r="B55" t="s" s="0">
        <v>78</v>
      </c>
      <c r="C55" t="s" s="0">
        <v>1720</v>
      </c>
      <c r="D55" t="s" s="0">
        <v>78</v>
      </c>
      <c r="E55" t="s" s="0">
        <v>1721</v>
      </c>
      <c r="F55" t="s" s="0">
        <v>1722</v>
      </c>
      <c r="G55" t="s" s="0">
        <v>1723</v>
      </c>
      <c r="H55" t="s" s="0">
        <v>84</v>
      </c>
      <c r="I55" t="s" s="0">
        <v>85</v>
      </c>
      <c r="J55" t="s" s="0">
        <v>1724</v>
      </c>
      <c r="K55" t="s" s="0">
        <v>1725</v>
      </c>
      <c r="L55" t="s" s="0">
        <v>1726</v>
      </c>
      <c r="M55" t="s" s="0">
        <v>1727</v>
      </c>
      <c r="N55" t="s" s="0">
        <v>1728</v>
      </c>
      <c r="O55" t="s" s="0">
        <v>1729</v>
      </c>
      <c r="P55" t="s" s="0">
        <v>1730</v>
      </c>
      <c r="Q55" t="s" s="0">
        <v>93</v>
      </c>
      <c r="R55" t="s" s="0">
        <v>84</v>
      </c>
      <c r="S55" t="s" s="0">
        <v>84</v>
      </c>
      <c r="T55" t="s" s="0">
        <v>84</v>
      </c>
      <c r="U55" t="s" s="0">
        <v>84</v>
      </c>
      <c r="V55" t="s" s="0">
        <v>1731</v>
      </c>
      <c r="W55" t="s" s="0">
        <v>1145</v>
      </c>
      <c r="X55" t="s" s="0">
        <v>84</v>
      </c>
      <c r="Y55" t="s" s="0">
        <v>84</v>
      </c>
      <c r="Z55" t="s" s="0">
        <v>96</v>
      </c>
      <c r="AA55" t="s" s="0">
        <v>145</v>
      </c>
      <c r="AB55" t="s" s="0">
        <v>84</v>
      </c>
      <c r="AC55" t="s" s="0">
        <v>84</v>
      </c>
      <c r="AD55" t="s" s="0">
        <v>84</v>
      </c>
      <c r="AE55" t="s" s="0">
        <v>84</v>
      </c>
      <c r="AF55" t="s" s="0">
        <v>84</v>
      </c>
      <c r="AG55" t="s" s="0">
        <v>84</v>
      </c>
      <c r="AH55" t="s" s="0">
        <v>1732</v>
      </c>
      <c r="AI55" t="s" s="0">
        <v>1733</v>
      </c>
      <c r="AJ55" t="s" s="0">
        <v>1734</v>
      </c>
      <c r="AK55" t="s" s="0">
        <v>84</v>
      </c>
      <c r="AL55" t="s" s="0">
        <v>1735</v>
      </c>
      <c r="AM55" t="s" s="0">
        <v>1736</v>
      </c>
      <c r="AN55" t="s" s="0">
        <v>1087</v>
      </c>
      <c r="AO55" t="s" s="0">
        <v>211</v>
      </c>
      <c r="AP55" t="s" s="0">
        <v>1737</v>
      </c>
      <c r="AQ55" t="s" s="0">
        <v>1152</v>
      </c>
      <c r="AR55" t="s" s="0">
        <v>1153</v>
      </c>
      <c r="AS55" t="s" s="0">
        <v>1154</v>
      </c>
      <c r="AT55" t="s" s="0">
        <v>1155</v>
      </c>
      <c r="AU55" t="s" s="0">
        <v>1330</v>
      </c>
      <c r="AV55" t="s" s="0">
        <v>84</v>
      </c>
      <c r="AW55" t="s" s="0">
        <v>1145</v>
      </c>
      <c r="AX55" t="s" s="0">
        <v>1156</v>
      </c>
      <c r="AY55" t="s" s="0">
        <v>1057</v>
      </c>
      <c r="AZ55" t="s" s="0">
        <v>197</v>
      </c>
      <c r="BA55" t="s" s="0">
        <v>1738</v>
      </c>
      <c r="BB55" t="s" s="0">
        <v>250</v>
      </c>
      <c r="BC55" t="s" s="0">
        <v>84</v>
      </c>
      <c r="BD55" t="s" s="0">
        <v>84</v>
      </c>
      <c r="BE55" t="s" s="0">
        <v>84</v>
      </c>
      <c r="BF55" t="s" s="0">
        <v>84</v>
      </c>
      <c r="BG55" t="s" s="0">
        <v>1739</v>
      </c>
      <c r="BH55" t="s" s="0">
        <v>1740</v>
      </c>
      <c r="BI55" t="s" s="0">
        <v>84</v>
      </c>
      <c r="BJ55" t="s" s="0">
        <v>1741</v>
      </c>
      <c r="BK55" t="s" s="106">
        <f>HYPERLINK("http://dx.doi.org/10.1148/radiol.2021202553","http://dx.doi.org/10.1148/radiol.2021202553")</f>
        <v>1742</v>
      </c>
      <c r="BL55" t="s" s="0">
        <v>84</v>
      </c>
      <c r="BM55" t="s" s="0">
        <v>84</v>
      </c>
      <c r="BN55" t="s" s="0">
        <v>275</v>
      </c>
      <c r="BO55" t="s" s="0">
        <v>447</v>
      </c>
      <c r="BP55" t="s" s="0">
        <v>447</v>
      </c>
      <c r="BQ55" t="s" s="0">
        <v>1743</v>
      </c>
      <c r="BR55" t="s" s="0">
        <v>1744</v>
      </c>
      <c r="BS55" t="s" s="0">
        <v>1745</v>
      </c>
      <c r="BT55" t="s" s="107">
        <f>HYPERLINK("https://www.webofscience.com/wos/woscc/full-record/WOS:000621371200014","View Record in Web of Science")</f>
        <v>126</v>
      </c>
      <c r="BU55" t="s" s="0">
        <v>127</v>
      </c>
      <c r="BV55" t="s" s="0">
        <v>128</v>
      </c>
      <c r="BW55" t="s" s="0">
        <v>129</v>
      </c>
      <c r="BX55" t="s" s="0">
        <v>130</v>
      </c>
    </row>
    <row r="56">
      <c r="A56" t="s" s="0">
        <v>857</v>
      </c>
      <c r="B56" t="s" s="0">
        <v>78</v>
      </c>
      <c r="C56" t="s" s="0">
        <v>1746</v>
      </c>
      <c r="D56" t="s" s="0">
        <v>159</v>
      </c>
      <c r="E56" t="s" s="0">
        <v>1747</v>
      </c>
      <c r="F56" t="s" s="0">
        <v>1748</v>
      </c>
      <c r="G56" t="s" s="0">
        <v>1749</v>
      </c>
      <c r="H56" t="s" s="0">
        <v>84</v>
      </c>
      <c r="I56" t="s" s="0">
        <v>85</v>
      </c>
      <c r="J56" t="s" s="0">
        <v>1750</v>
      </c>
      <c r="K56" t="s" s="0">
        <v>1751</v>
      </c>
      <c r="L56" t="s" s="0">
        <v>84</v>
      </c>
      <c r="M56" t="s" s="0">
        <v>84</v>
      </c>
      <c r="N56" t="s" s="0">
        <v>84</v>
      </c>
      <c r="O56" t="s" s="0">
        <v>1752</v>
      </c>
      <c r="P56" t="s" s="0">
        <v>1753</v>
      </c>
      <c r="Q56" t="s" s="0">
        <v>93</v>
      </c>
      <c r="R56" t="s" s="0">
        <v>84</v>
      </c>
      <c r="S56" t="s" s="0">
        <v>84</v>
      </c>
      <c r="T56" t="s" s="0">
        <v>84</v>
      </c>
      <c r="U56" t="s" s="0">
        <v>84</v>
      </c>
      <c r="V56" t="s" s="0">
        <v>1754</v>
      </c>
      <c r="W56" t="s" s="0">
        <v>1755</v>
      </c>
      <c r="X56" t="s" s="0">
        <v>84</v>
      </c>
      <c r="Y56" t="s" s="0">
        <v>84</v>
      </c>
      <c r="Z56" t="s" s="0">
        <v>96</v>
      </c>
      <c r="AA56" t="s" s="0">
        <v>97</v>
      </c>
      <c r="AB56" t="s" s="0">
        <v>84</v>
      </c>
      <c r="AC56" t="s" s="0">
        <v>84</v>
      </c>
      <c r="AD56" t="s" s="0">
        <v>84</v>
      </c>
      <c r="AE56" t="s" s="0">
        <v>84</v>
      </c>
      <c r="AF56" t="s" s="0">
        <v>84</v>
      </c>
      <c r="AG56" t="s" s="0">
        <v>1756</v>
      </c>
      <c r="AH56" t="s" s="0">
        <v>1757</v>
      </c>
      <c r="AI56" t="s" s="0">
        <v>1758</v>
      </c>
      <c r="AJ56" t="s" s="0">
        <v>1759</v>
      </c>
      <c r="AK56" t="s" s="0">
        <v>84</v>
      </c>
      <c r="AL56" t="s" s="0">
        <v>1760</v>
      </c>
      <c r="AM56" t="s" s="0">
        <v>1761</v>
      </c>
      <c r="AN56" t="s" s="0">
        <v>1762</v>
      </c>
      <c r="AO56" t="s" s="0">
        <v>80</v>
      </c>
      <c r="AP56" t="s" s="0">
        <v>1224</v>
      </c>
      <c r="AQ56" t="s" s="0">
        <v>961</v>
      </c>
      <c r="AR56" t="s" s="0">
        <v>682</v>
      </c>
      <c r="AS56" t="s" s="0">
        <v>962</v>
      </c>
      <c r="AT56" t="s" s="0">
        <v>1763</v>
      </c>
      <c r="AU56" t="s" s="0">
        <v>1764</v>
      </c>
      <c r="AV56" t="s" s="0">
        <v>84</v>
      </c>
      <c r="AW56" t="s" s="0">
        <v>1765</v>
      </c>
      <c r="AX56" t="s" s="0">
        <v>1766</v>
      </c>
      <c r="AY56" t="s" s="0">
        <v>1767</v>
      </c>
      <c r="AZ56" t="s" s="0">
        <v>476</v>
      </c>
      <c r="BA56" t="s" s="0">
        <v>830</v>
      </c>
      <c r="BB56" t="s" s="0">
        <v>250</v>
      </c>
      <c r="BC56" t="s" s="0">
        <v>84</v>
      </c>
      <c r="BD56" t="s" s="0">
        <v>84</v>
      </c>
      <c r="BE56" t="s" s="0">
        <v>84</v>
      </c>
      <c r="BF56" t="s" s="0">
        <v>84</v>
      </c>
      <c r="BG56" t="s" s="0">
        <v>1768</v>
      </c>
      <c r="BH56" t="s" s="0">
        <v>1769</v>
      </c>
      <c r="BI56" t="s" s="0">
        <v>84</v>
      </c>
      <c r="BJ56" t="s" s="0">
        <v>1770</v>
      </c>
      <c r="BK56" t="s" s="108">
        <f>HYPERLINK("http://dx.doi.org/10.1007/s00134-019-05872-y","http://dx.doi.org/10.1007/s00134-019-05872-y")</f>
        <v>1771</v>
      </c>
      <c r="BL56" t="s" s="0">
        <v>84</v>
      </c>
      <c r="BM56" t="s" s="0">
        <v>84</v>
      </c>
      <c r="BN56" t="s" s="0">
        <v>115</v>
      </c>
      <c r="BO56" t="s" s="0">
        <v>1716</v>
      </c>
      <c r="BP56" t="s" s="0">
        <v>313</v>
      </c>
      <c r="BQ56" t="s" s="0">
        <v>1772</v>
      </c>
      <c r="BR56" t="s" s="0">
        <v>1773</v>
      </c>
      <c r="BS56" t="s" s="0">
        <v>1774</v>
      </c>
      <c r="BT56" t="s" s="109">
        <f>HYPERLINK("https://www.webofscience.com/wos/woscc/full-record/WOS:000519960500001","View Record in Web of Science")</f>
        <v>126</v>
      </c>
      <c r="BU56" t="s" s="0">
        <v>941</v>
      </c>
      <c r="BV56" t="s" s="0">
        <v>128</v>
      </c>
      <c r="BW56" t="s" s="0">
        <v>129</v>
      </c>
      <c r="BX56" t="s" s="0">
        <v>130</v>
      </c>
    </row>
    <row r="57">
      <c r="A57" t="s" s="0">
        <v>80</v>
      </c>
      <c r="B57" t="s" s="0">
        <v>78</v>
      </c>
      <c r="C57" t="s" s="0">
        <v>1474</v>
      </c>
      <c r="D57" t="s" s="0">
        <v>159</v>
      </c>
      <c r="E57" t="s" s="0">
        <v>1775</v>
      </c>
      <c r="F57" t="s" s="0">
        <v>1776</v>
      </c>
      <c r="G57" t="s" s="0">
        <v>1777</v>
      </c>
      <c r="H57" t="s" s="0">
        <v>84</v>
      </c>
      <c r="I57" t="s" s="0">
        <v>85</v>
      </c>
      <c r="J57" t="s" s="0">
        <v>1778</v>
      </c>
      <c r="K57" t="s" s="0">
        <v>1779</v>
      </c>
      <c r="L57" t="s" s="0">
        <v>84</v>
      </c>
      <c r="M57" t="s" s="0">
        <v>84</v>
      </c>
      <c r="N57" t="s" s="0">
        <v>84</v>
      </c>
      <c r="O57" t="s" s="0">
        <v>1780</v>
      </c>
      <c r="P57" t="s" s="0">
        <v>1781</v>
      </c>
      <c r="Q57" t="s" s="0">
        <v>93</v>
      </c>
      <c r="R57" t="s" s="0">
        <v>84</v>
      </c>
      <c r="S57" t="s" s="0">
        <v>84</v>
      </c>
      <c r="T57" t="s" s="0">
        <v>84</v>
      </c>
      <c r="U57" t="s" s="0">
        <v>84</v>
      </c>
      <c r="V57" t="s" s="0">
        <v>1782</v>
      </c>
      <c r="W57" t="s" s="0">
        <v>1783</v>
      </c>
      <c r="X57" t="s" s="0">
        <v>84</v>
      </c>
      <c r="Y57" t="s" s="0">
        <v>84</v>
      </c>
      <c r="Z57" t="s" s="0">
        <v>96</v>
      </c>
      <c r="AA57" t="s" s="0">
        <v>97</v>
      </c>
      <c r="AB57" t="s" s="0">
        <v>84</v>
      </c>
      <c r="AC57" t="s" s="0">
        <v>84</v>
      </c>
      <c r="AD57" t="s" s="0">
        <v>84</v>
      </c>
      <c r="AE57" t="s" s="0">
        <v>84</v>
      </c>
      <c r="AF57" t="s" s="0">
        <v>84</v>
      </c>
      <c r="AG57" t="s" s="0">
        <v>1784</v>
      </c>
      <c r="AH57" t="s" s="0">
        <v>1785</v>
      </c>
      <c r="AI57" t="s" s="0">
        <v>1786</v>
      </c>
      <c r="AJ57" t="s" s="0">
        <v>1787</v>
      </c>
      <c r="AK57" t="s" s="0">
        <v>84</v>
      </c>
      <c r="AL57" t="s" s="0">
        <v>942</v>
      </c>
      <c r="AM57" t="s" s="0">
        <v>1182</v>
      </c>
      <c r="AN57" t="s" s="0">
        <v>1304</v>
      </c>
      <c r="AO57" t="s" s="0">
        <v>1788</v>
      </c>
      <c r="AP57" t="s" s="0">
        <v>1789</v>
      </c>
      <c r="AQ57" t="s" s="0">
        <v>1790</v>
      </c>
      <c r="AR57" t="s" s="0">
        <v>1791</v>
      </c>
      <c r="AS57" t="s" s="0">
        <v>1792</v>
      </c>
      <c r="AT57" t="s" s="0">
        <v>84</v>
      </c>
      <c r="AU57" t="s" s="0">
        <v>1793</v>
      </c>
      <c r="AV57" t="s" s="0">
        <v>84</v>
      </c>
      <c r="AW57" t="s" s="0">
        <v>1783</v>
      </c>
      <c r="AX57" t="s" s="0">
        <v>1794</v>
      </c>
      <c r="AY57" t="s" s="0">
        <v>1795</v>
      </c>
      <c r="AZ57" t="s" s="0">
        <v>157</v>
      </c>
      <c r="BA57" t="s" s="0">
        <v>338</v>
      </c>
      <c r="BB57" t="s" s="0">
        <v>453</v>
      </c>
      <c r="BC57" t="s" s="0">
        <v>84</v>
      </c>
      <c r="BD57" t="s" s="0">
        <v>84</v>
      </c>
      <c r="BE57" t="s" s="0">
        <v>84</v>
      </c>
      <c r="BF57" t="s" s="0">
        <v>84</v>
      </c>
      <c r="BG57" t="s" s="0">
        <v>84</v>
      </c>
      <c r="BH57" t="s" s="0">
        <v>84</v>
      </c>
      <c r="BI57" t="s" s="0">
        <v>1796</v>
      </c>
      <c r="BJ57" t="s" s="0">
        <v>1797</v>
      </c>
      <c r="BK57" t="s" s="110">
        <f>HYPERLINK("http://dx.doi.org/10.1016/j.heliyon.2024.e26297","http://dx.doi.org/10.1016/j.heliyon.2024.e26297")</f>
        <v>1798</v>
      </c>
      <c r="BL57" t="s" s="0">
        <v>84</v>
      </c>
      <c r="BM57" t="s" s="0">
        <v>1799</v>
      </c>
      <c r="BN57" t="s" s="0">
        <v>248</v>
      </c>
      <c r="BO57" t="s" s="0">
        <v>163</v>
      </c>
      <c r="BP57" t="s" s="0">
        <v>164</v>
      </c>
      <c r="BQ57" t="s" s="0">
        <v>1800</v>
      </c>
      <c r="BR57" t="s" s="0">
        <v>1801</v>
      </c>
      <c r="BS57" t="s" s="0">
        <v>1802</v>
      </c>
      <c r="BT57" t="s" s="111">
        <f>HYPERLINK("https://www.webofscience.com/wos/woscc/full-record/WOS:001188935900001","View Record in Web of Science")</f>
        <v>126</v>
      </c>
      <c r="BU57" t="s" s="0">
        <v>168</v>
      </c>
      <c r="BV57" t="s" s="0">
        <v>128</v>
      </c>
      <c r="BW57" t="s" s="0">
        <v>129</v>
      </c>
      <c r="BX57" t="s" s="0">
        <v>130</v>
      </c>
    </row>
    <row r="58">
      <c r="A58" t="s" s="0">
        <v>539</v>
      </c>
      <c r="B58" t="s" s="0">
        <v>78</v>
      </c>
      <c r="C58" t="s" s="0">
        <v>1803</v>
      </c>
      <c r="D58" t="s" s="0">
        <v>78</v>
      </c>
      <c r="E58" t="s" s="0">
        <v>1804</v>
      </c>
      <c r="F58" t="s" s="0">
        <v>1805</v>
      </c>
      <c r="G58" t="s" s="0">
        <v>1806</v>
      </c>
      <c r="H58" t="s" s="0">
        <v>84</v>
      </c>
      <c r="I58" t="s" s="0">
        <v>85</v>
      </c>
      <c r="J58" t="s" s="0">
        <v>1807</v>
      </c>
      <c r="K58" t="s" s="0">
        <v>1808</v>
      </c>
      <c r="L58" t="s" s="0">
        <v>1809</v>
      </c>
      <c r="M58" t="s" s="0">
        <v>1810</v>
      </c>
      <c r="N58" t="s" s="0">
        <v>1811</v>
      </c>
      <c r="O58" t="s" s="0">
        <v>1812</v>
      </c>
      <c r="P58" t="s" s="0">
        <v>1813</v>
      </c>
      <c r="Q58" t="s" s="0">
        <v>93</v>
      </c>
      <c r="R58" t="s" s="0">
        <v>84</v>
      </c>
      <c r="S58" t="s" s="0">
        <v>84</v>
      </c>
      <c r="T58" t="s" s="0">
        <v>84</v>
      </c>
      <c r="U58" t="s" s="0">
        <v>84</v>
      </c>
      <c r="V58" t="s" s="0">
        <v>1814</v>
      </c>
      <c r="W58" t="s" s="0">
        <v>1815</v>
      </c>
      <c r="X58" t="s" s="0">
        <v>84</v>
      </c>
      <c r="Y58" t="s" s="0">
        <v>84</v>
      </c>
      <c r="Z58" t="s" s="0">
        <v>96</v>
      </c>
      <c r="AA58" t="s" s="0">
        <v>97</v>
      </c>
      <c r="AB58" t="s" s="0">
        <v>84</v>
      </c>
      <c r="AC58" t="s" s="0">
        <v>84</v>
      </c>
      <c r="AD58" t="s" s="0">
        <v>84</v>
      </c>
      <c r="AE58" t="s" s="0">
        <v>84</v>
      </c>
      <c r="AF58" t="s" s="0">
        <v>84</v>
      </c>
      <c r="AG58" t="s" s="0">
        <v>84</v>
      </c>
      <c r="AH58" t="s" s="0">
        <v>1816</v>
      </c>
      <c r="AI58" t="s" s="0">
        <v>1817</v>
      </c>
      <c r="AJ58" t="s" s="0">
        <v>1818</v>
      </c>
      <c r="AK58" t="s" s="0">
        <v>84</v>
      </c>
      <c r="AL58" t="s" s="0">
        <v>1557</v>
      </c>
      <c r="AM58" t="s" s="0">
        <v>1819</v>
      </c>
      <c r="AN58" t="s" s="0">
        <v>1820</v>
      </c>
      <c r="AO58" t="s" s="0">
        <v>170</v>
      </c>
      <c r="AP58" t="s" s="0">
        <v>1389</v>
      </c>
      <c r="AQ58" t="s" s="0">
        <v>1821</v>
      </c>
      <c r="AR58" t="s" s="0">
        <v>301</v>
      </c>
      <c r="AS58" t="s" s="0">
        <v>1822</v>
      </c>
      <c r="AT58" t="s" s="0">
        <v>1823</v>
      </c>
      <c r="AU58" t="s" s="0">
        <v>1824</v>
      </c>
      <c r="AV58" t="s" s="0">
        <v>84</v>
      </c>
      <c r="AW58" t="s" s="0">
        <v>1825</v>
      </c>
      <c r="AX58" t="s" s="0">
        <v>1826</v>
      </c>
      <c r="AY58" t="s" s="0">
        <v>1827</v>
      </c>
      <c r="AZ58" t="s" s="0">
        <v>197</v>
      </c>
      <c r="BA58" t="s" s="0">
        <v>1828</v>
      </c>
      <c r="BB58" t="s" s="0">
        <v>453</v>
      </c>
      <c r="BC58" t="s" s="0">
        <v>84</v>
      </c>
      <c r="BD58" t="s" s="0">
        <v>84</v>
      </c>
      <c r="BE58" t="s" s="0">
        <v>84</v>
      </c>
      <c r="BF58" t="s" s="0">
        <v>84</v>
      </c>
      <c r="BG58" t="s" s="0">
        <v>1829</v>
      </c>
      <c r="BH58" t="s" s="0">
        <v>1219</v>
      </c>
      <c r="BI58" t="s" s="0">
        <v>84</v>
      </c>
      <c r="BJ58" t="s" s="0">
        <v>1830</v>
      </c>
      <c r="BK58" t="s" s="112">
        <f>HYPERLINK("http://dx.doi.org/10.1038/s41416-020-01122-x","http://dx.doi.org/10.1038/s41416-020-01122-x")</f>
        <v>1831</v>
      </c>
      <c r="BL58" t="s" s="0">
        <v>84</v>
      </c>
      <c r="BM58" t="s" s="0">
        <v>1832</v>
      </c>
      <c r="BN58" t="s" s="0">
        <v>121</v>
      </c>
      <c r="BO58" t="s" s="0">
        <v>122</v>
      </c>
      <c r="BP58" t="s" s="0">
        <v>122</v>
      </c>
      <c r="BQ58" t="s" s="0">
        <v>1833</v>
      </c>
      <c r="BR58" t="s" s="0">
        <v>1834</v>
      </c>
      <c r="BS58" t="s" s="0">
        <v>1835</v>
      </c>
      <c r="BT58" t="s" s="113">
        <f>HYPERLINK("https://www.webofscience.com/wos/woscc/full-record/WOS:000590213700004","View Record in Web of Science")</f>
        <v>126</v>
      </c>
      <c r="BU58" t="s" s="0">
        <v>208</v>
      </c>
      <c r="BV58" t="s" s="0">
        <v>128</v>
      </c>
      <c r="BW58" t="s" s="0">
        <v>129</v>
      </c>
      <c r="BX58" t="s" s="0">
        <v>130</v>
      </c>
    </row>
    <row r="59">
      <c r="A59" t="s" s="0">
        <v>116</v>
      </c>
      <c r="B59" t="s" s="0">
        <v>78</v>
      </c>
      <c r="C59" t="s" s="0">
        <v>1760</v>
      </c>
      <c r="D59" t="s" s="0">
        <v>453</v>
      </c>
      <c r="E59" t="s" s="0">
        <v>1836</v>
      </c>
      <c r="F59" t="s" s="0">
        <v>1837</v>
      </c>
      <c r="G59" t="s" s="0">
        <v>1838</v>
      </c>
      <c r="H59" t="s" s="0">
        <v>84</v>
      </c>
      <c r="I59" t="s" s="0">
        <v>283</v>
      </c>
      <c r="J59" t="s" s="0">
        <v>1839</v>
      </c>
      <c r="K59" t="s" s="0">
        <v>1840</v>
      </c>
      <c r="L59" t="s" s="0">
        <v>84</v>
      </c>
      <c r="M59" t="s" s="0">
        <v>84</v>
      </c>
      <c r="N59" t="s" s="0">
        <v>84</v>
      </c>
      <c r="O59" t="s" s="0">
        <v>1841</v>
      </c>
      <c r="P59" t="s" s="0">
        <v>1842</v>
      </c>
      <c r="Q59" t="s" s="0">
        <v>93</v>
      </c>
      <c r="R59" t="s" s="0">
        <v>84</v>
      </c>
      <c r="S59" t="s" s="0">
        <v>84</v>
      </c>
      <c r="T59" t="s" s="0">
        <v>84</v>
      </c>
      <c r="U59" t="s" s="0">
        <v>84</v>
      </c>
      <c r="V59" t="s" s="0">
        <v>1843</v>
      </c>
      <c r="W59" t="s" s="0">
        <v>1844</v>
      </c>
      <c r="X59" t="s" s="0">
        <v>84</v>
      </c>
      <c r="Y59" t="s" s="0">
        <v>84</v>
      </c>
      <c r="Z59" t="s" s="0">
        <v>96</v>
      </c>
      <c r="AA59" t="s" s="0">
        <v>145</v>
      </c>
      <c r="AB59" t="s" s="0">
        <v>84</v>
      </c>
      <c r="AC59" t="s" s="0">
        <v>84</v>
      </c>
      <c r="AD59" t="s" s="0">
        <v>84</v>
      </c>
      <c r="AE59" t="s" s="0">
        <v>84</v>
      </c>
      <c r="AF59" t="s" s="0">
        <v>84</v>
      </c>
      <c r="AG59" t="s" s="0">
        <v>1845</v>
      </c>
      <c r="AH59" t="s" s="0">
        <v>1846</v>
      </c>
      <c r="AI59" t="s" s="0">
        <v>84</v>
      </c>
      <c r="AJ59" t="s" s="0">
        <v>1847</v>
      </c>
      <c r="AK59" t="s" s="0">
        <v>84</v>
      </c>
      <c r="AL59" t="s" s="0">
        <v>1760</v>
      </c>
      <c r="AM59" t="s" s="0">
        <v>1848</v>
      </c>
      <c r="AN59" t="s" s="0">
        <v>1849</v>
      </c>
      <c r="AO59" t="s" s="0">
        <v>338</v>
      </c>
      <c r="AP59" t="s" s="0">
        <v>1850</v>
      </c>
      <c r="AQ59" t="s" s="0">
        <v>1413</v>
      </c>
      <c r="AR59" t="s" s="0">
        <v>1414</v>
      </c>
      <c r="AS59" t="s" s="0">
        <v>1415</v>
      </c>
      <c r="AT59" t="s" s="0">
        <v>84</v>
      </c>
      <c r="AU59" t="s" s="0">
        <v>1851</v>
      </c>
      <c r="AV59" t="s" s="0">
        <v>84</v>
      </c>
      <c r="AW59" t="s" s="0">
        <v>1852</v>
      </c>
      <c r="AX59" t="s" s="0">
        <v>1853</v>
      </c>
      <c r="AY59" t="s" s="0">
        <v>1677</v>
      </c>
      <c r="AZ59" t="s" s="0">
        <v>197</v>
      </c>
      <c r="BA59" t="s" s="0">
        <v>115</v>
      </c>
      <c r="BB59" t="s" s="0">
        <v>159</v>
      </c>
      <c r="BC59" t="s" s="0">
        <v>84</v>
      </c>
      <c r="BD59" t="s" s="0">
        <v>84</v>
      </c>
      <c r="BE59" t="s" s="0">
        <v>84</v>
      </c>
      <c r="BF59" t="s" s="0">
        <v>84</v>
      </c>
      <c r="BG59" t="s" s="0">
        <v>84</v>
      </c>
      <c r="BH59" t="s" s="0">
        <v>84</v>
      </c>
      <c r="BI59" t="s" s="0">
        <v>593</v>
      </c>
      <c r="BJ59" t="s" s="0">
        <v>1854</v>
      </c>
      <c r="BK59" t="s" s="114">
        <f>HYPERLINK("http://dx.doi.org/10.3390/ijerph18010271","http://dx.doi.org/10.3390/ijerph18010271")</f>
        <v>1855</v>
      </c>
      <c r="BL59" t="s" s="0">
        <v>84</v>
      </c>
      <c r="BM59" t="s" s="0">
        <v>84</v>
      </c>
      <c r="BN59" t="s" s="0">
        <v>115</v>
      </c>
      <c r="BO59" t="s" s="0">
        <v>1856</v>
      </c>
      <c r="BP59" t="s" s="0">
        <v>1857</v>
      </c>
      <c r="BQ59" t="s" s="0">
        <v>1858</v>
      </c>
      <c r="BR59" t="s" s="0">
        <v>1859</v>
      </c>
      <c r="BS59" t="s" s="0">
        <v>1860</v>
      </c>
      <c r="BT59" t="s" s="115">
        <f>HYPERLINK("https://www.webofscience.com/wos/woscc/full-record/WOS:000606265400001","View Record in Web of Science")</f>
        <v>126</v>
      </c>
      <c r="BU59" t="s" s="0">
        <v>168</v>
      </c>
      <c r="BV59" t="s" s="0">
        <v>128</v>
      </c>
      <c r="BW59" t="s" s="0">
        <v>129</v>
      </c>
      <c r="BX59" t="s" s="0">
        <v>130</v>
      </c>
    </row>
    <row r="60">
      <c r="A60" t="s" s="0">
        <v>338</v>
      </c>
      <c r="B60" t="s" s="0">
        <v>78</v>
      </c>
      <c r="C60" t="s" s="0">
        <v>1735</v>
      </c>
      <c r="D60" t="s" s="0">
        <v>170</v>
      </c>
      <c r="E60" t="s" s="0">
        <v>1861</v>
      </c>
      <c r="F60" t="s" s="0">
        <v>1862</v>
      </c>
      <c r="G60" t="s" s="0">
        <v>1863</v>
      </c>
      <c r="H60" t="s" s="0">
        <v>84</v>
      </c>
      <c r="I60" t="s" s="0">
        <v>85</v>
      </c>
      <c r="J60" t="s" s="0">
        <v>1864</v>
      </c>
      <c r="K60" t="s" s="0">
        <v>1865</v>
      </c>
      <c r="L60" t="s" s="0">
        <v>1866</v>
      </c>
      <c r="M60" t="s" s="0">
        <v>1867</v>
      </c>
      <c r="N60" t="s" s="0">
        <v>1868</v>
      </c>
      <c r="O60" t="s" s="0">
        <v>1869</v>
      </c>
      <c r="P60" t="s" s="0">
        <v>1870</v>
      </c>
      <c r="Q60" t="s" s="0">
        <v>93</v>
      </c>
      <c r="R60" t="s" s="0">
        <v>84</v>
      </c>
      <c r="S60" t="s" s="0">
        <v>84</v>
      </c>
      <c r="T60" t="s" s="0">
        <v>84</v>
      </c>
      <c r="U60" t="s" s="0">
        <v>84</v>
      </c>
      <c r="V60" t="s" s="0">
        <v>1871</v>
      </c>
      <c r="W60" t="s" s="0">
        <v>1872</v>
      </c>
      <c r="X60" t="s" s="0">
        <v>84</v>
      </c>
      <c r="Y60" t="s" s="0">
        <v>84</v>
      </c>
      <c r="Z60" t="s" s="0">
        <v>96</v>
      </c>
      <c r="AA60" t="s" s="0">
        <v>145</v>
      </c>
      <c r="AB60" t="s" s="0">
        <v>84</v>
      </c>
      <c r="AC60" t="s" s="0">
        <v>84</v>
      </c>
      <c r="AD60" t="s" s="0">
        <v>84</v>
      </c>
      <c r="AE60" t="s" s="0">
        <v>84</v>
      </c>
      <c r="AF60" t="s" s="0">
        <v>84</v>
      </c>
      <c r="AG60" t="s" s="0">
        <v>84</v>
      </c>
      <c r="AH60" t="s" s="0">
        <v>1873</v>
      </c>
      <c r="AI60" t="s" s="0">
        <v>1874</v>
      </c>
      <c r="AJ60" t="s" s="0">
        <v>1875</v>
      </c>
      <c r="AK60" t="s" s="0">
        <v>84</v>
      </c>
      <c r="AL60" t="s" s="0">
        <v>1876</v>
      </c>
      <c r="AM60" t="s" s="0">
        <v>1877</v>
      </c>
      <c r="AN60" t="s" s="0">
        <v>1878</v>
      </c>
      <c r="AO60" t="s" s="0">
        <v>857</v>
      </c>
      <c r="AP60" t="s" s="0">
        <v>715</v>
      </c>
      <c r="AQ60" t="s" s="0">
        <v>106</v>
      </c>
      <c r="AR60" t="s" s="0">
        <v>107</v>
      </c>
      <c r="AS60" t="s" s="0">
        <v>108</v>
      </c>
      <c r="AT60" t="s" s="0">
        <v>1879</v>
      </c>
      <c r="AU60" t="s" s="0">
        <v>84</v>
      </c>
      <c r="AV60" t="s" s="0">
        <v>84</v>
      </c>
      <c r="AW60" t="s" s="0">
        <v>1880</v>
      </c>
      <c r="AX60" t="s" s="0">
        <v>1881</v>
      </c>
      <c r="AY60" t="s" s="0">
        <v>1882</v>
      </c>
      <c r="AZ60" t="s" s="0">
        <v>228</v>
      </c>
      <c r="BA60" t="s" s="0">
        <v>344</v>
      </c>
      <c r="BB60" t="s" s="0">
        <v>319</v>
      </c>
      <c r="BC60" t="s" s="0">
        <v>84</v>
      </c>
      <c r="BD60" t="s" s="0">
        <v>84</v>
      </c>
      <c r="BE60" t="s" s="0">
        <v>84</v>
      </c>
      <c r="BF60" t="s" s="0">
        <v>84</v>
      </c>
      <c r="BG60" t="s" s="0">
        <v>1883</v>
      </c>
      <c r="BH60" t="s" s="0">
        <v>1884</v>
      </c>
      <c r="BI60" t="s" s="0">
        <v>84</v>
      </c>
      <c r="BJ60" t="s" s="0">
        <v>1885</v>
      </c>
      <c r="BK60" t="s" s="116">
        <f>HYPERLINK("http://dx.doi.org/10.1038/s41551-023-01056-8","http://dx.doi.org/10.1038/s41551-023-01056-8")</f>
        <v>1886</v>
      </c>
      <c r="BL60" t="s" s="0">
        <v>84</v>
      </c>
      <c r="BM60" t="s" s="0">
        <v>84</v>
      </c>
      <c r="BN60" t="s" s="0">
        <v>270</v>
      </c>
      <c r="BO60" t="s" s="0">
        <v>1887</v>
      </c>
      <c r="BP60" t="s" s="0">
        <v>1888</v>
      </c>
      <c r="BQ60" t="s" s="0">
        <v>1889</v>
      </c>
      <c r="BR60" t="s" s="0">
        <v>1890</v>
      </c>
      <c r="BS60" t="s" s="0">
        <v>1891</v>
      </c>
      <c r="BT60" t="s" s="117">
        <f>HYPERLINK("https://www.webofscience.com/wos/woscc/full-record/WOS:001022499900005","View Record in Web of Science")</f>
        <v>126</v>
      </c>
      <c r="BU60" t="s" s="0">
        <v>127</v>
      </c>
      <c r="BV60" t="s" s="0">
        <v>128</v>
      </c>
      <c r="BW60" t="s" s="0">
        <v>129</v>
      </c>
      <c r="BX60" t="s" s="0">
        <v>130</v>
      </c>
    </row>
    <row r="61">
      <c r="A61" t="s" s="0">
        <v>502</v>
      </c>
      <c r="B61" t="s" s="0">
        <v>78</v>
      </c>
      <c r="C61" t="s" s="0">
        <v>1892</v>
      </c>
      <c r="D61" t="s" s="0">
        <v>78</v>
      </c>
      <c r="E61" t="s" s="0">
        <v>1893</v>
      </c>
      <c r="F61" t="s" s="0">
        <v>1894</v>
      </c>
      <c r="G61" t="s" s="0">
        <v>1895</v>
      </c>
      <c r="H61" t="s" s="0">
        <v>84</v>
      </c>
      <c r="I61" t="s" s="0">
        <v>85</v>
      </c>
      <c r="J61" t="s" s="0">
        <v>1896</v>
      </c>
      <c r="K61" t="s" s="0">
        <v>1897</v>
      </c>
      <c r="L61" t="s" s="0">
        <v>1898</v>
      </c>
      <c r="M61" t="s" s="0">
        <v>1898</v>
      </c>
      <c r="N61" t="s" s="0">
        <v>1899</v>
      </c>
      <c r="O61" t="s" s="0">
        <v>1900</v>
      </c>
      <c r="P61" t="s" s="0">
        <v>1901</v>
      </c>
      <c r="Q61" t="s" s="0">
        <v>93</v>
      </c>
      <c r="R61" t="s" s="0">
        <v>84</v>
      </c>
      <c r="S61" t="s" s="0">
        <v>84</v>
      </c>
      <c r="T61" t="s" s="0">
        <v>84</v>
      </c>
      <c r="U61" t="s" s="0">
        <v>84</v>
      </c>
      <c r="V61" t="s" s="0">
        <v>1902</v>
      </c>
      <c r="W61" t="s" s="0">
        <v>223</v>
      </c>
      <c r="X61" t="s" s="0">
        <v>84</v>
      </c>
      <c r="Y61" t="s" s="0">
        <v>84</v>
      </c>
      <c r="Z61" t="s" s="0">
        <v>96</v>
      </c>
      <c r="AA61" t="s" s="0">
        <v>145</v>
      </c>
      <c r="AB61" t="s" s="0">
        <v>84</v>
      </c>
      <c r="AC61" t="s" s="0">
        <v>84</v>
      </c>
      <c r="AD61" t="s" s="0">
        <v>84</v>
      </c>
      <c r="AE61" t="s" s="0">
        <v>84</v>
      </c>
      <c r="AF61" t="s" s="0">
        <v>84</v>
      </c>
      <c r="AG61" t="s" s="0">
        <v>84</v>
      </c>
      <c r="AH61" t="s" s="0">
        <v>1903</v>
      </c>
      <c r="AI61" t="s" s="0">
        <v>1904</v>
      </c>
      <c r="AJ61" t="s" s="0">
        <v>1905</v>
      </c>
      <c r="AK61" t="s" s="0">
        <v>84</v>
      </c>
      <c r="AL61" t="s" s="0">
        <v>131</v>
      </c>
      <c r="AM61" t="s" s="0">
        <v>1906</v>
      </c>
      <c r="AN61" t="s" s="0">
        <v>1907</v>
      </c>
      <c r="AO61" t="s" s="0">
        <v>299</v>
      </c>
      <c r="AP61" t="s" s="0">
        <v>1908</v>
      </c>
      <c r="AQ61" t="s" s="0">
        <v>106</v>
      </c>
      <c r="AR61" t="s" s="0">
        <v>107</v>
      </c>
      <c r="AS61" t="s" s="0">
        <v>108</v>
      </c>
      <c r="AT61" t="s" s="0">
        <v>232</v>
      </c>
      <c r="AU61" t="s" s="0">
        <v>233</v>
      </c>
      <c r="AV61" t="s" s="0">
        <v>84</v>
      </c>
      <c r="AW61" t="s" s="0">
        <v>234</v>
      </c>
      <c r="AX61" t="s" s="0">
        <v>235</v>
      </c>
      <c r="AY61" t="s" s="0">
        <v>1909</v>
      </c>
      <c r="AZ61" t="s" s="0">
        <v>157</v>
      </c>
      <c r="BA61" t="s" s="0">
        <v>372</v>
      </c>
      <c r="BB61" t="s" s="0">
        <v>80</v>
      </c>
      <c r="BC61" t="s" s="0">
        <v>84</v>
      </c>
      <c r="BD61" t="s" s="0">
        <v>84</v>
      </c>
      <c r="BE61" t="s" s="0">
        <v>84</v>
      </c>
      <c r="BF61" t="s" s="0">
        <v>84</v>
      </c>
      <c r="BG61" t="s" s="0">
        <v>84</v>
      </c>
      <c r="BH61" t="s" s="0">
        <v>84</v>
      </c>
      <c r="BI61" t="s" s="0">
        <v>84</v>
      </c>
      <c r="BJ61" t="s" s="0">
        <v>1910</v>
      </c>
      <c r="BK61" t="s" s="118">
        <f>HYPERLINK("http://dx.doi.org/10.1038/s41591-024-03097-1","http://dx.doi.org/10.1038/s41591-024-03097-1")</f>
        <v>1911</v>
      </c>
      <c r="BL61" t="s" s="0">
        <v>84</v>
      </c>
      <c r="BM61" t="s" s="0">
        <v>1912</v>
      </c>
      <c r="BN61" t="s" s="0">
        <v>417</v>
      </c>
      <c r="BO61" t="s" s="0">
        <v>243</v>
      </c>
      <c r="BP61" t="s" s="0">
        <v>244</v>
      </c>
      <c r="BQ61" t="s" s="0">
        <v>1913</v>
      </c>
      <c r="BR61" t="s" s="0">
        <v>1914</v>
      </c>
      <c r="BS61" t="s" s="0">
        <v>1915</v>
      </c>
      <c r="BT61" t="s" s="119">
        <f>HYPERLINK("https://www.webofscience.com/wos/woscc/full-record/WOS:001262233500004","View Record in Web of Science")</f>
        <v>126</v>
      </c>
      <c r="BU61" t="s" s="0">
        <v>208</v>
      </c>
      <c r="BV61" t="s" s="0">
        <v>128</v>
      </c>
      <c r="BW61" t="s" s="0">
        <v>129</v>
      </c>
      <c r="BX61" t="s" s="0">
        <v>130</v>
      </c>
    </row>
    <row r="62">
      <c r="A62" t="s" s="0">
        <v>159</v>
      </c>
      <c r="B62" t="s" s="0">
        <v>78</v>
      </c>
      <c r="C62" t="s" s="0">
        <v>1916</v>
      </c>
      <c r="D62" t="s" s="0">
        <v>159</v>
      </c>
      <c r="E62" t="s" s="0">
        <v>1917</v>
      </c>
      <c r="F62" t="s" s="0">
        <v>1918</v>
      </c>
      <c r="G62" t="s" s="0">
        <v>1919</v>
      </c>
      <c r="H62" t="s" s="0">
        <v>84</v>
      </c>
      <c r="I62" t="s" s="0">
        <v>85</v>
      </c>
      <c r="J62" t="s" s="0">
        <v>1920</v>
      </c>
      <c r="K62" t="s" s="0">
        <v>1921</v>
      </c>
      <c r="L62" t="s" s="0">
        <v>84</v>
      </c>
      <c r="M62" t="s" s="0">
        <v>84</v>
      </c>
      <c r="N62" t="s" s="0">
        <v>84</v>
      </c>
      <c r="O62" t="s" s="0">
        <v>1922</v>
      </c>
      <c r="P62" t="s" s="0">
        <v>1923</v>
      </c>
      <c r="Q62" t="s" s="0">
        <v>93</v>
      </c>
      <c r="R62" t="s" s="0">
        <v>84</v>
      </c>
      <c r="S62" t="s" s="0">
        <v>84</v>
      </c>
      <c r="T62" t="s" s="0">
        <v>84</v>
      </c>
      <c r="U62" t="s" s="0">
        <v>84</v>
      </c>
      <c r="V62" t="s" s="0">
        <v>1924</v>
      </c>
      <c r="W62" t="s" s="0">
        <v>1925</v>
      </c>
      <c r="X62" t="s" s="0">
        <v>84</v>
      </c>
      <c r="Y62" t="s" s="0">
        <v>84</v>
      </c>
      <c r="Z62" t="s" s="0">
        <v>96</v>
      </c>
      <c r="AA62" t="s" s="0">
        <v>97</v>
      </c>
      <c r="AB62" t="s" s="0">
        <v>84</v>
      </c>
      <c r="AC62" t="s" s="0">
        <v>84</v>
      </c>
      <c r="AD62" t="s" s="0">
        <v>84</v>
      </c>
      <c r="AE62" t="s" s="0">
        <v>84</v>
      </c>
      <c r="AF62" t="s" s="0">
        <v>84</v>
      </c>
      <c r="AG62" t="s" s="0">
        <v>1926</v>
      </c>
      <c r="AH62" t="s" s="0">
        <v>84</v>
      </c>
      <c r="AI62" t="s" s="0">
        <v>1927</v>
      </c>
      <c r="AJ62" t="s" s="0">
        <v>1928</v>
      </c>
      <c r="AK62" t="s" s="0">
        <v>84</v>
      </c>
      <c r="AL62" t="s" s="0">
        <v>1929</v>
      </c>
      <c r="AM62" t="s" s="0">
        <v>1930</v>
      </c>
      <c r="AN62" t="s" s="0">
        <v>1931</v>
      </c>
      <c r="AO62" t="s" s="0">
        <v>602</v>
      </c>
      <c r="AP62" t="s" s="0">
        <v>1932</v>
      </c>
      <c r="AQ62" t="s" s="0">
        <v>1413</v>
      </c>
      <c r="AR62" t="s" s="0">
        <v>1414</v>
      </c>
      <c r="AS62" t="s" s="0">
        <v>1415</v>
      </c>
      <c r="AT62" t="s" s="0">
        <v>84</v>
      </c>
      <c r="AU62" t="s" s="0">
        <v>1933</v>
      </c>
      <c r="AV62" t="s" s="0">
        <v>84</v>
      </c>
      <c r="AW62" t="s" s="0">
        <v>1925</v>
      </c>
      <c r="AX62" t="s" s="0">
        <v>1934</v>
      </c>
      <c r="AY62" t="s" s="0">
        <v>1935</v>
      </c>
      <c r="AZ62" t="s" s="0">
        <v>157</v>
      </c>
      <c r="BA62" t="s" s="0">
        <v>121</v>
      </c>
      <c r="BB62" t="s" s="0">
        <v>453</v>
      </c>
      <c r="BC62" t="s" s="0">
        <v>84</v>
      </c>
      <c r="BD62" t="s" s="0">
        <v>84</v>
      </c>
      <c r="BE62" t="s" s="0">
        <v>84</v>
      </c>
      <c r="BF62" t="s" s="0">
        <v>84</v>
      </c>
      <c r="BG62" t="s" s="0">
        <v>84</v>
      </c>
      <c r="BH62" t="s" s="0">
        <v>84</v>
      </c>
      <c r="BI62" t="s" s="0">
        <v>1936</v>
      </c>
      <c r="BJ62" t="s" s="0">
        <v>1937</v>
      </c>
      <c r="BK62" t="s" s="120">
        <f>HYPERLINK("http://dx.doi.org/10.3390/bioengineering11040337","http://dx.doi.org/10.3390/bioengineering11040337")</f>
        <v>1938</v>
      </c>
      <c r="BL62" t="s" s="0">
        <v>84</v>
      </c>
      <c r="BM62" t="s" s="0">
        <v>84</v>
      </c>
      <c r="BN62" t="s" s="0">
        <v>240</v>
      </c>
      <c r="BO62" t="s" s="0">
        <v>1939</v>
      </c>
      <c r="BP62" t="s" s="0">
        <v>1940</v>
      </c>
      <c r="BQ62" t="s" s="0">
        <v>1941</v>
      </c>
      <c r="BR62" t="s" s="0">
        <v>1942</v>
      </c>
      <c r="BS62" t="s" s="0">
        <v>1943</v>
      </c>
      <c r="BT62" t="s" s="121">
        <f>HYPERLINK("https://www.webofscience.com/wos/woscc/full-record/WOS:001210567500001","View Record in Web of Science")</f>
        <v>126</v>
      </c>
      <c r="BU62" t="s" s="0">
        <v>168</v>
      </c>
      <c r="BV62" t="s" s="0">
        <v>128</v>
      </c>
      <c r="BW62" t="s" s="0">
        <v>129</v>
      </c>
      <c r="BX62" t="s" s="0">
        <v>130</v>
      </c>
    </row>
    <row r="63">
      <c r="A63" t="s" s="0">
        <v>417</v>
      </c>
      <c r="B63" t="s" s="0">
        <v>78</v>
      </c>
      <c r="C63" t="s" s="0">
        <v>341</v>
      </c>
      <c r="D63" t="s" s="0">
        <v>78</v>
      </c>
      <c r="E63" t="s" s="0">
        <v>1944</v>
      </c>
      <c r="F63" t="s" s="0">
        <v>1945</v>
      </c>
      <c r="G63" t="s" s="0">
        <v>1946</v>
      </c>
      <c r="H63" t="s" s="0">
        <v>84</v>
      </c>
      <c r="I63" t="s" s="0">
        <v>85</v>
      </c>
      <c r="J63" t="s" s="0">
        <v>1947</v>
      </c>
      <c r="K63" t="s" s="0">
        <v>1948</v>
      </c>
      <c r="L63" t="s" s="0">
        <v>1949</v>
      </c>
      <c r="M63" t="s" s="0">
        <v>1950</v>
      </c>
      <c r="N63" t="s" s="0">
        <v>1951</v>
      </c>
      <c r="O63" t="s" s="0">
        <v>1952</v>
      </c>
      <c r="P63" t="s" s="0">
        <v>1953</v>
      </c>
      <c r="Q63" t="s" s="0">
        <v>93</v>
      </c>
      <c r="R63" t="s" s="0">
        <v>84</v>
      </c>
      <c r="S63" t="s" s="0">
        <v>84</v>
      </c>
      <c r="T63" t="s" s="0">
        <v>84</v>
      </c>
      <c r="U63" t="s" s="0">
        <v>84</v>
      </c>
      <c r="V63" t="s" s="0">
        <v>1954</v>
      </c>
      <c r="W63" t="s" s="0">
        <v>1077</v>
      </c>
      <c r="X63" t="s" s="0">
        <v>84</v>
      </c>
      <c r="Y63" t="s" s="0">
        <v>84</v>
      </c>
      <c r="Z63" t="s" s="0">
        <v>96</v>
      </c>
      <c r="AA63" t="s" s="0">
        <v>145</v>
      </c>
      <c r="AB63" t="s" s="0">
        <v>84</v>
      </c>
      <c r="AC63" t="s" s="0">
        <v>84</v>
      </c>
      <c r="AD63" t="s" s="0">
        <v>84</v>
      </c>
      <c r="AE63" t="s" s="0">
        <v>84</v>
      </c>
      <c r="AF63" t="s" s="0">
        <v>84</v>
      </c>
      <c r="AG63" t="s" s="0">
        <v>84</v>
      </c>
      <c r="AH63" t="s" s="0">
        <v>1955</v>
      </c>
      <c r="AI63" t="s" s="0">
        <v>1956</v>
      </c>
      <c r="AJ63" t="s" s="0">
        <v>1957</v>
      </c>
      <c r="AK63" t="s" s="0">
        <v>84</v>
      </c>
      <c r="AL63" t="s" s="0">
        <v>1958</v>
      </c>
      <c r="AM63" t="s" s="0">
        <v>1959</v>
      </c>
      <c r="AN63" t="s" s="0">
        <v>1960</v>
      </c>
      <c r="AO63" t="s" s="0">
        <v>338</v>
      </c>
      <c r="AP63" t="s" s="0">
        <v>1961</v>
      </c>
      <c r="AQ63" t="s" s="0">
        <v>106</v>
      </c>
      <c r="AR63" t="s" s="0">
        <v>107</v>
      </c>
      <c r="AS63" t="s" s="0">
        <v>108</v>
      </c>
      <c r="AT63" t="s" s="0">
        <v>1083</v>
      </c>
      <c r="AU63" t="s" s="0">
        <v>1084</v>
      </c>
      <c r="AV63" t="s" s="0">
        <v>84</v>
      </c>
      <c r="AW63" t="s" s="0">
        <v>1077</v>
      </c>
      <c r="AX63" t="s" s="0">
        <v>1085</v>
      </c>
      <c r="AY63" t="s" s="0">
        <v>1962</v>
      </c>
      <c r="AZ63" t="s" s="0">
        <v>237</v>
      </c>
      <c r="BA63" t="s" s="0">
        <v>1963</v>
      </c>
      <c r="BB63" t="s" s="0">
        <v>1964</v>
      </c>
      <c r="BC63" t="s" s="0">
        <v>84</v>
      </c>
      <c r="BD63" t="s" s="0">
        <v>84</v>
      </c>
      <c r="BE63" t="s" s="0">
        <v>84</v>
      </c>
      <c r="BF63" t="s" s="0">
        <v>84</v>
      </c>
      <c r="BG63" t="s" s="0">
        <v>1965</v>
      </c>
      <c r="BH63" t="s" s="0">
        <v>272</v>
      </c>
      <c r="BI63" t="s" s="0">
        <v>84</v>
      </c>
      <c r="BJ63" t="s" s="0">
        <v>1966</v>
      </c>
      <c r="BK63" t="s" s="122">
        <f>HYPERLINK("http://dx.doi.org/10.1038/s41586-021-04278-5","http://dx.doi.org/10.1038/s41586-021-04278-5")</f>
        <v>1967</v>
      </c>
      <c r="BL63" t="s" s="0">
        <v>84</v>
      </c>
      <c r="BM63" t="s" s="0">
        <v>84</v>
      </c>
      <c r="BN63" t="s" s="0">
        <v>270</v>
      </c>
      <c r="BO63" t="s" s="0">
        <v>163</v>
      </c>
      <c r="BP63" t="s" s="0">
        <v>164</v>
      </c>
      <c r="BQ63" t="s" s="0">
        <v>1968</v>
      </c>
      <c r="BR63" t="s" s="0">
        <v>84</v>
      </c>
      <c r="BS63" t="s" s="0">
        <v>1969</v>
      </c>
      <c r="BT63" t="s" s="123">
        <f>HYPERLINK("https://www.webofscience.com/wos/woscc/full-record/WOS:000936070000003","View Record in Web of Science")</f>
        <v>126</v>
      </c>
      <c r="BU63" t="s" s="0">
        <v>208</v>
      </c>
      <c r="BV63" t="s" s="0">
        <v>128</v>
      </c>
      <c r="BW63" t="s" s="0">
        <v>129</v>
      </c>
      <c r="BX63" t="s" s="0">
        <v>130</v>
      </c>
    </row>
    <row r="64">
      <c r="A64" t="s" s="0">
        <v>211</v>
      </c>
      <c r="B64" t="s" s="0">
        <v>78</v>
      </c>
      <c r="C64" t="s" s="0">
        <v>365</v>
      </c>
      <c r="D64" t="s" s="0">
        <v>250</v>
      </c>
      <c r="E64" t="s" s="0">
        <v>1970</v>
      </c>
      <c r="F64" t="s" s="0">
        <v>1971</v>
      </c>
      <c r="G64" t="s" s="0">
        <v>1972</v>
      </c>
      <c r="H64" t="s" s="0">
        <v>84</v>
      </c>
      <c r="I64" t="s" s="0">
        <v>283</v>
      </c>
      <c r="J64" t="s" s="0">
        <v>1973</v>
      </c>
      <c r="K64" t="s" s="0">
        <v>1974</v>
      </c>
      <c r="L64" t="s" s="0">
        <v>84</v>
      </c>
      <c r="M64" t="s" s="0">
        <v>84</v>
      </c>
      <c r="N64" t="s" s="0">
        <v>84</v>
      </c>
      <c r="O64" t="s" s="0">
        <v>1975</v>
      </c>
      <c r="P64" t="s" s="0">
        <v>1976</v>
      </c>
      <c r="Q64" t="s" s="0">
        <v>93</v>
      </c>
      <c r="R64" t="s" s="0">
        <v>84</v>
      </c>
      <c r="S64" t="s" s="0">
        <v>84</v>
      </c>
      <c r="T64" t="s" s="0">
        <v>84</v>
      </c>
      <c r="U64" t="s" s="0">
        <v>84</v>
      </c>
      <c r="V64" t="s" s="0">
        <v>1977</v>
      </c>
      <c r="W64" t="s" s="0">
        <v>1978</v>
      </c>
      <c r="X64" t="s" s="0">
        <v>84</v>
      </c>
      <c r="Y64" t="s" s="0">
        <v>84</v>
      </c>
      <c r="Z64" t="s" s="0">
        <v>96</v>
      </c>
      <c r="AA64" t="s" s="0">
        <v>145</v>
      </c>
      <c r="AB64" t="s" s="0">
        <v>84</v>
      </c>
      <c r="AC64" t="s" s="0">
        <v>84</v>
      </c>
      <c r="AD64" t="s" s="0">
        <v>84</v>
      </c>
      <c r="AE64" t="s" s="0">
        <v>84</v>
      </c>
      <c r="AF64" t="s" s="0">
        <v>84</v>
      </c>
      <c r="AG64" t="s" s="0">
        <v>1979</v>
      </c>
      <c r="AH64" t="s" s="0">
        <v>1980</v>
      </c>
      <c r="AI64" t="s" s="0">
        <v>1981</v>
      </c>
      <c r="AJ64" t="s" s="0">
        <v>1982</v>
      </c>
      <c r="AK64" t="s" s="0">
        <v>84</v>
      </c>
      <c r="AL64" t="s" s="0">
        <v>471</v>
      </c>
      <c r="AM64" t="s" s="0">
        <v>1983</v>
      </c>
      <c r="AN64" t="s" s="0">
        <v>1984</v>
      </c>
      <c r="AO64" t="s" s="0">
        <v>1181</v>
      </c>
      <c r="AP64" t="s" s="0">
        <v>1985</v>
      </c>
      <c r="AQ64" t="s" s="0">
        <v>1986</v>
      </c>
      <c r="AR64" t="s" s="0">
        <v>1987</v>
      </c>
      <c r="AS64" t="s" s="0">
        <v>1988</v>
      </c>
      <c r="AT64" t="s" s="0">
        <v>1989</v>
      </c>
      <c r="AU64" t="s" s="0">
        <v>1990</v>
      </c>
      <c r="AV64" t="s" s="0">
        <v>84</v>
      </c>
      <c r="AW64" t="s" s="0">
        <v>1991</v>
      </c>
      <c r="AX64" t="s" s="0">
        <v>1992</v>
      </c>
      <c r="AY64" t="s" s="0">
        <v>1993</v>
      </c>
      <c r="AZ64" t="s" s="0">
        <v>307</v>
      </c>
      <c r="BA64" t="s" s="0">
        <v>1255</v>
      </c>
      <c r="BB64" t="s" s="0">
        <v>211</v>
      </c>
      <c r="BC64" t="s" s="0">
        <v>84</v>
      </c>
      <c r="BD64" t="s" s="0">
        <v>84</v>
      </c>
      <c r="BE64" t="s" s="0">
        <v>84</v>
      </c>
      <c r="BF64" t="s" s="0">
        <v>84</v>
      </c>
      <c r="BG64" t="s" s="0">
        <v>84</v>
      </c>
      <c r="BH64" t="s" s="0">
        <v>84</v>
      </c>
      <c r="BI64" t="s" s="0">
        <v>1994</v>
      </c>
      <c r="BJ64" t="s" s="0">
        <v>1995</v>
      </c>
      <c r="BK64" t="s" s="124">
        <f>HYPERLINK("http://dx.doi.org/10.2196/13216","http://dx.doi.org/10.2196/13216")</f>
        <v>1996</v>
      </c>
      <c r="BL64" t="s" s="0">
        <v>84</v>
      </c>
      <c r="BM64" t="s" s="0">
        <v>84</v>
      </c>
      <c r="BN64" t="s" s="0">
        <v>275</v>
      </c>
      <c r="BO64" t="s" s="0">
        <v>782</v>
      </c>
      <c r="BP64" t="s" s="0">
        <v>782</v>
      </c>
      <c r="BQ64" t="s" s="0">
        <v>1997</v>
      </c>
      <c r="BR64" t="s" s="0">
        <v>1998</v>
      </c>
      <c r="BS64" t="s" s="0">
        <v>1999</v>
      </c>
      <c r="BT64" t="s" s="125">
        <f>HYPERLINK("https://www.webofscience.com/wos/woscc/full-record/WOS:000467588000001","View Record in Web of Science")</f>
        <v>126</v>
      </c>
      <c r="BU64" t="s" s="0">
        <v>168</v>
      </c>
      <c r="BV64" t="s" s="0">
        <v>128</v>
      </c>
      <c r="BW64" t="s" s="0">
        <v>129</v>
      </c>
      <c r="BX64" t="s" s="0">
        <v>130</v>
      </c>
    </row>
    <row r="65">
      <c r="A65" t="s" s="0">
        <v>158</v>
      </c>
      <c r="B65" t="s" s="0">
        <v>78</v>
      </c>
      <c r="C65" t="s" s="0">
        <v>2000</v>
      </c>
      <c r="D65" t="s" s="0">
        <v>170</v>
      </c>
      <c r="E65" t="s" s="0">
        <v>2001</v>
      </c>
      <c r="F65" t="s" s="0">
        <v>2002</v>
      </c>
      <c r="G65" t="s" s="0">
        <v>2003</v>
      </c>
      <c r="H65" t="s" s="0">
        <v>84</v>
      </c>
      <c r="I65" t="s" s="0">
        <v>85</v>
      </c>
      <c r="J65" t="s" s="0">
        <v>2004</v>
      </c>
      <c r="K65" t="s" s="0">
        <v>2005</v>
      </c>
      <c r="L65" t="s" s="0">
        <v>2006</v>
      </c>
      <c r="M65" t="s" s="0">
        <v>2007</v>
      </c>
      <c r="N65" t="s" s="0">
        <v>2008</v>
      </c>
      <c r="O65" t="s" s="0">
        <v>2009</v>
      </c>
      <c r="P65" t="s" s="0">
        <v>2010</v>
      </c>
      <c r="Q65" t="s" s="0">
        <v>93</v>
      </c>
      <c r="R65" t="s" s="0">
        <v>84</v>
      </c>
      <c r="S65" t="s" s="0">
        <v>84</v>
      </c>
      <c r="T65" t="s" s="0">
        <v>84</v>
      </c>
      <c r="U65" t="s" s="0">
        <v>84</v>
      </c>
      <c r="V65" t="s" s="0">
        <v>2011</v>
      </c>
      <c r="W65" t="s" s="0">
        <v>673</v>
      </c>
      <c r="X65" t="s" s="0">
        <v>84</v>
      </c>
      <c r="Y65" t="s" s="0">
        <v>84</v>
      </c>
      <c r="Z65" t="s" s="0">
        <v>96</v>
      </c>
      <c r="AA65" t="s" s="0">
        <v>145</v>
      </c>
      <c r="AB65" t="s" s="0">
        <v>84</v>
      </c>
      <c r="AC65" t="s" s="0">
        <v>84</v>
      </c>
      <c r="AD65" t="s" s="0">
        <v>84</v>
      </c>
      <c r="AE65" t="s" s="0">
        <v>84</v>
      </c>
      <c r="AF65" t="s" s="0">
        <v>84</v>
      </c>
      <c r="AG65" t="s" s="0">
        <v>84</v>
      </c>
      <c r="AH65" t="s" s="0">
        <v>2012</v>
      </c>
      <c r="AI65" t="s" s="0">
        <v>2013</v>
      </c>
      <c r="AJ65" t="s" s="0">
        <v>2014</v>
      </c>
      <c r="AK65" t="s" s="0">
        <v>84</v>
      </c>
      <c r="AL65" t="s" s="0">
        <v>372</v>
      </c>
      <c r="AM65" t="s" s="0">
        <v>2015</v>
      </c>
      <c r="AN65" t="s" s="0">
        <v>2016</v>
      </c>
      <c r="AO65" t="s" s="0">
        <v>78</v>
      </c>
      <c r="AP65" t="s" s="0">
        <v>101</v>
      </c>
      <c r="AQ65" t="s" s="0">
        <v>681</v>
      </c>
      <c r="AR65" t="s" s="0">
        <v>682</v>
      </c>
      <c r="AS65" t="s" s="0">
        <v>683</v>
      </c>
      <c r="AT65" t="s" s="0">
        <v>684</v>
      </c>
      <c r="AU65" t="s" s="0">
        <v>685</v>
      </c>
      <c r="AV65" t="s" s="0">
        <v>84</v>
      </c>
      <c r="AW65" t="s" s="0">
        <v>686</v>
      </c>
      <c r="AX65" t="s" s="0">
        <v>687</v>
      </c>
      <c r="AY65" t="s" s="0">
        <v>2017</v>
      </c>
      <c r="AZ65" t="s" s="0">
        <v>476</v>
      </c>
      <c r="BA65" t="s" s="0">
        <v>1255</v>
      </c>
      <c r="BB65" t="s" s="0">
        <v>170</v>
      </c>
      <c r="BC65" t="s" s="0">
        <v>84</v>
      </c>
      <c r="BD65" t="s" s="0">
        <v>84</v>
      </c>
      <c r="BE65" t="s" s="0">
        <v>84</v>
      </c>
      <c r="BF65" t="s" s="0">
        <v>84</v>
      </c>
      <c r="BG65" t="s" s="0">
        <v>2018</v>
      </c>
      <c r="BH65" t="s" s="0">
        <v>2019</v>
      </c>
      <c r="BI65" t="s" s="0">
        <v>84</v>
      </c>
      <c r="BJ65" t="s" s="0">
        <v>2020</v>
      </c>
      <c r="BK65" t="s" s="126">
        <f>HYPERLINK("http://dx.doi.org/10.1016/S1470-2045(19)30738-7","http://dx.doi.org/10.1016/S1470-2045(19)30738-7")</f>
        <v>2021</v>
      </c>
      <c r="BL65" t="s" s="0">
        <v>84</v>
      </c>
      <c r="BM65" t="s" s="0">
        <v>84</v>
      </c>
      <c r="BN65" t="s" s="0">
        <v>121</v>
      </c>
      <c r="BO65" t="s" s="0">
        <v>122</v>
      </c>
      <c r="BP65" t="s" s="0">
        <v>122</v>
      </c>
      <c r="BQ65" t="s" s="0">
        <v>2022</v>
      </c>
      <c r="BR65" t="s" s="0">
        <v>2023</v>
      </c>
      <c r="BS65" t="s" s="0">
        <v>2024</v>
      </c>
      <c r="BT65" t="s" s="127">
        <f>HYPERLINK("https://www.webofscience.com/wos/woscc/full-record/WOS:000510481800031","View Record in Web of Science")</f>
        <v>126</v>
      </c>
      <c r="BU65" t="s" s="0">
        <v>127</v>
      </c>
      <c r="BV65" t="s" s="0">
        <v>128</v>
      </c>
      <c r="BW65" t="s" s="0">
        <v>129</v>
      </c>
      <c r="BX65" t="s" s="0">
        <v>130</v>
      </c>
    </row>
    <row r="66">
      <c r="A66" t="s" s="0">
        <v>319</v>
      </c>
      <c r="B66" t="s" s="0">
        <v>78</v>
      </c>
      <c r="C66" t="s" s="0">
        <v>1149</v>
      </c>
      <c r="D66" t="s" s="0">
        <v>159</v>
      </c>
      <c r="E66" t="s" s="0">
        <v>487</v>
      </c>
      <c r="F66" t="s" s="0">
        <v>2025</v>
      </c>
      <c r="G66" t="s" s="0">
        <v>489</v>
      </c>
      <c r="H66" t="s" s="0">
        <v>84</v>
      </c>
      <c r="I66" t="s" s="0">
        <v>85</v>
      </c>
      <c r="J66" t="s" s="0">
        <v>2026</v>
      </c>
      <c r="K66" t="s" s="0">
        <v>458</v>
      </c>
      <c r="L66" t="s" s="0">
        <v>2027</v>
      </c>
      <c r="M66" t="s" s="0">
        <v>2028</v>
      </c>
      <c r="N66" t="s" s="0">
        <v>84</v>
      </c>
      <c r="O66" t="s" s="0">
        <v>2029</v>
      </c>
      <c r="P66" t="s" s="0">
        <v>2030</v>
      </c>
      <c r="Q66" t="s" s="0">
        <v>93</v>
      </c>
      <c r="R66" t="s" s="0">
        <v>84</v>
      </c>
      <c r="S66" t="s" s="0">
        <v>2031</v>
      </c>
      <c r="T66" t="s" s="0">
        <v>84</v>
      </c>
      <c r="U66" t="s" s="0">
        <v>84</v>
      </c>
      <c r="V66" t="s" s="0">
        <v>495</v>
      </c>
      <c r="W66" t="s" s="0">
        <v>223</v>
      </c>
      <c r="X66" t="s" s="0">
        <v>84</v>
      </c>
      <c r="Y66" t="s" s="0">
        <v>84</v>
      </c>
      <c r="Z66" t="s" s="0">
        <v>96</v>
      </c>
      <c r="AA66" t="s" s="0">
        <v>145</v>
      </c>
      <c r="AB66" t="s" s="0">
        <v>84</v>
      </c>
      <c r="AC66" t="s" s="0">
        <v>84</v>
      </c>
      <c r="AD66" t="s" s="0">
        <v>84</v>
      </c>
      <c r="AE66" t="s" s="0">
        <v>84</v>
      </c>
      <c r="AF66" t="s" s="0">
        <v>84</v>
      </c>
      <c r="AG66" t="s" s="0">
        <v>84</v>
      </c>
      <c r="AH66" t="s" s="0">
        <v>2032</v>
      </c>
      <c r="AI66" t="s" s="0">
        <v>2033</v>
      </c>
      <c r="AJ66" t="s" s="0">
        <v>84</v>
      </c>
      <c r="AK66" t="s" s="0">
        <v>84</v>
      </c>
      <c r="AL66" t="s" s="0">
        <v>663</v>
      </c>
      <c r="AM66" t="s" s="0">
        <v>2034</v>
      </c>
      <c r="AN66" t="s" s="0">
        <v>2035</v>
      </c>
      <c r="AO66" t="s" s="0">
        <v>344</v>
      </c>
      <c r="AP66" t="s" s="0">
        <v>1303</v>
      </c>
      <c r="AQ66" t="s" s="0">
        <v>106</v>
      </c>
      <c r="AR66" t="s" s="0">
        <v>107</v>
      </c>
      <c r="AS66" t="s" s="0">
        <v>108</v>
      </c>
      <c r="AT66" t="s" s="0">
        <v>232</v>
      </c>
      <c r="AU66" t="s" s="0">
        <v>233</v>
      </c>
      <c r="AV66" t="s" s="0">
        <v>84</v>
      </c>
      <c r="AW66" t="s" s="0">
        <v>234</v>
      </c>
      <c r="AX66" t="s" s="0">
        <v>235</v>
      </c>
      <c r="AY66" t="s" s="0">
        <v>2036</v>
      </c>
      <c r="AZ66" t="s" s="0">
        <v>476</v>
      </c>
      <c r="BA66" t="s" s="0">
        <v>417</v>
      </c>
      <c r="BB66" t="s" s="0">
        <v>80</v>
      </c>
      <c r="BC66" t="s" s="0">
        <v>84</v>
      </c>
      <c r="BD66" t="s" s="0">
        <v>84</v>
      </c>
      <c r="BE66" t="s" s="0">
        <v>84</v>
      </c>
      <c r="BF66" t="s" s="0">
        <v>84</v>
      </c>
      <c r="BG66" t="s" s="0">
        <v>2037</v>
      </c>
      <c r="BH66" t="s" s="0">
        <v>434</v>
      </c>
      <c r="BI66" t="s" s="0">
        <v>84</v>
      </c>
      <c r="BJ66" t="s" s="0">
        <v>2038</v>
      </c>
      <c r="BK66" t="s" s="128">
        <f>HYPERLINK("http://dx.doi.org/10.1038/s41591-020-1034-x","http://dx.doi.org/10.1038/s41591-020-1034-x")</f>
        <v>2039</v>
      </c>
      <c r="BL66" t="s" s="0">
        <v>84</v>
      </c>
      <c r="BM66" t="s" s="0">
        <v>84</v>
      </c>
      <c r="BN66" t="s" s="0">
        <v>121</v>
      </c>
      <c r="BO66" t="s" s="0">
        <v>243</v>
      </c>
      <c r="BP66" t="s" s="0">
        <v>244</v>
      </c>
      <c r="BQ66" t="s" s="0">
        <v>2040</v>
      </c>
      <c r="BR66" t="s" s="0">
        <v>84</v>
      </c>
      <c r="BS66" t="s" s="0">
        <v>2041</v>
      </c>
      <c r="BT66" t="s" s="129">
        <f>HYPERLINK("https://www.webofscience.com/wos/woscc/full-record/WOS:000598942000021","View Record in Web of Science")</f>
        <v>126</v>
      </c>
      <c r="BU66" t="s" s="0">
        <v>2042</v>
      </c>
      <c r="BV66" t="s" s="0">
        <v>128</v>
      </c>
      <c r="BW66" t="s" s="0">
        <v>129</v>
      </c>
      <c r="BX66" t="s" s="0">
        <v>130</v>
      </c>
    </row>
    <row r="67">
      <c r="A67" t="s" s="0">
        <v>417</v>
      </c>
      <c r="B67" t="s" s="0">
        <v>78</v>
      </c>
      <c r="C67" t="s" s="0">
        <v>723</v>
      </c>
      <c r="D67" t="s" s="0">
        <v>159</v>
      </c>
      <c r="E67" t="s" s="0">
        <v>2043</v>
      </c>
      <c r="F67" t="s" s="0">
        <v>2044</v>
      </c>
      <c r="G67" t="s" s="0">
        <v>2045</v>
      </c>
      <c r="H67" t="s" s="0">
        <v>84</v>
      </c>
      <c r="I67" t="s" s="0">
        <v>1342</v>
      </c>
      <c r="J67" t="s" s="0">
        <v>2046</v>
      </c>
      <c r="K67" t="s" s="0">
        <v>2047</v>
      </c>
      <c r="L67" t="s" s="0">
        <v>2048</v>
      </c>
      <c r="M67" t="s" s="0">
        <v>2049</v>
      </c>
      <c r="N67" t="s" s="0">
        <v>2050</v>
      </c>
      <c r="O67" t="s" s="0">
        <v>2051</v>
      </c>
      <c r="P67" t="s" s="0">
        <v>2052</v>
      </c>
      <c r="Q67" t="s" s="0">
        <v>93</v>
      </c>
      <c r="R67" t="s" s="0">
        <v>84</v>
      </c>
      <c r="S67" t="s" s="0">
        <v>84</v>
      </c>
      <c r="T67" t="s" s="0">
        <v>84</v>
      </c>
      <c r="U67" t="s" s="0">
        <v>84</v>
      </c>
      <c r="V67" t="s" s="0">
        <v>2053</v>
      </c>
      <c r="W67" t="s" s="0">
        <v>2054</v>
      </c>
      <c r="X67" t="s" s="0">
        <v>84</v>
      </c>
      <c r="Y67" t="s" s="0">
        <v>84</v>
      </c>
      <c r="Z67" t="s" s="0">
        <v>96</v>
      </c>
      <c r="AA67" t="s" s="0">
        <v>145</v>
      </c>
      <c r="AB67" t="s" s="0">
        <v>84</v>
      </c>
      <c r="AC67" t="s" s="0">
        <v>84</v>
      </c>
      <c r="AD67" t="s" s="0">
        <v>84</v>
      </c>
      <c r="AE67" t="s" s="0">
        <v>84</v>
      </c>
      <c r="AF67" t="s" s="0">
        <v>84</v>
      </c>
      <c r="AG67" t="s" s="0">
        <v>84</v>
      </c>
      <c r="AH67" t="s" s="0">
        <v>84</v>
      </c>
      <c r="AI67" t="s" s="0">
        <v>2055</v>
      </c>
      <c r="AJ67" t="s" s="0">
        <v>84</v>
      </c>
      <c r="AK67" t="s" s="0">
        <v>84</v>
      </c>
      <c r="AL67" t="s" s="0">
        <v>2056</v>
      </c>
      <c r="AM67" t="s" s="0">
        <v>2057</v>
      </c>
      <c r="AN67" t="s" s="0">
        <v>1621</v>
      </c>
      <c r="AO67" t="s" s="0">
        <v>116</v>
      </c>
      <c r="AP67" t="s" s="0">
        <v>1255</v>
      </c>
      <c r="AQ67" t="s" s="0">
        <v>2058</v>
      </c>
      <c r="AR67" t="s" s="0">
        <v>2059</v>
      </c>
      <c r="AS67" t="s" s="0">
        <v>2060</v>
      </c>
      <c r="AT67" t="s" s="0">
        <v>84</v>
      </c>
      <c r="AU67" t="s" s="0">
        <v>2061</v>
      </c>
      <c r="AV67" t="s" s="0">
        <v>84</v>
      </c>
      <c r="AW67" t="s" s="0">
        <v>2054</v>
      </c>
      <c r="AX67" t="s" s="0">
        <v>2062</v>
      </c>
      <c r="AY67" t="s" s="0">
        <v>1092</v>
      </c>
      <c r="AZ67" t="s" s="0">
        <v>228</v>
      </c>
      <c r="BA67" t="s" s="0">
        <v>159</v>
      </c>
      <c r="BB67" t="s" s="0">
        <v>170</v>
      </c>
      <c r="BC67" t="s" s="0">
        <v>84</v>
      </c>
      <c r="BD67" t="s" s="0">
        <v>84</v>
      </c>
      <c r="BE67" t="s" s="0">
        <v>84</v>
      </c>
      <c r="BF67" t="s" s="0">
        <v>84</v>
      </c>
      <c r="BG67" t="s" s="0">
        <v>84</v>
      </c>
      <c r="BH67" t="s" s="0">
        <v>84</v>
      </c>
      <c r="BI67" t="s" s="0">
        <v>2063</v>
      </c>
      <c r="BJ67" t="s" s="0">
        <v>2064</v>
      </c>
      <c r="BK67" t="s" s="130">
        <f>HYPERLINK("http://dx.doi.org/10.1016/j.metrad.2023.100017","http://dx.doi.org/10.1016/j.metrad.2023.100017")</f>
        <v>2065</v>
      </c>
      <c r="BL67" t="s" s="0">
        <v>84</v>
      </c>
      <c r="BM67" t="s" s="0">
        <v>2066</v>
      </c>
      <c r="BN67" t="s" s="0">
        <v>502</v>
      </c>
      <c r="BO67" t="s" s="0">
        <v>2067</v>
      </c>
      <c r="BP67" t="s" s="0">
        <v>2068</v>
      </c>
      <c r="BQ67" t="s" s="0">
        <v>2069</v>
      </c>
      <c r="BR67" t="s" s="0">
        <v>84</v>
      </c>
      <c r="BS67" t="s" s="0">
        <v>2070</v>
      </c>
      <c r="BT67" t="s" s="131">
        <f>HYPERLINK("https://www.webofscience.com/wos/woscc/full-record/WOS:001577805500001","View Record in Web of Science")</f>
        <v>126</v>
      </c>
      <c r="BU67" t="s" s="0">
        <v>168</v>
      </c>
      <c r="BV67" t="s" s="0">
        <v>84</v>
      </c>
      <c r="BW67" t="s" s="0">
        <v>84</v>
      </c>
      <c r="BX67" t="s" s="0">
        <v>130</v>
      </c>
    </row>
    <row r="68">
      <c r="A68" t="s" s="0">
        <v>638</v>
      </c>
      <c r="B68" t="s" s="0">
        <v>78</v>
      </c>
      <c r="C68" t="s" s="0">
        <v>471</v>
      </c>
      <c r="D68" t="s" s="0">
        <v>159</v>
      </c>
      <c r="E68" t="s" s="0">
        <v>2071</v>
      </c>
      <c r="F68" t="s" s="0">
        <v>2072</v>
      </c>
      <c r="G68" t="s" s="0">
        <v>2073</v>
      </c>
      <c r="H68" t="s" s="0">
        <v>84</v>
      </c>
      <c r="I68" t="s" s="0">
        <v>85</v>
      </c>
      <c r="J68" t="s" s="0">
        <v>2074</v>
      </c>
      <c r="K68" t="s" s="0">
        <v>2075</v>
      </c>
      <c r="L68" t="s" s="0">
        <v>2076</v>
      </c>
      <c r="M68" t="s" s="0">
        <v>2077</v>
      </c>
      <c r="N68" t="s" s="0">
        <v>2078</v>
      </c>
      <c r="O68" t="s" s="0">
        <v>2079</v>
      </c>
      <c r="P68" t="s" s="0">
        <v>2080</v>
      </c>
      <c r="Q68" t="s" s="0">
        <v>93</v>
      </c>
      <c r="R68" t="s" s="0">
        <v>84</v>
      </c>
      <c r="S68" t="s" s="0">
        <v>84</v>
      </c>
      <c r="T68" t="s" s="0">
        <v>84</v>
      </c>
      <c r="U68" t="s" s="0">
        <v>84</v>
      </c>
      <c r="V68" t="s" s="0">
        <v>2081</v>
      </c>
      <c r="W68" t="s" s="0">
        <v>2082</v>
      </c>
      <c r="X68" t="s" s="0">
        <v>84</v>
      </c>
      <c r="Y68" t="s" s="0">
        <v>84</v>
      </c>
      <c r="Z68" t="s" s="0">
        <v>96</v>
      </c>
      <c r="AA68" t="s" s="0">
        <v>97</v>
      </c>
      <c r="AB68" t="s" s="0">
        <v>84</v>
      </c>
      <c r="AC68" t="s" s="0">
        <v>84</v>
      </c>
      <c r="AD68" t="s" s="0">
        <v>84</v>
      </c>
      <c r="AE68" t="s" s="0">
        <v>84</v>
      </c>
      <c r="AF68" t="s" s="0">
        <v>84</v>
      </c>
      <c r="AG68" t="s" s="0">
        <v>2083</v>
      </c>
      <c r="AH68" t="s" s="0">
        <v>2084</v>
      </c>
      <c r="AI68" t="s" s="0">
        <v>2085</v>
      </c>
      <c r="AJ68" t="s" s="0">
        <v>2086</v>
      </c>
      <c r="AK68" t="s" s="0">
        <v>84</v>
      </c>
      <c r="AL68" t="s" s="0">
        <v>2087</v>
      </c>
      <c r="AM68" t="s" s="0">
        <v>2088</v>
      </c>
      <c r="AN68" t="s" s="0">
        <v>2089</v>
      </c>
      <c r="AO68" t="s" s="0">
        <v>115</v>
      </c>
      <c r="AP68" t="s" s="0">
        <v>1960</v>
      </c>
      <c r="AQ68" t="s" s="0">
        <v>2090</v>
      </c>
      <c r="AR68" t="s" s="0">
        <v>2091</v>
      </c>
      <c r="AS68" t="s" s="0">
        <v>2092</v>
      </c>
      <c r="AT68" t="s" s="0">
        <v>2093</v>
      </c>
      <c r="AU68" t="s" s="0">
        <v>2094</v>
      </c>
      <c r="AV68" t="s" s="0">
        <v>84</v>
      </c>
      <c r="AW68" t="s" s="0">
        <v>2095</v>
      </c>
      <c r="AX68" t="s" s="0">
        <v>2096</v>
      </c>
      <c r="AY68" t="s" s="0">
        <v>1057</v>
      </c>
      <c r="AZ68" t="s" s="0">
        <v>197</v>
      </c>
      <c r="BA68" t="s" s="0">
        <v>1958</v>
      </c>
      <c r="BB68" t="s" s="0">
        <v>84</v>
      </c>
      <c r="BC68" t="s" s="0">
        <v>84</v>
      </c>
      <c r="BD68" t="s" s="0">
        <v>84</v>
      </c>
      <c r="BE68" t="s" s="0">
        <v>84</v>
      </c>
      <c r="BF68" t="s" s="0">
        <v>84</v>
      </c>
      <c r="BG68" t="s" s="0">
        <v>80</v>
      </c>
      <c r="BH68" t="s" s="0">
        <v>270</v>
      </c>
      <c r="BI68" t="s" s="0">
        <v>84</v>
      </c>
      <c r="BJ68" t="s" s="0">
        <v>2097</v>
      </c>
      <c r="BK68" t="s" s="132">
        <f>HYPERLINK("http://dx.doi.org/10.1016/j.ejmp.2021.02.006","http://dx.doi.org/10.1016/j.ejmp.2021.02.006")</f>
        <v>2098</v>
      </c>
      <c r="BL68" t="s" s="0">
        <v>84</v>
      </c>
      <c r="BM68" t="s" s="0">
        <v>1057</v>
      </c>
      <c r="BN68" t="s" s="0">
        <v>638</v>
      </c>
      <c r="BO68" t="s" s="0">
        <v>447</v>
      </c>
      <c r="BP68" t="s" s="0">
        <v>447</v>
      </c>
      <c r="BQ68" t="s" s="0">
        <v>2099</v>
      </c>
      <c r="BR68" t="s" s="0">
        <v>2100</v>
      </c>
      <c r="BS68" t="s" s="0">
        <v>2101</v>
      </c>
      <c r="BT68" t="s" s="133">
        <f>HYPERLINK("https://www.webofscience.com/wos/woscc/full-record/WOS:000657912000002","View Record in Web of Science")</f>
        <v>126</v>
      </c>
      <c r="BU68" t="s" s="0">
        <v>2102</v>
      </c>
      <c r="BV68" t="s" s="0">
        <v>128</v>
      </c>
      <c r="BW68" t="s" s="0">
        <v>129</v>
      </c>
      <c r="BX68" t="s" s="0">
        <v>130</v>
      </c>
    </row>
    <row r="69">
      <c r="A69" t="s" s="0">
        <v>170</v>
      </c>
      <c r="B69" t="s" s="0">
        <v>78</v>
      </c>
      <c r="C69" t="s" s="0">
        <v>275</v>
      </c>
      <c r="D69" t="s" s="0">
        <v>170</v>
      </c>
      <c r="E69" t="s" s="0">
        <v>2103</v>
      </c>
      <c r="F69" t="s" s="0">
        <v>2104</v>
      </c>
      <c r="G69" t="s" s="0">
        <v>2105</v>
      </c>
      <c r="H69" t="s" s="0">
        <v>84</v>
      </c>
      <c r="I69" t="s" s="0">
        <v>85</v>
      </c>
      <c r="J69" t="s" s="0">
        <v>2106</v>
      </c>
      <c r="K69" t="s" s="0">
        <v>2107</v>
      </c>
      <c r="L69" t="s" s="0">
        <v>84</v>
      </c>
      <c r="M69" t="s" s="0">
        <v>84</v>
      </c>
      <c r="N69" t="s" s="0">
        <v>84</v>
      </c>
      <c r="O69" t="s" s="0">
        <v>2108</v>
      </c>
      <c r="P69" t="s" s="0">
        <v>84</v>
      </c>
      <c r="Q69" t="s" s="0">
        <v>93</v>
      </c>
      <c r="R69" t="s" s="0">
        <v>84</v>
      </c>
      <c r="S69" t="s" s="0">
        <v>84</v>
      </c>
      <c r="T69" t="s" s="0">
        <v>84</v>
      </c>
      <c r="U69" t="s" s="0">
        <v>84</v>
      </c>
      <c r="V69" t="s" s="0">
        <v>2109</v>
      </c>
      <c r="W69" t="s" s="0">
        <v>2110</v>
      </c>
      <c r="X69" t="s" s="0">
        <v>84</v>
      </c>
      <c r="Y69" t="s" s="0">
        <v>84</v>
      </c>
      <c r="Z69" t="s" s="0">
        <v>96</v>
      </c>
      <c r="AA69" t="s" s="0">
        <v>97</v>
      </c>
      <c r="AB69" t="s" s="0">
        <v>84</v>
      </c>
      <c r="AC69" t="s" s="0">
        <v>84</v>
      </c>
      <c r="AD69" t="s" s="0">
        <v>84</v>
      </c>
      <c r="AE69" t="s" s="0">
        <v>84</v>
      </c>
      <c r="AF69" t="s" s="0">
        <v>84</v>
      </c>
      <c r="AG69" t="s" s="0">
        <v>2111</v>
      </c>
      <c r="AH69" t="s" s="0">
        <v>2112</v>
      </c>
      <c r="AI69" t="s" s="0">
        <v>2113</v>
      </c>
      <c r="AJ69" t="s" s="0">
        <v>2114</v>
      </c>
      <c r="AK69" t="s" s="0">
        <v>84</v>
      </c>
      <c r="AL69" t="s" s="0">
        <v>1114</v>
      </c>
      <c r="AM69" t="s" s="0">
        <v>2115</v>
      </c>
      <c r="AN69" t="s" s="0">
        <v>2116</v>
      </c>
      <c r="AO69" t="s" s="0">
        <v>1326</v>
      </c>
      <c r="AP69" t="s" s="0">
        <v>2117</v>
      </c>
      <c r="AQ69" t="s" s="0">
        <v>961</v>
      </c>
      <c r="AR69" t="s" s="0">
        <v>682</v>
      </c>
      <c r="AS69" t="s" s="0">
        <v>962</v>
      </c>
      <c r="AT69" t="s" s="0">
        <v>84</v>
      </c>
      <c r="AU69" t="s" s="0">
        <v>2118</v>
      </c>
      <c r="AV69" t="s" s="0">
        <v>84</v>
      </c>
      <c r="AW69" t="s" s="0">
        <v>2119</v>
      </c>
      <c r="AX69" t="s" s="0">
        <v>2120</v>
      </c>
      <c r="AY69" t="s" s="0">
        <v>2121</v>
      </c>
      <c r="AZ69" t="s" s="0">
        <v>237</v>
      </c>
      <c r="BA69" t="s" s="0">
        <v>121</v>
      </c>
      <c r="BB69" t="s" s="0">
        <v>159</v>
      </c>
      <c r="BC69" t="s" s="0">
        <v>84</v>
      </c>
      <c r="BD69" t="s" s="0">
        <v>84</v>
      </c>
      <c r="BE69" t="s" s="0">
        <v>84</v>
      </c>
      <c r="BF69" t="s" s="0">
        <v>84</v>
      </c>
      <c r="BG69" t="s" s="0">
        <v>84</v>
      </c>
      <c r="BH69" t="s" s="0">
        <v>84</v>
      </c>
      <c r="BI69" t="s" s="0">
        <v>1518</v>
      </c>
      <c r="BJ69" t="s" s="0">
        <v>2122</v>
      </c>
      <c r="BK69" t="s" s="134">
        <f>HYPERLINK("http://dx.doi.org/10.1186/s13677-022-00314-5","http://dx.doi.org/10.1186/s13677-022-00314-5")</f>
        <v>2123</v>
      </c>
      <c r="BL69" t="s" s="0">
        <v>84</v>
      </c>
      <c r="BM69" t="s" s="0">
        <v>84</v>
      </c>
      <c r="BN69" t="s" s="0">
        <v>158</v>
      </c>
      <c r="BO69" t="s" s="0">
        <v>2124</v>
      </c>
      <c r="BP69" t="s" s="0">
        <v>205</v>
      </c>
      <c r="BQ69" t="s" s="0">
        <v>2125</v>
      </c>
      <c r="BR69" t="s" s="0">
        <v>2126</v>
      </c>
      <c r="BS69" t="s" s="0">
        <v>2127</v>
      </c>
      <c r="BT69" t="s" s="135">
        <f>HYPERLINK("https://www.webofscience.com/wos/woscc/full-record/WOS:000852395000001","View Record in Web of Science")</f>
        <v>126</v>
      </c>
      <c r="BU69" t="s" s="0">
        <v>168</v>
      </c>
      <c r="BV69" t="s" s="0">
        <v>128</v>
      </c>
      <c r="BW69" t="s" s="0">
        <v>129</v>
      </c>
      <c r="BX69" t="s" s="0">
        <v>130</v>
      </c>
    </row>
    <row r="70">
      <c r="A70" t="s" s="0">
        <v>599</v>
      </c>
      <c r="B70" t="s" s="0">
        <v>78</v>
      </c>
      <c r="C70" t="s" s="0">
        <v>2128</v>
      </c>
      <c r="D70" t="s" s="0">
        <v>170</v>
      </c>
      <c r="E70" t="s" s="0">
        <v>2129</v>
      </c>
      <c r="F70" t="s" s="0">
        <v>2130</v>
      </c>
      <c r="G70" t="s" s="0">
        <v>2131</v>
      </c>
      <c r="H70" t="s" s="0">
        <v>84</v>
      </c>
      <c r="I70" t="s" s="0">
        <v>85</v>
      </c>
      <c r="J70" t="s" s="0">
        <v>2132</v>
      </c>
      <c r="K70" t="s" s="0">
        <v>2133</v>
      </c>
      <c r="L70" t="s" s="0">
        <v>2134</v>
      </c>
      <c r="M70" t="s" s="0">
        <v>2135</v>
      </c>
      <c r="N70" t="s" s="0">
        <v>2136</v>
      </c>
      <c r="O70" t="s" s="0">
        <v>2137</v>
      </c>
      <c r="P70" t="s" s="0">
        <v>2138</v>
      </c>
      <c r="Q70" t="s" s="0">
        <v>93</v>
      </c>
      <c r="R70" t="s" s="0">
        <v>84</v>
      </c>
      <c r="S70" t="s" s="0">
        <v>84</v>
      </c>
      <c r="T70" t="s" s="0">
        <v>84</v>
      </c>
      <c r="U70" t="s" s="0">
        <v>84</v>
      </c>
      <c r="V70" t="s" s="0">
        <v>2139</v>
      </c>
      <c r="W70" t="s" s="0">
        <v>2140</v>
      </c>
      <c r="X70" t="s" s="0">
        <v>84</v>
      </c>
      <c r="Y70" t="s" s="0">
        <v>84</v>
      </c>
      <c r="Z70" t="s" s="0">
        <v>96</v>
      </c>
      <c r="AA70" t="s" s="0">
        <v>145</v>
      </c>
      <c r="AB70" t="s" s="0">
        <v>84</v>
      </c>
      <c r="AC70" t="s" s="0">
        <v>84</v>
      </c>
      <c r="AD70" t="s" s="0">
        <v>84</v>
      </c>
      <c r="AE70" t="s" s="0">
        <v>84</v>
      </c>
      <c r="AF70" t="s" s="0">
        <v>84</v>
      </c>
      <c r="AG70" t="s" s="0">
        <v>2141</v>
      </c>
      <c r="AH70" t="s" s="0">
        <v>2142</v>
      </c>
      <c r="AI70" t="s" s="0">
        <v>2143</v>
      </c>
      <c r="AJ70" t="s" s="0">
        <v>2144</v>
      </c>
      <c r="AK70" t="s" s="0">
        <v>84</v>
      </c>
      <c r="AL70" t="s" s="0">
        <v>116</v>
      </c>
      <c r="AM70" t="s" s="0">
        <v>2115</v>
      </c>
      <c r="AN70" t="s" s="0">
        <v>2145</v>
      </c>
      <c r="AO70" t="s" s="0">
        <v>344</v>
      </c>
      <c r="AP70" t="s" s="0">
        <v>2000</v>
      </c>
      <c r="AQ70" t="s" s="0">
        <v>1439</v>
      </c>
      <c r="AR70" t="s" s="0">
        <v>895</v>
      </c>
      <c r="AS70" t="s" s="0">
        <v>1440</v>
      </c>
      <c r="AT70" t="s" s="0">
        <v>2146</v>
      </c>
      <c r="AU70" t="s" s="0">
        <v>2147</v>
      </c>
      <c r="AV70" t="s" s="0">
        <v>84</v>
      </c>
      <c r="AW70" t="s" s="0">
        <v>2140</v>
      </c>
      <c r="AX70" t="s" s="0">
        <v>2148</v>
      </c>
      <c r="AY70" t="s" s="0">
        <v>688</v>
      </c>
      <c r="AZ70" t="s" s="0">
        <v>307</v>
      </c>
      <c r="BA70" t="s" s="0">
        <v>469</v>
      </c>
      <c r="BB70" t="s" s="0">
        <v>211</v>
      </c>
      <c r="BC70" t="s" s="0">
        <v>84</v>
      </c>
      <c r="BD70" t="s" s="0">
        <v>84</v>
      </c>
      <c r="BE70" t="s" s="0">
        <v>84</v>
      </c>
      <c r="BF70" t="s" s="0">
        <v>84</v>
      </c>
      <c r="BG70" t="s" s="0">
        <v>2149</v>
      </c>
      <c r="BH70" t="s" s="0">
        <v>2150</v>
      </c>
      <c r="BI70" t="s" s="0">
        <v>84</v>
      </c>
      <c r="BJ70" t="s" s="0">
        <v>2151</v>
      </c>
      <c r="BK70" t="s" s="136">
        <f>HYPERLINK("http://dx.doi.org/10.1161/STROKEAHA.118.024293","http://dx.doi.org/10.1161/STROKEAHA.118.024293")</f>
        <v>2152</v>
      </c>
      <c r="BL70" t="s" s="0">
        <v>84</v>
      </c>
      <c r="BM70" t="s" s="0">
        <v>84</v>
      </c>
      <c r="BN70" t="s" s="0">
        <v>250</v>
      </c>
      <c r="BO70" t="s" s="0">
        <v>2153</v>
      </c>
      <c r="BP70" t="s" s="0">
        <v>2154</v>
      </c>
      <c r="BQ70" t="s" s="0">
        <v>2155</v>
      </c>
      <c r="BR70" t="s" s="0">
        <v>2156</v>
      </c>
      <c r="BS70" t="s" s="0">
        <v>2157</v>
      </c>
      <c r="BT70" t="s" s="137">
        <f>HYPERLINK("https://www.webofscience.com/wos/woscc/full-record/WOS:000469350000056","View Record in Web of Science")</f>
        <v>126</v>
      </c>
      <c r="BU70" t="s" s="0">
        <v>637</v>
      </c>
      <c r="BV70" t="s" s="0">
        <v>128</v>
      </c>
      <c r="BW70" t="s" s="0">
        <v>129</v>
      </c>
      <c r="BX70" t="s" s="0">
        <v>130</v>
      </c>
    </row>
    <row r="71">
      <c r="A71" t="s" s="0">
        <v>372</v>
      </c>
      <c r="B71" t="s" s="0">
        <v>78</v>
      </c>
      <c r="C71" t="s" s="0">
        <v>453</v>
      </c>
      <c r="D71" t="s" s="0">
        <v>78</v>
      </c>
      <c r="E71" t="s" s="0">
        <v>2158</v>
      </c>
      <c r="F71" t="s" s="0">
        <v>2159</v>
      </c>
      <c r="G71" t="s" s="0">
        <v>2160</v>
      </c>
      <c r="H71" t="s" s="0">
        <v>84</v>
      </c>
      <c r="I71" t="s" s="0">
        <v>85</v>
      </c>
      <c r="J71" t="s" s="0">
        <v>2161</v>
      </c>
      <c r="K71" t="s" s="0">
        <v>2162</v>
      </c>
      <c r="L71" t="s" s="0">
        <v>2163</v>
      </c>
      <c r="M71" t="s" s="0">
        <v>2164</v>
      </c>
      <c r="N71" t="s" s="0">
        <v>2165</v>
      </c>
      <c r="O71" t="s" s="0">
        <v>2166</v>
      </c>
      <c r="P71" t="s" s="0">
        <v>2167</v>
      </c>
      <c r="Q71" t="s" s="0">
        <v>93</v>
      </c>
      <c r="R71" t="s" s="0">
        <v>84</v>
      </c>
      <c r="S71" t="s" s="0">
        <v>84</v>
      </c>
      <c r="T71" t="s" s="0">
        <v>84</v>
      </c>
      <c r="U71" t="s" s="0">
        <v>84</v>
      </c>
      <c r="V71" t="s" s="0">
        <v>2168</v>
      </c>
      <c r="W71" t="s" s="0">
        <v>2169</v>
      </c>
      <c r="X71" t="s" s="0">
        <v>84</v>
      </c>
      <c r="Y71" t="s" s="0">
        <v>84</v>
      </c>
      <c r="Z71" t="s" s="0">
        <v>96</v>
      </c>
      <c r="AA71" t="s" s="0">
        <v>145</v>
      </c>
      <c r="AB71" t="s" s="0">
        <v>84</v>
      </c>
      <c r="AC71" t="s" s="0">
        <v>84</v>
      </c>
      <c r="AD71" t="s" s="0">
        <v>84</v>
      </c>
      <c r="AE71" t="s" s="0">
        <v>84</v>
      </c>
      <c r="AF71" t="s" s="0">
        <v>84</v>
      </c>
      <c r="AG71" t="s" s="0">
        <v>2170</v>
      </c>
      <c r="AH71" t="s" s="0">
        <v>2171</v>
      </c>
      <c r="AI71" t="s" s="0">
        <v>2172</v>
      </c>
      <c r="AJ71" t="s" s="0">
        <v>2173</v>
      </c>
      <c r="AK71" t="s" s="0">
        <v>84</v>
      </c>
      <c r="AL71" t="s" s="0">
        <v>1788</v>
      </c>
      <c r="AM71" t="s" s="0">
        <v>2174</v>
      </c>
      <c r="AN71" t="s" s="0">
        <v>2175</v>
      </c>
      <c r="AO71" t="s" s="0">
        <v>319</v>
      </c>
      <c r="AP71" t="s" s="0">
        <v>2176</v>
      </c>
      <c r="AQ71" t="s" s="0">
        <v>1183</v>
      </c>
      <c r="AR71" t="s" s="0">
        <v>1184</v>
      </c>
      <c r="AS71" t="s" s="0">
        <v>1185</v>
      </c>
      <c r="AT71" t="s" s="0">
        <v>2177</v>
      </c>
      <c r="AU71" t="s" s="0">
        <v>2178</v>
      </c>
      <c r="AV71" t="s" s="0">
        <v>84</v>
      </c>
      <c r="AW71" t="s" s="0">
        <v>2179</v>
      </c>
      <c r="AX71" t="s" s="0">
        <v>2180</v>
      </c>
      <c r="AY71" t="s" s="0">
        <v>2181</v>
      </c>
      <c r="AZ71" t="s" s="0">
        <v>476</v>
      </c>
      <c r="BA71" t="s" s="0">
        <v>638</v>
      </c>
      <c r="BB71" t="s" s="0">
        <v>338</v>
      </c>
      <c r="BC71" t="s" s="0">
        <v>84</v>
      </c>
      <c r="BD71" t="s" s="0">
        <v>84</v>
      </c>
      <c r="BE71" t="s" s="0">
        <v>84</v>
      </c>
      <c r="BF71" t="s" s="0">
        <v>84</v>
      </c>
      <c r="BG71" t="s" s="0">
        <v>2182</v>
      </c>
      <c r="BH71" t="s" s="0">
        <v>2183</v>
      </c>
      <c r="BI71" t="s" s="0">
        <v>84</v>
      </c>
      <c r="BJ71" t="s" s="0">
        <v>2184</v>
      </c>
      <c r="BK71" t="s" s="138">
        <f>HYPERLINK("http://dx.doi.org/10.1109/TII.2019.2945367","http://dx.doi.org/10.1109/TII.2019.2945367")</f>
        <v>2185</v>
      </c>
      <c r="BL71" t="s" s="0">
        <v>84</v>
      </c>
      <c r="BM71" t="s" s="0">
        <v>84</v>
      </c>
      <c r="BN71" t="s" s="0">
        <v>121</v>
      </c>
      <c r="BO71" t="s" s="0">
        <v>2186</v>
      </c>
      <c r="BP71" t="s" s="0">
        <v>1288</v>
      </c>
      <c r="BQ71" t="s" s="0">
        <v>2187</v>
      </c>
      <c r="BR71" t="s" s="0">
        <v>84</v>
      </c>
      <c r="BS71" t="s" s="0">
        <v>2188</v>
      </c>
      <c r="BT71" t="s" s="139">
        <f>HYPERLINK("https://www.webofscience.com/wos/woscc/full-record/WOS:000545243500030","View Record in Web of Science")</f>
        <v>126</v>
      </c>
      <c r="BU71" t="s" s="0">
        <v>84</v>
      </c>
      <c r="BV71" t="s" s="0">
        <v>128</v>
      </c>
      <c r="BW71" t="s" s="0">
        <v>129</v>
      </c>
      <c r="BX71" t="s" s="0">
        <v>130</v>
      </c>
    </row>
    <row r="72">
      <c r="A72" t="s" s="0">
        <v>925</v>
      </c>
      <c r="B72" t="s" s="0">
        <v>78</v>
      </c>
      <c r="C72" t="s" s="0">
        <v>338</v>
      </c>
      <c r="D72" t="s" s="0">
        <v>78</v>
      </c>
      <c r="E72" t="s" s="0">
        <v>2189</v>
      </c>
      <c r="F72" t="s" s="0">
        <v>2190</v>
      </c>
      <c r="G72" t="s" s="0">
        <v>2191</v>
      </c>
      <c r="H72" t="s" s="0">
        <v>84</v>
      </c>
      <c r="I72" t="s" s="0">
        <v>85</v>
      </c>
      <c r="J72" t="s" s="0">
        <v>2192</v>
      </c>
      <c r="K72" t="s" s="0">
        <v>2193</v>
      </c>
      <c r="L72" t="s" s="0">
        <v>2194</v>
      </c>
      <c r="M72" t="s" s="0">
        <v>2195</v>
      </c>
      <c r="N72" t="s" s="0">
        <v>2196</v>
      </c>
      <c r="O72" t="s" s="0">
        <v>2197</v>
      </c>
      <c r="P72" t="s" s="0">
        <v>2198</v>
      </c>
      <c r="Q72" t="s" s="0">
        <v>93</v>
      </c>
      <c r="R72" t="s" s="0">
        <v>84</v>
      </c>
      <c r="S72" t="s" s="0">
        <v>84</v>
      </c>
      <c r="T72" t="s" s="0">
        <v>84</v>
      </c>
      <c r="U72" t="s" s="0">
        <v>84</v>
      </c>
      <c r="V72" t="s" s="0">
        <v>2199</v>
      </c>
      <c r="W72" t="s" s="0">
        <v>2200</v>
      </c>
      <c r="X72" t="s" s="0">
        <v>84</v>
      </c>
      <c r="Y72" t="s" s="0">
        <v>84</v>
      </c>
      <c r="Z72" t="s" s="0">
        <v>96</v>
      </c>
      <c r="AA72" t="s" s="0">
        <v>145</v>
      </c>
      <c r="AB72" t="s" s="0">
        <v>84</v>
      </c>
      <c r="AC72" t="s" s="0">
        <v>84</v>
      </c>
      <c r="AD72" t="s" s="0">
        <v>84</v>
      </c>
      <c r="AE72" t="s" s="0">
        <v>84</v>
      </c>
      <c r="AF72" t="s" s="0">
        <v>84</v>
      </c>
      <c r="AG72" t="s" s="0">
        <v>2201</v>
      </c>
      <c r="AH72" t="s" s="0">
        <v>84</v>
      </c>
      <c r="AI72" t="s" s="0">
        <v>2202</v>
      </c>
      <c r="AJ72" t="s" s="0">
        <v>2203</v>
      </c>
      <c r="AK72" t="s" s="0">
        <v>84</v>
      </c>
      <c r="AL72" t="s" s="0">
        <v>539</v>
      </c>
      <c r="AM72" t="s" s="0">
        <v>530</v>
      </c>
      <c r="AN72" t="s" s="0">
        <v>1761</v>
      </c>
      <c r="AO72" t="s" s="0">
        <v>344</v>
      </c>
      <c r="AP72" t="s" s="0">
        <v>2204</v>
      </c>
      <c r="AQ72" t="s" s="0">
        <v>1183</v>
      </c>
      <c r="AR72" t="s" s="0">
        <v>1184</v>
      </c>
      <c r="AS72" t="s" s="0">
        <v>1185</v>
      </c>
      <c r="AT72" t="s" s="0">
        <v>2205</v>
      </c>
      <c r="AU72" t="s" s="0">
        <v>2206</v>
      </c>
      <c r="AV72" t="s" s="0">
        <v>84</v>
      </c>
      <c r="AW72" t="s" s="0">
        <v>2200</v>
      </c>
      <c r="AX72" t="s" s="0">
        <v>2207</v>
      </c>
      <c r="AY72" t="s" s="0">
        <v>2208</v>
      </c>
      <c r="AZ72" t="s" s="0">
        <v>197</v>
      </c>
      <c r="BA72" t="s" s="0">
        <v>1023</v>
      </c>
      <c r="BB72" t="s" s="0">
        <v>159</v>
      </c>
      <c r="BC72" t="s" s="0">
        <v>84</v>
      </c>
      <c r="BD72" t="s" s="0">
        <v>84</v>
      </c>
      <c r="BE72" t="s" s="0">
        <v>84</v>
      </c>
      <c r="BF72" t="s" s="0">
        <v>84</v>
      </c>
      <c r="BG72" t="s" s="0">
        <v>2209</v>
      </c>
      <c r="BH72" t="s" s="0">
        <v>1542</v>
      </c>
      <c r="BI72" t="s" s="0">
        <v>84</v>
      </c>
      <c r="BJ72" t="s" s="0">
        <v>2210</v>
      </c>
      <c r="BK72" t="s" s="140">
        <f>HYPERLINK("http://dx.doi.org/10.1109/MNET.011.2000263","http://dx.doi.org/10.1109/MNET.011.2000263")</f>
        <v>2211</v>
      </c>
      <c r="BL72" t="s" s="0">
        <v>84</v>
      </c>
      <c r="BM72" t="s" s="0">
        <v>84</v>
      </c>
      <c r="BN72" t="s" s="0">
        <v>116</v>
      </c>
      <c r="BO72" t="s" s="0">
        <v>2212</v>
      </c>
      <c r="BP72" t="s" s="0">
        <v>1471</v>
      </c>
      <c r="BQ72" t="s" s="0">
        <v>2213</v>
      </c>
      <c r="BR72" t="s" s="0">
        <v>84</v>
      </c>
      <c r="BS72" t="s" s="0">
        <v>2214</v>
      </c>
      <c r="BT72" t="s" s="141">
        <f>HYPERLINK("https://www.webofscience.com/wos/woscc/full-record/WOS:000641159800035","View Record in Web of Science")</f>
        <v>126</v>
      </c>
      <c r="BU72" t="s" s="0">
        <v>127</v>
      </c>
      <c r="BV72" t="s" s="0">
        <v>128</v>
      </c>
      <c r="BW72" t="s" s="0">
        <v>129</v>
      </c>
      <c r="BX72" t="s" s="0">
        <v>130</v>
      </c>
    </row>
    <row r="73">
      <c r="A73" t="s" s="0">
        <v>319</v>
      </c>
      <c r="B73" t="s" s="0">
        <v>78</v>
      </c>
      <c r="C73" t="s" s="0">
        <v>1149</v>
      </c>
      <c r="D73" t="s" s="0">
        <v>319</v>
      </c>
      <c r="E73" t="s" s="0">
        <v>2215</v>
      </c>
      <c r="F73" t="s" s="0">
        <v>2216</v>
      </c>
      <c r="G73" t="s" s="0">
        <v>2217</v>
      </c>
      <c r="H73" t="s" s="0">
        <v>84</v>
      </c>
      <c r="I73" t="s" s="0">
        <v>85</v>
      </c>
      <c r="J73" t="s" s="0">
        <v>2218</v>
      </c>
      <c r="K73" t="s" s="0">
        <v>2219</v>
      </c>
      <c r="L73" t="s" s="0">
        <v>84</v>
      </c>
      <c r="M73" t="s" s="0">
        <v>84</v>
      </c>
      <c r="N73" t="s" s="0">
        <v>84</v>
      </c>
      <c r="O73" t="s" s="0">
        <v>2220</v>
      </c>
      <c r="P73" t="s" s="0">
        <v>2221</v>
      </c>
      <c r="Q73" t="s" s="0">
        <v>93</v>
      </c>
      <c r="R73" t="s" s="0">
        <v>84</v>
      </c>
      <c r="S73" t="s" s="0">
        <v>84</v>
      </c>
      <c r="T73" t="s" s="0">
        <v>84</v>
      </c>
      <c r="U73" t="s" s="0">
        <v>84</v>
      </c>
      <c r="V73" t="s" s="0">
        <v>2222</v>
      </c>
      <c r="W73" t="s" s="0">
        <v>2223</v>
      </c>
      <c r="X73" t="s" s="0">
        <v>84</v>
      </c>
      <c r="Y73" t="s" s="0">
        <v>84</v>
      </c>
      <c r="Z73" t="s" s="0">
        <v>96</v>
      </c>
      <c r="AA73" t="s" s="0">
        <v>97</v>
      </c>
      <c r="AB73" t="s" s="0">
        <v>84</v>
      </c>
      <c r="AC73" t="s" s="0">
        <v>84</v>
      </c>
      <c r="AD73" t="s" s="0">
        <v>84</v>
      </c>
      <c r="AE73" t="s" s="0">
        <v>84</v>
      </c>
      <c r="AF73" t="s" s="0">
        <v>84</v>
      </c>
      <c r="AG73" t="s" s="0">
        <v>2224</v>
      </c>
      <c r="AH73" t="s" s="0">
        <v>84</v>
      </c>
      <c r="AI73" t="s" s="0">
        <v>2225</v>
      </c>
      <c r="AJ73" t="s" s="0">
        <v>2226</v>
      </c>
      <c r="AK73" t="s" s="0">
        <v>84</v>
      </c>
      <c r="AL73" t="s" s="0">
        <v>830</v>
      </c>
      <c r="AM73" t="s" s="0">
        <v>543</v>
      </c>
      <c r="AN73" t="s" s="0">
        <v>2227</v>
      </c>
      <c r="AO73" t="s" s="0">
        <v>319</v>
      </c>
      <c r="AP73" t="s" s="0">
        <v>2228</v>
      </c>
      <c r="AQ73" t="s" s="0">
        <v>1274</v>
      </c>
      <c r="AR73" t="s" s="0">
        <v>1275</v>
      </c>
      <c r="AS73" t="s" s="0">
        <v>1276</v>
      </c>
      <c r="AT73" t="s" s="0">
        <v>2229</v>
      </c>
      <c r="AU73" t="s" s="0">
        <v>2230</v>
      </c>
      <c r="AV73" t="s" s="0">
        <v>84</v>
      </c>
      <c r="AW73" t="s" s="0">
        <v>2231</v>
      </c>
      <c r="AX73" t="s" s="0">
        <v>2232</v>
      </c>
      <c r="AY73" t="s" s="0">
        <v>475</v>
      </c>
      <c r="AZ73" t="s" s="0">
        <v>476</v>
      </c>
      <c r="BA73" t="s" s="0">
        <v>2128</v>
      </c>
      <c r="BB73" t="s" s="0">
        <v>84</v>
      </c>
      <c r="BC73" t="s" s="0">
        <v>84</v>
      </c>
      <c r="BD73" t="s" s="0">
        <v>84</v>
      </c>
      <c r="BE73" t="s" s="0">
        <v>84</v>
      </c>
      <c r="BF73" t="s" s="0">
        <v>84</v>
      </c>
      <c r="BG73" t="s" s="0">
        <v>84</v>
      </c>
      <c r="BH73" t="s" s="0">
        <v>84</v>
      </c>
      <c r="BI73" t="s" s="0">
        <v>2233</v>
      </c>
      <c r="BJ73" t="s" s="0">
        <v>2234</v>
      </c>
      <c r="BK73" t="s" s="142">
        <f>HYPERLINK("http://dx.doi.org/10.1016/j.chaos.2020.110059","http://dx.doi.org/10.1016/j.chaos.2020.110059")</f>
        <v>2235</v>
      </c>
      <c r="BL73" t="s" s="0">
        <v>84</v>
      </c>
      <c r="BM73" t="s" s="0">
        <v>84</v>
      </c>
      <c r="BN73" t="s" s="0">
        <v>319</v>
      </c>
      <c r="BO73" t="s" s="0">
        <v>2236</v>
      </c>
      <c r="BP73" t="s" s="0">
        <v>2237</v>
      </c>
      <c r="BQ73" t="s" s="0">
        <v>2238</v>
      </c>
      <c r="BR73" t="s" s="0">
        <v>2239</v>
      </c>
      <c r="BS73" t="s" s="0">
        <v>2240</v>
      </c>
      <c r="BT73" t="s" s="143">
        <f>HYPERLINK("https://www.webofscience.com/wos/woscc/full-record/WOS:000588433800064","View Record in Web of Science")</f>
        <v>126</v>
      </c>
      <c r="BU73" t="s" s="0">
        <v>127</v>
      </c>
      <c r="BV73" t="s" s="0">
        <v>128</v>
      </c>
      <c r="BW73" t="s" s="0">
        <v>129</v>
      </c>
      <c r="BX73" t="s" s="0">
        <v>130</v>
      </c>
    </row>
    <row r="74">
      <c r="A74" t="s" s="0">
        <v>344</v>
      </c>
      <c r="B74" t="s" s="0">
        <v>78</v>
      </c>
      <c r="C74" t="s" s="0">
        <v>663</v>
      </c>
      <c r="D74" t="s" s="0">
        <v>344</v>
      </c>
      <c r="E74" t="s" s="0">
        <v>2241</v>
      </c>
      <c r="F74" t="s" s="0">
        <v>2242</v>
      </c>
      <c r="G74" t="s" s="0">
        <v>2243</v>
      </c>
      <c r="H74" t="s" s="0">
        <v>84</v>
      </c>
      <c r="I74" t="s" s="0">
        <v>283</v>
      </c>
      <c r="J74" t="s" s="0">
        <v>2244</v>
      </c>
      <c r="K74" t="s" s="0">
        <v>2245</v>
      </c>
      <c r="L74" t="s" s="0">
        <v>2246</v>
      </c>
      <c r="M74" t="s" s="0">
        <v>2246</v>
      </c>
      <c r="N74" t="s" s="0">
        <v>2247</v>
      </c>
      <c r="O74" t="s" s="0">
        <v>2248</v>
      </c>
      <c r="P74" t="s" s="0">
        <v>84</v>
      </c>
      <c r="Q74" t="s" s="0">
        <v>93</v>
      </c>
      <c r="R74" t="s" s="0">
        <v>84</v>
      </c>
      <c r="S74" t="s" s="0">
        <v>84</v>
      </c>
      <c r="T74" t="s" s="0">
        <v>84</v>
      </c>
      <c r="U74" t="s" s="0">
        <v>84</v>
      </c>
      <c r="V74" t="s" s="0">
        <v>2249</v>
      </c>
      <c r="W74" t="s" s="0">
        <v>2250</v>
      </c>
      <c r="X74" t="s" s="0">
        <v>84</v>
      </c>
      <c r="Y74" t="s" s="0">
        <v>84</v>
      </c>
      <c r="Z74" t="s" s="0">
        <v>96</v>
      </c>
      <c r="AA74" t="s" s="0">
        <v>145</v>
      </c>
      <c r="AB74" t="s" s="0">
        <v>84</v>
      </c>
      <c r="AC74" t="s" s="0">
        <v>84</v>
      </c>
      <c r="AD74" t="s" s="0">
        <v>84</v>
      </c>
      <c r="AE74" t="s" s="0">
        <v>84</v>
      </c>
      <c r="AF74" t="s" s="0">
        <v>84</v>
      </c>
      <c r="AG74" t="s" s="0">
        <v>2251</v>
      </c>
      <c r="AH74" t="s" s="0">
        <v>2252</v>
      </c>
      <c r="AI74" t="s" s="0">
        <v>84</v>
      </c>
      <c r="AJ74" t="s" s="0">
        <v>2253</v>
      </c>
      <c r="AK74" t="s" s="0">
        <v>84</v>
      </c>
      <c r="AL74" t="s" s="0">
        <v>1023</v>
      </c>
      <c r="AM74" t="s" s="0">
        <v>2254</v>
      </c>
      <c r="AN74" t="s" s="0">
        <v>2255</v>
      </c>
      <c r="AO74" t="s" s="0">
        <v>344</v>
      </c>
      <c r="AP74" t="s" s="0">
        <v>2256</v>
      </c>
      <c r="AQ74" t="s" s="0">
        <v>744</v>
      </c>
      <c r="AR74" t="s" s="0">
        <v>301</v>
      </c>
      <c r="AS74" t="s" s="0">
        <v>745</v>
      </c>
      <c r="AT74" t="s" s="0">
        <v>2257</v>
      </c>
      <c r="AU74" t="s" s="0">
        <v>84</v>
      </c>
      <c r="AV74" t="s" s="0">
        <v>84</v>
      </c>
      <c r="AW74" t="s" s="0">
        <v>2258</v>
      </c>
      <c r="AX74" t="s" s="0">
        <v>2259</v>
      </c>
      <c r="AY74" t="s" s="0">
        <v>2260</v>
      </c>
      <c r="AZ74" t="s" s="0">
        <v>114</v>
      </c>
      <c r="BA74" t="s" s="0">
        <v>250</v>
      </c>
      <c r="BB74" t="s" s="0">
        <v>453</v>
      </c>
      <c r="BC74" t="s" s="0">
        <v>84</v>
      </c>
      <c r="BD74" t="s" s="0">
        <v>84</v>
      </c>
      <c r="BE74" t="s" s="0">
        <v>84</v>
      </c>
      <c r="BF74" t="s" s="0">
        <v>84</v>
      </c>
      <c r="BG74" t="s" s="0">
        <v>84</v>
      </c>
      <c r="BH74" t="s" s="0">
        <v>84</v>
      </c>
      <c r="BI74" t="s" s="0">
        <v>2261</v>
      </c>
      <c r="BJ74" t="s" s="0">
        <v>2262</v>
      </c>
      <c r="BK74" t="s" s="144">
        <f>HYPERLINK("http://dx.doi.org/10.1136/bmjgh-2018-000798","http://dx.doi.org/10.1136/bmjgh-2018-000798")</f>
        <v>2263</v>
      </c>
      <c r="BL74" t="s" s="0">
        <v>84</v>
      </c>
      <c r="BM74" t="s" s="0">
        <v>84</v>
      </c>
      <c r="BN74" t="s" s="0">
        <v>344</v>
      </c>
      <c r="BO74" t="s" s="0">
        <v>573</v>
      </c>
      <c r="BP74" t="s" s="0">
        <v>573</v>
      </c>
      <c r="BQ74" t="s" s="0">
        <v>2264</v>
      </c>
      <c r="BR74" t="s" s="0">
        <v>2265</v>
      </c>
      <c r="BS74" t="s" s="0">
        <v>2266</v>
      </c>
      <c r="BT74" t="s" s="145">
        <f>HYPERLINK("https://www.webofscience.com/wos/woscc/full-record/WOS:000446081800011","View Record in Web of Science")</f>
        <v>126</v>
      </c>
      <c r="BU74" t="s" s="0">
        <v>168</v>
      </c>
      <c r="BV74" t="s" s="0">
        <v>128</v>
      </c>
      <c r="BW74" t="s" s="0">
        <v>129</v>
      </c>
      <c r="BX74" t="s" s="0">
        <v>130</v>
      </c>
    </row>
    <row r="75">
      <c r="A75" t="s" s="0">
        <v>502</v>
      </c>
      <c r="B75" t="s" s="0">
        <v>78</v>
      </c>
      <c r="C75" t="s" s="0">
        <v>2267</v>
      </c>
      <c r="D75" t="s" s="0">
        <v>170</v>
      </c>
      <c r="E75" t="s" s="0">
        <v>2268</v>
      </c>
      <c r="F75" t="s" s="0">
        <v>2269</v>
      </c>
      <c r="G75" t="s" s="0">
        <v>2270</v>
      </c>
      <c r="H75" t="s" s="0">
        <v>84</v>
      </c>
      <c r="I75" t="s" s="0">
        <v>85</v>
      </c>
      <c r="J75" t="s" s="0">
        <v>2271</v>
      </c>
      <c r="K75" t="s" s="0">
        <v>2272</v>
      </c>
      <c r="L75" t="s" s="0">
        <v>84</v>
      </c>
      <c r="M75" t="s" s="0">
        <v>84</v>
      </c>
      <c r="N75" t="s" s="0">
        <v>84</v>
      </c>
      <c r="O75" t="s" s="0">
        <v>2273</v>
      </c>
      <c r="P75" t="s" s="0">
        <v>2274</v>
      </c>
      <c r="Q75" t="s" s="0">
        <v>93</v>
      </c>
      <c r="R75" t="s" s="0">
        <v>84</v>
      </c>
      <c r="S75" t="s" s="0">
        <v>84</v>
      </c>
      <c r="T75" t="s" s="0">
        <v>84</v>
      </c>
      <c r="U75" t="s" s="0">
        <v>84</v>
      </c>
      <c r="V75" t="s" s="0">
        <v>2275</v>
      </c>
      <c r="W75" t="s" s="0">
        <v>614</v>
      </c>
      <c r="X75" t="s" s="0">
        <v>84</v>
      </c>
      <c r="Y75" t="s" s="0">
        <v>84</v>
      </c>
      <c r="Z75" t="s" s="0">
        <v>96</v>
      </c>
      <c r="AA75" t="s" s="0">
        <v>145</v>
      </c>
      <c r="AB75" t="s" s="0">
        <v>84</v>
      </c>
      <c r="AC75" t="s" s="0">
        <v>84</v>
      </c>
      <c r="AD75" t="s" s="0">
        <v>84</v>
      </c>
      <c r="AE75" t="s" s="0">
        <v>84</v>
      </c>
      <c r="AF75" t="s" s="0">
        <v>84</v>
      </c>
      <c r="AG75" t="s" s="0">
        <v>84</v>
      </c>
      <c r="AH75" t="s" s="0">
        <v>2276</v>
      </c>
      <c r="AI75" t="s" s="0">
        <v>2277</v>
      </c>
      <c r="AJ75" t="s" s="0">
        <v>2278</v>
      </c>
      <c r="AK75" t="s" s="0">
        <v>84</v>
      </c>
      <c r="AL75" t="s" s="0">
        <v>2279</v>
      </c>
      <c r="AM75" t="s" s="0">
        <v>2280</v>
      </c>
      <c r="AN75" t="s" s="0">
        <v>2281</v>
      </c>
      <c r="AO75" t="s" s="0">
        <v>925</v>
      </c>
      <c r="AP75" t="s" s="0">
        <v>2282</v>
      </c>
      <c r="AQ75" t="s" s="0">
        <v>621</v>
      </c>
      <c r="AR75" t="s" s="0">
        <v>622</v>
      </c>
      <c r="AS75" t="s" s="0">
        <v>623</v>
      </c>
      <c r="AT75" t="s" s="0">
        <v>624</v>
      </c>
      <c r="AU75" t="s" s="0">
        <v>625</v>
      </c>
      <c r="AV75" t="s" s="0">
        <v>84</v>
      </c>
      <c r="AW75" t="s" s="0">
        <v>626</v>
      </c>
      <c r="AX75" t="s" s="0">
        <v>627</v>
      </c>
      <c r="AY75" t="s" s="0">
        <v>2283</v>
      </c>
      <c r="AZ75" t="s" s="0">
        <v>1494</v>
      </c>
      <c r="BA75" t="s" s="0">
        <v>2284</v>
      </c>
      <c r="BB75" t="s" s="0">
        <v>453</v>
      </c>
      <c r="BC75" t="s" s="0">
        <v>84</v>
      </c>
      <c r="BD75" t="s" s="0">
        <v>84</v>
      </c>
      <c r="BE75" t="s" s="0">
        <v>84</v>
      </c>
      <c r="BF75" t="s" s="0">
        <v>84</v>
      </c>
      <c r="BG75" t="s" s="0">
        <v>2285</v>
      </c>
      <c r="BH75" t="s" s="0">
        <v>2286</v>
      </c>
      <c r="BI75" t="s" s="0">
        <v>84</v>
      </c>
      <c r="BJ75" t="s" s="0">
        <v>2287</v>
      </c>
      <c r="BK75" t="s" s="146">
        <f>HYPERLINK("http://dx.doi.org/10.1001/jama.2024.21700","http://dx.doi.org/10.1001/jama.2024.21700")</f>
        <v>2288</v>
      </c>
      <c r="BL75" t="s" s="0">
        <v>84</v>
      </c>
      <c r="BM75" t="s" s="0">
        <v>2289</v>
      </c>
      <c r="BN75" t="s" s="0">
        <v>338</v>
      </c>
      <c r="BO75" t="s" s="0">
        <v>312</v>
      </c>
      <c r="BP75" t="s" s="0">
        <v>313</v>
      </c>
      <c r="BQ75" t="s" s="0">
        <v>2290</v>
      </c>
      <c r="BR75" t="s" s="0">
        <v>2291</v>
      </c>
      <c r="BS75" t="s" s="0">
        <v>2292</v>
      </c>
      <c r="BT75" t="s" s="147">
        <f>HYPERLINK("https://www.webofscience.com/wos/woscc/full-record/WOS:001338321500002","View Record in Web of Science")</f>
        <v>126</v>
      </c>
      <c r="BU75" t="s" s="0">
        <v>84</v>
      </c>
      <c r="BV75" t="s" s="0">
        <v>129</v>
      </c>
      <c r="BW75" t="s" s="0">
        <v>129</v>
      </c>
      <c r="BX75" t="s" s="0">
        <v>130</v>
      </c>
    </row>
    <row r="76">
      <c r="A76" t="s" s="0">
        <v>338</v>
      </c>
      <c r="B76" t="s" s="0">
        <v>78</v>
      </c>
      <c r="C76" t="s" s="0">
        <v>1463</v>
      </c>
      <c r="D76" t="s" s="0">
        <v>159</v>
      </c>
      <c r="E76" t="s" s="0">
        <v>2293</v>
      </c>
      <c r="F76" t="s" s="0">
        <v>2294</v>
      </c>
      <c r="G76" t="s" s="0">
        <v>2295</v>
      </c>
      <c r="H76" t="s" s="0">
        <v>84</v>
      </c>
      <c r="I76" t="s" s="0">
        <v>85</v>
      </c>
      <c r="J76" t="s" s="0">
        <v>2296</v>
      </c>
      <c r="K76" t="s" s="0">
        <v>2297</v>
      </c>
      <c r="L76" t="s" s="0">
        <v>2298</v>
      </c>
      <c r="M76" t="s" s="0">
        <v>2299</v>
      </c>
      <c r="N76" t="s" s="0">
        <v>2300</v>
      </c>
      <c r="O76" t="s" s="0">
        <v>2301</v>
      </c>
      <c r="P76" t="s" s="0">
        <v>2302</v>
      </c>
      <c r="Q76" t="s" s="0">
        <v>93</v>
      </c>
      <c r="R76" t="s" s="0">
        <v>84</v>
      </c>
      <c r="S76" t="s" s="0">
        <v>2303</v>
      </c>
      <c r="T76" t="s" s="0">
        <v>84</v>
      </c>
      <c r="U76" t="s" s="0">
        <v>84</v>
      </c>
      <c r="V76" t="s" s="0">
        <v>2304</v>
      </c>
      <c r="W76" t="s" s="0">
        <v>223</v>
      </c>
      <c r="X76" t="s" s="0">
        <v>84</v>
      </c>
      <c r="Y76" t="s" s="0">
        <v>84</v>
      </c>
      <c r="Z76" t="s" s="0">
        <v>96</v>
      </c>
      <c r="AA76" t="s" s="0">
        <v>145</v>
      </c>
      <c r="AB76" t="s" s="0">
        <v>84</v>
      </c>
      <c r="AC76" t="s" s="0">
        <v>84</v>
      </c>
      <c r="AD76" t="s" s="0">
        <v>84</v>
      </c>
      <c r="AE76" t="s" s="0">
        <v>84</v>
      </c>
      <c r="AF76" t="s" s="0">
        <v>84</v>
      </c>
      <c r="AG76" t="s" s="0">
        <v>84</v>
      </c>
      <c r="AH76" t="s" s="0">
        <v>2305</v>
      </c>
      <c r="AI76" t="s" s="0">
        <v>2306</v>
      </c>
      <c r="AJ76" t="s" s="0">
        <v>2307</v>
      </c>
      <c r="AK76" t="s" s="0">
        <v>84</v>
      </c>
      <c r="AL76" t="s" s="0">
        <v>240</v>
      </c>
      <c r="AM76" t="s" s="0">
        <v>2308</v>
      </c>
      <c r="AN76" t="s" s="0">
        <v>2309</v>
      </c>
      <c r="AO76" t="s" s="0">
        <v>159</v>
      </c>
      <c r="AP76" t="s" s="0">
        <v>2310</v>
      </c>
      <c r="AQ76" t="s" s="0">
        <v>106</v>
      </c>
      <c r="AR76" t="s" s="0">
        <v>107</v>
      </c>
      <c r="AS76" t="s" s="0">
        <v>108</v>
      </c>
      <c r="AT76" t="s" s="0">
        <v>232</v>
      </c>
      <c r="AU76" t="s" s="0">
        <v>233</v>
      </c>
      <c r="AV76" t="s" s="0">
        <v>84</v>
      </c>
      <c r="AW76" t="s" s="0">
        <v>234</v>
      </c>
      <c r="AX76" t="s" s="0">
        <v>235</v>
      </c>
      <c r="AY76" t="s" s="0">
        <v>236</v>
      </c>
      <c r="AZ76" t="s" s="0">
        <v>237</v>
      </c>
      <c r="BA76" t="s" s="0">
        <v>238</v>
      </c>
      <c r="BB76" t="s" s="0">
        <v>159</v>
      </c>
      <c r="BC76" t="s" s="0">
        <v>84</v>
      </c>
      <c r="BD76" t="s" s="0">
        <v>84</v>
      </c>
      <c r="BE76" t="s" s="0">
        <v>84</v>
      </c>
      <c r="BF76" t="s" s="0">
        <v>84</v>
      </c>
      <c r="BG76" t="s" s="0">
        <v>2311</v>
      </c>
      <c r="BH76" t="s" s="0">
        <v>272</v>
      </c>
      <c r="BI76" t="s" s="0">
        <v>84</v>
      </c>
      <c r="BJ76" t="s" s="0">
        <v>2312</v>
      </c>
      <c r="BK76" t="s" s="148">
        <f>HYPERLINK("http://dx.doi.org/10.1038/s41591-021-01620-2","http://dx.doi.org/10.1038/s41591-021-01620-2")</f>
        <v>2313</v>
      </c>
      <c r="BL76" t="s" s="0">
        <v>84</v>
      </c>
      <c r="BM76" t="s" s="0">
        <v>236</v>
      </c>
      <c r="BN76" t="s" s="0">
        <v>368</v>
      </c>
      <c r="BO76" t="s" s="0">
        <v>243</v>
      </c>
      <c r="BP76" t="s" s="0">
        <v>244</v>
      </c>
      <c r="BQ76" t="s" s="0">
        <v>245</v>
      </c>
      <c r="BR76" t="s" s="0">
        <v>2314</v>
      </c>
      <c r="BS76" t="s" s="0">
        <v>2315</v>
      </c>
      <c r="BT76" t="s" s="149">
        <f>HYPERLINK("https://www.webofscience.com/wos/woscc/full-record/WOS:000742323900003","View Record in Web of Science")</f>
        <v>126</v>
      </c>
      <c r="BU76" t="s" s="0">
        <v>208</v>
      </c>
      <c r="BV76" t="s" s="0">
        <v>128</v>
      </c>
      <c r="BW76" t="s" s="0">
        <v>129</v>
      </c>
      <c r="BX76" t="s" s="0">
        <v>130</v>
      </c>
    </row>
    <row r="77">
      <c r="A77" t="s" s="0">
        <v>344</v>
      </c>
      <c r="B77" t="s" s="0">
        <v>78</v>
      </c>
      <c r="C77" t="s" s="0">
        <v>148</v>
      </c>
      <c r="D77" t="s" s="0">
        <v>170</v>
      </c>
      <c r="E77" t="s" s="0">
        <v>2316</v>
      </c>
      <c r="F77" t="s" s="0">
        <v>2317</v>
      </c>
      <c r="G77" t="s" s="0">
        <v>2318</v>
      </c>
      <c r="H77" t="s" s="0">
        <v>84</v>
      </c>
      <c r="I77" t="s" s="0">
        <v>283</v>
      </c>
      <c r="J77" t="s" s="0">
        <v>2319</v>
      </c>
      <c r="K77" t="s" s="0">
        <v>2320</v>
      </c>
      <c r="L77" t="s" s="0">
        <v>84</v>
      </c>
      <c r="M77" t="s" s="0">
        <v>84</v>
      </c>
      <c r="N77" t="s" s="0">
        <v>84</v>
      </c>
      <c r="O77" t="s" s="0">
        <v>2321</v>
      </c>
      <c r="P77" t="s" s="0">
        <v>2322</v>
      </c>
      <c r="Q77" t="s" s="0">
        <v>93</v>
      </c>
      <c r="R77" t="s" s="0">
        <v>84</v>
      </c>
      <c r="S77" t="s" s="0">
        <v>84</v>
      </c>
      <c r="T77" t="s" s="0">
        <v>84</v>
      </c>
      <c r="U77" t="s" s="0">
        <v>84</v>
      </c>
      <c r="V77" t="s" s="0">
        <v>2323</v>
      </c>
      <c r="W77" t="s" s="0">
        <v>1459</v>
      </c>
      <c r="X77" t="s" s="0">
        <v>84</v>
      </c>
      <c r="Y77" t="s" s="0">
        <v>84</v>
      </c>
      <c r="Z77" t="s" s="0">
        <v>96</v>
      </c>
      <c r="AA77" t="s" s="0">
        <v>145</v>
      </c>
      <c r="AB77" t="s" s="0">
        <v>84</v>
      </c>
      <c r="AC77" t="s" s="0">
        <v>84</v>
      </c>
      <c r="AD77" t="s" s="0">
        <v>84</v>
      </c>
      <c r="AE77" t="s" s="0">
        <v>84</v>
      </c>
      <c r="AF77" t="s" s="0">
        <v>84</v>
      </c>
      <c r="AG77" t="s" s="0">
        <v>2324</v>
      </c>
      <c r="AH77" t="s" s="0">
        <v>2325</v>
      </c>
      <c r="AI77" t="s" s="0">
        <v>84</v>
      </c>
      <c r="AJ77" t="s" s="0">
        <v>2326</v>
      </c>
      <c r="AK77" t="s" s="0">
        <v>84</v>
      </c>
      <c r="AL77" t="s" s="0">
        <v>902</v>
      </c>
      <c r="AM77" t="s" s="0">
        <v>2327</v>
      </c>
      <c r="AN77" t="s" s="0">
        <v>2328</v>
      </c>
      <c r="AO77" t="s" s="0">
        <v>211</v>
      </c>
      <c r="AP77" t="s" s="0">
        <v>751</v>
      </c>
      <c r="AQ77" t="s" s="0">
        <v>1183</v>
      </c>
      <c r="AR77" t="s" s="0">
        <v>1184</v>
      </c>
      <c r="AS77" t="s" s="0">
        <v>1185</v>
      </c>
      <c r="AT77" t="s" s="0">
        <v>1464</v>
      </c>
      <c r="AU77" t="s" s="0">
        <v>84</v>
      </c>
      <c r="AV77" t="s" s="0">
        <v>84</v>
      </c>
      <c r="AW77" t="s" s="0">
        <v>1459</v>
      </c>
      <c r="AX77" t="s" s="0">
        <v>1465</v>
      </c>
      <c r="AY77" t="s" s="0">
        <v>307</v>
      </c>
      <c r="AZ77" t="s" s="0">
        <v>307</v>
      </c>
      <c r="BA77" t="s" s="0">
        <v>344</v>
      </c>
      <c r="BB77" t="s" s="0">
        <v>84</v>
      </c>
      <c r="BC77" t="s" s="0">
        <v>84</v>
      </c>
      <c r="BD77" t="s" s="0">
        <v>84</v>
      </c>
      <c r="BE77" t="s" s="0">
        <v>84</v>
      </c>
      <c r="BF77" t="s" s="0">
        <v>84</v>
      </c>
      <c r="BG77" t="s" s="0">
        <v>2329</v>
      </c>
      <c r="BH77" t="s" s="0">
        <v>2330</v>
      </c>
      <c r="BI77" t="s" s="0">
        <v>84</v>
      </c>
      <c r="BJ77" t="s" s="0">
        <v>2331</v>
      </c>
      <c r="BK77" t="s" s="150">
        <f>HYPERLINK("http://dx.doi.org/10.1109/ACCESS.2019.2949286","http://dx.doi.org/10.1109/ACCESS.2019.2949286")</f>
        <v>2332</v>
      </c>
      <c r="BL77" t="s" s="0">
        <v>84</v>
      </c>
      <c r="BM77" t="s" s="0">
        <v>84</v>
      </c>
      <c r="BN77" t="s" s="0">
        <v>115</v>
      </c>
      <c r="BO77" t="s" s="0">
        <v>1470</v>
      </c>
      <c r="BP77" t="s" s="0">
        <v>1471</v>
      </c>
      <c r="BQ77" t="s" s="0">
        <v>2333</v>
      </c>
      <c r="BR77" t="s" s="0">
        <v>84</v>
      </c>
      <c r="BS77" t="s" s="0">
        <v>2334</v>
      </c>
      <c r="BT77" t="s" s="151">
        <f>HYPERLINK("https://www.webofscience.com/wos/woscc/full-record/WOS:000510258900003","View Record in Web of Science")</f>
        <v>126</v>
      </c>
      <c r="BU77" t="s" s="0">
        <v>168</v>
      </c>
      <c r="BV77" t="s" s="0">
        <v>128</v>
      </c>
      <c r="BW77" t="s" s="0">
        <v>129</v>
      </c>
      <c r="BX77" t="s" s="0">
        <v>130</v>
      </c>
    </row>
    <row r="78">
      <c r="A78" t="s" s="0">
        <v>104</v>
      </c>
      <c r="B78" t="s" s="0">
        <v>78</v>
      </c>
      <c r="C78" t="s" s="0">
        <v>2335</v>
      </c>
      <c r="D78" t="s" s="0">
        <v>211</v>
      </c>
      <c r="E78" t="s" s="0">
        <v>2336</v>
      </c>
      <c r="F78" t="s" s="0">
        <v>2337</v>
      </c>
      <c r="G78" t="s" s="0">
        <v>2338</v>
      </c>
      <c r="H78" t="s" s="0">
        <v>84</v>
      </c>
      <c r="I78" t="s" s="0">
        <v>85</v>
      </c>
      <c r="J78" t="s" s="0">
        <v>2339</v>
      </c>
      <c r="K78" t="s" s="0">
        <v>2340</v>
      </c>
      <c r="L78" t="s" s="0">
        <v>2341</v>
      </c>
      <c r="M78" t="s" s="0">
        <v>2342</v>
      </c>
      <c r="N78" t="s" s="0">
        <v>2343</v>
      </c>
      <c r="O78" t="s" s="0">
        <v>2344</v>
      </c>
      <c r="P78" t="s" s="0">
        <v>2345</v>
      </c>
      <c r="Q78" t="s" s="0">
        <v>93</v>
      </c>
      <c r="R78" t="s" s="0">
        <v>84</v>
      </c>
      <c r="S78" t="s" s="0">
        <v>84</v>
      </c>
      <c r="T78" t="s" s="0">
        <v>84</v>
      </c>
      <c r="U78" t="s" s="0">
        <v>84</v>
      </c>
      <c r="V78" t="s" s="0">
        <v>2346</v>
      </c>
      <c r="W78" t="s" s="0">
        <v>2347</v>
      </c>
      <c r="X78" t="s" s="0">
        <v>84</v>
      </c>
      <c r="Y78" t="s" s="0">
        <v>84</v>
      </c>
      <c r="Z78" t="s" s="0">
        <v>96</v>
      </c>
      <c r="AA78" t="s" s="0">
        <v>97</v>
      </c>
      <c r="AB78" t="s" s="0">
        <v>84</v>
      </c>
      <c r="AC78" t="s" s="0">
        <v>84</v>
      </c>
      <c r="AD78" t="s" s="0">
        <v>84</v>
      </c>
      <c r="AE78" t="s" s="0">
        <v>84</v>
      </c>
      <c r="AF78" t="s" s="0">
        <v>84</v>
      </c>
      <c r="AG78" t="s" s="0">
        <v>2348</v>
      </c>
      <c r="AH78" t="s" s="0">
        <v>2349</v>
      </c>
      <c r="AI78" t="s" s="0">
        <v>2350</v>
      </c>
      <c r="AJ78" t="s" s="0">
        <v>2351</v>
      </c>
      <c r="AK78" t="s" s="0">
        <v>84</v>
      </c>
      <c r="AL78" t="s" s="0">
        <v>1746</v>
      </c>
      <c r="AM78" t="s" s="0">
        <v>2352</v>
      </c>
      <c r="AN78" t="s" s="0">
        <v>2353</v>
      </c>
      <c r="AO78" t="s" s="0">
        <v>211</v>
      </c>
      <c r="AP78" t="s" s="0">
        <v>2354</v>
      </c>
      <c r="AQ78" t="s" s="0">
        <v>681</v>
      </c>
      <c r="AR78" t="s" s="0">
        <v>682</v>
      </c>
      <c r="AS78" t="s" s="0">
        <v>683</v>
      </c>
      <c r="AT78" t="s" s="0">
        <v>2355</v>
      </c>
      <c r="AU78" t="s" s="0">
        <v>2356</v>
      </c>
      <c r="AV78" t="s" s="0">
        <v>84</v>
      </c>
      <c r="AW78" t="s" s="0">
        <v>2357</v>
      </c>
      <c r="AX78" t="s" s="0">
        <v>2358</v>
      </c>
      <c r="AY78" t="s" s="0">
        <v>2359</v>
      </c>
      <c r="AZ78" t="s" s="0">
        <v>307</v>
      </c>
      <c r="BA78" t="s" s="0">
        <v>502</v>
      </c>
      <c r="BB78" t="s" s="0">
        <v>250</v>
      </c>
      <c r="BC78" t="s" s="0">
        <v>84</v>
      </c>
      <c r="BD78" t="s" s="0">
        <v>84</v>
      </c>
      <c r="BE78" t="s" s="0">
        <v>84</v>
      </c>
      <c r="BF78" t="s" s="0">
        <v>84</v>
      </c>
      <c r="BG78" t="s" s="0">
        <v>1521</v>
      </c>
      <c r="BH78" t="s" s="0">
        <v>279</v>
      </c>
      <c r="BI78" t="s" s="0">
        <v>84</v>
      </c>
      <c r="BJ78" t="s" s="0">
        <v>2360</v>
      </c>
      <c r="BK78" t="s" s="152">
        <f>HYPERLINK("http://dx.doi.org/10.1016/j.jtho.2018.11.023","http://dx.doi.org/10.1016/j.jtho.2018.11.023")</f>
        <v>2361</v>
      </c>
      <c r="BL78" t="s" s="0">
        <v>84</v>
      </c>
      <c r="BM78" t="s" s="0">
        <v>84</v>
      </c>
      <c r="BN78" t="s" s="0">
        <v>158</v>
      </c>
      <c r="BO78" t="s" s="0">
        <v>2362</v>
      </c>
      <c r="BP78" t="s" s="0">
        <v>2362</v>
      </c>
      <c r="BQ78" t="s" s="0">
        <v>2363</v>
      </c>
      <c r="BR78" t="s" s="0">
        <v>2364</v>
      </c>
      <c r="BS78" t="s" s="0">
        <v>2365</v>
      </c>
      <c r="BT78" t="s" s="153">
        <f>HYPERLINK("https://www.webofscience.com/wos/woscc/full-record/WOS:000459167100014","View Record in Web of Science")</f>
        <v>126</v>
      </c>
      <c r="BU78" t="s" s="0">
        <v>1232</v>
      </c>
      <c r="BV78" t="s" s="0">
        <v>128</v>
      </c>
      <c r="BW78" t="s" s="0">
        <v>129</v>
      </c>
      <c r="BX78" t="s" s="0">
        <v>130</v>
      </c>
    </row>
    <row r="79">
      <c r="A79" t="s" s="0">
        <v>121</v>
      </c>
      <c r="B79" t="s" s="0">
        <v>78</v>
      </c>
      <c r="C79" t="s" s="0">
        <v>2366</v>
      </c>
      <c r="D79" t="s" s="0">
        <v>159</v>
      </c>
      <c r="E79" t="s" s="0">
        <v>2367</v>
      </c>
      <c r="F79" t="s" s="0">
        <v>2368</v>
      </c>
      <c r="G79" t="s" s="0">
        <v>2369</v>
      </c>
      <c r="H79" t="s" s="0">
        <v>84</v>
      </c>
      <c r="I79" t="s" s="0">
        <v>85</v>
      </c>
      <c r="J79" t="s" s="0">
        <v>2370</v>
      </c>
      <c r="K79" t="s" s="0">
        <v>2371</v>
      </c>
      <c r="L79" t="s" s="0">
        <v>2372</v>
      </c>
      <c r="M79" t="s" s="0">
        <v>2373</v>
      </c>
      <c r="N79" t="s" s="0">
        <v>2374</v>
      </c>
      <c r="O79" t="s" s="0">
        <v>2375</v>
      </c>
      <c r="P79" t="s" s="0">
        <v>2376</v>
      </c>
      <c r="Q79" t="s" s="0">
        <v>93</v>
      </c>
      <c r="R79" t="s" s="0">
        <v>84</v>
      </c>
      <c r="S79" t="s" s="0">
        <v>84</v>
      </c>
      <c r="T79" t="s" s="0">
        <v>84</v>
      </c>
      <c r="U79" t="s" s="0">
        <v>84</v>
      </c>
      <c r="V79" t="s" s="0">
        <v>2377</v>
      </c>
      <c r="W79" t="s" s="0">
        <v>2378</v>
      </c>
      <c r="X79" t="s" s="0">
        <v>84</v>
      </c>
      <c r="Y79" t="s" s="0">
        <v>84</v>
      </c>
      <c r="Z79" t="s" s="0">
        <v>96</v>
      </c>
      <c r="AA79" t="s" s="0">
        <v>97</v>
      </c>
      <c r="AB79" t="s" s="0">
        <v>84</v>
      </c>
      <c r="AC79" t="s" s="0">
        <v>84</v>
      </c>
      <c r="AD79" t="s" s="0">
        <v>84</v>
      </c>
      <c r="AE79" t="s" s="0">
        <v>84</v>
      </c>
      <c r="AF79" t="s" s="0">
        <v>84</v>
      </c>
      <c r="AG79" t="s" s="0">
        <v>2379</v>
      </c>
      <c r="AH79" t="s" s="0">
        <v>2380</v>
      </c>
      <c r="AI79" t="s" s="0">
        <v>2381</v>
      </c>
      <c r="AJ79" t="s" s="0">
        <v>2382</v>
      </c>
      <c r="AK79" t="s" s="0">
        <v>84</v>
      </c>
      <c r="AL79" t="s" s="0">
        <v>1125</v>
      </c>
      <c r="AM79" t="s" s="0">
        <v>2383</v>
      </c>
      <c r="AN79" t="s" s="0">
        <v>1182</v>
      </c>
      <c r="AO79" t="s" s="0">
        <v>344</v>
      </c>
      <c r="AP79" t="s" s="0">
        <v>2384</v>
      </c>
      <c r="AQ79" t="s" s="0">
        <v>2385</v>
      </c>
      <c r="AR79" t="s" s="0">
        <v>2386</v>
      </c>
      <c r="AS79" t="s" s="0">
        <v>2387</v>
      </c>
      <c r="AT79" t="s" s="0">
        <v>2388</v>
      </c>
      <c r="AU79" t="s" s="0">
        <v>2389</v>
      </c>
      <c r="AV79" t="s" s="0">
        <v>84</v>
      </c>
      <c r="AW79" t="s" s="0">
        <v>2390</v>
      </c>
      <c r="AX79" t="s" s="0">
        <v>2391</v>
      </c>
      <c r="AY79" t="s" s="0">
        <v>2392</v>
      </c>
      <c r="AZ79" t="s" s="0">
        <v>476</v>
      </c>
      <c r="BA79" t="s" s="0">
        <v>831</v>
      </c>
      <c r="BB79" t="s" s="0">
        <v>84</v>
      </c>
      <c r="BC79" t="s" s="0">
        <v>84</v>
      </c>
      <c r="BD79" t="s" s="0">
        <v>84</v>
      </c>
      <c r="BE79" t="s" s="0">
        <v>84</v>
      </c>
      <c r="BF79" t="s" s="0">
        <v>84</v>
      </c>
      <c r="BG79" t="s" s="0">
        <v>602</v>
      </c>
      <c r="BH79" t="s" s="0">
        <v>1916</v>
      </c>
      <c r="BI79" t="s" s="0">
        <v>84</v>
      </c>
      <c r="BJ79" t="s" s="0">
        <v>2393</v>
      </c>
      <c r="BK79" t="s" s="154">
        <f>HYPERLINK("http://dx.doi.org/10.1016/j.canlet.2019.12.007","http://dx.doi.org/10.1016/j.canlet.2019.12.007")</f>
        <v>2394</v>
      </c>
      <c r="BL79" t="s" s="0">
        <v>84</v>
      </c>
      <c r="BM79" t="s" s="0">
        <v>84</v>
      </c>
      <c r="BN79" t="s" s="0">
        <v>121</v>
      </c>
      <c r="BO79" t="s" s="0">
        <v>122</v>
      </c>
      <c r="BP79" t="s" s="0">
        <v>122</v>
      </c>
      <c r="BQ79" t="s" s="0">
        <v>2395</v>
      </c>
      <c r="BR79" t="s" s="0">
        <v>2396</v>
      </c>
      <c r="BS79" t="s" s="0">
        <v>2397</v>
      </c>
      <c r="BT79" t="s" s="155">
        <f>HYPERLINK("https://www.webofscience.com/wos/woscc/full-record/WOS:000509630300006","View Record in Web of Science")</f>
        <v>126</v>
      </c>
      <c r="BU79" t="s" s="0">
        <v>84</v>
      </c>
      <c r="BV79" t="s" s="0">
        <v>128</v>
      </c>
      <c r="BW79" t="s" s="0">
        <v>129</v>
      </c>
      <c r="BX79" t="s" s="0">
        <v>130</v>
      </c>
    </row>
    <row r="80">
      <c r="A80" t="s" s="0">
        <v>159</v>
      </c>
      <c r="B80" t="s" s="0">
        <v>78</v>
      </c>
      <c r="C80" t="s" s="0">
        <v>198</v>
      </c>
      <c r="D80" t="s" s="0">
        <v>159</v>
      </c>
      <c r="E80" t="s" s="0">
        <v>2398</v>
      </c>
      <c r="F80" t="s" s="0">
        <v>2399</v>
      </c>
      <c r="G80" t="s" s="0">
        <v>2400</v>
      </c>
      <c r="H80" t="s" s="0">
        <v>84</v>
      </c>
      <c r="I80" t="s" s="0">
        <v>85</v>
      </c>
      <c r="J80" t="s" s="0">
        <v>2401</v>
      </c>
      <c r="K80" t="s" s="0">
        <v>2402</v>
      </c>
      <c r="L80" t="s" s="0">
        <v>2403</v>
      </c>
      <c r="M80" t="s" s="0">
        <v>2404</v>
      </c>
      <c r="N80" t="s" s="0">
        <v>2405</v>
      </c>
      <c r="O80" t="s" s="0">
        <v>2406</v>
      </c>
      <c r="P80" t="s" s="0">
        <v>2407</v>
      </c>
      <c r="Q80" t="s" s="0">
        <v>93</v>
      </c>
      <c r="R80" t="s" s="0">
        <v>84</v>
      </c>
      <c r="S80" t="s" s="0">
        <v>84</v>
      </c>
      <c r="T80" t="s" s="0">
        <v>84</v>
      </c>
      <c r="U80" t="s" s="0">
        <v>84</v>
      </c>
      <c r="V80" t="s" s="0">
        <v>2408</v>
      </c>
      <c r="W80" t="s" s="0">
        <v>466</v>
      </c>
      <c r="X80" t="s" s="0">
        <v>84</v>
      </c>
      <c r="Y80" t="s" s="0">
        <v>84</v>
      </c>
      <c r="Z80" t="s" s="0">
        <v>96</v>
      </c>
      <c r="AA80" t="s" s="0">
        <v>145</v>
      </c>
      <c r="AB80" t="s" s="0">
        <v>84</v>
      </c>
      <c r="AC80" t="s" s="0">
        <v>84</v>
      </c>
      <c r="AD80" t="s" s="0">
        <v>84</v>
      </c>
      <c r="AE80" t="s" s="0">
        <v>84</v>
      </c>
      <c r="AF80" t="s" s="0">
        <v>84</v>
      </c>
      <c r="AG80" t="s" s="0">
        <v>84</v>
      </c>
      <c r="AH80" t="s" s="0">
        <v>2409</v>
      </c>
      <c r="AI80" t="s" s="0">
        <v>2410</v>
      </c>
      <c r="AJ80" t="s" s="0">
        <v>2411</v>
      </c>
      <c r="AK80" t="s" s="0">
        <v>84</v>
      </c>
      <c r="AL80" t="s" s="0">
        <v>1788</v>
      </c>
      <c r="AM80" t="s" s="0">
        <v>2412</v>
      </c>
      <c r="AN80" t="s" s="0">
        <v>1906</v>
      </c>
      <c r="AO80" t="s" s="0">
        <v>344</v>
      </c>
      <c r="AP80" t="s" s="0">
        <v>187</v>
      </c>
      <c r="AQ80" t="s" s="0">
        <v>189</v>
      </c>
      <c r="AR80" t="s" s="0">
        <v>190</v>
      </c>
      <c r="AS80" t="s" s="0">
        <v>191</v>
      </c>
      <c r="AT80" t="s" s="0">
        <v>84</v>
      </c>
      <c r="AU80" t="s" s="0">
        <v>472</v>
      </c>
      <c r="AV80" t="s" s="0">
        <v>84</v>
      </c>
      <c r="AW80" t="s" s="0">
        <v>473</v>
      </c>
      <c r="AX80" t="s" s="0">
        <v>474</v>
      </c>
      <c r="AY80" t="s" s="0">
        <v>2413</v>
      </c>
      <c r="AZ80" t="s" s="0">
        <v>237</v>
      </c>
      <c r="BA80" t="s" s="0">
        <v>453</v>
      </c>
      <c r="BB80" t="s" s="0">
        <v>319</v>
      </c>
      <c r="BC80" t="s" s="0">
        <v>84</v>
      </c>
      <c r="BD80" t="s" s="0">
        <v>84</v>
      </c>
      <c r="BE80" t="s" s="0">
        <v>84</v>
      </c>
      <c r="BF80" t="s" s="0">
        <v>84</v>
      </c>
      <c r="BG80" t="s" s="0">
        <v>2414</v>
      </c>
      <c r="BH80" t="s" s="0">
        <v>2415</v>
      </c>
      <c r="BI80" t="s" s="0">
        <v>84</v>
      </c>
      <c r="BJ80" t="s" s="0">
        <v>2416</v>
      </c>
      <c r="BK80" t="s" s="156">
        <f>HYPERLINK("http://dx.doi.org/10.1016/S2589-7500(22)00063-2","http://dx.doi.org/10.1016/S2589-7500(22)00063-2")</f>
        <v>2417</v>
      </c>
      <c r="BL80" t="s" s="0">
        <v>84</v>
      </c>
      <c r="BM80" t="s" s="0">
        <v>2418</v>
      </c>
      <c r="BN80" t="s" s="0">
        <v>80</v>
      </c>
      <c r="BO80" t="s" s="0">
        <v>481</v>
      </c>
      <c r="BP80" t="s" s="0">
        <v>482</v>
      </c>
      <c r="BQ80" t="s" s="0">
        <v>2419</v>
      </c>
      <c r="BR80" t="s" s="0">
        <v>2420</v>
      </c>
      <c r="BS80" t="s" s="0">
        <v>2421</v>
      </c>
      <c r="BT80" t="s" s="157">
        <f>HYPERLINK("https://www.webofscience.com/wos/woscc/full-record/WOS:000832956900005","View Record in Web of Science")</f>
        <v>126</v>
      </c>
      <c r="BU80" t="s" s="0">
        <v>168</v>
      </c>
      <c r="BV80" t="s" s="0">
        <v>128</v>
      </c>
      <c r="BW80" t="s" s="0">
        <v>129</v>
      </c>
      <c r="BX80" t="s" s="0">
        <v>130</v>
      </c>
    </row>
    <row r="81">
      <c r="A81" t="s" s="0">
        <v>308</v>
      </c>
      <c r="B81" t="s" s="0">
        <v>78</v>
      </c>
      <c r="C81" t="s" s="0">
        <v>867</v>
      </c>
      <c r="D81" t="s" s="0">
        <v>453</v>
      </c>
      <c r="E81" t="s" s="0">
        <v>2422</v>
      </c>
      <c r="F81" t="s" s="0">
        <v>2423</v>
      </c>
      <c r="G81" t="s" s="0">
        <v>2424</v>
      </c>
      <c r="H81" t="s" s="0">
        <v>84</v>
      </c>
      <c r="I81" t="s" s="0">
        <v>85</v>
      </c>
      <c r="J81" t="s" s="0">
        <v>2425</v>
      </c>
      <c r="K81" t="s" s="0">
        <v>2426</v>
      </c>
      <c r="L81" t="s" s="0">
        <v>2427</v>
      </c>
      <c r="M81" t="s" s="0">
        <v>2428</v>
      </c>
      <c r="N81" t="s" s="0">
        <v>2429</v>
      </c>
      <c r="O81" t="s" s="0">
        <v>2430</v>
      </c>
      <c r="P81" t="s" s="0">
        <v>2431</v>
      </c>
      <c r="Q81" t="s" s="0">
        <v>93</v>
      </c>
      <c r="R81" t="s" s="0">
        <v>84</v>
      </c>
      <c r="S81" t="s" s="0">
        <v>84</v>
      </c>
      <c r="T81" t="s" s="0">
        <v>84</v>
      </c>
      <c r="U81" t="s" s="0">
        <v>84</v>
      </c>
      <c r="V81" t="s" s="0">
        <v>2432</v>
      </c>
      <c r="W81" t="s" s="0">
        <v>614</v>
      </c>
      <c r="X81" t="s" s="0">
        <v>84</v>
      </c>
      <c r="Y81" t="s" s="0">
        <v>84</v>
      </c>
      <c r="Z81" t="s" s="0">
        <v>96</v>
      </c>
      <c r="AA81" t="s" s="0">
        <v>145</v>
      </c>
      <c r="AB81" t="s" s="0">
        <v>84</v>
      </c>
      <c r="AC81" t="s" s="0">
        <v>84</v>
      </c>
      <c r="AD81" t="s" s="0">
        <v>84</v>
      </c>
      <c r="AE81" t="s" s="0">
        <v>84</v>
      </c>
      <c r="AF81" t="s" s="0">
        <v>84</v>
      </c>
      <c r="AG81" t="s" s="0">
        <v>84</v>
      </c>
      <c r="AH81" t="s" s="0">
        <v>2433</v>
      </c>
      <c r="AI81" t="s" s="0">
        <v>2434</v>
      </c>
      <c r="AJ81" t="s" s="0">
        <v>2435</v>
      </c>
      <c r="AK81" t="s" s="0">
        <v>84</v>
      </c>
      <c r="AL81" t="s" s="0">
        <v>417</v>
      </c>
      <c r="AM81" t="s" s="0">
        <v>2436</v>
      </c>
      <c r="AN81" t="s" s="0">
        <v>118</v>
      </c>
      <c r="AO81" t="s" s="0">
        <v>250</v>
      </c>
      <c r="AP81" t="s" s="0">
        <v>2437</v>
      </c>
      <c r="AQ81" t="s" s="0">
        <v>621</v>
      </c>
      <c r="AR81" t="s" s="0">
        <v>622</v>
      </c>
      <c r="AS81" t="s" s="0">
        <v>623</v>
      </c>
      <c r="AT81" t="s" s="0">
        <v>624</v>
      </c>
      <c r="AU81" t="s" s="0">
        <v>625</v>
      </c>
      <c r="AV81" t="s" s="0">
        <v>84</v>
      </c>
      <c r="AW81" t="s" s="0">
        <v>626</v>
      </c>
      <c r="AX81" t="s" s="0">
        <v>627</v>
      </c>
      <c r="AY81" t="s" s="0">
        <v>2438</v>
      </c>
      <c r="AZ81" t="s" s="0">
        <v>476</v>
      </c>
      <c r="BA81" t="s" s="0">
        <v>2439</v>
      </c>
      <c r="BB81" t="s" s="0">
        <v>121</v>
      </c>
      <c r="BC81" t="s" s="0">
        <v>84</v>
      </c>
      <c r="BD81" t="s" s="0">
        <v>84</v>
      </c>
      <c r="BE81" t="s" s="0">
        <v>84</v>
      </c>
      <c r="BF81" t="s" s="0">
        <v>84</v>
      </c>
      <c r="BG81" t="s" s="0">
        <v>2440</v>
      </c>
      <c r="BH81" t="s" s="0">
        <v>802</v>
      </c>
      <c r="BI81" t="s" s="0">
        <v>84</v>
      </c>
      <c r="BJ81" t="s" s="0">
        <v>2441</v>
      </c>
      <c r="BK81" t="s" s="158">
        <f>HYPERLINK("http://dx.doi.org/10.1001/jama.2020.0592","http://dx.doi.org/10.1001/jama.2020.0592")</f>
        <v>2442</v>
      </c>
      <c r="BL81" t="s" s="0">
        <v>84</v>
      </c>
      <c r="BM81" t="s" s="0">
        <v>84</v>
      </c>
      <c r="BN81" t="s" s="0">
        <v>80</v>
      </c>
      <c r="BO81" t="s" s="0">
        <v>312</v>
      </c>
      <c r="BP81" t="s" s="0">
        <v>313</v>
      </c>
      <c r="BQ81" t="s" s="0">
        <v>2443</v>
      </c>
      <c r="BR81" t="s" s="0">
        <v>2444</v>
      </c>
      <c r="BS81" t="s" s="0">
        <v>2445</v>
      </c>
      <c r="BT81" t="s" s="159">
        <f>HYPERLINK("https://www.webofscience.com/wos/woscc/full-record/WOS:000521968800017","View Record in Web of Science")</f>
        <v>126</v>
      </c>
      <c r="BU81" t="s" s="0">
        <v>2446</v>
      </c>
      <c r="BV81" t="s" s="0">
        <v>128</v>
      </c>
      <c r="BW81" t="s" s="0">
        <v>129</v>
      </c>
      <c r="BX81" t="s" s="0">
        <v>130</v>
      </c>
    </row>
    <row r="82">
      <c r="A82" t="s" s="0">
        <v>250</v>
      </c>
      <c r="B82" t="s" s="0">
        <v>78</v>
      </c>
      <c r="C82" t="s" s="0">
        <v>1438</v>
      </c>
      <c r="D82" t="s" s="0">
        <v>159</v>
      </c>
      <c r="E82" t="s" s="0">
        <v>2447</v>
      </c>
      <c r="F82" t="s" s="0">
        <v>2448</v>
      </c>
      <c r="G82" t="s" s="0">
        <v>2449</v>
      </c>
      <c r="H82" t="s" s="0">
        <v>84</v>
      </c>
      <c r="I82" t="s" s="0">
        <v>85</v>
      </c>
      <c r="J82" t="s" s="0">
        <v>2450</v>
      </c>
      <c r="K82" t="s" s="0">
        <v>2451</v>
      </c>
      <c r="L82" t="s" s="0">
        <v>2452</v>
      </c>
      <c r="M82" t="s" s="0">
        <v>2453</v>
      </c>
      <c r="N82" t="s" s="0">
        <v>2454</v>
      </c>
      <c r="O82" t="s" s="0">
        <v>2455</v>
      </c>
      <c r="P82" t="s" s="0">
        <v>2456</v>
      </c>
      <c r="Q82" t="s" s="0">
        <v>93</v>
      </c>
      <c r="R82" t="s" s="0">
        <v>84</v>
      </c>
      <c r="S82" t="s" s="0">
        <v>84</v>
      </c>
      <c r="T82" t="s" s="0">
        <v>84</v>
      </c>
      <c r="U82" t="s" s="0">
        <v>84</v>
      </c>
      <c r="V82" t="s" s="0">
        <v>2457</v>
      </c>
      <c r="W82" t="s" s="0">
        <v>825</v>
      </c>
      <c r="X82" t="s" s="0">
        <v>84</v>
      </c>
      <c r="Y82" t="s" s="0">
        <v>84</v>
      </c>
      <c r="Z82" t="s" s="0">
        <v>96</v>
      </c>
      <c r="AA82" t="s" s="0">
        <v>145</v>
      </c>
      <c r="AB82" t="s" s="0">
        <v>84</v>
      </c>
      <c r="AC82" t="s" s="0">
        <v>84</v>
      </c>
      <c r="AD82" t="s" s="0">
        <v>84</v>
      </c>
      <c r="AE82" t="s" s="0">
        <v>84</v>
      </c>
      <c r="AF82" t="s" s="0">
        <v>84</v>
      </c>
      <c r="AG82" t="s" s="0">
        <v>84</v>
      </c>
      <c r="AH82" t="s" s="0">
        <v>2458</v>
      </c>
      <c r="AI82" t="s" s="0">
        <v>84</v>
      </c>
      <c r="AJ82" t="s" s="0">
        <v>2459</v>
      </c>
      <c r="AK82" t="s" s="0">
        <v>84</v>
      </c>
      <c r="AL82" t="s" s="0">
        <v>560</v>
      </c>
      <c r="AM82" t="s" s="0">
        <v>2460</v>
      </c>
      <c r="AN82" t="s" s="0">
        <v>2461</v>
      </c>
      <c r="AO82" t="s" s="0">
        <v>338</v>
      </c>
      <c r="AP82" t="s" s="0">
        <v>2462</v>
      </c>
      <c r="AQ82" t="s" s="0">
        <v>106</v>
      </c>
      <c r="AR82" t="s" s="0">
        <v>107</v>
      </c>
      <c r="AS82" t="s" s="0">
        <v>108</v>
      </c>
      <c r="AT82" t="s" s="0">
        <v>84</v>
      </c>
      <c r="AU82" t="s" s="0">
        <v>832</v>
      </c>
      <c r="AV82" t="s" s="0">
        <v>84</v>
      </c>
      <c r="AW82" t="s" s="0">
        <v>833</v>
      </c>
      <c r="AX82" t="s" s="0">
        <v>834</v>
      </c>
      <c r="AY82" t="s" s="0">
        <v>2463</v>
      </c>
      <c r="AZ82" t="s" s="0">
        <v>197</v>
      </c>
      <c r="BA82" t="s" s="0">
        <v>250</v>
      </c>
      <c r="BB82" t="s" s="0">
        <v>344</v>
      </c>
      <c r="BC82" t="s" s="0">
        <v>84</v>
      </c>
      <c r="BD82" t="s" s="0">
        <v>84</v>
      </c>
      <c r="BE82" t="s" s="0">
        <v>84</v>
      </c>
      <c r="BF82" t="s" s="0">
        <v>84</v>
      </c>
      <c r="BG82" t="s" s="0">
        <v>2464</v>
      </c>
      <c r="BH82" t="s" s="0">
        <v>1024</v>
      </c>
      <c r="BI82" t="s" s="0">
        <v>84</v>
      </c>
      <c r="BJ82" t="s" s="0">
        <v>2465</v>
      </c>
      <c r="BK82" t="s" s="160">
        <f>HYPERLINK("http://dx.doi.org/10.1038/s42256-021-00338-7","http://dx.doi.org/10.1038/s42256-021-00338-7")</f>
        <v>2466</v>
      </c>
      <c r="BL82" t="s" s="0">
        <v>84</v>
      </c>
      <c r="BM82" t="s" s="0">
        <v>1305</v>
      </c>
      <c r="BN82" t="s" s="0">
        <v>338</v>
      </c>
      <c r="BO82" t="s" s="0">
        <v>840</v>
      </c>
      <c r="BP82" t="s" s="0">
        <v>205</v>
      </c>
      <c r="BQ82" t="s" s="0">
        <v>2467</v>
      </c>
      <c r="BR82" t="s" s="0">
        <v>84</v>
      </c>
      <c r="BS82" t="s" s="0">
        <v>2468</v>
      </c>
      <c r="BT82" t="s" s="161">
        <f>HYPERLINK("https://www.webofscience.com/wos/woscc/full-record/WOS:000658536700002","View Record in Web of Science")</f>
        <v>126</v>
      </c>
      <c r="BU82" t="s" s="0">
        <v>2102</v>
      </c>
      <c r="BV82" t="s" s="0">
        <v>128</v>
      </c>
      <c r="BW82" t="s" s="0">
        <v>129</v>
      </c>
      <c r="BX82" t="s" s="0">
        <v>130</v>
      </c>
    </row>
    <row r="83">
      <c r="A83" t="s" s="0">
        <v>857</v>
      </c>
      <c r="B83" t="s" s="0">
        <v>78</v>
      </c>
      <c r="C83" t="s" s="0">
        <v>1892</v>
      </c>
      <c r="D83" t="s" s="0">
        <v>211</v>
      </c>
      <c r="E83" t="s" s="0">
        <v>2469</v>
      </c>
      <c r="F83" t="s" s="0">
        <v>2470</v>
      </c>
      <c r="G83" t="s" s="0">
        <v>2471</v>
      </c>
      <c r="H83" t="s" s="0">
        <v>84</v>
      </c>
      <c r="I83" t="s" s="0">
        <v>283</v>
      </c>
      <c r="J83" t="s" s="0">
        <v>2472</v>
      </c>
      <c r="K83" t="s" s="0">
        <v>728</v>
      </c>
      <c r="L83" t="s" s="0">
        <v>2473</v>
      </c>
      <c r="M83" t="s" s="0">
        <v>2474</v>
      </c>
      <c r="N83" t="s" s="0">
        <v>84</v>
      </c>
      <c r="O83" t="s" s="0">
        <v>2475</v>
      </c>
      <c r="P83" t="s" s="0">
        <v>2476</v>
      </c>
      <c r="Q83" t="s" s="0">
        <v>93</v>
      </c>
      <c r="R83" t="s" s="0">
        <v>84</v>
      </c>
      <c r="S83" t="s" s="0">
        <v>84</v>
      </c>
      <c r="T83" t="s" s="0">
        <v>84</v>
      </c>
      <c r="U83" t="s" s="0">
        <v>84</v>
      </c>
      <c r="V83" t="s" s="0">
        <v>2477</v>
      </c>
      <c r="W83" t="s" s="0">
        <v>2478</v>
      </c>
      <c r="X83" t="s" s="0">
        <v>84</v>
      </c>
      <c r="Y83" t="s" s="0">
        <v>84</v>
      </c>
      <c r="Z83" t="s" s="0">
        <v>96</v>
      </c>
      <c r="AA83" t="s" s="0">
        <v>97</v>
      </c>
      <c r="AB83" t="s" s="0">
        <v>84</v>
      </c>
      <c r="AC83" t="s" s="0">
        <v>84</v>
      </c>
      <c r="AD83" t="s" s="0">
        <v>84</v>
      </c>
      <c r="AE83" t="s" s="0">
        <v>84</v>
      </c>
      <c r="AF83" t="s" s="0">
        <v>84</v>
      </c>
      <c r="AG83" t="s" s="0">
        <v>2479</v>
      </c>
      <c r="AH83" t="s" s="0">
        <v>2480</v>
      </c>
      <c r="AI83" t="s" s="0">
        <v>2481</v>
      </c>
      <c r="AJ83" t="s" s="0">
        <v>2482</v>
      </c>
      <c r="AK83" t="s" s="0">
        <v>84</v>
      </c>
      <c r="AL83" t="s" s="0">
        <v>2483</v>
      </c>
      <c r="AM83" t="s" s="0">
        <v>2484</v>
      </c>
      <c r="AN83" t="s" s="0">
        <v>2016</v>
      </c>
      <c r="AO83" t="s" s="0">
        <v>211</v>
      </c>
      <c r="AP83" t="s" s="0">
        <v>2485</v>
      </c>
      <c r="AQ83" t="s" s="0">
        <v>1274</v>
      </c>
      <c r="AR83" t="s" s="0">
        <v>1275</v>
      </c>
      <c r="AS83" t="s" s="0">
        <v>1276</v>
      </c>
      <c r="AT83" t="s" s="0">
        <v>2486</v>
      </c>
      <c r="AU83" t="s" s="0">
        <v>2487</v>
      </c>
      <c r="AV83" t="s" s="0">
        <v>84</v>
      </c>
      <c r="AW83" t="s" s="0">
        <v>2488</v>
      </c>
      <c r="AX83" t="s" s="0">
        <v>2489</v>
      </c>
      <c r="AY83" t="s" s="0">
        <v>1305</v>
      </c>
      <c r="AZ83" t="s" s="0">
        <v>197</v>
      </c>
      <c r="BA83" t="s" s="0">
        <v>827</v>
      </c>
      <c r="BB83" t="s" s="0">
        <v>84</v>
      </c>
      <c r="BC83" t="s" s="0">
        <v>84</v>
      </c>
      <c r="BD83" t="s" s="0">
        <v>84</v>
      </c>
      <c r="BE83" t="s" s="0">
        <v>84</v>
      </c>
      <c r="BF83" t="s" s="0">
        <v>84</v>
      </c>
      <c r="BG83" t="s" s="0">
        <v>84</v>
      </c>
      <c r="BH83" t="s" s="0">
        <v>84</v>
      </c>
      <c r="BI83" t="s" s="0">
        <v>2490</v>
      </c>
      <c r="BJ83" t="s" s="0">
        <v>2491</v>
      </c>
      <c r="BK83" t="s" s="162">
        <f>HYPERLINK("http://dx.doi.org/10.1016/j.preteyeres.2020.100900","http://dx.doi.org/10.1016/j.preteyeres.2020.100900")</f>
        <v>2492</v>
      </c>
      <c r="BL83" t="s" s="0">
        <v>84</v>
      </c>
      <c r="BM83" t="s" s="0">
        <v>202</v>
      </c>
      <c r="BN83" t="s" s="0">
        <v>299</v>
      </c>
      <c r="BO83" t="s" s="0">
        <v>756</v>
      </c>
      <c r="BP83" t="s" s="0">
        <v>756</v>
      </c>
      <c r="BQ83" t="s" s="0">
        <v>2493</v>
      </c>
      <c r="BR83" t="s" s="0">
        <v>2494</v>
      </c>
      <c r="BS83" t="s" s="0">
        <v>2495</v>
      </c>
      <c r="BT83" t="s" s="163">
        <f>HYPERLINK("https://www.webofscience.com/wos/woscc/full-record/WOS:000670077000003","View Record in Web of Science")</f>
        <v>126</v>
      </c>
      <c r="BU83" t="s" s="0">
        <v>127</v>
      </c>
      <c r="BV83" t="s" s="0">
        <v>128</v>
      </c>
      <c r="BW83" t="s" s="0">
        <v>129</v>
      </c>
      <c r="BX83" t="s" s="0">
        <v>130</v>
      </c>
    </row>
    <row r="84">
      <c r="A84" t="s" s="0">
        <v>275</v>
      </c>
      <c r="B84" t="s" s="0">
        <v>78</v>
      </c>
      <c r="C84" t="s" s="0">
        <v>2496</v>
      </c>
      <c r="D84" t="s" s="0">
        <v>159</v>
      </c>
      <c r="E84" t="s" s="0">
        <v>2497</v>
      </c>
      <c r="F84" t="s" s="0">
        <v>2498</v>
      </c>
      <c r="G84" t="s" s="0">
        <v>2499</v>
      </c>
      <c r="H84" t="s" s="0">
        <v>84</v>
      </c>
      <c r="I84" t="s" s="0">
        <v>283</v>
      </c>
      <c r="J84" t="s" s="0">
        <v>2500</v>
      </c>
      <c r="K84" t="s" s="0">
        <v>2501</v>
      </c>
      <c r="L84" t="s" s="0">
        <v>2502</v>
      </c>
      <c r="M84" t="s" s="0">
        <v>2503</v>
      </c>
      <c r="N84" t="s" s="0">
        <v>2504</v>
      </c>
      <c r="O84" t="s" s="0">
        <v>2505</v>
      </c>
      <c r="P84" t="s" s="0">
        <v>2506</v>
      </c>
      <c r="Q84" t="s" s="0">
        <v>93</v>
      </c>
      <c r="R84" t="s" s="0">
        <v>84</v>
      </c>
      <c r="S84" t="s" s="0">
        <v>84</v>
      </c>
      <c r="T84" t="s" s="0">
        <v>84</v>
      </c>
      <c r="U84" t="s" s="0">
        <v>84</v>
      </c>
      <c r="V84" t="s" s="0">
        <v>2507</v>
      </c>
      <c r="W84" t="s" s="0">
        <v>2508</v>
      </c>
      <c r="X84" t="s" s="0">
        <v>84</v>
      </c>
      <c r="Y84" t="s" s="0">
        <v>84</v>
      </c>
      <c r="Z84" t="s" s="0">
        <v>96</v>
      </c>
      <c r="AA84" t="s" s="0">
        <v>97</v>
      </c>
      <c r="AB84" t="s" s="0">
        <v>84</v>
      </c>
      <c r="AC84" t="s" s="0">
        <v>84</v>
      </c>
      <c r="AD84" t="s" s="0">
        <v>84</v>
      </c>
      <c r="AE84" t="s" s="0">
        <v>84</v>
      </c>
      <c r="AF84" t="s" s="0">
        <v>84</v>
      </c>
      <c r="AG84" t="s" s="0">
        <v>84</v>
      </c>
      <c r="AH84" t="s" s="0">
        <v>2509</v>
      </c>
      <c r="AI84" t="s" s="0">
        <v>2510</v>
      </c>
      <c r="AJ84" t="s" s="0">
        <v>2511</v>
      </c>
      <c r="AK84" t="s" s="0">
        <v>84</v>
      </c>
      <c r="AL84" t="s" s="0">
        <v>2267</v>
      </c>
      <c r="AM84" t="s" s="0">
        <v>2512</v>
      </c>
      <c r="AN84" t="s" s="0">
        <v>2513</v>
      </c>
      <c r="AO84" t="s" s="0">
        <v>116</v>
      </c>
      <c r="AP84" t="s" s="0">
        <v>2514</v>
      </c>
      <c r="AQ84" t="s" s="0">
        <v>621</v>
      </c>
      <c r="AR84" t="s" s="0">
        <v>622</v>
      </c>
      <c r="AS84" t="s" s="0">
        <v>623</v>
      </c>
      <c r="AT84" t="s" s="0">
        <v>2515</v>
      </c>
      <c r="AU84" t="s" s="0">
        <v>2516</v>
      </c>
      <c r="AV84" t="s" s="0">
        <v>84</v>
      </c>
      <c r="AW84" t="s" s="0">
        <v>2517</v>
      </c>
      <c r="AX84" t="s" s="0">
        <v>2518</v>
      </c>
      <c r="AY84" t="s" s="0">
        <v>2017</v>
      </c>
      <c r="AZ84" t="s" s="0">
        <v>476</v>
      </c>
      <c r="BA84" t="s" s="0">
        <v>620</v>
      </c>
      <c r="BB84" t="s" s="0">
        <v>170</v>
      </c>
      <c r="BC84" t="s" s="0">
        <v>84</v>
      </c>
      <c r="BD84" t="s" s="0">
        <v>84</v>
      </c>
      <c r="BE84" t="s" s="0">
        <v>84</v>
      </c>
      <c r="BF84" t="s" s="0">
        <v>84</v>
      </c>
      <c r="BG84" t="s" s="0">
        <v>77</v>
      </c>
      <c r="BH84" t="s" s="0">
        <v>1961</v>
      </c>
      <c r="BI84" t="s" s="0">
        <v>84</v>
      </c>
      <c r="BJ84" t="s" s="0">
        <v>2519</v>
      </c>
      <c r="BK84" t="s" s="164">
        <f>HYPERLINK("http://dx.doi.org/10.1001/jamasurg.2019.4917","http://dx.doi.org/10.1001/jamasurg.2019.4917")</f>
        <v>2520</v>
      </c>
      <c r="BL84" t="s" s="0">
        <v>84</v>
      </c>
      <c r="BM84" t="s" s="0">
        <v>84</v>
      </c>
      <c r="BN84" t="s" s="0">
        <v>121</v>
      </c>
      <c r="BO84" t="s" s="0">
        <v>2521</v>
      </c>
      <c r="BP84" t="s" s="0">
        <v>2521</v>
      </c>
      <c r="BQ84" t="s" s="0">
        <v>2522</v>
      </c>
      <c r="BR84" t="s" s="0">
        <v>2523</v>
      </c>
      <c r="BS84" t="s" s="0">
        <v>2524</v>
      </c>
      <c r="BT84" t="s" s="165">
        <f>HYPERLINK("https://www.webofscience.com/wos/woscc/full-record/WOS:000517986100010","View Record in Web of Science")</f>
        <v>126</v>
      </c>
      <c r="BU84" t="s" s="0">
        <v>127</v>
      </c>
      <c r="BV84" t="s" s="0">
        <v>128</v>
      </c>
      <c r="BW84" t="s" s="0">
        <v>129</v>
      </c>
      <c r="BX84" t="s" s="0">
        <v>130</v>
      </c>
    </row>
    <row r="85">
      <c r="A85" t="s" s="0">
        <v>344</v>
      </c>
      <c r="B85" t="s" s="0">
        <v>78</v>
      </c>
      <c r="C85" t="s" s="0">
        <v>677</v>
      </c>
      <c r="D85" t="s" s="0">
        <v>250</v>
      </c>
      <c r="E85" t="s" s="0">
        <v>2525</v>
      </c>
      <c r="F85" t="s" s="0">
        <v>2526</v>
      </c>
      <c r="G85" t="s" s="0">
        <v>2527</v>
      </c>
      <c r="H85" t="s" s="0">
        <v>84</v>
      </c>
      <c r="I85" t="s" s="0">
        <v>85</v>
      </c>
      <c r="J85" t="s" s="0">
        <v>2528</v>
      </c>
      <c r="K85" t="s" s="0">
        <v>2529</v>
      </c>
      <c r="L85" t="s" s="0">
        <v>2530</v>
      </c>
      <c r="M85" t="s" s="0">
        <v>2531</v>
      </c>
      <c r="N85" t="s" s="0">
        <v>2532</v>
      </c>
      <c r="O85" t="s" s="0">
        <v>2533</v>
      </c>
      <c r="P85" t="s" s="0">
        <v>2534</v>
      </c>
      <c r="Q85" t="s" s="0">
        <v>93</v>
      </c>
      <c r="R85" t="s" s="0">
        <v>84</v>
      </c>
      <c r="S85" t="s" s="0">
        <v>2535</v>
      </c>
      <c r="T85" t="s" s="0">
        <v>84</v>
      </c>
      <c r="U85" t="s" s="0">
        <v>84</v>
      </c>
      <c r="V85" t="s" s="0">
        <v>2536</v>
      </c>
      <c r="W85" t="s" s="0">
        <v>921</v>
      </c>
      <c r="X85" t="s" s="0">
        <v>84</v>
      </c>
      <c r="Y85" t="s" s="0">
        <v>84</v>
      </c>
      <c r="Z85" t="s" s="0">
        <v>96</v>
      </c>
      <c r="AA85" t="s" s="0">
        <v>145</v>
      </c>
      <c r="AB85" t="s" s="0">
        <v>84</v>
      </c>
      <c r="AC85" t="s" s="0">
        <v>84</v>
      </c>
      <c r="AD85" t="s" s="0">
        <v>84</v>
      </c>
      <c r="AE85" t="s" s="0">
        <v>84</v>
      </c>
      <c r="AF85" t="s" s="0">
        <v>84</v>
      </c>
      <c r="AG85" t="s" s="0">
        <v>84</v>
      </c>
      <c r="AH85" t="s" s="0">
        <v>2537</v>
      </c>
      <c r="AI85" t="s" s="0">
        <v>2538</v>
      </c>
      <c r="AJ85" t="s" s="0">
        <v>2539</v>
      </c>
      <c r="AK85" t="s" s="0">
        <v>84</v>
      </c>
      <c r="AL85" t="s" s="0">
        <v>1064</v>
      </c>
      <c r="AM85" t="s" s="0">
        <v>2540</v>
      </c>
      <c r="AN85" t="s" s="0">
        <v>2541</v>
      </c>
      <c r="AO85" t="s" s="0">
        <v>279</v>
      </c>
      <c r="AP85" t="s" s="0">
        <v>2542</v>
      </c>
      <c r="AQ85" t="s" s="0">
        <v>744</v>
      </c>
      <c r="AR85" t="s" s="0">
        <v>301</v>
      </c>
      <c r="AS85" t="s" s="0">
        <v>745</v>
      </c>
      <c r="AT85" t="s" s="0">
        <v>929</v>
      </c>
      <c r="AU85" t="s" s="0">
        <v>930</v>
      </c>
      <c r="AV85" t="s" s="0">
        <v>84</v>
      </c>
      <c r="AW85" t="s" s="0">
        <v>931</v>
      </c>
      <c r="AX85" t="s" s="0">
        <v>932</v>
      </c>
      <c r="AY85" t="s" s="0">
        <v>2543</v>
      </c>
      <c r="AZ85" t="s" s="0">
        <v>1494</v>
      </c>
      <c r="BA85" t="s" s="0">
        <v>2544</v>
      </c>
      <c r="BB85" t="s" s="0">
        <v>84</v>
      </c>
      <c r="BC85" t="s" s="0">
        <v>84</v>
      </c>
      <c r="BD85" t="s" s="0">
        <v>84</v>
      </c>
      <c r="BE85" t="s" s="0">
        <v>84</v>
      </c>
      <c r="BF85" t="s" s="0">
        <v>84</v>
      </c>
      <c r="BG85" t="s" s="0">
        <v>84</v>
      </c>
      <c r="BH85" t="s" s="0">
        <v>84</v>
      </c>
      <c r="BI85" t="s" s="0">
        <v>2545</v>
      </c>
      <c r="BJ85" t="s" s="0">
        <v>2546</v>
      </c>
      <c r="BK85" t="s" s="166">
        <f>HYPERLINK("http://dx.doi.org/10.1136/bmj-2024-081554","http://dx.doi.org/10.1136/bmj-2024-081554")</f>
        <v>2547</v>
      </c>
      <c r="BL85" t="s" s="0">
        <v>84</v>
      </c>
      <c r="BM85" t="s" s="0">
        <v>84</v>
      </c>
      <c r="BN85" t="s" s="0">
        <v>857</v>
      </c>
      <c r="BO85" t="s" s="0">
        <v>312</v>
      </c>
      <c r="BP85" t="s" s="0">
        <v>313</v>
      </c>
      <c r="BQ85" t="s" s="0">
        <v>2548</v>
      </c>
      <c r="BR85" t="s" s="0">
        <v>2549</v>
      </c>
      <c r="BS85" t="s" s="0">
        <v>2550</v>
      </c>
      <c r="BT85" t="s" s="167">
        <f>HYPERLINK("https://www.webofscience.com/wos/woscc/full-record/WOS:001427239400009","View Record in Web of Science")</f>
        <v>126</v>
      </c>
      <c r="BU85" t="s" s="0">
        <v>2551</v>
      </c>
      <c r="BV85" t="s" s="0">
        <v>129</v>
      </c>
      <c r="BW85" t="s" s="0">
        <v>129</v>
      </c>
      <c r="BX85" t="s" s="0">
        <v>130</v>
      </c>
    </row>
    <row r="86">
      <c r="A86" t="s" s="0">
        <v>78</v>
      </c>
      <c r="B86" t="s" s="0">
        <v>78</v>
      </c>
      <c r="C86" t="s" s="0">
        <v>417</v>
      </c>
      <c r="D86" t="s" s="0">
        <v>78</v>
      </c>
      <c r="E86" t="s" s="0">
        <v>2552</v>
      </c>
      <c r="F86" t="s" s="0">
        <v>2553</v>
      </c>
      <c r="G86" t="s" s="0">
        <v>2554</v>
      </c>
      <c r="H86" t="s" s="0">
        <v>84</v>
      </c>
      <c r="I86" t="s" s="0">
        <v>2555</v>
      </c>
      <c r="J86" t="s" s="0">
        <v>2556</v>
      </c>
      <c r="K86" t="s" s="0">
        <v>2557</v>
      </c>
      <c r="L86" t="s" s="0">
        <v>2558</v>
      </c>
      <c r="M86" t="s" s="0">
        <v>2559</v>
      </c>
      <c r="N86" t="s" s="0">
        <v>2560</v>
      </c>
      <c r="O86" t="s" s="0">
        <v>2561</v>
      </c>
      <c r="P86" t="s" s="0">
        <v>2562</v>
      </c>
      <c r="Q86" t="s" s="0">
        <v>1208</v>
      </c>
      <c r="R86" t="s" s="0">
        <v>84</v>
      </c>
      <c r="S86" t="s" s="0">
        <v>84</v>
      </c>
      <c r="T86" t="s" s="0">
        <v>84</v>
      </c>
      <c r="U86" t="s" s="0">
        <v>2563</v>
      </c>
      <c r="V86" t="s" s="0">
        <v>2564</v>
      </c>
      <c r="W86" t="s" s="0">
        <v>2565</v>
      </c>
      <c r="X86" t="s" s="0">
        <v>2566</v>
      </c>
      <c r="Y86" t="s" s="0">
        <v>84</v>
      </c>
      <c r="Z86" t="s" s="0">
        <v>96</v>
      </c>
      <c r="AA86" t="s" s="0">
        <v>1212</v>
      </c>
      <c r="AB86" t="s" s="0">
        <v>2567</v>
      </c>
      <c r="AC86" t="s" s="0">
        <v>2568</v>
      </c>
      <c r="AD86" t="s" s="0">
        <v>2569</v>
      </c>
      <c r="AE86" t="s" s="0">
        <v>84</v>
      </c>
      <c r="AF86" t="s" s="0">
        <v>84</v>
      </c>
      <c r="AG86" t="s" s="0">
        <v>84</v>
      </c>
      <c r="AH86" t="s" s="0">
        <v>84</v>
      </c>
      <c r="AI86" t="s" s="0">
        <v>2570</v>
      </c>
      <c r="AJ86" t="s" s="0">
        <v>2571</v>
      </c>
      <c r="AK86" t="s" s="0">
        <v>84</v>
      </c>
      <c r="AL86" t="s" s="0">
        <v>1256</v>
      </c>
      <c r="AM86" t="s" s="0">
        <v>2572</v>
      </c>
      <c r="AN86" t="s" s="0">
        <v>2573</v>
      </c>
      <c r="AO86" t="s" s="0">
        <v>78</v>
      </c>
      <c r="AP86" t="s" s="0">
        <v>159</v>
      </c>
      <c r="AQ86" t="s" s="0">
        <v>2574</v>
      </c>
      <c r="AR86" t="s" s="0">
        <v>2575</v>
      </c>
      <c r="AS86" t="s" s="0">
        <v>2576</v>
      </c>
      <c r="AT86" t="s" s="0">
        <v>2577</v>
      </c>
      <c r="AU86" t="s" s="0">
        <v>84</v>
      </c>
      <c r="AV86" t="s" s="0">
        <v>84</v>
      </c>
      <c r="AW86" t="s" s="0">
        <v>2578</v>
      </c>
      <c r="AX86" t="s" s="0">
        <v>84</v>
      </c>
      <c r="AY86" t="s" s="0">
        <v>307</v>
      </c>
      <c r="AZ86" t="s" s="0">
        <v>307</v>
      </c>
      <c r="BA86" t="s" s="0">
        <v>299</v>
      </c>
      <c r="BB86" t="s" s="0">
        <v>84</v>
      </c>
      <c r="BC86" t="s" s="0">
        <v>84</v>
      </c>
      <c r="BD86" t="s" s="0">
        <v>84</v>
      </c>
      <c r="BE86" t="s" s="0">
        <v>84</v>
      </c>
      <c r="BF86" t="s" s="0">
        <v>84</v>
      </c>
      <c r="BG86" t="s" s="0">
        <v>84</v>
      </c>
      <c r="BH86" t="s" s="0">
        <v>84</v>
      </c>
      <c r="BI86" t="s" s="0">
        <v>84</v>
      </c>
      <c r="BJ86" t="s" s="0">
        <v>84</v>
      </c>
      <c r="BK86" t="s" s="0">
        <v>84</v>
      </c>
      <c r="BL86" t="s" s="0">
        <v>84</v>
      </c>
      <c r="BM86" t="s" s="0">
        <v>84</v>
      </c>
      <c r="BN86" t="s" s="0">
        <v>275</v>
      </c>
      <c r="BO86" t="s" s="0">
        <v>2579</v>
      </c>
      <c r="BP86" t="s" s="0">
        <v>205</v>
      </c>
      <c r="BQ86" t="s" s="0">
        <v>2580</v>
      </c>
      <c r="BR86" t="s" s="0">
        <v>84</v>
      </c>
      <c r="BS86" t="s" s="0">
        <v>2581</v>
      </c>
      <c r="BT86" t="s" s="168">
        <f>HYPERLINK("https://www.webofscience.com/wos/woscc/full-record/WOS:000534424306045","View Record in Web of Science")</f>
        <v>126</v>
      </c>
      <c r="BU86" t="s" s="0">
        <v>84</v>
      </c>
      <c r="BV86" t="s" s="0">
        <v>84</v>
      </c>
      <c r="BW86" t="s" s="0">
        <v>84</v>
      </c>
      <c r="BX86" t="s" s="0">
        <v>130</v>
      </c>
    </row>
    <row r="87">
      <c r="A87" t="s" s="0">
        <v>121</v>
      </c>
      <c r="B87" t="s" s="0">
        <v>78</v>
      </c>
      <c r="C87" t="s" s="0">
        <v>1451</v>
      </c>
      <c r="D87" t="s" s="0">
        <v>159</v>
      </c>
      <c r="E87" t="s" s="0">
        <v>2582</v>
      </c>
      <c r="F87" t="s" s="0">
        <v>2583</v>
      </c>
      <c r="G87" t="s" s="0">
        <v>2584</v>
      </c>
      <c r="H87" t="s" s="0">
        <v>84</v>
      </c>
      <c r="I87" t="s" s="0">
        <v>85</v>
      </c>
      <c r="J87" t="s" s="0">
        <v>2585</v>
      </c>
      <c r="K87" t="s" s="0">
        <v>2586</v>
      </c>
      <c r="L87" t="s" s="0">
        <v>84</v>
      </c>
      <c r="M87" t="s" s="0">
        <v>84</v>
      </c>
      <c r="N87" t="s" s="0">
        <v>84</v>
      </c>
      <c r="O87" t="s" s="0">
        <v>2587</v>
      </c>
      <c r="P87" t="s" s="0">
        <v>84</v>
      </c>
      <c r="Q87" t="s" s="0">
        <v>93</v>
      </c>
      <c r="R87" t="s" s="0">
        <v>84</v>
      </c>
      <c r="S87" t="s" s="0">
        <v>84</v>
      </c>
      <c r="T87" t="s" s="0">
        <v>84</v>
      </c>
      <c r="U87" t="s" s="0">
        <v>84</v>
      </c>
      <c r="V87" t="s" s="0">
        <v>2588</v>
      </c>
      <c r="W87" t="s" s="0">
        <v>2589</v>
      </c>
      <c r="X87" t="s" s="0">
        <v>84</v>
      </c>
      <c r="Y87" t="s" s="0">
        <v>84</v>
      </c>
      <c r="Z87" t="s" s="0">
        <v>96</v>
      </c>
      <c r="AA87" t="s" s="0">
        <v>97</v>
      </c>
      <c r="AB87" t="s" s="0">
        <v>84</v>
      </c>
      <c r="AC87" t="s" s="0">
        <v>84</v>
      </c>
      <c r="AD87" t="s" s="0">
        <v>84</v>
      </c>
      <c r="AE87" t="s" s="0">
        <v>84</v>
      </c>
      <c r="AF87" t="s" s="0">
        <v>84</v>
      </c>
      <c r="AG87" t="s" s="0">
        <v>2590</v>
      </c>
      <c r="AH87" t="s" s="0">
        <v>2591</v>
      </c>
      <c r="AI87" t="s" s="0">
        <v>2592</v>
      </c>
      <c r="AJ87" t="s" s="0">
        <v>2593</v>
      </c>
      <c r="AK87" t="s" s="0">
        <v>84</v>
      </c>
      <c r="AL87" t="s" s="0">
        <v>349</v>
      </c>
      <c r="AM87" t="s" s="0">
        <v>2594</v>
      </c>
      <c r="AN87" t="s" s="0">
        <v>2595</v>
      </c>
      <c r="AO87" t="s" s="0">
        <v>116</v>
      </c>
      <c r="AP87" t="s" s="0">
        <v>2596</v>
      </c>
      <c r="AQ87" t="s" s="0">
        <v>961</v>
      </c>
      <c r="AR87" t="s" s="0">
        <v>682</v>
      </c>
      <c r="AS87" t="s" s="0">
        <v>962</v>
      </c>
      <c r="AT87" t="s" s="0">
        <v>2597</v>
      </c>
      <c r="AU87" t="s" s="0">
        <v>2598</v>
      </c>
      <c r="AV87" t="s" s="0">
        <v>84</v>
      </c>
      <c r="AW87" t="s" s="0">
        <v>2599</v>
      </c>
      <c r="AX87" t="s" s="0">
        <v>2600</v>
      </c>
      <c r="AY87" t="s" s="0">
        <v>2601</v>
      </c>
      <c r="AZ87" t="s" s="0">
        <v>237</v>
      </c>
      <c r="BA87" t="s" s="0">
        <v>121</v>
      </c>
      <c r="BB87" t="s" s="0">
        <v>159</v>
      </c>
      <c r="BC87" t="s" s="0">
        <v>84</v>
      </c>
      <c r="BD87" t="s" s="0">
        <v>84</v>
      </c>
      <c r="BE87" t="s" s="0">
        <v>84</v>
      </c>
      <c r="BF87" t="s" s="0">
        <v>84</v>
      </c>
      <c r="BG87" t="s" s="0">
        <v>436</v>
      </c>
      <c r="BH87" t="s" s="0">
        <v>240</v>
      </c>
      <c r="BI87" t="s" s="0">
        <v>84</v>
      </c>
      <c r="BJ87" t="s" s="0">
        <v>2602</v>
      </c>
      <c r="BK87" t="s" s="169">
        <f>HYPERLINK("http://dx.doi.org/10.1007/s13735-021-00218-1","http://dx.doi.org/10.1007/s13735-021-00218-1")</f>
        <v>2603</v>
      </c>
      <c r="BL87" t="s" s="0">
        <v>84</v>
      </c>
      <c r="BM87" t="s" s="0">
        <v>997</v>
      </c>
      <c r="BN87" t="s" s="0">
        <v>248</v>
      </c>
      <c r="BO87" t="s" s="0">
        <v>2604</v>
      </c>
      <c r="BP87" t="s" s="0">
        <v>205</v>
      </c>
      <c r="BQ87" t="s" s="0">
        <v>2605</v>
      </c>
      <c r="BR87" t="s" s="0">
        <v>2606</v>
      </c>
      <c r="BS87" t="s" s="0">
        <v>2607</v>
      </c>
      <c r="BT87" t="s" s="170">
        <f>HYPERLINK("https://www.webofscience.com/wos/woscc/full-record/WOS:000692438200001","View Record in Web of Science")</f>
        <v>126</v>
      </c>
      <c r="BU87" t="s" s="0">
        <v>637</v>
      </c>
      <c r="BV87" t="s" s="0">
        <v>128</v>
      </c>
      <c r="BW87" t="s" s="0">
        <v>129</v>
      </c>
      <c r="BX87" t="s" s="0">
        <v>130</v>
      </c>
    </row>
    <row r="88">
      <c r="A88" t="s" s="0">
        <v>417</v>
      </c>
      <c r="B88" t="s" s="0">
        <v>78</v>
      </c>
      <c r="C88" t="s" s="0">
        <v>1438</v>
      </c>
      <c r="D88" t="s" s="0">
        <v>250</v>
      </c>
      <c r="E88" t="s" s="0">
        <v>2608</v>
      </c>
      <c r="F88" t="s" s="0">
        <v>2609</v>
      </c>
      <c r="G88" t="s" s="0">
        <v>2610</v>
      </c>
      <c r="H88" t="s" s="0">
        <v>84</v>
      </c>
      <c r="I88" t="s" s="0">
        <v>85</v>
      </c>
      <c r="J88" t="s" s="0">
        <v>2611</v>
      </c>
      <c r="K88" t="s" s="0">
        <v>2612</v>
      </c>
      <c r="L88" t="s" s="0">
        <v>2613</v>
      </c>
      <c r="M88" t="s" s="0">
        <v>2614</v>
      </c>
      <c r="N88" t="s" s="0">
        <v>2615</v>
      </c>
      <c r="O88" t="s" s="0">
        <v>2616</v>
      </c>
      <c r="P88" t="s" s="0">
        <v>2617</v>
      </c>
      <c r="Q88" t="s" s="0">
        <v>93</v>
      </c>
      <c r="R88" t="s" s="0">
        <v>84</v>
      </c>
      <c r="S88" t="s" s="0">
        <v>84</v>
      </c>
      <c r="T88" t="s" s="0">
        <v>84</v>
      </c>
      <c r="U88" t="s" s="0">
        <v>84</v>
      </c>
      <c r="V88" t="s" s="0">
        <v>2618</v>
      </c>
      <c r="W88" t="s" s="0">
        <v>769</v>
      </c>
      <c r="X88" t="s" s="0">
        <v>84</v>
      </c>
      <c r="Y88" t="s" s="0">
        <v>84</v>
      </c>
      <c r="Z88" t="s" s="0">
        <v>96</v>
      </c>
      <c r="AA88" t="s" s="0">
        <v>145</v>
      </c>
      <c r="AB88" t="s" s="0">
        <v>84</v>
      </c>
      <c r="AC88" t="s" s="0">
        <v>84</v>
      </c>
      <c r="AD88" t="s" s="0">
        <v>84</v>
      </c>
      <c r="AE88" t="s" s="0">
        <v>84</v>
      </c>
      <c r="AF88" t="s" s="0">
        <v>84</v>
      </c>
      <c r="AG88" t="s" s="0">
        <v>84</v>
      </c>
      <c r="AH88" t="s" s="0">
        <v>84</v>
      </c>
      <c r="AI88" t="s" s="0">
        <v>2619</v>
      </c>
      <c r="AJ88" t="s" s="0">
        <v>2620</v>
      </c>
      <c r="AK88" t="s" s="0">
        <v>84</v>
      </c>
      <c r="AL88" t="s" s="0">
        <v>308</v>
      </c>
      <c r="AM88" t="s" s="0">
        <v>2594</v>
      </c>
      <c r="AN88" t="s" s="0">
        <v>1960</v>
      </c>
      <c r="AO88" t="s" s="0">
        <v>159</v>
      </c>
      <c r="AP88" t="s" s="0">
        <v>2621</v>
      </c>
      <c r="AQ88" t="s" s="0">
        <v>106</v>
      </c>
      <c r="AR88" t="s" s="0">
        <v>107</v>
      </c>
      <c r="AS88" t="s" s="0">
        <v>108</v>
      </c>
      <c r="AT88" t="s" s="0">
        <v>776</v>
      </c>
      <c r="AU88" t="s" s="0">
        <v>84</v>
      </c>
      <c r="AV88" t="s" s="0">
        <v>84</v>
      </c>
      <c r="AW88" t="s" s="0">
        <v>777</v>
      </c>
      <c r="AX88" t="s" s="0">
        <v>778</v>
      </c>
      <c r="AY88" t="s" s="0">
        <v>2622</v>
      </c>
      <c r="AZ88" t="s" s="0">
        <v>114</v>
      </c>
      <c r="BA88" t="s" s="0">
        <v>159</v>
      </c>
      <c r="BB88" t="s" s="0">
        <v>84</v>
      </c>
      <c r="BC88" t="s" s="0">
        <v>84</v>
      </c>
      <c r="BD88" t="s" s="0">
        <v>84</v>
      </c>
      <c r="BE88" t="s" s="0">
        <v>84</v>
      </c>
      <c r="BF88" t="s" s="0">
        <v>84</v>
      </c>
      <c r="BG88" t="s" s="0">
        <v>84</v>
      </c>
      <c r="BH88" t="s" s="0">
        <v>84</v>
      </c>
      <c r="BI88" t="s" s="0">
        <v>319</v>
      </c>
      <c r="BJ88" t="s" s="0">
        <v>2623</v>
      </c>
      <c r="BK88" t="s" s="171">
        <f>HYPERLINK("http://dx.doi.org/10.1038/s41746-017-0013-1","http://dx.doi.org/10.1038/s41746-017-0013-1")</f>
        <v>2624</v>
      </c>
      <c r="BL88" t="s" s="0">
        <v>84</v>
      </c>
      <c r="BM88" t="s" s="0">
        <v>84</v>
      </c>
      <c r="BN88" t="s" s="0">
        <v>116</v>
      </c>
      <c r="BO88" t="s" s="0">
        <v>782</v>
      </c>
      <c r="BP88" t="s" s="0">
        <v>782</v>
      </c>
      <c r="BQ88" t="s" s="0">
        <v>2625</v>
      </c>
      <c r="BR88" t="s" s="0">
        <v>2626</v>
      </c>
      <c r="BS88" t="s" s="0">
        <v>2627</v>
      </c>
      <c r="BT88" t="s" s="172">
        <f>HYPERLINK("https://www.webofscience.com/wos/woscc/full-record/WOS:000444173300001","View Record in Web of Science")</f>
        <v>126</v>
      </c>
      <c r="BU88" t="s" s="0">
        <v>168</v>
      </c>
      <c r="BV88" t="s" s="0">
        <v>128</v>
      </c>
      <c r="BW88" t="s" s="0">
        <v>129</v>
      </c>
      <c r="BX88" t="s" s="0">
        <v>130</v>
      </c>
    </row>
    <row r="89">
      <c r="A89" t="s" s="0">
        <v>170</v>
      </c>
      <c r="B89" t="s" s="0">
        <v>78</v>
      </c>
      <c r="C89" t="s" s="0">
        <v>1125</v>
      </c>
      <c r="D89" t="s" s="0">
        <v>78</v>
      </c>
      <c r="E89" t="s" s="0">
        <v>2628</v>
      </c>
      <c r="F89" t="s" s="0">
        <v>2629</v>
      </c>
      <c r="G89" t="s" s="0">
        <v>2630</v>
      </c>
      <c r="H89" t="s" s="0">
        <v>84</v>
      </c>
      <c r="I89" t="s" s="0">
        <v>283</v>
      </c>
      <c r="J89" t="s" s="0">
        <v>2631</v>
      </c>
      <c r="K89" t="s" s="0">
        <v>2632</v>
      </c>
      <c r="L89" t="s" s="0">
        <v>2633</v>
      </c>
      <c r="M89" t="s" s="0">
        <v>2634</v>
      </c>
      <c r="N89" t="s" s="0">
        <v>2635</v>
      </c>
      <c r="O89" t="s" s="0">
        <v>2636</v>
      </c>
      <c r="P89" t="s" s="0">
        <v>2637</v>
      </c>
      <c r="Q89" t="s" s="0">
        <v>93</v>
      </c>
      <c r="R89" t="s" s="0">
        <v>84</v>
      </c>
      <c r="S89" t="s" s="0">
        <v>2638</v>
      </c>
      <c r="T89" t="s" s="0">
        <v>84</v>
      </c>
      <c r="U89" t="s" s="0">
        <v>84</v>
      </c>
      <c r="V89" t="s" s="0">
        <v>2639</v>
      </c>
      <c r="W89" t="s" s="0">
        <v>2640</v>
      </c>
      <c r="X89" t="s" s="0">
        <v>84</v>
      </c>
      <c r="Y89" t="s" s="0">
        <v>84</v>
      </c>
      <c r="Z89" t="s" s="0">
        <v>96</v>
      </c>
      <c r="AA89" t="s" s="0">
        <v>145</v>
      </c>
      <c r="AB89" t="s" s="0">
        <v>84</v>
      </c>
      <c r="AC89" t="s" s="0">
        <v>84</v>
      </c>
      <c r="AD89" t="s" s="0">
        <v>84</v>
      </c>
      <c r="AE89" t="s" s="0">
        <v>84</v>
      </c>
      <c r="AF89" t="s" s="0">
        <v>84</v>
      </c>
      <c r="AG89" t="s" s="0">
        <v>2641</v>
      </c>
      <c r="AH89" t="s" s="0">
        <v>2642</v>
      </c>
      <c r="AI89" t="s" s="0">
        <v>2643</v>
      </c>
      <c r="AJ89" t="s" s="0">
        <v>2644</v>
      </c>
      <c r="AK89" t="s" s="0">
        <v>84</v>
      </c>
      <c r="AL89" t="s" s="0">
        <v>2645</v>
      </c>
      <c r="AM89" t="s" s="0">
        <v>2646</v>
      </c>
      <c r="AN89" t="s" s="0">
        <v>2647</v>
      </c>
      <c r="AO89" t="s" s="0">
        <v>250</v>
      </c>
      <c r="AP89" t="s" s="0">
        <v>349</v>
      </c>
      <c r="AQ89" t="s" s="0">
        <v>2648</v>
      </c>
      <c r="AR89" t="s" s="0">
        <v>1275</v>
      </c>
      <c r="AS89" t="s" s="0">
        <v>2649</v>
      </c>
      <c r="AT89" t="s" s="0">
        <v>2650</v>
      </c>
      <c r="AU89" t="s" s="0">
        <v>2651</v>
      </c>
      <c r="AV89" t="s" s="0">
        <v>84</v>
      </c>
      <c r="AW89" t="s" s="0">
        <v>2652</v>
      </c>
      <c r="AX89" t="s" s="0">
        <v>2653</v>
      </c>
      <c r="AY89" t="s" s="0">
        <v>1057</v>
      </c>
      <c r="AZ89" t="s" s="0">
        <v>197</v>
      </c>
      <c r="BA89" t="s" s="0">
        <v>238</v>
      </c>
      <c r="BB89" t="s" s="0">
        <v>250</v>
      </c>
      <c r="BC89" t="s" s="0">
        <v>84</v>
      </c>
      <c r="BD89" t="s" s="0">
        <v>84</v>
      </c>
      <c r="BE89" t="s" s="0">
        <v>84</v>
      </c>
      <c r="BF89" t="s" s="0">
        <v>84</v>
      </c>
      <c r="BG89" t="s" s="0">
        <v>2654</v>
      </c>
      <c r="BH89" t="s" s="0">
        <v>2655</v>
      </c>
      <c r="BI89" t="s" s="0">
        <v>84</v>
      </c>
      <c r="BJ89" t="s" s="0">
        <v>2656</v>
      </c>
      <c r="BK89" t="s" s="173">
        <f>HYPERLINK("http://dx.doi.org/10.1093/jamia/ocaa196","http://dx.doi.org/10.1093/jamia/ocaa196")</f>
        <v>2657</v>
      </c>
      <c r="BL89" t="s" s="0">
        <v>84</v>
      </c>
      <c r="BM89" t="s" s="0">
        <v>84</v>
      </c>
      <c r="BN89" t="s" s="0">
        <v>308</v>
      </c>
      <c r="BO89" t="s" s="0">
        <v>2658</v>
      </c>
      <c r="BP89" t="s" s="0">
        <v>2659</v>
      </c>
      <c r="BQ89" t="s" s="0">
        <v>2660</v>
      </c>
      <c r="BR89" t="s" s="0">
        <v>2661</v>
      </c>
      <c r="BS89" t="s" s="0">
        <v>2662</v>
      </c>
      <c r="BT89" t="s" s="174">
        <f>HYPERLINK("https://www.webofscience.com/wos/woscc/full-record/WOS:000637314400002","View Record in Web of Science")</f>
        <v>126</v>
      </c>
      <c r="BU89" t="s" s="0">
        <v>208</v>
      </c>
      <c r="BV89" t="s" s="0">
        <v>128</v>
      </c>
      <c r="BW89" t="s" s="0">
        <v>129</v>
      </c>
      <c r="BX89" t="s" s="0">
        <v>130</v>
      </c>
    </row>
    <row r="90">
      <c r="A90" t="s" s="0">
        <v>723</v>
      </c>
      <c r="B90" t="s" s="0">
        <v>78</v>
      </c>
      <c r="C90" t="s" s="0">
        <v>2663</v>
      </c>
      <c r="D90" t="s" s="0">
        <v>78</v>
      </c>
      <c r="E90" t="s" s="0">
        <v>2664</v>
      </c>
      <c r="F90" t="s" s="0">
        <v>2665</v>
      </c>
      <c r="G90" t="s" s="0">
        <v>2666</v>
      </c>
      <c r="H90" t="s" s="0">
        <v>84</v>
      </c>
      <c r="I90" t="s" s="0">
        <v>85</v>
      </c>
      <c r="J90" t="s" s="0">
        <v>2667</v>
      </c>
      <c r="K90" t="s" s="0">
        <v>2668</v>
      </c>
      <c r="L90" t="s" s="0">
        <v>2669</v>
      </c>
      <c r="M90" t="s" s="0">
        <v>2670</v>
      </c>
      <c r="N90" t="s" s="0">
        <v>2671</v>
      </c>
      <c r="O90" t="s" s="0">
        <v>2672</v>
      </c>
      <c r="P90" t="s" s="0">
        <v>2673</v>
      </c>
      <c r="Q90" t="s" s="0">
        <v>93</v>
      </c>
      <c r="R90" t="s" s="0">
        <v>84</v>
      </c>
      <c r="S90" t="s" s="0">
        <v>84</v>
      </c>
      <c r="T90" t="s" s="0">
        <v>84</v>
      </c>
      <c r="U90" t="s" s="0">
        <v>84</v>
      </c>
      <c r="V90" t="s" s="0">
        <v>2674</v>
      </c>
      <c r="W90" t="s" s="0">
        <v>1077</v>
      </c>
      <c r="X90" t="s" s="0">
        <v>84</v>
      </c>
      <c r="Y90" t="s" s="0">
        <v>84</v>
      </c>
      <c r="Z90" t="s" s="0">
        <v>96</v>
      </c>
      <c r="AA90" t="s" s="0">
        <v>2675</v>
      </c>
      <c r="AB90" t="s" s="0">
        <v>84</v>
      </c>
      <c r="AC90" t="s" s="0">
        <v>84</v>
      </c>
      <c r="AD90" t="s" s="0">
        <v>84</v>
      </c>
      <c r="AE90" t="s" s="0">
        <v>84</v>
      </c>
      <c r="AF90" t="s" s="0">
        <v>84</v>
      </c>
      <c r="AG90" t="s" s="0">
        <v>84</v>
      </c>
      <c r="AH90" t="s" s="0">
        <v>675</v>
      </c>
      <c r="AI90" t="s" s="0">
        <v>2676</v>
      </c>
      <c r="AJ90" t="s" s="0">
        <v>2677</v>
      </c>
      <c r="AK90" t="s" s="0">
        <v>84</v>
      </c>
      <c r="AL90" t="s" s="0">
        <v>807</v>
      </c>
      <c r="AM90" t="s" s="0">
        <v>2678</v>
      </c>
      <c r="AN90" t="s" s="0">
        <v>1983</v>
      </c>
      <c r="AO90" t="s" s="0">
        <v>830</v>
      </c>
      <c r="AP90" t="s" s="0">
        <v>2679</v>
      </c>
      <c r="AQ90" t="s" s="0">
        <v>106</v>
      </c>
      <c r="AR90" t="s" s="0">
        <v>107</v>
      </c>
      <c r="AS90" t="s" s="0">
        <v>108</v>
      </c>
      <c r="AT90" t="s" s="0">
        <v>1083</v>
      </c>
      <c r="AU90" t="s" s="0">
        <v>1084</v>
      </c>
      <c r="AV90" t="s" s="0">
        <v>84</v>
      </c>
      <c r="AW90" t="s" s="0">
        <v>1077</v>
      </c>
      <c r="AX90" t="s" s="0">
        <v>1085</v>
      </c>
      <c r="AY90" t="s" s="0">
        <v>84</v>
      </c>
      <c r="AZ90" t="s" s="0">
        <v>157</v>
      </c>
      <c r="BA90" t="s" s="0">
        <v>84</v>
      </c>
      <c r="BB90" t="s" s="0">
        <v>84</v>
      </c>
      <c r="BC90" t="s" s="0">
        <v>84</v>
      </c>
      <c r="BD90" t="s" s="0">
        <v>84</v>
      </c>
      <c r="BE90" t="s" s="0">
        <v>84</v>
      </c>
      <c r="BF90" t="s" s="0">
        <v>84</v>
      </c>
      <c r="BG90" t="s" s="0">
        <v>84</v>
      </c>
      <c r="BH90" t="s" s="0">
        <v>84</v>
      </c>
      <c r="BI90" t="s" s="0">
        <v>84</v>
      </c>
      <c r="BJ90" t="s" s="0">
        <v>2680</v>
      </c>
      <c r="BK90" t="s" s="175">
        <f>HYPERLINK("http://dx.doi.org/10.1038/s41586-024-07894-z","http://dx.doi.org/10.1038/s41586-024-07894-z")</f>
        <v>2681</v>
      </c>
      <c r="BL90" t="s" s="0">
        <v>84</v>
      </c>
      <c r="BM90" t="s" s="0">
        <v>1909</v>
      </c>
      <c r="BN90" t="s" s="0">
        <v>371</v>
      </c>
      <c r="BO90" t="s" s="0">
        <v>163</v>
      </c>
      <c r="BP90" t="s" s="0">
        <v>164</v>
      </c>
      <c r="BQ90" t="s" s="0">
        <v>2682</v>
      </c>
      <c r="BR90" t="s" s="0">
        <v>2683</v>
      </c>
      <c r="BS90" t="s" s="0">
        <v>2684</v>
      </c>
      <c r="BT90" t="s" s="176">
        <f>HYPERLINK("https://www.webofscience.com/wos/woscc/full-record/WOS:001306513900017","View Record in Web of Science")</f>
        <v>126</v>
      </c>
      <c r="BU90" t="s" s="0">
        <v>127</v>
      </c>
      <c r="BV90" t="s" s="0">
        <v>129</v>
      </c>
      <c r="BW90" t="s" s="0">
        <v>129</v>
      </c>
      <c r="BX90" t="s" s="0">
        <v>130</v>
      </c>
    </row>
    <row r="91">
      <c r="A91" t="s" s="0">
        <v>368</v>
      </c>
      <c r="B91" t="s" s="0">
        <v>78</v>
      </c>
      <c r="C91" t="s" s="0">
        <v>1687</v>
      </c>
      <c r="D91" t="s" s="0">
        <v>170</v>
      </c>
      <c r="E91" t="s" s="0">
        <v>2685</v>
      </c>
      <c r="F91" t="s" s="0">
        <v>2686</v>
      </c>
      <c r="G91" t="s" s="0">
        <v>2687</v>
      </c>
      <c r="H91" t="s" s="0">
        <v>84</v>
      </c>
      <c r="I91" t="s" s="0">
        <v>85</v>
      </c>
      <c r="J91" t="s" s="0">
        <v>2688</v>
      </c>
      <c r="K91" t="s" s="0">
        <v>728</v>
      </c>
      <c r="L91" t="s" s="0">
        <v>2689</v>
      </c>
      <c r="M91" t="s" s="0">
        <v>2690</v>
      </c>
      <c r="N91" t="s" s="0">
        <v>2691</v>
      </c>
      <c r="O91" t="s" s="0">
        <v>2692</v>
      </c>
      <c r="P91" t="s" s="0">
        <v>2693</v>
      </c>
      <c r="Q91" t="s" s="0">
        <v>93</v>
      </c>
      <c r="R91" t="s" s="0">
        <v>84</v>
      </c>
      <c r="S91" t="s" s="0">
        <v>84</v>
      </c>
      <c r="T91" t="s" s="0">
        <v>84</v>
      </c>
      <c r="U91" t="s" s="0">
        <v>84</v>
      </c>
      <c r="V91" t="s" s="0">
        <v>2694</v>
      </c>
      <c r="W91" t="s" s="0">
        <v>2478</v>
      </c>
      <c r="X91" t="s" s="0">
        <v>84</v>
      </c>
      <c r="Y91" t="s" s="0">
        <v>84</v>
      </c>
      <c r="Z91" t="s" s="0">
        <v>96</v>
      </c>
      <c r="AA91" t="s" s="0">
        <v>97</v>
      </c>
      <c r="AB91" t="s" s="0">
        <v>84</v>
      </c>
      <c r="AC91" t="s" s="0">
        <v>84</v>
      </c>
      <c r="AD91" t="s" s="0">
        <v>84</v>
      </c>
      <c r="AE91" t="s" s="0">
        <v>84</v>
      </c>
      <c r="AF91" t="s" s="0">
        <v>84</v>
      </c>
      <c r="AG91" t="s" s="0">
        <v>84</v>
      </c>
      <c r="AH91" t="s" s="0">
        <v>2695</v>
      </c>
      <c r="AI91" t="s" s="0">
        <v>2696</v>
      </c>
      <c r="AJ91" t="s" s="0">
        <v>2697</v>
      </c>
      <c r="AK91" t="s" s="0">
        <v>84</v>
      </c>
      <c r="AL91" t="s" s="0">
        <v>1233</v>
      </c>
      <c r="AM91" t="s" s="0">
        <v>2698</v>
      </c>
      <c r="AN91" t="s" s="0">
        <v>2699</v>
      </c>
      <c r="AO91" t="s" s="0">
        <v>121</v>
      </c>
      <c r="AP91" t="s" s="0">
        <v>2284</v>
      </c>
      <c r="AQ91" t="s" s="0">
        <v>1274</v>
      </c>
      <c r="AR91" t="s" s="0">
        <v>1275</v>
      </c>
      <c r="AS91" t="s" s="0">
        <v>1276</v>
      </c>
      <c r="AT91" t="s" s="0">
        <v>2486</v>
      </c>
      <c r="AU91" t="s" s="0">
        <v>2487</v>
      </c>
      <c r="AV91" t="s" s="0">
        <v>84</v>
      </c>
      <c r="AW91" t="s" s="0">
        <v>2488</v>
      </c>
      <c r="AX91" t="s" s="0">
        <v>2489</v>
      </c>
      <c r="AY91" t="s" s="0">
        <v>1247</v>
      </c>
      <c r="AZ91" t="s" s="0">
        <v>307</v>
      </c>
      <c r="BA91" t="s" s="0">
        <v>740</v>
      </c>
      <c r="BB91" t="s" s="0">
        <v>84</v>
      </c>
      <c r="BC91" t="s" s="0">
        <v>84</v>
      </c>
      <c r="BD91" t="s" s="0">
        <v>84</v>
      </c>
      <c r="BE91" t="s" s="0">
        <v>84</v>
      </c>
      <c r="BF91" t="s" s="0">
        <v>84</v>
      </c>
      <c r="BG91" t="s" s="0">
        <v>84</v>
      </c>
      <c r="BH91" t="s" s="0">
        <v>84</v>
      </c>
      <c r="BI91" t="s" s="0">
        <v>2700</v>
      </c>
      <c r="BJ91" t="s" s="0">
        <v>2701</v>
      </c>
      <c r="BK91" t="s" s="177">
        <f>HYPERLINK("http://dx.doi.org/10.1016/j.preteyeres.2019.04.003","http://dx.doi.org/10.1016/j.preteyeres.2019.04.003")</f>
        <v>2702</v>
      </c>
      <c r="BL91" t="s" s="0">
        <v>84</v>
      </c>
      <c r="BM91" t="s" s="0">
        <v>84</v>
      </c>
      <c r="BN91" t="s" s="0">
        <v>270</v>
      </c>
      <c r="BO91" t="s" s="0">
        <v>756</v>
      </c>
      <c r="BP91" t="s" s="0">
        <v>756</v>
      </c>
      <c r="BQ91" t="s" s="0">
        <v>2703</v>
      </c>
      <c r="BR91" t="s" s="0">
        <v>2704</v>
      </c>
      <c r="BS91" t="s" s="0">
        <v>2705</v>
      </c>
      <c r="BT91" t="s" s="178">
        <f>HYPERLINK("https://www.webofscience.com/wos/woscc/full-record/WOS:000488311400001","View Record in Web of Science")</f>
        <v>126</v>
      </c>
      <c r="BU91" t="s" s="0">
        <v>127</v>
      </c>
      <c r="BV91" t="s" s="0">
        <v>128</v>
      </c>
      <c r="BW91" t="s" s="0">
        <v>129</v>
      </c>
      <c r="BX91" t="s" s="0">
        <v>130</v>
      </c>
    </row>
    <row r="92">
      <c r="A92" t="s" s="0">
        <v>436</v>
      </c>
      <c r="B92" t="s" s="0">
        <v>78</v>
      </c>
      <c r="C92" t="s" s="0">
        <v>827</v>
      </c>
      <c r="D92" t="s" s="0">
        <v>170</v>
      </c>
      <c r="E92" t="s" s="0">
        <v>2706</v>
      </c>
      <c r="F92" t="s" s="0">
        <v>2707</v>
      </c>
      <c r="G92" t="s" s="0">
        <v>2708</v>
      </c>
      <c r="H92" t="s" s="0">
        <v>84</v>
      </c>
      <c r="I92" t="s" s="0">
        <v>85</v>
      </c>
      <c r="J92" t="s" s="0">
        <v>2709</v>
      </c>
      <c r="K92" t="s" s="0">
        <v>2710</v>
      </c>
      <c r="L92" t="s" s="0">
        <v>2711</v>
      </c>
      <c r="M92" t="s" s="0">
        <v>2712</v>
      </c>
      <c r="N92" t="s" s="0">
        <v>2713</v>
      </c>
      <c r="O92" t="s" s="0">
        <v>2714</v>
      </c>
      <c r="P92" t="s" s="0">
        <v>2715</v>
      </c>
      <c r="Q92" t="s" s="0">
        <v>93</v>
      </c>
      <c r="R92" t="s" s="0">
        <v>84</v>
      </c>
      <c r="S92" t="s" s="0">
        <v>84</v>
      </c>
      <c r="T92" t="s" s="0">
        <v>84</v>
      </c>
      <c r="U92" t="s" s="0">
        <v>84</v>
      </c>
      <c r="V92" t="s" s="0">
        <v>2716</v>
      </c>
      <c r="W92" t="s" s="0">
        <v>889</v>
      </c>
      <c r="X92" t="s" s="0">
        <v>84</v>
      </c>
      <c r="Y92" t="s" s="0">
        <v>84</v>
      </c>
      <c r="Z92" t="s" s="0">
        <v>96</v>
      </c>
      <c r="AA92" t="s" s="0">
        <v>145</v>
      </c>
      <c r="AB92" t="s" s="0">
        <v>84</v>
      </c>
      <c r="AC92" t="s" s="0">
        <v>84</v>
      </c>
      <c r="AD92" t="s" s="0">
        <v>84</v>
      </c>
      <c r="AE92" t="s" s="0">
        <v>84</v>
      </c>
      <c r="AF92" t="s" s="0">
        <v>84</v>
      </c>
      <c r="AG92" t="s" s="0">
        <v>84</v>
      </c>
      <c r="AH92" t="s" s="0">
        <v>2717</v>
      </c>
      <c r="AI92" t="s" s="0">
        <v>2718</v>
      </c>
      <c r="AJ92" t="s" s="0">
        <v>2719</v>
      </c>
      <c r="AK92" t="s" s="0">
        <v>84</v>
      </c>
      <c r="AL92" t="s" s="0">
        <v>417</v>
      </c>
      <c r="AM92" t="s" s="0">
        <v>2720</v>
      </c>
      <c r="AN92" t="s" s="0">
        <v>2721</v>
      </c>
      <c r="AO92" t="s" s="0">
        <v>159</v>
      </c>
      <c r="AP92" t="s" s="0">
        <v>2722</v>
      </c>
      <c r="AQ92" t="s" s="0">
        <v>894</v>
      </c>
      <c r="AR92" t="s" s="0">
        <v>895</v>
      </c>
      <c r="AS92" t="s" s="0">
        <v>2723</v>
      </c>
      <c r="AT92" t="s" s="0">
        <v>897</v>
      </c>
      <c r="AU92" t="s" s="0">
        <v>898</v>
      </c>
      <c r="AV92" t="s" s="0">
        <v>84</v>
      </c>
      <c r="AW92" t="s" s="0">
        <v>899</v>
      </c>
      <c r="AX92" t="s" s="0">
        <v>900</v>
      </c>
      <c r="AY92" t="s" s="0">
        <v>2724</v>
      </c>
      <c r="AZ92" t="s" s="0">
        <v>114</v>
      </c>
      <c r="BA92" t="s" s="0">
        <v>902</v>
      </c>
      <c r="BB92" t="s" s="0">
        <v>319</v>
      </c>
      <c r="BC92" t="s" s="0">
        <v>84</v>
      </c>
      <c r="BD92" t="s" s="0">
        <v>84</v>
      </c>
      <c r="BE92" t="s" s="0">
        <v>84</v>
      </c>
      <c r="BF92" t="s" s="0">
        <v>84</v>
      </c>
      <c r="BG92" t="s" s="0">
        <v>279</v>
      </c>
      <c r="BH92" t="s" s="0">
        <v>272</v>
      </c>
      <c r="BI92" t="s" s="0">
        <v>84</v>
      </c>
      <c r="BJ92" t="s" s="0">
        <v>2725</v>
      </c>
      <c r="BK92" t="s" s="179">
        <f>HYPERLINK("http://dx.doi.org/10.7326/M18-0249","http://dx.doi.org/10.7326/M18-0249")</f>
        <v>2726</v>
      </c>
      <c r="BL92" t="s" s="0">
        <v>84</v>
      </c>
      <c r="BM92" t="s" s="0">
        <v>84</v>
      </c>
      <c r="BN92" t="s" s="0">
        <v>436</v>
      </c>
      <c r="BO92" t="s" s="0">
        <v>312</v>
      </c>
      <c r="BP92" t="s" s="0">
        <v>313</v>
      </c>
      <c r="BQ92" t="s" s="0">
        <v>2727</v>
      </c>
      <c r="BR92" t="s" s="0">
        <v>2728</v>
      </c>
      <c r="BS92" t="s" s="0">
        <v>2729</v>
      </c>
      <c r="BT92" t="s" s="180">
        <f>HYPERLINK("https://www.webofscience.com/wos/woscc/full-record/WOS:000444679800012","View Record in Web of Science")</f>
        <v>126</v>
      </c>
      <c r="BU92" t="s" s="0">
        <v>84</v>
      </c>
      <c r="BV92" t="s" s="0">
        <v>128</v>
      </c>
      <c r="BW92" t="s" s="0">
        <v>129</v>
      </c>
      <c r="BX92" t="s" s="0">
        <v>130</v>
      </c>
    </row>
    <row r="93">
      <c r="A93" t="s" s="0">
        <v>338</v>
      </c>
      <c r="B93" t="s" s="0">
        <v>78</v>
      </c>
      <c r="C93" t="s" s="0">
        <v>296</v>
      </c>
      <c r="D93" t="s" s="0">
        <v>453</v>
      </c>
      <c r="E93" t="s" s="0">
        <v>2730</v>
      </c>
      <c r="F93" t="s" s="0">
        <v>2731</v>
      </c>
      <c r="G93" t="s" s="0">
        <v>2732</v>
      </c>
      <c r="H93" t="s" s="0">
        <v>84</v>
      </c>
      <c r="I93" t="s" s="0">
        <v>85</v>
      </c>
      <c r="J93" t="s" s="0">
        <v>2733</v>
      </c>
      <c r="K93" t="s" s="0">
        <v>2734</v>
      </c>
      <c r="L93" t="s" s="0">
        <v>84</v>
      </c>
      <c r="M93" t="s" s="0">
        <v>84</v>
      </c>
      <c r="N93" t="s" s="0">
        <v>84</v>
      </c>
      <c r="O93" t="s" s="0">
        <v>2735</v>
      </c>
      <c r="P93" t="s" s="0">
        <v>2736</v>
      </c>
      <c r="Q93" t="s" s="0">
        <v>93</v>
      </c>
      <c r="R93" t="s" s="0">
        <v>84</v>
      </c>
      <c r="S93" t="s" s="0">
        <v>84</v>
      </c>
      <c r="T93" t="s" s="0">
        <v>84</v>
      </c>
      <c r="U93" t="s" s="0">
        <v>84</v>
      </c>
      <c r="V93" t="s" s="0">
        <v>2737</v>
      </c>
      <c r="W93" t="s" s="0">
        <v>798</v>
      </c>
      <c r="X93" t="s" s="0">
        <v>84</v>
      </c>
      <c r="Y93" t="s" s="0">
        <v>84</v>
      </c>
      <c r="Z93" t="s" s="0">
        <v>96</v>
      </c>
      <c r="AA93" t="s" s="0">
        <v>97</v>
      </c>
      <c r="AB93" t="s" s="0">
        <v>84</v>
      </c>
      <c r="AC93" t="s" s="0">
        <v>84</v>
      </c>
      <c r="AD93" t="s" s="0">
        <v>84</v>
      </c>
      <c r="AE93" t="s" s="0">
        <v>84</v>
      </c>
      <c r="AF93" t="s" s="0">
        <v>84</v>
      </c>
      <c r="AG93" t="s" s="0">
        <v>2738</v>
      </c>
      <c r="AH93" t="s" s="0">
        <v>2739</v>
      </c>
      <c r="AI93" t="s" s="0">
        <v>2740</v>
      </c>
      <c r="AJ93" t="s" s="0">
        <v>2741</v>
      </c>
      <c r="AK93" t="s" s="0">
        <v>84</v>
      </c>
      <c r="AL93" t="s" s="0">
        <v>1746</v>
      </c>
      <c r="AM93" t="s" s="0">
        <v>452</v>
      </c>
      <c r="AN93" t="s" s="0">
        <v>2699</v>
      </c>
      <c r="AO93" t="s" s="0">
        <v>338</v>
      </c>
      <c r="AP93" t="s" s="0">
        <v>2742</v>
      </c>
      <c r="AQ93" t="s" s="0">
        <v>300</v>
      </c>
      <c r="AR93" t="s" s="0">
        <v>301</v>
      </c>
      <c r="AS93" t="s" s="0">
        <v>302</v>
      </c>
      <c r="AT93" t="s" s="0">
        <v>84</v>
      </c>
      <c r="AU93" t="s" s="0">
        <v>803</v>
      </c>
      <c r="AV93" t="s" s="0">
        <v>84</v>
      </c>
      <c r="AW93" t="s" s="0">
        <v>804</v>
      </c>
      <c r="AX93" t="s" s="0">
        <v>805</v>
      </c>
      <c r="AY93" t="s" s="0">
        <v>2743</v>
      </c>
      <c r="AZ93" t="s" s="0">
        <v>237</v>
      </c>
      <c r="BA93" t="s" s="0">
        <v>857</v>
      </c>
      <c r="BB93" t="s" s="0">
        <v>159</v>
      </c>
      <c r="BC93" t="s" s="0">
        <v>84</v>
      </c>
      <c r="BD93" t="s" s="0">
        <v>84</v>
      </c>
      <c r="BE93" t="s" s="0">
        <v>84</v>
      </c>
      <c r="BF93" t="s" s="0">
        <v>84</v>
      </c>
      <c r="BG93" t="s" s="0">
        <v>84</v>
      </c>
      <c r="BH93" t="s" s="0">
        <v>84</v>
      </c>
      <c r="BI93" t="s" s="0">
        <v>2744</v>
      </c>
      <c r="BJ93" t="s" s="0">
        <v>2745</v>
      </c>
      <c r="BK93" t="s" s="181">
        <f>HYPERLINK("http://dx.doi.org/10.1186/s12874-022-01768-6","http://dx.doi.org/10.1186/s12874-022-01768-6")</f>
        <v>2746</v>
      </c>
      <c r="BL93" t="s" s="0">
        <v>84</v>
      </c>
      <c r="BM93" t="s" s="0">
        <v>84</v>
      </c>
      <c r="BN93" t="s" s="0">
        <v>338</v>
      </c>
      <c r="BO93" t="s" s="0">
        <v>810</v>
      </c>
      <c r="BP93" t="s" s="0">
        <v>810</v>
      </c>
      <c r="BQ93" t="s" s="0">
        <v>2747</v>
      </c>
      <c r="BR93" t="s" s="0">
        <v>2748</v>
      </c>
      <c r="BS93" t="s" s="0">
        <v>2749</v>
      </c>
      <c r="BT93" t="s" s="182">
        <f>HYPERLINK("https://www.webofscience.com/wos/woscc/full-record/WOS:000879166900002","View Record in Web of Science")</f>
        <v>126</v>
      </c>
      <c r="BU93" t="s" s="0">
        <v>168</v>
      </c>
      <c r="BV93" t="s" s="0">
        <v>128</v>
      </c>
      <c r="BW93" t="s" s="0">
        <v>129</v>
      </c>
      <c r="BX93" t="s" s="0">
        <v>130</v>
      </c>
    </row>
    <row r="94">
      <c r="A94" t="s" s="0">
        <v>344</v>
      </c>
      <c r="B94" t="s" s="0">
        <v>78</v>
      </c>
      <c r="C94" t="s" s="0">
        <v>1451</v>
      </c>
      <c r="D94" t="s" s="0">
        <v>159</v>
      </c>
      <c r="E94" t="s" s="0">
        <v>2750</v>
      </c>
      <c r="F94" t="s" s="0">
        <v>2751</v>
      </c>
      <c r="G94" t="s" s="0">
        <v>2752</v>
      </c>
      <c r="H94" t="s" s="0">
        <v>84</v>
      </c>
      <c r="I94" t="s" s="0">
        <v>1342</v>
      </c>
      <c r="J94" t="s" s="0">
        <v>2753</v>
      </c>
      <c r="K94" t="s" s="0">
        <v>2754</v>
      </c>
      <c r="L94" t="s" s="0">
        <v>2755</v>
      </c>
      <c r="M94" t="s" s="0">
        <v>2756</v>
      </c>
      <c r="N94" t="s" s="0">
        <v>2757</v>
      </c>
      <c r="O94" t="s" s="0">
        <v>2758</v>
      </c>
      <c r="P94" t="s" s="0">
        <v>2759</v>
      </c>
      <c r="Q94" t="s" s="0">
        <v>93</v>
      </c>
      <c r="R94" t="s" s="0">
        <v>84</v>
      </c>
      <c r="S94" t="s" s="0">
        <v>2760</v>
      </c>
      <c r="T94" t="s" s="0">
        <v>84</v>
      </c>
      <c r="U94" t="s" s="0">
        <v>84</v>
      </c>
      <c r="V94" t="s" s="0">
        <v>2761</v>
      </c>
      <c r="W94" t="s" s="0">
        <v>2762</v>
      </c>
      <c r="X94" t="s" s="0">
        <v>84</v>
      </c>
      <c r="Y94" t="s" s="0">
        <v>84</v>
      </c>
      <c r="Z94" t="s" s="0">
        <v>96</v>
      </c>
      <c r="AA94" t="s" s="0">
        <v>97</v>
      </c>
      <c r="AB94" t="s" s="0">
        <v>84</v>
      </c>
      <c r="AC94" t="s" s="0">
        <v>84</v>
      </c>
      <c r="AD94" t="s" s="0">
        <v>84</v>
      </c>
      <c r="AE94" t="s" s="0">
        <v>84</v>
      </c>
      <c r="AF94" t="s" s="0">
        <v>84</v>
      </c>
      <c r="AG94" t="s" s="0">
        <v>84</v>
      </c>
      <c r="AH94" t="s" s="0">
        <v>84</v>
      </c>
      <c r="AI94" t="s" s="0">
        <v>2763</v>
      </c>
      <c r="AJ94" t="s" s="0">
        <v>2764</v>
      </c>
      <c r="AK94" t="s" s="0">
        <v>84</v>
      </c>
      <c r="AL94" t="s" s="0">
        <v>1451</v>
      </c>
      <c r="AM94" t="s" s="0">
        <v>1768</v>
      </c>
      <c r="AN94" t="s" s="0">
        <v>2765</v>
      </c>
      <c r="AO94" t="s" s="0">
        <v>250</v>
      </c>
      <c r="AP94" t="s" s="0">
        <v>80</v>
      </c>
      <c r="AQ94" t="s" s="0">
        <v>2766</v>
      </c>
      <c r="AR94" t="s" s="0">
        <v>2767</v>
      </c>
      <c r="AS94" t="s" s="0">
        <v>2768</v>
      </c>
      <c r="AT94" t="s" s="0">
        <v>84</v>
      </c>
      <c r="AU94" t="s" s="0">
        <v>2769</v>
      </c>
      <c r="AV94" t="s" s="0">
        <v>84</v>
      </c>
      <c r="AW94" t="s" s="0">
        <v>2770</v>
      </c>
      <c r="AX94" t="s" s="0">
        <v>2771</v>
      </c>
      <c r="AY94" t="s" s="0">
        <v>2601</v>
      </c>
      <c r="AZ94" t="s" s="0">
        <v>237</v>
      </c>
      <c r="BA94" t="s" s="0">
        <v>159</v>
      </c>
      <c r="BB94" t="s" s="0">
        <v>250</v>
      </c>
      <c r="BC94" t="s" s="0">
        <v>84</v>
      </c>
      <c r="BD94" t="s" s="0">
        <v>84</v>
      </c>
      <c r="BE94" t="s" s="0">
        <v>84</v>
      </c>
      <c r="BF94" t="s" s="0">
        <v>84</v>
      </c>
      <c r="BG94" t="s" s="0">
        <v>84</v>
      </c>
      <c r="BH94" t="s" s="0">
        <v>84</v>
      </c>
      <c r="BI94" t="s" s="0">
        <v>2772</v>
      </c>
      <c r="BJ94" t="s" s="0">
        <v>2773</v>
      </c>
      <c r="BK94" t="s" s="183">
        <f>HYPERLINK("http://dx.doi.org/10.1371/journal.pdig.0000022","http://dx.doi.org/10.1371/journal.pdig.0000022")</f>
        <v>2774</v>
      </c>
      <c r="BL94" t="s" s="0">
        <v>84</v>
      </c>
      <c r="BM94" t="s" s="0">
        <v>84</v>
      </c>
      <c r="BN94" t="s" s="0">
        <v>436</v>
      </c>
      <c r="BO94" t="s" s="0">
        <v>782</v>
      </c>
      <c r="BP94" t="s" s="0">
        <v>782</v>
      </c>
      <c r="BQ94" t="s" s="0">
        <v>2775</v>
      </c>
      <c r="BR94" t="s" s="0">
        <v>2776</v>
      </c>
      <c r="BS94" t="s" s="0">
        <v>2777</v>
      </c>
      <c r="BT94" t="s" s="184">
        <f>HYPERLINK("https://www.webofscience.com/wos/woscc/full-record/WOS:001416927400001","View Record in Web of Science")</f>
        <v>126</v>
      </c>
      <c r="BU94" t="s" s="0">
        <v>168</v>
      </c>
      <c r="BV94" t="s" s="0">
        <v>84</v>
      </c>
      <c r="BW94" t="s" s="0">
        <v>84</v>
      </c>
      <c r="BX94" t="s" s="0">
        <v>130</v>
      </c>
    </row>
    <row r="95">
      <c r="A95" t="s" s="0">
        <v>170</v>
      </c>
      <c r="B95" t="s" s="0">
        <v>78</v>
      </c>
      <c r="C95" t="s" s="0">
        <v>2310</v>
      </c>
      <c r="D95" t="s" s="0">
        <v>170</v>
      </c>
      <c r="E95" t="s" s="0">
        <v>2778</v>
      </c>
      <c r="F95" t="s" s="0">
        <v>2779</v>
      </c>
      <c r="G95" t="s" s="0">
        <v>2780</v>
      </c>
      <c r="H95" t="s" s="0">
        <v>84</v>
      </c>
      <c r="I95" t="s" s="0">
        <v>85</v>
      </c>
      <c r="J95" t="s" s="0">
        <v>2781</v>
      </c>
      <c r="K95" t="s" s="0">
        <v>2782</v>
      </c>
      <c r="L95" t="s" s="0">
        <v>2783</v>
      </c>
      <c r="M95" t="s" s="0">
        <v>2784</v>
      </c>
      <c r="N95" t="s" s="0">
        <v>2785</v>
      </c>
      <c r="O95" t="s" s="0">
        <v>2786</v>
      </c>
      <c r="P95" t="s" s="0">
        <v>2787</v>
      </c>
      <c r="Q95" t="s" s="0">
        <v>93</v>
      </c>
      <c r="R95" t="s" s="0">
        <v>84</v>
      </c>
      <c r="S95" t="s" s="0">
        <v>84</v>
      </c>
      <c r="T95" t="s" s="0">
        <v>84</v>
      </c>
      <c r="U95" t="s" s="0">
        <v>84</v>
      </c>
      <c r="V95" t="s" s="0">
        <v>2788</v>
      </c>
      <c r="W95" t="s" s="0">
        <v>2789</v>
      </c>
      <c r="X95" t="s" s="0">
        <v>84</v>
      </c>
      <c r="Y95" t="s" s="0">
        <v>84</v>
      </c>
      <c r="Z95" t="s" s="0">
        <v>96</v>
      </c>
      <c r="AA95" t="s" s="0">
        <v>97</v>
      </c>
      <c r="AB95" t="s" s="0">
        <v>84</v>
      </c>
      <c r="AC95" t="s" s="0">
        <v>84</v>
      </c>
      <c r="AD95" t="s" s="0">
        <v>84</v>
      </c>
      <c r="AE95" t="s" s="0">
        <v>84</v>
      </c>
      <c r="AF95" t="s" s="0">
        <v>84</v>
      </c>
      <c r="AG95" t="s" s="0">
        <v>2790</v>
      </c>
      <c r="AH95" t="s" s="0">
        <v>2791</v>
      </c>
      <c r="AI95" t="s" s="0">
        <v>84</v>
      </c>
      <c r="AJ95" t="s" s="0">
        <v>2792</v>
      </c>
      <c r="AK95" t="s" s="0">
        <v>84</v>
      </c>
      <c r="AL95" t="s" s="0">
        <v>752</v>
      </c>
      <c r="AM95" t="s" s="0">
        <v>2793</v>
      </c>
      <c r="AN95" t="s" s="0">
        <v>2308</v>
      </c>
      <c r="AO95" t="s" s="0">
        <v>453</v>
      </c>
      <c r="AP95" t="s" s="0">
        <v>471</v>
      </c>
      <c r="AQ95" t="s" s="0">
        <v>400</v>
      </c>
      <c r="AR95" t="s" s="0">
        <v>401</v>
      </c>
      <c r="AS95" t="s" s="0">
        <v>402</v>
      </c>
      <c r="AT95" t="s" s="0">
        <v>2794</v>
      </c>
      <c r="AU95" t="s" s="0">
        <v>84</v>
      </c>
      <c r="AV95" t="s" s="0">
        <v>84</v>
      </c>
      <c r="AW95" t="s" s="0">
        <v>2795</v>
      </c>
      <c r="AX95" t="s" s="0">
        <v>2796</v>
      </c>
      <c r="AY95" t="s" s="0">
        <v>2017</v>
      </c>
      <c r="AZ95" t="s" s="0">
        <v>476</v>
      </c>
      <c r="BA95" t="s" s="0">
        <v>211</v>
      </c>
      <c r="BB95" t="s" s="0">
        <v>159</v>
      </c>
      <c r="BC95" t="s" s="0">
        <v>84</v>
      </c>
      <c r="BD95" t="s" s="0">
        <v>84</v>
      </c>
      <c r="BE95" t="s" s="0">
        <v>84</v>
      </c>
      <c r="BF95" t="s" s="0">
        <v>84</v>
      </c>
      <c r="BG95" t="s" s="0">
        <v>1358</v>
      </c>
      <c r="BH95" t="s" s="0">
        <v>2797</v>
      </c>
      <c r="BI95" t="s" s="0">
        <v>84</v>
      </c>
      <c r="BJ95" t="s" s="0">
        <v>2798</v>
      </c>
      <c r="BK95" t="s" s="185">
        <f>HYPERLINK("http://dx.doi.org/10.1002/lio2.354","http://dx.doi.org/10.1002/lio2.354")</f>
        <v>2799</v>
      </c>
      <c r="BL95" t="s" s="0">
        <v>84</v>
      </c>
      <c r="BM95" t="s" s="0">
        <v>1522</v>
      </c>
      <c r="BN95" t="s" s="0">
        <v>1255</v>
      </c>
      <c r="BO95" t="s" s="0">
        <v>2800</v>
      </c>
      <c r="BP95" t="s" s="0">
        <v>2800</v>
      </c>
      <c r="BQ95" t="s" s="0">
        <v>2801</v>
      </c>
      <c r="BR95" t="s" s="0">
        <v>2802</v>
      </c>
      <c r="BS95" t="s" s="0">
        <v>2803</v>
      </c>
      <c r="BT95" t="s" s="186">
        <f>HYPERLINK("https://www.webofscience.com/wos/woscc/full-record/WOS:000510253000001","View Record in Web of Science")</f>
        <v>126</v>
      </c>
      <c r="BU95" t="s" s="0">
        <v>168</v>
      </c>
      <c r="BV95" t="s" s="0">
        <v>128</v>
      </c>
      <c r="BW95" t="s" s="0">
        <v>129</v>
      </c>
      <c r="BX95" t="s" s="0">
        <v>130</v>
      </c>
    </row>
    <row r="96">
      <c r="A96" t="s" s="0">
        <v>80</v>
      </c>
      <c r="B96" t="s" s="0">
        <v>78</v>
      </c>
      <c r="C96" t="s" s="0">
        <v>2804</v>
      </c>
      <c r="D96" t="s" s="0">
        <v>78</v>
      </c>
      <c r="E96" t="s" s="0">
        <v>2805</v>
      </c>
      <c r="F96" t="s" s="0">
        <v>2806</v>
      </c>
      <c r="G96" t="s" s="0">
        <v>2807</v>
      </c>
      <c r="H96" t="s" s="0">
        <v>84</v>
      </c>
      <c r="I96" t="s" s="0">
        <v>85</v>
      </c>
      <c r="J96" t="s" s="0">
        <v>2808</v>
      </c>
      <c r="K96" t="s" s="0">
        <v>2809</v>
      </c>
      <c r="L96" t="s" s="0">
        <v>2810</v>
      </c>
      <c r="M96" t="s" s="0">
        <v>2811</v>
      </c>
      <c r="N96" t="s" s="0">
        <v>2812</v>
      </c>
      <c r="O96" t="s" s="0">
        <v>2813</v>
      </c>
      <c r="P96" t="s" s="0">
        <v>2814</v>
      </c>
      <c r="Q96" t="s" s="0">
        <v>93</v>
      </c>
      <c r="R96" t="s" s="0">
        <v>84</v>
      </c>
      <c r="S96" t="s" s="0">
        <v>84</v>
      </c>
      <c r="T96" t="s" s="0">
        <v>84</v>
      </c>
      <c r="U96" t="s" s="0">
        <v>84</v>
      </c>
      <c r="V96" t="s" s="0">
        <v>2815</v>
      </c>
      <c r="W96" t="s" s="0">
        <v>144</v>
      </c>
      <c r="X96" t="s" s="0">
        <v>84</v>
      </c>
      <c r="Y96" t="s" s="0">
        <v>84</v>
      </c>
      <c r="Z96" t="s" s="0">
        <v>96</v>
      </c>
      <c r="AA96" t="s" s="0">
        <v>145</v>
      </c>
      <c r="AB96" t="s" s="0">
        <v>84</v>
      </c>
      <c r="AC96" t="s" s="0">
        <v>84</v>
      </c>
      <c r="AD96" t="s" s="0">
        <v>84</v>
      </c>
      <c r="AE96" t="s" s="0">
        <v>84</v>
      </c>
      <c r="AF96" t="s" s="0">
        <v>84</v>
      </c>
      <c r="AG96" t="s" s="0">
        <v>84</v>
      </c>
      <c r="AH96" t="s" s="0">
        <v>2816</v>
      </c>
      <c r="AI96" t="s" s="0">
        <v>2817</v>
      </c>
      <c r="AJ96" t="s" s="0">
        <v>2818</v>
      </c>
      <c r="AK96" t="s" s="0">
        <v>84</v>
      </c>
      <c r="AL96" t="s" s="0">
        <v>663</v>
      </c>
      <c r="AM96" t="s" s="0">
        <v>2819</v>
      </c>
      <c r="AN96" t="s" s="0">
        <v>2820</v>
      </c>
      <c r="AO96" t="s" s="0">
        <v>453</v>
      </c>
      <c r="AP96" t="s" s="0">
        <v>230</v>
      </c>
      <c r="AQ96" t="s" s="0">
        <v>106</v>
      </c>
      <c r="AR96" t="s" s="0">
        <v>107</v>
      </c>
      <c r="AS96" t="s" s="0">
        <v>108</v>
      </c>
      <c r="AT96" t="s" s="0">
        <v>84</v>
      </c>
      <c r="AU96" t="s" s="0">
        <v>153</v>
      </c>
      <c r="AV96" t="s" s="0">
        <v>84</v>
      </c>
      <c r="AW96" t="s" s="0">
        <v>154</v>
      </c>
      <c r="AX96" t="s" s="0">
        <v>155</v>
      </c>
      <c r="AY96" t="s" s="0">
        <v>2821</v>
      </c>
      <c r="AZ96" t="s" s="0">
        <v>197</v>
      </c>
      <c r="BA96" t="s" s="0">
        <v>275</v>
      </c>
      <c r="BB96" t="s" s="0">
        <v>159</v>
      </c>
      <c r="BC96" t="s" s="0">
        <v>84</v>
      </c>
      <c r="BD96" t="s" s="0">
        <v>84</v>
      </c>
      <c r="BE96" t="s" s="0">
        <v>84</v>
      </c>
      <c r="BF96" t="s" s="0">
        <v>84</v>
      </c>
      <c r="BG96" t="s" s="0">
        <v>84</v>
      </c>
      <c r="BH96" t="s" s="0">
        <v>84</v>
      </c>
      <c r="BI96" t="s" s="0">
        <v>2822</v>
      </c>
      <c r="BJ96" t="s" s="0">
        <v>2823</v>
      </c>
      <c r="BK96" t="s" s="187">
        <f>HYPERLINK("http://dx.doi.org/10.1038/s41467-021-24994-w","http://dx.doi.org/10.1038/s41467-021-24994-w")</f>
        <v>2824</v>
      </c>
      <c r="BL96" t="s" s="0">
        <v>84</v>
      </c>
      <c r="BM96" t="s" s="0">
        <v>84</v>
      </c>
      <c r="BN96" t="s" s="0">
        <v>502</v>
      </c>
      <c r="BO96" t="s" s="0">
        <v>163</v>
      </c>
      <c r="BP96" t="s" s="0">
        <v>164</v>
      </c>
      <c r="BQ96" t="s" s="0">
        <v>2825</v>
      </c>
      <c r="BR96" t="s" s="0">
        <v>2826</v>
      </c>
      <c r="BS96" t="s" s="0">
        <v>2827</v>
      </c>
      <c r="BT96" t="s" s="188">
        <f>HYPERLINK("https://www.webofscience.com/wos/woscc/full-record/WOS:000687171500011","View Record in Web of Science")</f>
        <v>126</v>
      </c>
      <c r="BU96" t="s" s="0">
        <v>168</v>
      </c>
      <c r="BV96" t="s" s="0">
        <v>128</v>
      </c>
      <c r="BW96" t="s" s="0">
        <v>129</v>
      </c>
      <c r="BX96" t="s" s="0">
        <v>130</v>
      </c>
    </row>
    <row r="97">
      <c r="A97" t="s" s="0">
        <v>116</v>
      </c>
      <c r="B97" t="s" s="0">
        <v>78</v>
      </c>
      <c r="C97" t="s" s="0">
        <v>857</v>
      </c>
      <c r="D97" t="s" s="0">
        <v>78</v>
      </c>
      <c r="E97" t="s" s="0">
        <v>2828</v>
      </c>
      <c r="F97" t="s" s="0">
        <v>2829</v>
      </c>
      <c r="G97" t="s" s="0">
        <v>2830</v>
      </c>
      <c r="H97" t="s" s="0">
        <v>84</v>
      </c>
      <c r="I97" t="s" s="0">
        <v>85</v>
      </c>
      <c r="J97" t="s" s="0">
        <v>2831</v>
      </c>
      <c r="K97" t="s" s="0">
        <v>2832</v>
      </c>
      <c r="L97" t="s" s="0">
        <v>2833</v>
      </c>
      <c r="M97" t="s" s="0">
        <v>2834</v>
      </c>
      <c r="N97" t="s" s="0">
        <v>2835</v>
      </c>
      <c r="O97" t="s" s="0">
        <v>2836</v>
      </c>
      <c r="P97" t="s" s="0">
        <v>2837</v>
      </c>
      <c r="Q97" t="s" s="0">
        <v>93</v>
      </c>
      <c r="R97" t="s" s="0">
        <v>84</v>
      </c>
      <c r="S97" t="s" s="0">
        <v>84</v>
      </c>
      <c r="T97" t="s" s="0">
        <v>84</v>
      </c>
      <c r="U97" t="s" s="0">
        <v>84</v>
      </c>
      <c r="V97" t="s" s="0">
        <v>2838</v>
      </c>
      <c r="W97" t="s" s="0">
        <v>2839</v>
      </c>
      <c r="X97" t="s" s="0">
        <v>84</v>
      </c>
      <c r="Y97" t="s" s="0">
        <v>84</v>
      </c>
      <c r="Z97" t="s" s="0">
        <v>96</v>
      </c>
      <c r="AA97" t="s" s="0">
        <v>145</v>
      </c>
      <c r="AB97" t="s" s="0">
        <v>84</v>
      </c>
      <c r="AC97" t="s" s="0">
        <v>84</v>
      </c>
      <c r="AD97" t="s" s="0">
        <v>84</v>
      </c>
      <c r="AE97" t="s" s="0">
        <v>84</v>
      </c>
      <c r="AF97" t="s" s="0">
        <v>84</v>
      </c>
      <c r="AG97" t="s" s="0">
        <v>2840</v>
      </c>
      <c r="AH97" t="s" s="0">
        <v>84</v>
      </c>
      <c r="AI97" t="s" s="0">
        <v>2841</v>
      </c>
      <c r="AJ97" t="s" s="0">
        <v>2842</v>
      </c>
      <c r="AK97" t="s" s="0">
        <v>84</v>
      </c>
      <c r="AL97" t="s" s="0">
        <v>365</v>
      </c>
      <c r="AM97" t="s" s="0">
        <v>2843</v>
      </c>
      <c r="AN97" t="s" s="0">
        <v>2540</v>
      </c>
      <c r="AO97" t="s" s="0">
        <v>453</v>
      </c>
      <c r="AP97" t="s" s="0">
        <v>2844</v>
      </c>
      <c r="AQ97" t="s" s="0">
        <v>1183</v>
      </c>
      <c r="AR97" t="s" s="0">
        <v>1184</v>
      </c>
      <c r="AS97" t="s" s="0">
        <v>1185</v>
      </c>
      <c r="AT97" t="s" s="0">
        <v>2845</v>
      </c>
      <c r="AU97" t="s" s="0">
        <v>84</v>
      </c>
      <c r="AV97" t="s" s="0">
        <v>84</v>
      </c>
      <c r="AW97" t="s" s="0">
        <v>2846</v>
      </c>
      <c r="AX97" t="s" s="0">
        <v>2847</v>
      </c>
      <c r="AY97" t="s" s="0">
        <v>866</v>
      </c>
      <c r="AZ97" t="s" s="0">
        <v>476</v>
      </c>
      <c r="BA97" t="s" s="0">
        <v>344</v>
      </c>
      <c r="BB97" t="s" s="0">
        <v>344</v>
      </c>
      <c r="BC97" t="s" s="0">
        <v>84</v>
      </c>
      <c r="BD97" t="s" s="0">
        <v>84</v>
      </c>
      <c r="BE97" t="s" s="0">
        <v>84</v>
      </c>
      <c r="BF97" t="s" s="0">
        <v>84</v>
      </c>
      <c r="BG97" t="s" s="0">
        <v>2848</v>
      </c>
      <c r="BH97" t="s" s="0">
        <v>2849</v>
      </c>
      <c r="BI97" t="s" s="0">
        <v>84</v>
      </c>
      <c r="BJ97" t="s" s="0">
        <v>2850</v>
      </c>
      <c r="BK97" t="s" s="189">
        <f>HYPERLINK("http://dx.doi.org/10.1109/JIOT.2020.2985082","http://dx.doi.org/10.1109/JIOT.2020.2985082")</f>
        <v>2851</v>
      </c>
      <c r="BL97" t="s" s="0">
        <v>84</v>
      </c>
      <c r="BM97" t="s" s="0">
        <v>84</v>
      </c>
      <c r="BN97" t="s" s="0">
        <v>338</v>
      </c>
      <c r="BO97" t="s" s="0">
        <v>1470</v>
      </c>
      <c r="BP97" t="s" s="0">
        <v>1471</v>
      </c>
      <c r="BQ97" t="s" s="0">
        <v>2852</v>
      </c>
      <c r="BR97" t="s" s="0">
        <v>84</v>
      </c>
      <c r="BS97" t="s" s="0">
        <v>2853</v>
      </c>
      <c r="BT97" t="s" s="190">
        <f>HYPERLINK("https://www.webofscience.com/wos/woscc/full-record/WOS:000548817900066","View Record in Web of Science")</f>
        <v>126</v>
      </c>
      <c r="BU97" t="s" s="0">
        <v>127</v>
      </c>
      <c r="BV97" t="s" s="0">
        <v>128</v>
      </c>
      <c r="BW97" t="s" s="0">
        <v>129</v>
      </c>
      <c r="BX97" t="s" s="0">
        <v>130</v>
      </c>
    </row>
    <row r="98">
      <c r="A98" t="s" s="0">
        <v>170</v>
      </c>
      <c r="B98" t="s" s="0">
        <v>78</v>
      </c>
      <c r="C98" t="s" s="0">
        <v>2854</v>
      </c>
      <c r="D98" t="s" s="0">
        <v>78</v>
      </c>
      <c r="E98" t="s" s="0">
        <v>2855</v>
      </c>
      <c r="F98" t="s" s="0">
        <v>2856</v>
      </c>
      <c r="G98" t="s" s="0">
        <v>2857</v>
      </c>
      <c r="H98" t="s" s="0">
        <v>84</v>
      </c>
      <c r="I98" t="s" s="0">
        <v>283</v>
      </c>
      <c r="J98" t="s" s="0">
        <v>2858</v>
      </c>
      <c r="K98" t="s" s="0">
        <v>84</v>
      </c>
      <c r="L98" t="s" s="0">
        <v>2859</v>
      </c>
      <c r="M98" t="s" s="0">
        <v>2860</v>
      </c>
      <c r="N98" t="s" s="0">
        <v>2861</v>
      </c>
      <c r="O98" t="s" s="0">
        <v>2862</v>
      </c>
      <c r="P98" t="s" s="0">
        <v>2863</v>
      </c>
      <c r="Q98" t="s" s="0">
        <v>93</v>
      </c>
      <c r="R98" t="s" s="0">
        <v>84</v>
      </c>
      <c r="S98" t="s" s="0">
        <v>84</v>
      </c>
      <c r="T98" t="s" s="0">
        <v>84</v>
      </c>
      <c r="U98" t="s" s="0">
        <v>84</v>
      </c>
      <c r="V98" t="s" s="0">
        <v>2864</v>
      </c>
      <c r="W98" t="s" s="0">
        <v>1016</v>
      </c>
      <c r="X98" t="s" s="0">
        <v>84</v>
      </c>
      <c r="Y98" t="s" s="0">
        <v>84</v>
      </c>
      <c r="Z98" t="s" s="0">
        <v>96</v>
      </c>
      <c r="AA98" t="s" s="0">
        <v>145</v>
      </c>
      <c r="AB98" t="s" s="0">
        <v>84</v>
      </c>
      <c r="AC98" t="s" s="0">
        <v>84</v>
      </c>
      <c r="AD98" t="s" s="0">
        <v>84</v>
      </c>
      <c r="AE98" t="s" s="0">
        <v>84</v>
      </c>
      <c r="AF98" t="s" s="0">
        <v>84</v>
      </c>
      <c r="AG98" t="s" s="0">
        <v>2865</v>
      </c>
      <c r="AH98" t="s" s="0">
        <v>2866</v>
      </c>
      <c r="AI98" t="s" s="0">
        <v>2867</v>
      </c>
      <c r="AJ98" t="s" s="0">
        <v>2868</v>
      </c>
      <c r="AK98" t="s" s="0">
        <v>84</v>
      </c>
      <c r="AL98" t="s" s="0">
        <v>1059</v>
      </c>
      <c r="AM98" t="s" s="0">
        <v>1669</v>
      </c>
      <c r="AN98" t="s" s="0">
        <v>2654</v>
      </c>
      <c r="AO98" t="s" s="0">
        <v>453</v>
      </c>
      <c r="AP98" t="s" s="0">
        <v>2844</v>
      </c>
      <c r="AQ98" t="s" s="0">
        <v>400</v>
      </c>
      <c r="AR98" t="s" s="0">
        <v>401</v>
      </c>
      <c r="AS98" t="s" s="0">
        <v>402</v>
      </c>
      <c r="AT98" t="s" s="0">
        <v>1025</v>
      </c>
      <c r="AU98" t="s" s="0">
        <v>1026</v>
      </c>
      <c r="AV98" t="s" s="0">
        <v>84</v>
      </c>
      <c r="AW98" t="s" s="0">
        <v>1016</v>
      </c>
      <c r="AX98" t="s" s="0">
        <v>1027</v>
      </c>
      <c r="AY98" t="s" s="0">
        <v>202</v>
      </c>
      <c r="AZ98" t="s" s="0">
        <v>197</v>
      </c>
      <c r="BA98" t="s" s="0">
        <v>248</v>
      </c>
      <c r="BB98" t="s" s="0">
        <v>170</v>
      </c>
      <c r="BC98" t="s" s="0">
        <v>84</v>
      </c>
      <c r="BD98" t="s" s="0">
        <v>84</v>
      </c>
      <c r="BE98" t="s" s="0">
        <v>84</v>
      </c>
      <c r="BF98" t="s" s="0">
        <v>84</v>
      </c>
      <c r="BG98" t="s" s="0">
        <v>2311</v>
      </c>
      <c r="BH98" t="s" s="0">
        <v>2869</v>
      </c>
      <c r="BI98" t="s" s="0">
        <v>84</v>
      </c>
      <c r="BJ98" t="s" s="0">
        <v>2870</v>
      </c>
      <c r="BK98" t="s" s="191">
        <f>HYPERLINK("http://dx.doi.org/10.1002/wps.20882","http://dx.doi.org/10.1002/wps.20882")</f>
        <v>2871</v>
      </c>
      <c r="BL98" t="s" s="0">
        <v>84</v>
      </c>
      <c r="BM98" t="s" s="0">
        <v>84</v>
      </c>
      <c r="BN98" t="s" s="0">
        <v>308</v>
      </c>
      <c r="BO98" t="s" s="0">
        <v>1033</v>
      </c>
      <c r="BP98" t="s" s="0">
        <v>1033</v>
      </c>
      <c r="BQ98" t="s" s="0">
        <v>2872</v>
      </c>
      <c r="BR98" t="s" s="0">
        <v>2873</v>
      </c>
      <c r="BS98" t="s" s="0">
        <v>2874</v>
      </c>
      <c r="BT98" t="s" s="192">
        <f>HYPERLINK("https://www.webofscience.com/wos/woscc/full-record/WOS:000651412600003","View Record in Web of Science")</f>
        <v>126</v>
      </c>
      <c r="BU98" t="s" s="0">
        <v>127</v>
      </c>
      <c r="BV98" t="s" s="0">
        <v>128</v>
      </c>
      <c r="BW98" t="s" s="0">
        <v>129</v>
      </c>
      <c r="BX98" t="s" s="0">
        <v>130</v>
      </c>
    </row>
    <row r="99">
      <c r="A99" t="s" s="0">
        <v>539</v>
      </c>
      <c r="B99" t="s" s="0">
        <v>78</v>
      </c>
      <c r="C99" t="s" s="0">
        <v>296</v>
      </c>
      <c r="D99" t="s" s="0">
        <v>78</v>
      </c>
      <c r="E99" t="s" s="0">
        <v>2875</v>
      </c>
      <c r="F99" t="s" s="0">
        <v>2876</v>
      </c>
      <c r="G99" t="s" s="0">
        <v>2877</v>
      </c>
      <c r="H99" t="s" s="0">
        <v>84</v>
      </c>
      <c r="I99" t="s" s="0">
        <v>85</v>
      </c>
      <c r="J99" t="s" s="0">
        <v>2878</v>
      </c>
      <c r="K99" t="s" s="0">
        <v>2879</v>
      </c>
      <c r="L99" t="s" s="0">
        <v>2880</v>
      </c>
      <c r="M99" t="s" s="0">
        <v>2881</v>
      </c>
      <c r="N99" t="s" s="0">
        <v>2882</v>
      </c>
      <c r="O99" t="s" s="0">
        <v>2883</v>
      </c>
      <c r="P99" t="s" s="0">
        <v>2884</v>
      </c>
      <c r="Q99" t="s" s="0">
        <v>93</v>
      </c>
      <c r="R99" t="s" s="0">
        <v>84</v>
      </c>
      <c r="S99" t="s" s="0">
        <v>84</v>
      </c>
      <c r="T99" t="s" s="0">
        <v>84</v>
      </c>
      <c r="U99" t="s" s="0">
        <v>84</v>
      </c>
      <c r="V99" t="s" s="0">
        <v>2885</v>
      </c>
      <c r="W99" t="s" s="0">
        <v>769</v>
      </c>
      <c r="X99" t="s" s="0">
        <v>84</v>
      </c>
      <c r="Y99" t="s" s="0">
        <v>84</v>
      </c>
      <c r="Z99" t="s" s="0">
        <v>96</v>
      </c>
      <c r="AA99" t="s" s="0">
        <v>97</v>
      </c>
      <c r="AB99" t="s" s="0">
        <v>84</v>
      </c>
      <c r="AC99" t="s" s="0">
        <v>84</v>
      </c>
      <c r="AD99" t="s" s="0">
        <v>84</v>
      </c>
      <c r="AE99" t="s" s="0">
        <v>84</v>
      </c>
      <c r="AF99" t="s" s="0">
        <v>84</v>
      </c>
      <c r="AG99" t="s" s="0">
        <v>84</v>
      </c>
      <c r="AH99" t="s" s="0">
        <v>2886</v>
      </c>
      <c r="AI99" t="s" s="0">
        <v>2887</v>
      </c>
      <c r="AJ99" t="s" s="0">
        <v>2888</v>
      </c>
      <c r="AK99" t="s" s="0">
        <v>84</v>
      </c>
      <c r="AL99" t="s" s="0">
        <v>2000</v>
      </c>
      <c r="AM99" t="s" s="0">
        <v>974</v>
      </c>
      <c r="AN99" t="s" s="0">
        <v>2889</v>
      </c>
      <c r="AO99" t="s" s="0">
        <v>539</v>
      </c>
      <c r="AP99" t="s" s="0">
        <v>2209</v>
      </c>
      <c r="AQ99" t="s" s="0">
        <v>106</v>
      </c>
      <c r="AR99" t="s" s="0">
        <v>107</v>
      </c>
      <c r="AS99" t="s" s="0">
        <v>108</v>
      </c>
      <c r="AT99" t="s" s="0">
        <v>776</v>
      </c>
      <c r="AU99" t="s" s="0">
        <v>84</v>
      </c>
      <c r="AV99" t="s" s="0">
        <v>84</v>
      </c>
      <c r="AW99" t="s" s="0">
        <v>777</v>
      </c>
      <c r="AX99" t="s" s="0">
        <v>778</v>
      </c>
      <c r="AY99" t="s" s="0">
        <v>2890</v>
      </c>
      <c r="AZ99" t="s" s="0">
        <v>237</v>
      </c>
      <c r="BA99" t="s" s="0">
        <v>211</v>
      </c>
      <c r="BB99" t="s" s="0">
        <v>159</v>
      </c>
      <c r="BC99" t="s" s="0">
        <v>84</v>
      </c>
      <c r="BD99" t="s" s="0">
        <v>84</v>
      </c>
      <c r="BE99" t="s" s="0">
        <v>84</v>
      </c>
      <c r="BF99" t="s" s="0">
        <v>84</v>
      </c>
      <c r="BG99" t="s" s="0">
        <v>84</v>
      </c>
      <c r="BH99" t="s" s="0">
        <v>84</v>
      </c>
      <c r="BI99" t="s" s="0">
        <v>2891</v>
      </c>
      <c r="BJ99" t="s" s="0">
        <v>2892</v>
      </c>
      <c r="BK99" t="s" s="193">
        <f>HYPERLINK("http://dx.doi.org/10.1038/s41746-022-00712-8","http://dx.doi.org/10.1038/s41746-022-00712-8")</f>
        <v>2893</v>
      </c>
      <c r="BL99" t="s" s="0">
        <v>84</v>
      </c>
      <c r="BM99" t="s" s="0">
        <v>84</v>
      </c>
      <c r="BN99" t="s" s="0">
        <v>502</v>
      </c>
      <c r="BO99" t="s" s="0">
        <v>782</v>
      </c>
      <c r="BP99" t="s" s="0">
        <v>782</v>
      </c>
      <c r="BQ99" t="s" s="0">
        <v>2894</v>
      </c>
      <c r="BR99" t="s" s="0">
        <v>2895</v>
      </c>
      <c r="BS99" t="s" s="0">
        <v>2896</v>
      </c>
      <c r="BT99" t="s" s="194">
        <f>HYPERLINK("https://www.webofscience.com/wos/woscc/full-record/WOS:000879780400001","View Record in Web of Science")</f>
        <v>126</v>
      </c>
      <c r="BU99" t="s" s="0">
        <v>168</v>
      </c>
      <c r="BV99" t="s" s="0">
        <v>128</v>
      </c>
      <c r="BW99" t="s" s="0">
        <v>129</v>
      </c>
      <c r="BX99" t="s" s="0">
        <v>130</v>
      </c>
    </row>
    <row r="100">
      <c r="A100" t="s" s="0">
        <v>211</v>
      </c>
      <c r="B100" t="s" s="0">
        <v>78</v>
      </c>
      <c r="C100" t="s" s="0">
        <v>148</v>
      </c>
      <c r="D100" t="s" s="0">
        <v>78</v>
      </c>
      <c r="E100" t="s" s="0">
        <v>2897</v>
      </c>
      <c r="F100" t="s" s="0">
        <v>2898</v>
      </c>
      <c r="G100" t="s" s="0">
        <v>2899</v>
      </c>
      <c r="H100" t="s" s="0">
        <v>84</v>
      </c>
      <c r="I100" t="s" s="0">
        <v>85</v>
      </c>
      <c r="J100" t="s" s="0">
        <v>2900</v>
      </c>
      <c r="K100" t="s" s="0">
        <v>2901</v>
      </c>
      <c r="L100" t="s" s="0">
        <v>84</v>
      </c>
      <c r="M100" t="s" s="0">
        <v>84</v>
      </c>
      <c r="N100" t="s" s="0">
        <v>84</v>
      </c>
      <c r="O100" t="s" s="0">
        <v>2902</v>
      </c>
      <c r="P100" t="s" s="0">
        <v>2903</v>
      </c>
      <c r="Q100" t="s" s="0">
        <v>93</v>
      </c>
      <c r="R100" t="s" s="0">
        <v>84</v>
      </c>
      <c r="S100" t="s" s="0">
        <v>84</v>
      </c>
      <c r="T100" t="s" s="0">
        <v>84</v>
      </c>
      <c r="U100" t="s" s="0">
        <v>84</v>
      </c>
      <c r="V100" t="s" s="0">
        <v>2904</v>
      </c>
      <c r="W100" t="s" s="0">
        <v>2905</v>
      </c>
      <c r="X100" t="s" s="0">
        <v>84</v>
      </c>
      <c r="Y100" t="s" s="0">
        <v>84</v>
      </c>
      <c r="Z100" t="s" s="0">
        <v>96</v>
      </c>
      <c r="AA100" t="s" s="0">
        <v>97</v>
      </c>
      <c r="AB100" t="s" s="0">
        <v>84</v>
      </c>
      <c r="AC100" t="s" s="0">
        <v>84</v>
      </c>
      <c r="AD100" t="s" s="0">
        <v>84</v>
      </c>
      <c r="AE100" t="s" s="0">
        <v>84</v>
      </c>
      <c r="AF100" t="s" s="0">
        <v>84</v>
      </c>
      <c r="AG100" t="s" s="0">
        <v>2906</v>
      </c>
      <c r="AH100" t="s" s="0">
        <v>2907</v>
      </c>
      <c r="AI100" t="s" s="0">
        <v>2908</v>
      </c>
      <c r="AJ100" t="s" s="0">
        <v>2909</v>
      </c>
      <c r="AK100" t="s" s="0">
        <v>84</v>
      </c>
      <c r="AL100" t="s" s="0">
        <v>2910</v>
      </c>
      <c r="AM100" t="s" s="0">
        <v>934</v>
      </c>
      <c r="AN100" t="s" s="0">
        <v>1570</v>
      </c>
      <c r="AO100" t="s" s="0">
        <v>115</v>
      </c>
      <c r="AP100" t="s" s="0">
        <v>2911</v>
      </c>
      <c r="AQ100" t="s" s="0">
        <v>961</v>
      </c>
      <c r="AR100" t="s" s="0">
        <v>682</v>
      </c>
      <c r="AS100" t="s" s="0">
        <v>962</v>
      </c>
      <c r="AT100" t="s" s="0">
        <v>2912</v>
      </c>
      <c r="AU100" t="s" s="0">
        <v>2913</v>
      </c>
      <c r="AV100" t="s" s="0">
        <v>84</v>
      </c>
      <c r="AW100" t="s" s="0">
        <v>2914</v>
      </c>
      <c r="AX100" t="s" s="0">
        <v>2915</v>
      </c>
      <c r="AY100" t="s" s="0">
        <v>2916</v>
      </c>
      <c r="AZ100" t="s" s="0">
        <v>157</v>
      </c>
      <c r="BA100" t="s" s="0">
        <v>2917</v>
      </c>
      <c r="BB100" t="s" s="0">
        <v>159</v>
      </c>
      <c r="BC100" t="s" s="0">
        <v>84</v>
      </c>
      <c r="BD100" t="s" s="0">
        <v>84</v>
      </c>
      <c r="BE100" t="s" s="0">
        <v>84</v>
      </c>
      <c r="BF100" t="s" s="0">
        <v>84</v>
      </c>
      <c r="BG100" t="s" s="0">
        <v>250</v>
      </c>
      <c r="BH100" t="s" s="0">
        <v>158</v>
      </c>
      <c r="BI100" t="s" s="0">
        <v>84</v>
      </c>
      <c r="BJ100" t="s" s="0">
        <v>2918</v>
      </c>
      <c r="BK100" t="s" s="195">
        <f>HYPERLINK("http://dx.doi.org/10.1007/s11604-023-01474-3","http://dx.doi.org/10.1007/s11604-023-01474-3")</f>
        <v>2919</v>
      </c>
      <c r="BL100" t="s" s="0">
        <v>84</v>
      </c>
      <c r="BM100" t="s" s="0">
        <v>2066</v>
      </c>
      <c r="BN100" t="s" s="0">
        <v>539</v>
      </c>
      <c r="BO100" t="s" s="0">
        <v>447</v>
      </c>
      <c r="BP100" t="s" s="0">
        <v>447</v>
      </c>
      <c r="BQ100" t="s" s="0">
        <v>2920</v>
      </c>
      <c r="BR100" t="s" s="0">
        <v>2921</v>
      </c>
      <c r="BS100" t="s" s="0">
        <v>2922</v>
      </c>
      <c r="BT100" t="s" s="196">
        <f>HYPERLINK("https://www.webofscience.com/wos/woscc/full-record/WOS:001043049800002","View Record in Web of Science")</f>
        <v>126</v>
      </c>
      <c r="BU100" t="s" s="0">
        <v>941</v>
      </c>
      <c r="BV100" t="s" s="0">
        <v>128</v>
      </c>
      <c r="BW100" t="s" s="0">
        <v>129</v>
      </c>
      <c r="BX100" t="s" s="0">
        <v>130</v>
      </c>
    </row>
    <row r="101">
      <c r="A101" t="s" s="0">
        <v>159</v>
      </c>
      <c r="B101" t="s" s="0">
        <v>78</v>
      </c>
      <c r="C101" t="s" s="0">
        <v>677</v>
      </c>
      <c r="D101" t="s" s="0">
        <v>78</v>
      </c>
      <c r="E101" t="s" s="0">
        <v>2923</v>
      </c>
      <c r="F101" t="s" s="0">
        <v>2924</v>
      </c>
      <c r="G101" t="s" s="0">
        <v>2925</v>
      </c>
      <c r="H101" t="s" s="0">
        <v>84</v>
      </c>
      <c r="I101" t="s" s="0">
        <v>1342</v>
      </c>
      <c r="J101" t="s" s="0">
        <v>2926</v>
      </c>
      <c r="K101" t="s" s="0">
        <v>2927</v>
      </c>
      <c r="L101" t="s" s="0">
        <v>84</v>
      </c>
      <c r="M101" t="s" s="0">
        <v>84</v>
      </c>
      <c r="N101" t="s" s="0">
        <v>84</v>
      </c>
      <c r="O101" t="s" s="0">
        <v>2928</v>
      </c>
      <c r="P101" t="s" s="0">
        <v>2929</v>
      </c>
      <c r="Q101" t="s" s="0">
        <v>93</v>
      </c>
      <c r="R101" t="s" s="0">
        <v>84</v>
      </c>
      <c r="S101" t="s" s="0">
        <v>84</v>
      </c>
      <c r="T101" t="s" s="0">
        <v>84</v>
      </c>
      <c r="U101" t="s" s="0">
        <v>84</v>
      </c>
      <c r="V101" t="s" s="0">
        <v>2930</v>
      </c>
      <c r="W101" t="s" s="0">
        <v>2762</v>
      </c>
      <c r="X101" t="s" s="0">
        <v>84</v>
      </c>
      <c r="Y101" t="s" s="0">
        <v>84</v>
      </c>
      <c r="Z101" t="s" s="0">
        <v>96</v>
      </c>
      <c r="AA101" t="s" s="0">
        <v>97</v>
      </c>
      <c r="AB101" t="s" s="0">
        <v>84</v>
      </c>
      <c r="AC101" t="s" s="0">
        <v>84</v>
      </c>
      <c r="AD101" t="s" s="0">
        <v>84</v>
      </c>
      <c r="AE101" t="s" s="0">
        <v>84</v>
      </c>
      <c r="AF101" t="s" s="0">
        <v>84</v>
      </c>
      <c r="AG101" t="s" s="0">
        <v>84</v>
      </c>
      <c r="AH101" t="s" s="0">
        <v>2931</v>
      </c>
      <c r="AI101" t="s" s="0">
        <v>2932</v>
      </c>
      <c r="AJ101" t="s" s="0">
        <v>2933</v>
      </c>
      <c r="AK101" t="s" s="0">
        <v>84</v>
      </c>
      <c r="AL101" t="s" s="0">
        <v>2934</v>
      </c>
      <c r="AM101" t="s" s="0">
        <v>697</v>
      </c>
      <c r="AN101" t="s" s="0">
        <v>2436</v>
      </c>
      <c r="AO101" t="s" s="0">
        <v>116</v>
      </c>
      <c r="AP101" t="s" s="0">
        <v>308</v>
      </c>
      <c r="AQ101" t="s" s="0">
        <v>2766</v>
      </c>
      <c r="AR101" t="s" s="0">
        <v>2767</v>
      </c>
      <c r="AS101" t="s" s="0">
        <v>2768</v>
      </c>
      <c r="AT101" t="s" s="0">
        <v>84</v>
      </c>
      <c r="AU101" t="s" s="0">
        <v>2769</v>
      </c>
      <c r="AV101" t="s" s="0">
        <v>84</v>
      </c>
      <c r="AW101" t="s" s="0">
        <v>2770</v>
      </c>
      <c r="AX101" t="s" s="0">
        <v>2771</v>
      </c>
      <c r="AY101" t="s" s="0">
        <v>2935</v>
      </c>
      <c r="AZ101" t="s" s="0">
        <v>157</v>
      </c>
      <c r="BA101" t="s" s="0">
        <v>250</v>
      </c>
      <c r="BB101" t="s" s="0">
        <v>121</v>
      </c>
      <c r="BC101" t="s" s="0">
        <v>84</v>
      </c>
      <c r="BD101" t="s" s="0">
        <v>84</v>
      </c>
      <c r="BE101" t="s" s="0">
        <v>84</v>
      </c>
      <c r="BF101" t="s" s="0">
        <v>84</v>
      </c>
      <c r="BG101" t="s" s="0">
        <v>84</v>
      </c>
      <c r="BH101" t="s" s="0">
        <v>84</v>
      </c>
      <c r="BI101" t="s" s="0">
        <v>2936</v>
      </c>
      <c r="BJ101" t="s" s="0">
        <v>2937</v>
      </c>
      <c r="BK101" t="s" s="197">
        <f>HYPERLINK("http://dx.doi.org/10.1371/journal.pdig.0000651","http://dx.doi.org/10.1371/journal.pdig.0000651")</f>
        <v>2938</v>
      </c>
      <c r="BL101" t="s" s="0">
        <v>84</v>
      </c>
      <c r="BM101" t="s" s="0">
        <v>84</v>
      </c>
      <c r="BN101" t="s" s="0">
        <v>436</v>
      </c>
      <c r="BO101" t="s" s="0">
        <v>782</v>
      </c>
      <c r="BP101" t="s" s="0">
        <v>782</v>
      </c>
      <c r="BQ101" t="s" s="0">
        <v>2939</v>
      </c>
      <c r="BR101" t="s" s="0">
        <v>2940</v>
      </c>
      <c r="BS101" t="s" s="0">
        <v>2941</v>
      </c>
      <c r="BT101" t="s" s="198">
        <f>HYPERLINK("https://www.webofscience.com/wos/woscc/full-record/WOS:001416955700001","View Record in Web of Science")</f>
        <v>126</v>
      </c>
      <c r="BU101" t="s" s="0">
        <v>168</v>
      </c>
      <c r="BV101" t="s" s="0">
        <v>84</v>
      </c>
      <c r="BW101" t="s" s="0">
        <v>84</v>
      </c>
      <c r="BX101" t="s" s="0">
        <v>130</v>
      </c>
    </row>
    <row r="10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T18" r:id="rId33"/>
    <hyperlink ref="BK19" r:id="rId34"/>
    <hyperlink ref="BT19" r:id="rId35"/>
    <hyperlink ref="BK20" r:id="rId36"/>
    <hyperlink ref="BT20" r:id="rId37"/>
    <hyperlink ref="BK21" r:id="rId38"/>
    <hyperlink ref="BT21" r:id="rId39"/>
    <hyperlink ref="BK22" r:id="rId40"/>
    <hyperlink ref="BT22" r:id="rId41"/>
    <hyperlink ref="BK23" r:id="rId42"/>
    <hyperlink ref="BT23" r:id="rId43"/>
    <hyperlink ref="BK24" r:id="rId44"/>
    <hyperlink ref="BT24" r:id="rId45"/>
    <hyperlink ref="BK25" r:id="rId46"/>
    <hyperlink ref="BT25" r:id="rId47"/>
    <hyperlink ref="BK26" r:id="rId48"/>
    <hyperlink ref="BT26" r:id="rId49"/>
    <hyperlink ref="BK27" r:id="rId50"/>
    <hyperlink ref="BT27" r:id="rId51"/>
    <hyperlink ref="BK28" r:id="rId52"/>
    <hyperlink ref="BT28" r:id="rId53"/>
    <hyperlink ref="BK29" r:id="rId54"/>
    <hyperlink ref="BT29" r:id="rId55"/>
    <hyperlink ref="BK30" r:id="rId56"/>
    <hyperlink ref="BT30" r:id="rId57"/>
    <hyperlink ref="BK31" r:id="rId58"/>
    <hyperlink ref="BT31" r:id="rId59"/>
    <hyperlink ref="BK32" r:id="rId60"/>
    <hyperlink ref="BT32" r:id="rId61"/>
    <hyperlink ref="BK33" r:id="rId62"/>
    <hyperlink ref="BT33" r:id="rId63"/>
    <hyperlink ref="BK34" r:id="rId64"/>
    <hyperlink ref="BT34" r:id="rId65"/>
    <hyperlink ref="BK35" r:id="rId66"/>
    <hyperlink ref="BT35" r:id="rId67"/>
    <hyperlink ref="BK36" r:id="rId68"/>
    <hyperlink ref="BT36" r:id="rId69"/>
    <hyperlink ref="BK37" r:id="rId70"/>
    <hyperlink ref="BT37" r:id="rId71"/>
    <hyperlink ref="BK38" r:id="rId72"/>
    <hyperlink ref="BT38" r:id="rId73"/>
    <hyperlink ref="BK39" r:id="rId74"/>
    <hyperlink ref="BT39" r:id="rId75"/>
    <hyperlink ref="BK40" r:id="rId76"/>
    <hyperlink ref="BT40" r:id="rId77"/>
    <hyperlink ref="BK41" r:id="rId78"/>
    <hyperlink ref="BT41" r:id="rId79"/>
    <hyperlink ref="BK42" r:id="rId80"/>
    <hyperlink ref="BT42" r:id="rId81"/>
    <hyperlink ref="BK43" r:id="rId82"/>
    <hyperlink ref="BT43" r:id="rId83"/>
    <hyperlink ref="BK44" r:id="rId84"/>
    <hyperlink ref="BT44" r:id="rId85"/>
    <hyperlink ref="BK45" r:id="rId86"/>
    <hyperlink ref="BT45" r:id="rId87"/>
    <hyperlink ref="BK46" r:id="rId88"/>
    <hyperlink ref="BT46" r:id="rId89"/>
    <hyperlink ref="BK47" r:id="rId90"/>
    <hyperlink ref="BT47" r:id="rId91"/>
    <hyperlink ref="BK48" r:id="rId92"/>
    <hyperlink ref="BT48" r:id="rId93"/>
    <hyperlink ref="BK49" r:id="rId94"/>
    <hyperlink ref="BT49" r:id="rId95"/>
    <hyperlink ref="BK50" r:id="rId96"/>
    <hyperlink ref="BT50" r:id="rId97"/>
    <hyperlink ref="BK51" r:id="rId98"/>
    <hyperlink ref="BT51" r:id="rId99"/>
    <hyperlink ref="BK52" r:id="rId100"/>
    <hyperlink ref="BT52" r:id="rId101"/>
    <hyperlink ref="BK53" r:id="rId102"/>
    <hyperlink ref="BT53" r:id="rId103"/>
    <hyperlink ref="BK54" r:id="rId104"/>
    <hyperlink ref="BT54" r:id="rId105"/>
    <hyperlink ref="BK55" r:id="rId106"/>
    <hyperlink ref="BT55" r:id="rId107"/>
    <hyperlink ref="BK56" r:id="rId108"/>
    <hyperlink ref="BT56" r:id="rId109"/>
    <hyperlink ref="BK57" r:id="rId110"/>
    <hyperlink ref="BT57" r:id="rId111"/>
    <hyperlink ref="BK58" r:id="rId112"/>
    <hyperlink ref="BT58" r:id="rId113"/>
    <hyperlink ref="BK59" r:id="rId114"/>
    <hyperlink ref="BT59" r:id="rId115"/>
    <hyperlink ref="BK60" r:id="rId116"/>
    <hyperlink ref="BT60" r:id="rId117"/>
    <hyperlink ref="BK61" r:id="rId118"/>
    <hyperlink ref="BT61" r:id="rId119"/>
    <hyperlink ref="BK62" r:id="rId120"/>
    <hyperlink ref="BT62" r:id="rId121"/>
    <hyperlink ref="BK63" r:id="rId122"/>
    <hyperlink ref="BT63" r:id="rId123"/>
    <hyperlink ref="BK64" r:id="rId124"/>
    <hyperlink ref="BT64" r:id="rId125"/>
    <hyperlink ref="BK65" r:id="rId126"/>
    <hyperlink ref="BT65" r:id="rId127"/>
    <hyperlink ref="BK66" r:id="rId128"/>
    <hyperlink ref="BT66" r:id="rId129"/>
    <hyperlink ref="BK67" r:id="rId130"/>
    <hyperlink ref="BT67" r:id="rId131"/>
    <hyperlink ref="BK68" r:id="rId132"/>
    <hyperlink ref="BT68" r:id="rId133"/>
    <hyperlink ref="BK69" r:id="rId134"/>
    <hyperlink ref="BT69" r:id="rId135"/>
    <hyperlink ref="BK70" r:id="rId136"/>
    <hyperlink ref="BT70" r:id="rId137"/>
    <hyperlink ref="BK71" r:id="rId138"/>
    <hyperlink ref="BT71" r:id="rId139"/>
    <hyperlink ref="BK72" r:id="rId140"/>
    <hyperlink ref="BT72" r:id="rId141"/>
    <hyperlink ref="BK73" r:id="rId142"/>
    <hyperlink ref="BT73" r:id="rId143"/>
    <hyperlink ref="BK74" r:id="rId144"/>
    <hyperlink ref="BT74" r:id="rId145"/>
    <hyperlink ref="BK75" r:id="rId146"/>
    <hyperlink ref="BT75" r:id="rId147"/>
    <hyperlink ref="BK76" r:id="rId148"/>
    <hyperlink ref="BT76" r:id="rId149"/>
    <hyperlink ref="BK77" r:id="rId150"/>
    <hyperlink ref="BT77" r:id="rId151"/>
    <hyperlink ref="BK78" r:id="rId152"/>
    <hyperlink ref="BT78" r:id="rId153"/>
    <hyperlink ref="BK79" r:id="rId154"/>
    <hyperlink ref="BT79" r:id="rId155"/>
    <hyperlink ref="BK80" r:id="rId156"/>
    <hyperlink ref="BT80" r:id="rId157"/>
    <hyperlink ref="BK81" r:id="rId158"/>
    <hyperlink ref="BT81" r:id="rId159"/>
    <hyperlink ref="BK82" r:id="rId160"/>
    <hyperlink ref="BT82" r:id="rId161"/>
    <hyperlink ref="BK83" r:id="rId162"/>
    <hyperlink ref="BT83" r:id="rId163"/>
    <hyperlink ref="BK84" r:id="rId164"/>
    <hyperlink ref="BT84" r:id="rId165"/>
    <hyperlink ref="BK85" r:id="rId166"/>
    <hyperlink ref="BT85" r:id="rId167"/>
    <hyperlink ref="BT86" r:id="rId168"/>
    <hyperlink ref="BK87" r:id="rId169"/>
    <hyperlink ref="BT87" r:id="rId170"/>
    <hyperlink ref="BK88" r:id="rId171"/>
    <hyperlink ref="BT88" r:id="rId172"/>
    <hyperlink ref="BK89" r:id="rId173"/>
    <hyperlink ref="BT89" r:id="rId174"/>
    <hyperlink ref="BK90" r:id="rId175"/>
    <hyperlink ref="BT90" r:id="rId176"/>
    <hyperlink ref="BK91" r:id="rId177"/>
    <hyperlink ref="BT91" r:id="rId178"/>
    <hyperlink ref="BK92" r:id="rId179"/>
    <hyperlink ref="BT92" r:id="rId180"/>
    <hyperlink ref="BK93" r:id="rId181"/>
    <hyperlink ref="BT93" r:id="rId182"/>
    <hyperlink ref="BK94" r:id="rId183"/>
    <hyperlink ref="BT94" r:id="rId184"/>
    <hyperlink ref="BK95" r:id="rId185"/>
    <hyperlink ref="BT95" r:id="rId186"/>
    <hyperlink ref="BK96" r:id="rId187"/>
    <hyperlink ref="BT96" r:id="rId188"/>
    <hyperlink ref="BK97" r:id="rId189"/>
    <hyperlink ref="BT97" r:id="rId190"/>
    <hyperlink ref="BK98" r:id="rId191"/>
    <hyperlink ref="BT98" r:id="rId192"/>
    <hyperlink ref="BK99" r:id="rId193"/>
    <hyperlink ref="BT99" r:id="rId194"/>
    <hyperlink ref="BK100" r:id="rId195"/>
    <hyperlink ref="BT100" r:id="rId196"/>
    <hyperlink ref="BK101" r:id="rId197"/>
    <hyperlink ref="BT101" r:id="rId198"/>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2026-08-25T21:44:37Z</dcterms:created>
  <dc:creator>Apache POI</dc:creator>
</cp:coreProperties>
</file>
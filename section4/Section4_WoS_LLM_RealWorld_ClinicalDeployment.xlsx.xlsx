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 name="OverflowData" r:id="rId4" sheetId="2"/>
  </sheets>
</workbook>
</file>

<file path=xl/sharedStrings.xml><?xml version="1.0" encoding="utf-8"?>
<sst xmlns="http://schemas.openxmlformats.org/spreadsheetml/2006/main" count="6850" uniqueCount="2298">
  <si>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</si>
  <si>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</si>
  <si>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</si>
  <si>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</si>
  <si>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</si>
  <si>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</si>
  <si>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</si>
  <si>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</si>
  <si>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</si>
  <si>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</si>
  <si>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</si>
  <si>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</si>
  <si>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</si>
  <si>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</si>
  <si>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</si>
  <si>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</si>
  <si>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</si>
  <si>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</si>
  <si>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</si>
  <si>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</si>
  <si>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</si>
  <si>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</si>
  <si>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</si>
  <si>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</si>
  <si>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</si>
  <si>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</si>
  <si>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</si>
  <si>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</si>
  <si>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</si>
  <si>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</si>
  <si>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</si>
  <si>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</si>
  <si>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</si>
  <si>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</si>
  <si>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</si>
  <si>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</si>
  <si>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</si>
  <si>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</si>
  <si>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</si>
  <si>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</si>
  <si>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</si>
  <si>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</si>
  <si>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</si>
  <si>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</si>
  <si>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</si>
  <si>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</si>
  <si>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</si>
  <si>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</si>
  <si>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</si>
  <si>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</si>
  <si>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</si>
  <si>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</si>
  <si>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</si>
  <si>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</si>
  <si>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</si>
  <si>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</si>
  <si>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</si>
  <si>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</si>
  <si>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</si>
  <si>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</si>
  <si>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</si>
  <si>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</si>
  <si>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</si>
  <si>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</si>
  <si>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</si>
  <si>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</si>
  <si>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</si>
  <si>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</si>
  <si>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</si>
  <si>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</si>
  <si>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</si>
  <si>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</si>
  <si>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</si>
  <si>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</si>
  <si>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</si>
  <si>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</si>
  <si>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</si>
  <si>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</si>
  <si>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Santamaria, T</t>
  </si>
  <si>
    <t/>
  </si>
  <si>
    <t>Santamaria, Thomas</t>
  </si>
  <si>
    <t>Science Citation Index Expanded (SCI-EXPANDED)</t>
  </si>
  <si>
    <t>Santamaria, T (corresponding author), DePaul Community Hlth Ctr, Family Med Residency Program, 5630 Read Blvd, New Orleans, LA 70127 USA.</t>
  </si>
  <si>
    <t>tsantamaria@dcsno.org</t>
  </si>
  <si>
    <t>[Santamaria, Thomas] DePaul Community Hlth Ctr, Family Med Residency Program, 5630 Read Blvd, New Orleans, LA 70127 USA</t>
  </si>
  <si>
    <t>J</t>
  </si>
  <si>
    <t>A Survey of Practical Tools in Clinical Practice-A Survey of What Is in Use or Soon to be at Use in Clinical Practice</t>
  </si>
  <si>
    <t>PRIMARY CARE</t>
  </si>
  <si>
    <t>English</t>
  </si>
  <si>
    <t>Article</t>
  </si>
  <si>
    <t>Artificial intelligence; Large language models; Current clinical practice</t>
  </si>
  <si>
    <t>27</t>
  </si>
  <si>
    <t>1</t>
  </si>
  <si>
    <t>W B SAUNDERS CO-ELSEVIER INC</t>
  </si>
  <si>
    <t>PHILADELPHIA</t>
  </si>
  <si>
    <t>1600 JOHN F KENNEDY BOULEVARD, STE 1800, PHILADELPHIA, PA 19103-2899 USA</t>
  </si>
  <si>
    <t>0095-4543</t>
  </si>
  <si>
    <t>1558-299X</t>
  </si>
  <si>
    <t>Primary Care</t>
  </si>
  <si>
    <t>DEC 2025</t>
  </si>
  <si>
    <t>2025</t>
  </si>
  <si>
    <t>52</t>
  </si>
  <si>
    <t>4</t>
  </si>
  <si>
    <t>745</t>
  </si>
  <si>
    <t>756</t>
  </si>
  <si>
    <t>10.1016/j.pop.2025.07.006</t>
  </si>
  <si>
    <t>http://dx.doi.org/10.1016/j.pop.2025.07.006</t>
  </si>
  <si>
    <t>JAN 2025</t>
  </si>
  <si>
    <t>12</t>
  </si>
  <si>
    <t>Primary Health Care; Medicine, General &amp; Internal</t>
  </si>
  <si>
    <t>General &amp; Internal Medicine</t>
  </si>
  <si>
    <t>9CM7Z</t>
  </si>
  <si>
    <t>41110913</t>
  </si>
  <si>
    <t>WOS:001603073300008</t>
  </si>
  <si>
    <t>View Record in Web of Science</t>
  </si>
  <si>
    <t>2026-08-26</t>
  </si>
  <si>
    <t>Ke, YH; Jin, LY; Elangovan, K; Ong, BWX; Oh, CY; Sim, J; Loh, KWT; Soh, CR; Cheng, JMH; Lee, AKY; Ting, DSW; Liu, N; Abdullah, HR</t>
  </si>
  <si>
    <t>Introduction Large Language Models are emerging as powerful tools in healthcare, particularly for complex, domain-specific tasks. This study describes the development and evaluation of PEri-operative AI CHatbot (PEACH). It was developed by embedding 35 institutional peri-operative protocols into a secure large language model environment, with iterative prompt engineering and internal testing to ensure clinical relevance and accuracy.Methods The system was tested with a silent deployment using real-world data. Accuracy, safety and usability were assessed. Accuracy was evaluated by comparing the responses from PEACH against institutional guidelines and expert consensus. Deviations and hallucinations were categorised based on potential harm, and user feedback was evaluated using the Davis' Technology Acceptance Model. Updates to PEACH were made after the initial silent deployment to make minor amendments to one of the protocols.Results In total, 240 real-world clinical iterations were evaluated. First-generation accuracy was 97.5% (78/80), with an overall accuracy of 96.7% (232/240) across three iterations. In the updated PEACH, accuracy improved to 97.9% (235/240), with a statistically significant difference from the null hypothesis of 95% accuracy (p = 0.018). Hallucinations and deviations were minimal (1/240 and 2/240, respectively). There was high usability, with clinicians noting that PEACH expedited decisions in 95% of cases. The kappa statistic for inter-rater reliability for PEACH was 0.772 and 0.893 between three iterations, compared with 0.610 and 0.784 for experienced peri-operative physicians.Discussion PEACH is an accurate, adaptable tool that enhances consistency and efficiency in peri-operative decision-making. Future research should explore scalability across specialties and its impact on clinical outcomes.</t>
  </si>
  <si>
    <t>Ke, Yu He; Jin, Liyuan; Elangovan, Kabilan; Ong, Bryan Wen Xi; Oh, Chin Yang; Sim, Jacqueline; Loh, Kenny Wei-Tsen; Soh, Chai Rick; Cheng, Jonathan Ming Hua; Lee, Aaron Kwang Yang; Ting, Daniel Shu Wei; Liu, Nan; Abdullah, Hairil Rizal</t>
  </si>
  <si>
    <t>Ke, YH (corresponding author), Singapore Gen Hosp, Dept Anaesthesiol, Singapore, Singapore.; Ke, YH (corresponding author), Singapore Gen Hosp, Data Sci &amp; Artificial Intelligence Lab, Singapore, Singapore.; Ke, YH (corresponding author), Duke NUS Med Sch, Singapore, Singapore.</t>
  </si>
  <si>
    <t>ke.yuhe@singhealth.com.sg</t>
  </si>
  <si>
    <t>[Ke, Yu He; Sim, Jacqueline; Loh, Kenny Wei-Tsen; Soh, Chai Rick; Cheng, Jonathan Ming Hua; Lee, Aaron Kwang Yang; Abdullah, Hairil Rizal] Singapore Gen Hosp, Dept Anaesthesiol, Singapore, Singapore; [Ke, Yu He; Abdullah, Hairil Rizal] Singapore Gen Hosp, Data Sci &amp; Artificial Intelligence Lab, Singapore, Singapore; [Ke, Yu He; Soh, Chai Rick; Ting, Daniel Shu Wei; Liu, Nan; Abdullah, Hairil Rizal] Duke NUS Med Sch, Singapore, Singapore; [Jin, Liyuan; Elangovan, Kabilan; Ting, Daniel Shu Wei] Artificial Intelligence Off Singhealth, Singapore, Singapore; [Ong, Bryan Wen Xi; Oh, Chin Yang] Open Govt Prod, Singapore, Singapore; [Ting, Daniel Shu Wei] Singapore Natl Eye Ctr, Dept Surg Retina, Singapore, Singapore</t>
  </si>
  <si>
    <t>Singapore General Hospital; Singapore General Hospital; National University of Singapore; Singapore National Eye Center</t>
  </si>
  <si>
    <t>Real-world deployment and evaluation of PEri-operative AI CHatbot (PEACH): a large language model chatbot for peri-operative medicine</t>
  </si>
  <si>
    <t>ANAESTHESIA</t>
  </si>
  <si>
    <t>artificial intelligence; clinical decision support; large language model; peri-operative medicine</t>
  </si>
  <si>
    <t>MANAGEMENT</t>
  </si>
  <si>
    <t>Liu, Nan/HCS-2632-2022; abdullah, hairil/AAN-1504-2020; Ting, Daniel/QOC-0597-2026</t>
  </si>
  <si>
    <t>Liu, Nan/0000-0003-3610-4883</t>
  </si>
  <si>
    <t>26</t>
  </si>
  <si>
    <t>7</t>
  </si>
  <si>
    <t>2</t>
  </si>
  <si>
    <t>WILEY</t>
  </si>
  <si>
    <t>HOBOKEN</t>
  </si>
  <si>
    <t>111 RIVER ST, HOBOKEN 07030-5774, NJ USA</t>
  </si>
  <si>
    <t>0003-2409</t>
  </si>
  <si>
    <t>1365-2044</t>
  </si>
  <si>
    <t>Anaesthesia</t>
  </si>
  <si>
    <t>JAN 2026</t>
  </si>
  <si>
    <t>2026</t>
  </si>
  <si>
    <t>81</t>
  </si>
  <si>
    <t>62</t>
  </si>
  <si>
    <t>71</t>
  </si>
  <si>
    <t>10.1111/anae.16755</t>
  </si>
  <si>
    <t>http://dx.doi.org/10.1111/anae.16755</t>
  </si>
  <si>
    <t>SEP 2025</t>
  </si>
  <si>
    <t>10</t>
  </si>
  <si>
    <t>Anesthesiology</t>
  </si>
  <si>
    <t>AQ6SJ</t>
  </si>
  <si>
    <t>40973491</t>
  </si>
  <si>
    <t>WOS:001574603700001</t>
  </si>
  <si>
    <t>He, Y; Wang, Y; Lai, LL; Liu, N; Hong, YC; Chen, PP; Zhang, ZH</t>
  </si>
  <si>
    <t>Background ChatGPT has demonstrated strong performance in the complex, full clinical workflow. In recent years, several large language models (LLMs) from China have been introduced; however, their performance in such intricate tasks has yet to be thoroughly assessed, and it remains unclear whether their performance diverges from that of ChatGPT. This study seeks to evaluate the capacity of the Chinese LLMs for providing continuous clinical decision support by assessing their performance with simulated patient cases. Methods We selected 29 standard cases from the Merck Manual as simulated patients. We provided their information to the LLMs. Each simulated case is accompanied by a series of sequential questions designed to simulate the process of differential diagnosis, diagnostic workup, diagnosis and management. The responses were then recorded and scored. Then we compared the performance of two Chinese large language models with ChatGPT-4 in entire clinical workflow of simulated patient, selecting the best-performing model for a comparison with 18 human emergency fellow doctors. Additionally, we compared the differences in performance between different versions of the LLMs. Results There were no significant differences between ChatGPT-4 and Doubao in all four aspects (P &gt; 0.05). However, ERNIE Bot 3.5 was inferior to ChatGPT-4 and Doubao in differential diagnosis, diagnostic questions, and management (P &lt; 0.05). But in diagnosis questions, the average accuracy proportion for all three models was above 97%, with no significant differences observed (P &gt; 0.05). There was no significant difference between LLMs and emergency fellow physicians in diagnosis and differential diagnosis (P &gt; 0.05), but in diagnostic questions as well as management, LMMs were superior to emergency fellow physicians (P &lt; 0.05). ChatGPT-4 was higher than ChatGPT 3.5 in all four aspects (P &lt; 0.05). Conclusion The large language model Doubao from China demonstrates performance similar to ChatGPT across full clinical workflows. LLMs outperform human emergency fellow physicians and exhibit rapid development, offering significant practical application potential in healthcare.</t>
  </si>
  <si>
    <t>He, Yang; Wang, Yang; Lai, Lingling; Liu, Ning; Hong, Yucai; Chen, Pengpeng; Zhang, Zhongheng</t>
  </si>
  <si>
    <t>Zhang, ZH (corresponding author), Zhejiang Univ, Sir Run Run Shaw Hosp, Dept Emergency Med, Sch Med, 3 East Qingchun Rd, Hangzhou 310016, Zhejiang, Peoples R China.</t>
  </si>
  <si>
    <t>zh_zhang1984@zju.edu.cn</t>
  </si>
  <si>
    <t>Medical Health Science and Technology Project of Zhejiang Provincial Health Commission</t>
  </si>
  <si>
    <t>We would like to thank the researchers and study participants for their contributions.</t>
  </si>
  <si>
    <t>[He, Yang; Lai, Lingling; Liu, Ning; Hong, Yucai; Chen, Pengpeng; Zhang, Zhongheng] Zhejiang Univ, Sir Run Run Shaw Hosp, Dept Emergency Med, Sch Med, 3 East Qingchun Rd, Hangzhou 310016, Zhejiang, Peoples R China; [Wang, Yang] Shaoxing Univ, Sch Med, Shaoxing 312000, Zhejiang, Peoples R China</t>
  </si>
  <si>
    <t>Zhejiang University; Shaoxing University</t>
  </si>
  <si>
    <t>A comparison of the performance of Chinese large language models and ChatGPT throughout the entire clinical workflow</t>
  </si>
  <si>
    <t>SCIENTIFIC REPORTS</t>
  </si>
  <si>
    <t>Large language models; LLMs; Artificial intelligence; AI; ChatGPT</t>
  </si>
  <si>
    <t>Lai, Ling/S-8245-2019</t>
  </si>
  <si>
    <t>13</t>
  </si>
  <si>
    <t>3</t>
  </si>
  <si>
    <t>5</t>
  </si>
  <si>
    <t>NATURE PORTFOLIO</t>
  </si>
  <si>
    <t>BERLIN</t>
  </si>
  <si>
    <t>HEIDELBERGER PLATZ 3, BERLIN, 14197, GERMANY</t>
  </si>
  <si>
    <t>2045-2322</t>
  </si>
  <si>
    <t>SCI REP-UK</t>
  </si>
  <si>
    <t>Sci Rep</t>
  </si>
  <si>
    <t>OCT 17 2025</t>
  </si>
  <si>
    <t>15</t>
  </si>
  <si>
    <t>36322</t>
  </si>
  <si>
    <t>10.1038/s41598-025-20210-7</t>
  </si>
  <si>
    <t>http://dx.doi.org/10.1038/s41598-025-20210-7</t>
  </si>
  <si>
    <t>Multidisciplinary Sciences</t>
  </si>
  <si>
    <t>Science &amp; Technology - Other Topics</t>
  </si>
  <si>
    <t>8TS0C</t>
  </si>
  <si>
    <t>41107328</t>
  </si>
  <si>
    <t>WOS:001597100100038</t>
  </si>
  <si>
    <t>gold; Green Submitted</t>
  </si>
  <si>
    <t>9</t>
  </si>
  <si>
    <t>Wong, EYT; Verlingue, L; Aldea, M; Franzoi, MA; Umeton, R; Halabi, S; Harbeck, N; Indini, A; Prelaj, A; Romano, E; Smyth, E; Tan, B; Valachis, A; Vibert, J; Wiest, IC; Yang, YH; Gilbert, S; Kapetanakis, G; Pentheroudakis, G; Koopman, M; Kather, JN</t>
  </si>
  <si>
    <t>Background: Large language models (LLMs) are rapidly being integrated into health care, with substantial implications for oncology practice. The European Society for Medical Oncology (ESMO) developed the ESMO guidance on the use of Large Language Models in Clinical Practice (ELCAP) to provide a structured framework and basic guidance for their safe and effective application in oncology. Patients and methods: Between November 2024 and February 2025, a multidisciplinary group of 20 experts convened under the ESMO Real World Data and Digital Health Task Force. Using literature review and a Delphi consensus process, the panel defined three categories of LLM use in oncology: type 1 (patient-facing applications), type 2 [health care professional (HCP)-facing applications], and type 3 (background institutional systems). Consensus statements were developed for each type to provide basic practical guidance. Results: ELCAP highlights opportunities such as improved patient education and symptom management, streamlined clinical workflows, and enhanced data processing. At the same time, it addresses challenges including data privacy, algorithmic bias, regulatory compliance, and the risk of unsupervised use. The framework emphasises human oversight, protection of patient privacy, and alignment with clinical and ethical standards. Patient-facing tools should complement, not replace, professional advice and should be embedded in supervised care pathways. HCP-facing and background systems may improve efficiency and decision support but require systematic validation, transparency, and continuous monitoring. Conclusions: ELCAP provides a three-tier framework and basic practical guidance for LLM use in oncology. ESMO supports efforts to use this framework to improve patient care, but warns against unsupervised or unvalidated use.</t>
  </si>
  <si>
    <t>Wong, E. Y. T.; Verlingue, L.; Aldea, M.; Franzoi, M. A.; Umeton, R.; Halabi, S.; Harbeck, N.; Indini, A.; Prelaj, A.; Romano, E.; Smyth, E.; Tan, B.; Valachis, A.; Vibert, J.; Wiest, I. C.; Yang, Y. H.; Gilbert, S.; Kapetanakis, G.; Pentheroudakis, G.; Koopman, M.; Kather, J. N.</t>
  </si>
  <si>
    <t>Kather, JN (corresponding author), TUD Dresden Univ Technol, Univ Hosp Carl Gustav Carus, Fac Med, Else Kroener Fresenius Ctr Digital Hlth, Dresden, Germany.; Kather, JN (corresponding author), Univ Hosp Dresden, Dept Dermatol, Dresden, Germany.; Kather, JN (corresponding author), Univ Heidelberg Hosp, Natl Ctr Tumor Dis NCT, Dept Med Oncol, Heidelberg, Germany.; Kather, JN (corresponding author), Dresden Univ Technol TUD, Med Fac Carl Gustav Carus, Else Kroener Fresenius Ctr Digital Hlth, Dresden, Germany.</t>
  </si>
  <si>
    <t>kather.jn@tu-dresden.de</t>
  </si>
  <si>
    <t>[Wong, E. Y. T.; Tan, B.] Natl Canc Ctr, Div Med Oncol, Singapore, Singapore; [Verlingue, L.] Ctr Leon Berard, Lyon, France; [Aldea, M.] Gustave Roussy, Dept Med Oncol, Thorac Unit, Villejuif, France; [Aldea, M.; Vibert, J.] Paris Saclay Univ, Paris, France; [Aldea, M.] Dana Farber Canc Inst, Lowe Ctr Thorac Oncol, Boston, MA USA; [Franzoi, M. A.] Gustave Roussy, Inserm, Unit 981, Canc Survivorship Grp, Villejuif, France; [Franzoi, M. A.] IHU PRISM Natl PRecIS Med Ctr Oncol, Gustave Roussy, Villejuif, France; [Umeton, R.] St Jude Childrens Res Hosp, Dept Pharmaceut Sci, Memphis, TN USA; [Umeton, R.] CALTECH, Biol &amp; Biol Engn, Pasadena, CA 91125 USA; [Umeton, R.] MIT, Dept Mech Engn, Cambridge, MA USA; [Umeton, R.] Harvard TH Chan Sch Publ Hlth, Dept Biostat, Boston, MA USA; [Umeton, R.] Weill Cornell Med, Dept Pathol &amp; Lab Med, New York, NY USA; [Halabi, S.] Duke Univ, Med Ctr, Dept Biostat &amp; Bioinformat, Durham, NC USA; [Harbeck, N.] Univ Munich LMU, Breast Ctr, Dept OB&amp;GYN, Munich, Germany; [Indini, A.] Fdn IRCCS Ist Nazl Tumori, Dept Med Oncol &amp; Hematol, Milan, Italy; [Prelaj, A.] Fdn IRCCS Ist Nazl Tumori, Dept Pathol, Lab Med, Milan, Italy; [Romano, E.] Inst Curie, Dept Med Oncol, Paris, France; [Smyth, E.] NIHR Oxford Biomed Res Ctr, Oxford, Oxfordshire, England; [Valachis, A.] Orebro Univ, Dept Oncol, Fac Med &amp; Hlth, Orebro, Sweden; [Vibert, J.] Gustave Roussy, Drug Dev Dept, Villejuif, France; [Wiest, I. C.; Gilbert, S.; Kather, J. N.] TUD Dresden Univ Technol, Univ Hosp Carl Gustav Carus, Fac Med, Else Kroener Fresenius Ctr Digital Hlth, Dresden, Germany; [Wiest, I. C.] Heidelberg Univ, Med Fac Mannheim, Dept Neurol, Mannheim, Germany; [Yang, Y. H.] Natl Hlth Res Inst, Natl Inst Canc Res, Tainan, Taiwan; [Kapetanakis, G.] Hippokrateion Gen Hosp Athens, Athens, Greece; [Pentheroudakis, G.] European Soc Med Oncol ESMO, Lugano, Switzerland; [Koopman, M.] UMC Univ Med Ctr Utrecht, Dept Surg, Utrecht, Netherlands; [Kather, J. N.] Univ Hosp Dresden, Dept Dermatol, Dresden, Germany; [Kather, J. N.] Univ Heidelberg Hosp, Natl Ctr Tumor Dis NCT, Dept Med Oncol, Heidelberg, Germany; [Kather, J. N.] Dresden Univ Technol TUD, Med Fac Carl Gustav Carus, Else Kroener Fresenius Ctr Digital Hlth, Dresden, Germany</t>
  </si>
  <si>
    <t>National Cancer Centre Singapore (NCCS); UNICANCER; Centre Leon Berard; UNICANCER; Gustave Roussy; Universite Paris Saclay; Harvard University; Harvard University Medical Affiliates; Dana-Farber Cancer Institute; Universite Paris Saclay; UNICANCER; Institut National de la Sante et de la Recherche Medicale (Inserm); Gustave Roussy; UNICANCER; Gustave Roussy; St Jude Children's Research Hospital; University of Tennessee System; University of Tennessee Health Science Center; California Institute of Technology; Massachusetts Institute of Technology (MIT); Harvard University; Harvard T.H. Chan School of Public Health; Cornell University; Weill Cornell Medicine; Duke University; University of Munich; Fondazione IRCCS Istituto Nazionale Tumori Milan; Fondazione IRCCS Istituto Nazionale Tumori Milan; UNICANCER; Universite PSL; Institut Curie; University of Oxford; Orebro University; UNICANCER; Gustave Roussy; Technische Universitat Dresden; Carl Gustav Carus University Hospital; Ruprecht Karls University Heidelberg; National Health Research Institutes - Taiwan; Technische Universitat Dresden; Carl Gustav Carus University Hospital; Ruprecht Karls University Heidelberg; Helmholtz Association; National Center for Tumor Diseases; German Cancer Research Center (DKFZ); Technische Universitat Dresden; Carl Gustav Carus University Hospital</t>
  </si>
  <si>
    <t>ESMO guidance on the use of Large Language Models in Clinical Practice (ELCAP)</t>
  </si>
  <si>
    <t>ANNALS OF ONCOLOGY</t>
  </si>
  <si>
    <t>large language model; AI; clinical decision making</t>
  </si>
  <si>
    <t>Franzoi, Maria/L-4669-2019; Halabi, Susan/AFL-7973-2022; Vibert, Julien/PLR-4720-2026; Harbeck, Nadia/JOZ-6178-2023; Kather, Jakob Nikolas/D-4279-2015; Gilbert, Stephen/LZF-0032-2025; Aldea, Mihaela/MDT-8065-2025</t>
  </si>
  <si>
    <t>Wong, Evelyn Yi Ting/0000-0002-2569-1261; Halabi, Susan/0000-0003-4135-2777; Verlingue, Loic/0000-0002-5694-4022; Kather, Jakob Nikolas/0000-0002-3730-5348; Gilbert, Stephen/0000-0002-1997-1689; Aldea, Mihaela/0000-0001-7685-051X</t>
  </si>
  <si>
    <t>66</t>
  </si>
  <si>
    <t>33</t>
  </si>
  <si>
    <t>36</t>
  </si>
  <si>
    <t>ELSEVIER</t>
  </si>
  <si>
    <t>AMSTERDAM</t>
  </si>
  <si>
    <t>RADARWEG 29, 1043 NX AMSTERDAM, NETHERLANDS</t>
  </si>
  <si>
    <t>0923-7534</t>
  </si>
  <si>
    <t>1569-8041</t>
  </si>
  <si>
    <t>ANN ONCOL</t>
  </si>
  <si>
    <t>Ann. Oncol.</t>
  </si>
  <si>
    <t>1447</t>
  </si>
  <si>
    <t>1457</t>
  </si>
  <si>
    <t>10.1016/j.annonc.2025.09.001</t>
  </si>
  <si>
    <t>http://dx.doi.org/10.1016/j.annonc.2025.09.001</t>
  </si>
  <si>
    <t>11</t>
  </si>
  <si>
    <t>Oncology</t>
  </si>
  <si>
    <t>Q3246</t>
  </si>
  <si>
    <t>41111032</t>
  </si>
  <si>
    <t>WOS:001634474900001</t>
  </si>
  <si>
    <t>hybrid; Green Submitted</t>
  </si>
  <si>
    <t>Xu, PJ; Kan, SX; Jin, J; Zhang, ZJ; Gu, YX; Zhang, B; Zhou, YL</t>
  </si>
  <si>
    <t>In the highly intertwined field of healthcare, cross-modal medical data (including diagnostic imaging profiles, physiological time series signals, clinical voice archives, electronic medical records, surgical video streams, and genomics data) play a key role in clinical diagnostic and treatment decisions and basic medical research. Despite the breakthroughs in medical knowledge management and information processing made by generalized Large Language Models (LLMs), the existing systems are mainly limited to the processing capability of text modality, and this unimodal limitation seriously restricts the practical application value of intelligent medical systems. Multimodal Large Language Models (MLLMs) can realize multidimensional patient feature modeling through the deep semantic fusion of multimodal medical data, which can significantly improve the efficiency of disease identification and medical resource scheduling, and support the formulation of precise individual treatment strategies. In this paper, we systematically describe the development, applications, chanllenges and future of MLLMs in clinical practice and medical research, and provide a theoretical framework and practical guidelines for building a new generation of intelligent healthcare infrastructure. However, data silos, modality fusion strategies, computational resource requirements, and ethical compliance are still the main bottlenecks. Through this review, it is hoped that it can help more medical researchers to understand the progress of MLLMs technology, and help more medical researchers and MLLMs developers to work closely with each other through interdisciplinary cooperation, to create more products that are beneficial to the development of human health and put them into practical applications.</t>
  </si>
  <si>
    <t>Xu, Peng Jun; Kan, Shuang Xiang; Jin, Jing; Zhang, Zhou Jing; Gu, Ya Xin; Zhang, Bo; Zhou, You Lang</t>
  </si>
  <si>
    <t>Zhou, YL (corresponding author), Nantong Univ, Hand Surg Res Ctr, Nanomed Res Lab, Res Cent Clin Med,Affiliated Hosp,Med Sch, Nantong 226001, Peoples R China.</t>
  </si>
  <si>
    <t>youlangzhou@163.com</t>
  </si>
  <si>
    <t>[Xu, Peng Jun; Gu, Ya Xin; Zhang, Bo; Zhou, You Lang] Nantong Univ, Hand Surg Res Ctr, Nanomed Res Lab, Res Cent Clin Med,Affiliated Hosp,Med Sch, Nantong 226001, Peoples R China; [Kan, Shuang Xiang] Univ New South Wales, Sch Comp Sci &amp; Engn, Sydney, NSW 2052, Australia; [Jin, Jing] Hangzhou Med Coll, Zhejiang Prov Peoples Hosp, Ctr Rehabil Med, Dept Rehabil,Affiliated Peoples Hosp, Hangzhou, Zhejiang, Peoples R China; [Zhang, Zhou Jing] Nanjing Med Univ, Lianyungang Peoples Hosp 2, Kangda Coll, Dept Stomatol, Lianyungang 222003, Peoples R China</t>
  </si>
  <si>
    <t>Nantong University; University of New South Wales Sydney; Hangzhou Medical College; Zhejiang Provincial People's Hospital; Nanjing Medical University</t>
  </si>
  <si>
    <t>Multimodal large language models in medical research and clinical practice: Development, applications, challenges and future</t>
  </si>
  <si>
    <t>NEUROCOMPUTING</t>
  </si>
  <si>
    <t>Multimodal large language models; Healthcare; Medical research; Clinical application; Cross-disciplinary research</t>
  </si>
  <si>
    <t>FUSION</t>
  </si>
  <si>
    <t>Xu, Pengjun/AAQ-9648-2020; Kan, Shuangxiang/LJL-5093-2024</t>
  </si>
  <si>
    <t>88</t>
  </si>
  <si>
    <t>6</t>
  </si>
  <si>
    <t>16</t>
  </si>
  <si>
    <t>0925-2312</t>
  </si>
  <si>
    <t>1872-8286</t>
  </si>
  <si>
    <t>Neurocomputing</t>
  </si>
  <si>
    <t>JAN 7 2026</t>
  </si>
  <si>
    <t>660</t>
  </si>
  <si>
    <t>131817</t>
  </si>
  <si>
    <t>10.1016/j.neucom.2025.131817</t>
  </si>
  <si>
    <t>http://dx.doi.org/10.1016/j.neucom.2025.131817</t>
  </si>
  <si>
    <t>OCT 2025</t>
  </si>
  <si>
    <t>18</t>
  </si>
  <si>
    <t>Computer Science, Artificial Intelligence</t>
  </si>
  <si>
    <t>Computer Science</t>
  </si>
  <si>
    <t>9KQ2W</t>
  </si>
  <si>
    <t>WOS:001608619400012</t>
  </si>
  <si>
    <t>Liu, JL; Liu, F; Wang, CY; Liu, SR</t>
  </si>
  <si>
    <t>Large language models (LLMs), such as OpenAI's GPT series and Google's PaLM, are transforming health care by improving clinical decision-making, enhancing patient communication, and simplifying administrative tasks. However, their performance relies heavily on prompt design, as small changes in wording or structure can greatly impact output quality. This presents challenges for clinicians who are not experts in natural language processing (NLP). This tutorial combines prompt engineering techniques tailored for clinical use, covering methods like zero-shot prompting, one-shot prompting, few-shot prompting, chain-of-thought prompting, self-consistency prompting, generated knowledge prompting, and meta-prompting. We provide actionable guidance on defining objectives, applying core principles, iterative prompt refinement, and integration into interoperable electronic health record (EHR) systems. This framework helps clinicians leverage LLMs to improve decision-making, streamline documentation, and enhance patient communication while maintaining ethical standards and ensuring patient safety.</t>
  </si>
  <si>
    <t>Liu, Jialin; Liu, Fang; Wang, Changyu; Liu, Siru</t>
  </si>
  <si>
    <t>Liu, SR (corresponding author), Vanderbilt Univ, Med Ctr, Dept Biomed Informat, 2525 West End Ave, Nashville, TN 37215 USA.</t>
  </si>
  <si>
    <t>siru.liu@vumc.org</t>
  </si>
  <si>
    <t>Following the use of this technology</t>
  </si>
  <si>
    <t>After completing the paper, the authors used artificial intelligence technology to polish it. Following the use of this technology, the authors conducted a thorough review and made additional revisions to the content. The authors retain full responsibility for the final content of the paper.</t>
  </si>
  <si>
    <t>[Liu, Jialin; Wang, Changyu] Sichuan Univ, West China Hosp, Dept Med Informat, Chengdu, Peoples R China; [Liu, Jialin] Sichuan Univ, West China Hosp, Dept Otolaryngol Head &amp; Neck Surg, Chengdu, Peoples R China; [Liu, Fang] Sichuan Univ, West China Hosp, Dept Nephrol, Chengdu, Peoples R China; [Liu, Fang] Sichuan Univ, Kidney Res Inst, Lab Diabetic Kidney Dis, Dept Nephrol,West China Hosp, Chengdu, Peoples R China; [Wang, Changyu] Nanyang Technol Univ, Sch Phys &amp; Math Sci, Singapore, Singapore; [Liu, Siru] Vanderbilt Univ, Med Ctr, Dept Biomed Informat, 2525 West End Ave, Nashville, TN 37215 USA</t>
  </si>
  <si>
    <t>Sichuan University; Sichuan University; Sichuan University; Sichuan University; Nanyang Technological University; Vanderbilt University</t>
  </si>
  <si>
    <t>Prompt Engineering in Clinical Practice: Tutorial for Clinicians</t>
  </si>
  <si>
    <t>JOURNAL OF MEDICAL INTERNET RESEARCH</t>
  </si>
  <si>
    <t>prompt engineering; large language model; GPT; human-AI collaboration; clinical practice</t>
  </si>
  <si>
    <t>Wang, Changyu/IVC-3698-2023</t>
  </si>
  <si>
    <t>Liu, Siru/0000-0002-5003-5354; Wang, Changyu/0000-0003-4548-331X</t>
  </si>
  <si>
    <t>70</t>
  </si>
  <si>
    <t>35</t>
  </si>
  <si>
    <t>39</t>
  </si>
  <si>
    <t>17</t>
  </si>
  <si>
    <t>20</t>
  </si>
  <si>
    <t>JMIR PUBLICATIONS, INC</t>
  </si>
  <si>
    <t>TORONTO</t>
  </si>
  <si>
    <t>130 QUEENS QUAY East, Unit 1100, TORONTO, ON M5A 0P6, CANADA</t>
  </si>
  <si>
    <t>1439-4456</t>
  </si>
  <si>
    <t>1438-8871</t>
  </si>
  <si>
    <t>J MED INTERNET RES</t>
  </si>
  <si>
    <t>J. Med. Internet Res.</t>
  </si>
  <si>
    <t>SEP 15 2025</t>
  </si>
  <si>
    <t>e72644</t>
  </si>
  <si>
    <t>10.2196/72644</t>
  </si>
  <si>
    <t>http://dx.doi.org/10.2196/72644</t>
  </si>
  <si>
    <t>Health Care Sciences &amp; Services; Medical Informatics</t>
  </si>
  <si>
    <t>8JS6N</t>
  </si>
  <si>
    <t>40955776</t>
  </si>
  <si>
    <t>WOS:001590310700004</t>
  </si>
  <si>
    <t>gold; Green Submitted; Green Published</t>
  </si>
  <si>
    <t>Bollig, N; Lustgarten, JL; Venit, E</t>
  </si>
  <si>
    <t>Bollig, Nathan; Lustgarten, Jonathan L.; Venit, Elizabeth</t>
  </si>
  <si>
    <t>Bollig, N (corresponding author), Assoc Vet Informat, 500 Westover Dr 7548, Sanford, NC 27330 USA.</t>
  </si>
  <si>
    <t>nbollig@avinformatics.org</t>
  </si>
  <si>
    <t>[Bollig, Nathan] Assoc Vet Informat, Madison, WI USA; [Lustgarten, Jonathan L.] Vetcove, Vet AI, Miami, FL USA; [Venit, Elizabeth] Amer Assoc Vet State Boards, Overland Pk, KS USA</t>
  </si>
  <si>
    <t>Language Models in Veterinary Clinical Practice Applications, Risks, and Practical Guidance</t>
  </si>
  <si>
    <t>VETERINARY CLINICS OF NORTH AMERICA-SMALL ANIMAL PRACTICE</t>
  </si>
  <si>
    <t>Artificial intelligence; Large language models; Natural language processing; Clinical decision support; Responsible AI; AI in veterinary medicine</t>
  </si>
  <si>
    <t>MEDICINE</t>
  </si>
  <si>
    <t>83</t>
  </si>
  <si>
    <t>0195-5616</t>
  </si>
  <si>
    <t>1878-1306</t>
  </si>
  <si>
    <t>VET CLIN N AM-SMALL</t>
  </si>
  <si>
    <t>Vet. Clin. N. Am.-Small Anim. Pract.</t>
  </si>
  <si>
    <t>SEP 2026</t>
  </si>
  <si>
    <t>56</t>
  </si>
  <si>
    <t>1087</t>
  </si>
  <si>
    <t>1104</t>
  </si>
  <si>
    <t>10.1016/j.cvsm.2026.03.014</t>
  </si>
  <si>
    <t>http://dx.doi.org/10.1016/j.cvsm.2026.03.014</t>
  </si>
  <si>
    <t>Veterinary Sciences</t>
  </si>
  <si>
    <t>LX0MG</t>
  </si>
  <si>
    <t>42150940</t>
  </si>
  <si>
    <t>WOS:001835255100001</t>
  </si>
  <si>
    <t>Artsi, Y; Sorin, V; Glicksberg, BS; Korfiatis, P; Freeman, R; Nadkarni, GN; Klang, E</t>
  </si>
  <si>
    <t>Large language models (LLMs) have the potential to transform healthcare by assisting in documentation, diagnosis, patient communication, and medical education. However, their integration into clinical practice remains a challenge. This perspective explores the barriers to implementation by synthesizing recent evidence across five challenge domains: workflow misalignment and diagnostic safety, bias and equity, regulatory and legal governance, technical vulnerabilities such as hallucinations or data poisoning, and the preservation of patient trust and human connection. While the perspective focuses on barriers, LLM capabilities and mitigation strategies are advancing rapidly, raising the likelihood of near-term clinical impact. Drawing on recent empirical studies, we propose a framework for understanding the key technical, ethical, and practical challenges associated with deploying LLMs in clinical environments and provide directions for future research, governance, and responsible deployment.</t>
  </si>
  <si>
    <t>Artsi, Yaara; Sorin, Vera; Glicksberg, Benjamin S.; Korfiatis, Panagiotis; Freeman, Robert; Nadkarni, Girish N.; Klang, Eyal</t>
  </si>
  <si>
    <t>Klang, E (corresponding author), Icahn Sch Med Mt Sinai, Charles Bronfman Inst Personalized Med, New York, NY 10029 USA.; Klang, E (corresponding author), Mt Sinai Med Ctr, Windreich Dept Artificial Intelligence &amp; Human Hlt, New York, NY 10029 USA.; Klang, E (corresponding author), Icahn Sch Med Mt Sinai, Hasso Plattner Inst Digital Hlth Mt Sinai, New York, NY 10029 USA.</t>
  </si>
  <si>
    <t>sorin.vera@mayo.edu; korfiatis.panagiotis@mayo.edu; eyal.klang@mountsinai.org; girish.nadkarni@mountsinai.org; robert.freeman@mountsinai.org; ben.glicksberg@gmail.com; yaara.artsi77@gmail.com</t>
  </si>
  <si>
    <t>[Artsi, Yaara] Bar Ilan Univ, Azrieli Fac Med, IL-1311502 Safed, Israel; [Sorin, Vera; Korfiatis, Panagiotis] Mayo Clin, Dept Radiol, Rochester, MN 55905 USA; [Glicksberg, Benjamin S.; Freeman, Robert; Nadkarni, Girish N.; Klang, Eyal] Icahn Sch Med Mt Sinai, Charles Bronfman Inst Personalized Med, New York, NY 10029 USA; [Glicksberg, Benjamin S.; Freeman, Robert; Nadkarni, Girish N.; Klang, Eyal] Mt Sinai Med Ctr, Windreich Dept Artificial Intelligence &amp; Human Hlt, New York, NY 10029 USA; [Glicksberg, Benjamin S.; Freeman, Robert; Nadkarni, Girish N.; Klang, Eyal] Icahn Sch Med Mt Sinai, Hasso Plattner Inst Digital Hlth Mt Sinai, New York, NY 10029 USA</t>
  </si>
  <si>
    <t>Bar Ilan University; Mayo Clinic; Icahn School of Medicine at Mount Sinai; Icahn School of Medicine at Mount Sinai; Icahn School of Medicine at Mount Sinai</t>
  </si>
  <si>
    <t>Challenges of Implementing LLMs in Clinical Practice: Perspectives</t>
  </si>
  <si>
    <t>JOURNAL OF CLINICAL MEDICINE</t>
  </si>
  <si>
    <t>large language models; artificial intelligence; clinical practice; clinical decision support</t>
  </si>
  <si>
    <t>Glicksberg, Benjamin/I-9500-2019; Sorin, Vera/IAR-4247-2023; mirzaei, hamed/X-2374-2018</t>
  </si>
  <si>
    <t>Glicksberg, Benjamin/0000-0003-4515-8090; Klang, Eyal/0000-0002-4567-3108; Artsi, Yaara/0009-0008-0766-5191; Freeman, Robert/0000-0003-4946-6533</t>
  </si>
  <si>
    <t>24</t>
  </si>
  <si>
    <t>MDPI</t>
  </si>
  <si>
    <t>BASEL</t>
  </si>
  <si>
    <t>MDPI AG, Grosspeteranlage 5, CH-4052 BASEL, SWITZERLAND</t>
  </si>
  <si>
    <t>2077-0383</t>
  </si>
  <si>
    <t>J CLIN MED</t>
  </si>
  <si>
    <t>J. Clin. Med.</t>
  </si>
  <si>
    <t>SEP 1 2025</t>
  </si>
  <si>
    <t>14</t>
  </si>
  <si>
    <t>6169</t>
  </si>
  <si>
    <t>10.3390/jcm14176169</t>
  </si>
  <si>
    <t>http://dx.doi.org/10.3390/jcm14176169</t>
  </si>
  <si>
    <t>Medicine, General &amp; Internal</t>
  </si>
  <si>
    <t>7HV2A</t>
  </si>
  <si>
    <t>40943929</t>
  </si>
  <si>
    <t>WOS:001571369200001</t>
  </si>
  <si>
    <t>Zhao, WL; Lai, HH; Pan, B; Huang, JJ; Xia, DN; Bai, CY; Liu, JY; Liu, JN; Jin, YH; Shang, HC; Liu, JP; Shi, NN; Liu, J; Chen, YL; Estill, J; Ge, L</t>
  </si>
  <si>
    <t>Objective Whether large language models (LLMs) can effectively facilitate CM knowledge acquisition remains uncertain. This study aims to assess the adherence of LLMs to Clinical Practice Guidelines (CPGs) in CM. Methods This cross-sectional study randomly selected ten CPGs in CM and constructed 150 questions across three categories: medication based on differential diagnosis (MDD), specific prescription consultation (SPC), and CM theory analysis (CTA). Eight LLMs (GPT-4o, Claude-3.5 Sonnet, Moonshot-v1, ChatGLM-4, DeepSeek-v3, DeepSeek-r1, Claude-4 sonnet, and Claude-4 sonnet thinking) were evaluated using both English and Chinese queries. The main evaluation metrics included accuracy, readability, and use of safety disclaimers. Results Overall, DeepSeek-v3 and DeepSeek-r1 demonstrated superior performance in both English (median 5.00, interquartile range (IQR) 4.00-5.00 vs. median 5.00, IQR 3.70-5.00) and Chinese (both median 5.00, IQR 4.30-5.00), significantly outperforming all other models. All models achieved significantly higher accuracy in Chinese versus English responses (all p &lt; 0.05). Significant variations in accuracy were observed across the categories of questions, with MDD and SPC questions presenting more challenges than CTA questions. English responses had lower readability (mean flesch reading ease score 32.7) compared to Chinese responses. Moonshot-v1 provided the highest rate of safety disclaimers (98.7% English, 100% Chinese). Conclusion LLMs showed varying degrees of potential for acquiring CM knowledge. The performance of DeepSeek-v3 and DeepSeek-r1 is satisfactory. Optimizing LLMs to become effective tools for disseminating CM information is an important direction for future development.</t>
  </si>
  <si>
    <t>Zhao, Weilong; Lai, Honghao; Pan, Bei; Huang, Jiajie; Xia, Danni; Bai, Chunyang; Liu, Jiayi; Liu, Jianing; Jin, Yinghui; Shang, Hongcai; Liu, Jianping; Shi, Nannan; Liu, Jie; Chen, Yaolong; Estill, Janne; Ge, Long</t>
  </si>
  <si>
    <t>Ge, L (corresponding author), Lanzhou Univ, Sch Publ Hlth, Dept Hlth Policy &amp; Management, Lanzhou, Peoples R China.; Ge, L (corresponding author), Lanzhou Univ, Key Lab Evidence Based Med Gansu Prov, Lanzhou, Gansu, Peoples R China.; Ge, L (corresponding author), World Hlth Org, Collaborating Ctr Guideline Implementat &amp; Knowled, Lanzhou, Peoples R China.</t>
  </si>
  <si>
    <t>gelong2009@163.com</t>
  </si>
  <si>
    <t>National natural science foundation of China [82204931]; Scientific and technological innovation project of the China academy of Chinese medical sciences [C2021A05502]</t>
  </si>
  <si>
    <t>National natural science foundation of China (National Natural Science Foundation of China (NSFC)); Scientific and technological innovation project of the China academy of Chinese medical sciences</t>
  </si>
  <si>
    <t>The author(s) declare that financial support was received for the research and/or publication of this article. This work was financially supported by the national natural science foundation of China (No. 82204931), and the scientific and technological innovation project of the China academy of Chinese medical sciences (No.C2021A05502).</t>
  </si>
  <si>
    <t>[Zhao, Weilong; Lai, Honghao; Xia, Danni; Liu, Jiayi; Ge, Long] Lanzhou Univ, Sch Publ Hlth, Dept Hlth Policy &amp; Management, Lanzhou, Peoples R China; [Pan, Bei; Estill, Janne] Lanzhou Univ, Evidence Based Med Ctr, Sch Basic Med Sci, Lanzhou, Peoples R China; [Huang, Jiajie; Liu, Jianing] Gansu Univ Chinese Med, Coll Nursing, Lanzhou, Gansu, Peoples R China; [Bai, Chunyang] Southern Med Univ, Sch Nursing, Guangzhou, Peoples R China; [Liu, Jiayi; Estill, Janne] Univ Geneva, Inst Global Hlth, Geneva, Switzerland; [Jin, Yinghui] Wuhan Univ, Ctr Evidence Based &amp; Translat Med, Zhongnan Hosp, Wuhan, Peoples R China; [Shang, Hongcai] Beijing Univ Chinese Med, Key Lab Chinese Internal Med, Minist Educ, Beijing, Peoples R China; [Shang, Hongcai] Beijing Univ Chinese Med, Dongfang Hosp, Beijing, Peoples R China; [Liu, Jianping] Beijing Univ Chinese Med, Ctr Evidence Based Med, Beijing, Peoples R China; [Shi, Nannan] China Acad Chinese Med Sci, Inst Basic Res Clin Med, Beijing, Peoples R China; [Liu, Jie] China Acad Chinese Med Sci, Guanganmen Hosp, Dept Oncol, Beijing, Peoples R China; [Chen, Yaolong] Lanzhou Univ, Chinese Acad Med Sci, Sch Basic Med Sci,2021RU017, Res Unit Evidence Based Evaluat &amp; Guidelines, Lanzhou, Peoples R China; [Chen, Yaolong; Ge, Long] Lanzhou Univ, Key Lab Evidence Based Med Gansu Prov, Lanzhou, Gansu, Peoples R China; [Chen, Yaolong] Lanzhou Univ, Inst Hlth Data Sci, Lanzhou, Peoples R China; [Chen, Yaolong; Ge, Long] World Hlth Org, Collaborating Ctr Guideline Implementat &amp; Knowled, Lanzhou, Peoples R China</t>
  </si>
  <si>
    <t>Lanzhou University; Lanzhou University; Gansu University of Chinese Medicine; Southern Medical University - China; University of Geneva; Swiss School of Public Health (SSPH+); Wuhan University; Beijing University of Chinese Medicine; Beijing University of Chinese Medicine; Beijing University of Chinese Medicine; China Academy of Chinese Medical Sciences; Institute of Basic Research In Clinical Medicine, CACMS; Guang'anmen Hospital, CACMS; China Academy of Chinese Medical Sciences; Lanzhou University; Chinese Academy of Medical Sciences - Peking Union Medical College; Lanzhou University; Lanzhou University; World Health Organization</t>
  </si>
  <si>
    <t>Assessing the adherence of large language models to clinical practice guidelines in Chinese medicine: a content analysis</t>
  </si>
  <si>
    <t>FRONTIERS IN PHARMACOLOGY</t>
  </si>
  <si>
    <t>Chinese medicine; large language model; comparison; clinical practice guideline; knowledge acquisition</t>
  </si>
  <si>
    <t>HEALTH; CHALLENGES</t>
  </si>
  <si>
    <t>shang, hongcai/H-1257-2014; Ge, Long/G-8876-2017</t>
  </si>
  <si>
    <t>Chen, Yaolong/0000-0002-9841-5233</t>
  </si>
  <si>
    <t>63</t>
  </si>
  <si>
    <t>FRONTIERS MEDIA SA</t>
  </si>
  <si>
    <t>LAUSANNE</t>
  </si>
  <si>
    <t>AVENUE DU TRIBUNAL FEDERAL 34, LAUSANNE, CH-1015, SWITZERLAND</t>
  </si>
  <si>
    <t>1663-9812</t>
  </si>
  <si>
    <t>FRONT PHARMACOL</t>
  </si>
  <si>
    <t>Front. Pharmacol.</t>
  </si>
  <si>
    <t>JUL 25 2025</t>
  </si>
  <si>
    <t>1649041</t>
  </si>
  <si>
    <t>10.3389/fphar.2025.1649041</t>
  </si>
  <si>
    <t>http://dx.doi.org/10.3389/fphar.2025.1649041</t>
  </si>
  <si>
    <t>Pharmacology &amp; Pharmacy</t>
  </si>
  <si>
    <t>5XQ7G</t>
  </si>
  <si>
    <t>40786055</t>
  </si>
  <si>
    <t>WOS:001546790800001</t>
  </si>
  <si>
    <t>Leypold, T; Bahm, J; Beier, JP; Guillaume, VGJ; Ammo, T; Lauer, H; Kolbenschlag, J; Schäfer, B</t>
  </si>
  <si>
    <t>&lt;black square&gt; OBJECTIVE: Artificial intelligence (AI) continues to advance in healthcare, offering innovative approaches to enhance clinical decision-making and patient management. Peripheral nerve surgery poses unique challenges due to the complexity of cases and the need for precise diagnostic and therapeutic strategies. This study investigates the application of OpenAI's generative AI model, o1, in assisting with intricate decision-making processes in peripheral nerve surgery. &lt;black square&gt; METHODS: Using advanced prompt engineering techniques, o1 was configured as a virtual medical assistant (Generative Pretrained Transformer-Nerve Surgery [GPTNS]) to process 5 simulated clinical scenarios modeled after real-world cases. The AI guided surgeons through medical history, diagnostics, and treatment planning, culminating in case summaries. A panel of nerve surgery specialists and residents evaluated the AI's performance using a Likert scale across 7 criteria. &lt;black square&gt; RESULTS: GPT-NS demonstrated strong capabilities, achieving an average score of 4.3. High ratings were observed for understanding clinical issues and case presentation clarity. However, areas for improvement were noted in diagnostic sequencing and treatment recommendations. Despite a lower score indicating human evaluators' perception of their superiority over the AI in handling cases, GPT-NS showed promise as a supportive tool in clinical practice. &lt;black square&gt; CONCLUSIONS: As the performance of large language model AI continues to improve, it is becoming increasingly important that absolute experts assess the accuracy of the answers to ensure reliable and clinically sound integration into healthcare practices. This study underscores the potential of large language model AI in augmenting clinical decision-making in highly specialized fields like peripheral nerve surgery while demonstrating the ongoing importance of human expertise. Future research should explore ways to further refine AI capabilities and assess its integration into routine surgical workflows.</t>
  </si>
  <si>
    <t>Leypold, Tim; Bahm, Jorg; Beier, Justus P.; Guillaume, Vincent G. J.; Ammo, Tekoshin; Lauer, Henrik; Kolbenschlag, Jonas; Schaefer, Benedikt</t>
  </si>
  <si>
    <t>Leypold, T (corresponding author), Univ Hosp RWTH Aachen, Hand Surg Burn Ctr, Dept Plast Surg, Aachen, Germany.</t>
  </si>
  <si>
    <t>tleypold@ukaachen.de</t>
  </si>
  <si>
    <t>[Leypold, Tim; Bahm, Jorg; Beier, Justus P.; Guillaume, Vincent G. J.; Ammo, Tekoshin; Schaefer, Benedikt] Univ Hosp RWTH Aachen, Hand Surg Burn Ctr, Dept Plast Surg, Aachen, Germany; [Lauer, Henrik; Kolbenschlag, Jonas] Univ Tubingen, BG Unfallklin Tuebingen, Dept Hand Plast Reconstruct &amp; Burn Surg, Tubingen, Germany</t>
  </si>
  <si>
    <t>RWTH Aachen University; RWTH Aachen University Hospital; Eberhard Karls University of Tubingen; Eberhard Karls University Hospital</t>
  </si>
  <si>
    <t>Evaluating ChatGPT o1's Capabilities in Peripheral Nerve Surgery: Advancing Artificial Intelligence in Clinical Practice</t>
  </si>
  <si>
    <t>WORLD NEUROSURGERY</t>
  </si>
  <si>
    <t>Artificial intelligence; ChatGPT; Large language model; o1; Peripheral nerve surgery</t>
  </si>
  <si>
    <t>GPT-4; AI</t>
  </si>
  <si>
    <t>Leypold, Tim/AAQ-9121-2020</t>
  </si>
  <si>
    <t>Schäfer, Benedikt/0000-0002-4251-4128; Leypold, Tim/0000-0003-1985-8368; Lauer, Henrik/0000-0002-6603-0443</t>
  </si>
  <si>
    <t>ELSEVIER SCIENCE INC</t>
  </si>
  <si>
    <t>NEW YORK</t>
  </si>
  <si>
    <t>STE 800, 230 PARK AVE, NEW YORK, NY 10169 USA</t>
  </si>
  <si>
    <t>1878-8750</t>
  </si>
  <si>
    <t>1878-8769</t>
  </si>
  <si>
    <t>WORLD NEUROSURG</t>
  </si>
  <si>
    <t>World Neurosurg.</t>
  </si>
  <si>
    <t>APR 2025</t>
  </si>
  <si>
    <t>196</t>
  </si>
  <si>
    <t>123753</t>
  </si>
  <si>
    <t>10.1016/j.wneu.2025.123753</t>
  </si>
  <si>
    <t>http://dx.doi.org/10.1016/j.wneu.2025.123753</t>
  </si>
  <si>
    <t>MAR 2025</t>
  </si>
  <si>
    <t>Clinical Neurology; Surgery</t>
  </si>
  <si>
    <t>Neurosciences &amp; Neurology; Surgery</t>
  </si>
  <si>
    <t>Z9P0E</t>
  </si>
  <si>
    <t>39924104</t>
  </si>
  <si>
    <t>WOS:001442125700001</t>
  </si>
  <si>
    <t>Cabello, D; Sales, TP; Machado, MR</t>
  </si>
  <si>
    <t>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t>
  </si>
  <si>
    <t>Cabello, De la Cruz; Sales, Tiago Prince; Machado, Marcos R.</t>
  </si>
  <si>
    <t>Emerging Sources Citation Index (ESCI)</t>
  </si>
  <si>
    <t>Machado, MR (corresponding author), Univ Twente, Dept High tech Business &amp; Entrepreneurship HBE, NL-7522 NB Enschede, Netherlands.</t>
  </si>
  <si>
    <t>m.r.machado@utwente.nl; m.delacruzcabello@student.utwente.nl; t.princesales@utwente.nl</t>
  </si>
  <si>
    <t>[Cabello, De la Cruz; Machado, Marcos R.] Univ Twente, Dept High tech Business &amp; Entrepreneurship HBE, NL-7522 NB Enschede, Netherlands; [Sales, Tiago Prince] Univ Twente, Dept Semant Cybersecur &amp; Serv, NL-7500 AE Enschede, Netherlands</t>
  </si>
  <si>
    <t>University of Twente; University of Twente</t>
  </si>
  <si>
    <t>Log anomaly detection in AIOps: A real-world implementation using Large Language Models</t>
  </si>
  <si>
    <t>SYSTEMS AND SOFT COMPUTING</t>
  </si>
  <si>
    <t>Artificial Intelligence for IT Operations (AIOps); Log anomaly detection; Linux systems; Large Language Models; LogBERT</t>
  </si>
  <si>
    <t>Machado, Marcos/CAF-6068-2022</t>
  </si>
  <si>
    <t>44</t>
  </si>
  <si>
    <t>2772-9419</t>
  </si>
  <si>
    <t>SYST SOFT COMPUT</t>
  </si>
  <si>
    <t>Syst. Soft Comput.</t>
  </si>
  <si>
    <t>JUN 2026</t>
  </si>
  <si>
    <t>8</t>
  </si>
  <si>
    <t>200475</t>
  </si>
  <si>
    <t>10.1016/j.sasc.2026.200475</t>
  </si>
  <si>
    <t>http://dx.doi.org/10.1016/j.sasc.2026.200475</t>
  </si>
  <si>
    <t>Computer Science, Artificial Intelligence; Computer Science, Interdisciplinary Applications</t>
  </si>
  <si>
    <t>EW0BY</t>
  </si>
  <si>
    <t>WOS:001711067000001</t>
  </si>
  <si>
    <t>gold; Green Published</t>
  </si>
  <si>
    <t>Erstad, BL</t>
  </si>
  <si>
    <t>BACKGROUND:The purpose of this study was to evaluate the capability of a large language model (LLM) for performing each of the steps of clinical practice guideline development from framing a healthcare question to creating the evidence-to-decision framework.METHODS:The LLM tool used for this study was OpenAI Generative Pretrained Transformer (GPT)-4o. This evaluation of an LLM was conducted concomitantly with development of a clinical practice guideline on neuromuscular blockade in adults with acute respiratory distress syndrome for the Society of Critical Care Medicine. The Grading of Recommendations, Assessment, Development, and Evaluation (GRADE) handbook provided the steps of the process that served as the outline for this evaluation of GPT-4o. Each request for information posed to the LLM was performed during or soon after the same period as the respective step of the process being conducted by the guideline panel. The results follow the major sections of the GRADE process: framing the healthcare question and selecting and rating the importance of outcomes, summarizing the evidence and quality of evidence, and going from evidence to recommendations.RESULTS AND CONCLUSIONS:The LLM demonstrated the most usefulness for the initial step of the guideline development process that involved framing the healthcare question and selecting and rating outcomes. The limitations of the LLM became most apparent during the remaining steps of the development process.</t>
  </si>
  <si>
    <t>Erstad, Brian L.</t>
  </si>
  <si>
    <t>Erstad, BL (corresponding author), Univ Arizona, R Ken Coit Coll Pharm, Dept Pharm Practice &amp; Sci, Tucson, AZ 85721 USA.</t>
  </si>
  <si>
    <t>erstad@pharmacy.arizona.edu</t>
  </si>
  <si>
    <t>[Erstad, Brian L.] Univ Arizona, R Ken Coit Coll Pharm, Dept Pharm Practice &amp; Sci, Tucson, AZ 85721 USA</t>
  </si>
  <si>
    <t>University of Arizona; University of Arizona Health Sciences</t>
  </si>
  <si>
    <t>Real-Time Evaluation of a Large Language Model for Clinical Practice Guideline Development</t>
  </si>
  <si>
    <t>CRITICAL CARE EXPLORATIONS</t>
  </si>
  <si>
    <t>artificial intelligence; guideline; large language models; neuromuscular blockade; neuromuscular blocking agents; practice guideline</t>
  </si>
  <si>
    <t>LIPPINCOTT WILLIAMS &amp; WILKINS</t>
  </si>
  <si>
    <t>TWO COMMERCE SQ, 2001 MARKET ST, PHILADELPHIA, PA 19103 USA</t>
  </si>
  <si>
    <t>2639-8028</t>
  </si>
  <si>
    <t>CRIT CARE EXPLOR</t>
  </si>
  <si>
    <t>Crit. Care Explor.</t>
  </si>
  <si>
    <t>MAY 2026</t>
  </si>
  <si>
    <t>e1409</t>
  </si>
  <si>
    <t>10.1097/CCE.0000000000001409</t>
  </si>
  <si>
    <t>http://dx.doi.org/10.1097/CCE.0000000000001409</t>
  </si>
  <si>
    <t>Critical Care Medicine</t>
  </si>
  <si>
    <t>HA1FD</t>
  </si>
  <si>
    <t>42042855</t>
  </si>
  <si>
    <t>WOS:001749165000001</t>
  </si>
  <si>
    <t>Kenny, PG; Parsons, TD</t>
  </si>
  <si>
    <t>The integration of artificially intelligent (AI) conversational agents acting as virtual standardized patients into the practice for therapists represents a significant advancement in the field of medical training and simulation. Over the past four decades, the development of cognitive architectures, chat bots, behavior trees, and state machines has aimed to create believable, human-like behavior in embodied agents. These virtual humans have been utilized in many applications, from non-player characters in video games to virtual patients for clinical medical diagnosis, to conversational therapists in training and entertainment. Studies have shown that these systems can be effective in training and intervention. However, numerous challenges remain in designing and implementing these systems effectively. One of the most promising developments in this area is the advent of Large Language Models (LLMs) and associated AI technologies such as Natural Language Processing (NLP), Natural Language understanding (NLU) and Generation (NLG), voice and behavior recognition and generation and integration of multi-modal inputs for emotion and gesture tracking to enhance behavior generation. LLMs have demonstrated remarkable capabilities in generating humanlike text and engaging in meaningful conversational discourse, but have limited application in creating realistic interactive 3D virtual human characters.</t>
  </si>
  <si>
    <t>Kenny, Patrick G.; Parsons, Thomas D.</t>
  </si>
  <si>
    <t>Kenny, PG (corresponding author), Geer AI, Columbia, SC 29208 USA.</t>
  </si>
  <si>
    <t>geerkenny@gmail.com</t>
  </si>
  <si>
    <t>[Kenny, Patrick G.] Geer AI, Columbia, SC 29208 USA; [Parsons, Thomas D.] Arizona State Univ ASU, Computat Neuropsychol &amp; Simulat CNS Lab, Tempe, AZ USA</t>
  </si>
  <si>
    <t>Arizona State University; Arizona State University-Tempe</t>
  </si>
  <si>
    <t>Virtual Standardized LLM-AI Patients for Clinical Practice</t>
  </si>
  <si>
    <t>ANNUAL REVIEW OF CYBERTHERAPY AND TELEMEDICINE</t>
  </si>
  <si>
    <t>Virtual standardized patients; artificial intelligence; large language models; mental health; psychology</t>
  </si>
  <si>
    <t>30</t>
  </si>
  <si>
    <t>INTERACTIVE MEDIA INST</t>
  </si>
  <si>
    <t>SAN DIEGO</t>
  </si>
  <si>
    <t>9565 WAPLES ST, STE 200, SAN DIEGO, CA 92121 USA</t>
  </si>
  <si>
    <t>1554-8716</t>
  </si>
  <si>
    <t>2352-927X</t>
  </si>
  <si>
    <t>ANN REV CYBERTHERAPY</t>
  </si>
  <si>
    <t>Ann. Rev. CyberTherapy Telemed.</t>
  </si>
  <si>
    <t>SUM 2024</t>
  </si>
  <si>
    <t>2024</t>
  </si>
  <si>
    <t>22</t>
  </si>
  <si>
    <t>240</t>
  </si>
  <si>
    <t>Computer Science, Cybernetics</t>
  </si>
  <si>
    <t>1PJ2Z</t>
  </si>
  <si>
    <t>WOS:001470482100028</t>
  </si>
  <si>
    <t>Wei, MY; Li, YL; Liu, SY; Li, GY</t>
  </si>
  <si>
    <t>Background and objectives A comparative evaluation of large language models (LLMs) is crucial for their application in specialized fields, such as ophthalmology. This study systematically assesses five prominent LLMs (ChatGPT 4, Claude 3 Opus, Gemini 1.5 Flash, ERNIE 3.5, and iFLY Healthcare) to quantify their performance across key clinical domains and provide evidence-based guidance for their integration.Methods We evaluated the LLMs across three simulated ophthalmic scenarios. For clinical assistance, the models responded to 50 questions, which were assessed for accuracy, completeness, and readability. For diagnosis and treatment, models answered 375 qualification exam questions to assess clinical reasoning. For doctor-patient communication, models responded to 20 SPIKES-based scenarios, which were analyzed for emotional and social engagement.Results In clinical assistance, Gemini 1.5 Flash demonstrated superior accuracy and completeness, while Claude 3 Opus produced the most readable text. For diagnosis and treatment, all models surpassed the passing threshold for the qualification exam, with Claude 3 Opus achieving the highest overall accuracy (81.07%). In doctor-patient communication, Gemini 1.5 Flash showed the strongest performance in positive emotional expression and social engagement.Conclusion This study innovatively evaluates LLMs in ophthalmic practice. Gemini 1.5 Flash excels in generating accurate clinical content and engaging with patients, whereas Claude 3 Opus demonstrates exceptional clinical reasoning and readability of text. Findings validate LLMs' clinical potential while providing evidence-based selection criteria for ophthalmic AI applications. The results establish practical foundations for optimizing ophthalmic AI model development and systematically constructing intelligent ophthalmic hospital systems.</t>
  </si>
  <si>
    <t>Wei, Mu-Yang; Li, Yu-Lin; Liu, Shu-Yan; Li, Guang-Yu</t>
  </si>
  <si>
    <t>Li, GY (corresponding author), Jilin Univ, Dept Ophthalmol, Norman Bethune Hosp 2, Changchun, Peoples R China.</t>
  </si>
  <si>
    <t>l_gy@jlu.edu.cn</t>
  </si>
  <si>
    <t>National Natural Science Foundation of China [82171053]</t>
  </si>
  <si>
    <t>National Natural Science Foundation of China (National Natural Science Foundation of China (NSFC))</t>
  </si>
  <si>
    <t>The authors declare that financial support was received for the research and/or publication of this article. The study was supported by grants from the National Natural Science Foundation of China (Nos. 82171053 and 81570864).</t>
  </si>
  <si>
    <t>[Wei, Mu-Yang; Li, Yu-Lin; Liu, Shu-Yan; Li, Guang-Yu] Jilin Univ, Dept Ophthalmol, Norman Bethune Hosp 2, Changchun, Peoples R China</t>
  </si>
  <si>
    <t>Jilin University</t>
  </si>
  <si>
    <t>Evaluating the competence of large language models in ophthalmology clinical practice: a multi-scenario quantitative study</t>
  </si>
  <si>
    <t>FRONTIERS IN CELL AND DEVELOPMENTAL BIOLOGY</t>
  </si>
  <si>
    <t>ophthalmology application; large language models; clinical accuracy; doctor-patient communication; readability analysis; sentiment analysis</t>
  </si>
  <si>
    <t>CHATGPT; PERFORMANCE</t>
  </si>
  <si>
    <t>49</t>
  </si>
  <si>
    <t>2296-634X</t>
  </si>
  <si>
    <t>FRONT CELL DEV BIOL</t>
  </si>
  <si>
    <t>Front. Cell. Dev. Biol.</t>
  </si>
  <si>
    <t>DEC 2 2025</t>
  </si>
  <si>
    <t>1704762</t>
  </si>
  <si>
    <t>10.3389/fcell.2025.1704762</t>
  </si>
  <si>
    <t>http://dx.doi.org/10.3389/fcell.2025.1704762</t>
  </si>
  <si>
    <t>Cell Biology; Developmental Biology</t>
  </si>
  <si>
    <t>W0146</t>
  </si>
  <si>
    <t>41409763</t>
  </si>
  <si>
    <t>WOS:001639177000001</t>
  </si>
  <si>
    <t>Koller, P; Prenosil, GA; Shi, KY; Cavinato, L</t>
  </si>
  <si>
    <t>LLMs represent a transformative evolution from traditional NLP approaches in nuclear medicine, offering unprecedented capabilities that extend far beyond the rule-based and statistical methods previously employed in the field. Current research demonstrates their superior utility in managing complex medical information, supporting clinical decisions, assisting with multimodal imaging tasks, and enhancing medical education. However, this technological advancement comes with critical challenges that were less prominent in earlier NLP systems, including reliability concerns (hallucinations), the need for specialized domain knowledge, multimodal data integration complexities, standardized evaluation frameworks, and heightened ethical and privacy considerations. The transition from traditional NLP to LLMs highlights the promise of more advanced language understanding and generation capabilities, offering opportunities to enhance personalized and efficient health care in nuclear medicine and theranostics. At the same time, these models demand rigorous validation, careful domain adaptation, and responsible implementation strategies to ensure patient safety and clinical reliability. By addressing these challenges through targeted research and clinical validation, LLMs can fulfill their potential as transformative tools in specialized medical practice.</t>
  </si>
  <si>
    <t>Koller, Pia; Prenosil, George A.; Shi, Kuangyu; Cavinato, Lara</t>
  </si>
  <si>
    <t>Cavinato, L (corresponding author), Politecn Milan, MOX Lab, Dept Math, Milan, Italy.</t>
  </si>
  <si>
    <t>lara.cavinato@polimi.it</t>
  </si>
  <si>
    <t>[Koller, Pia; Prenosil, George A.] Bern Univ Hosp, Inselspital, Dept Nucl Med, Bern, Switzerland; [Koller, Pia; Prenosil, George A.] Univ Bern, Bern, Switzerland; [Shi, Kuangyu] Univ Bern, Bern Univ Hosp, Dept Nucl Med, Bern, Switzerland; [Cavinato, Lara] Politecn Milan, MOX Lab, Dept Math, Milan, Italy</t>
  </si>
  <si>
    <t>University of Bern; University Hospital of Bern; University of Bern; University of Bern; University Hospital of Bern; Polytechnic University of Milan</t>
  </si>
  <si>
    <t>Large Language Models Are Reshaping Patient Data Management and Clinical Practice in Nuclear Medicine</t>
  </si>
  <si>
    <t>PET CLINICS</t>
  </si>
  <si>
    <t>Large language models; Nuclear medicine; Theranostics; Precision medicine; Review</t>
  </si>
  <si>
    <t>AI</t>
  </si>
  <si>
    <t>Cavinato, Lara/AAB-2932-2022</t>
  </si>
  <si>
    <t>Shi, Kuangyu/0000-0002-8714-3084</t>
  </si>
  <si>
    <t>37</t>
  </si>
  <si>
    <t>ELSEVIER INC</t>
  </si>
  <si>
    <t>525 B STREET, STE 1900, SAN DIEGO, CA 92101-4495 USA</t>
  </si>
  <si>
    <t>1556-8598</t>
  </si>
  <si>
    <t>1559-7814</t>
  </si>
  <si>
    <t>PET CLIN</t>
  </si>
  <si>
    <t>PET Clin.</t>
  </si>
  <si>
    <t>21</t>
  </si>
  <si>
    <t>42</t>
  </si>
  <si>
    <t>10.1016/j.cpet.2025.09.009</t>
  </si>
  <si>
    <t>http://dx.doi.org/10.1016/j.cpet.2025.09.009</t>
  </si>
  <si>
    <t>NOV 2025</t>
  </si>
  <si>
    <t>Radiology, Nuclear Medicine &amp; Medical Imaging</t>
  </si>
  <si>
    <t>I8932</t>
  </si>
  <si>
    <t>41125503</t>
  </si>
  <si>
    <t>WOS:001627002900004</t>
  </si>
  <si>
    <t>Zhong, W; Fu, YY; Peng, DC; Liu, YF; Liu, Y; Yang, K; Gao, HM; Yan, HH; Hao, WJ; Yan, YS; Yin, CH</t>
  </si>
  <si>
    <t>The open-source reasoning large language model DeepSeek-R1 is increasingly being used in hospitals, but its multiple parameter versions, especially the distilled models, have not been fully evaluated for diagnostic performance. To address this, paired comparisons were conducted using five DeepSeek-R1 models and their respective base models. The models were tested on a diagnostic dataset of 110 simulated clinical cases from open access data, covering internal medicine, surgery, neurology, gynecology, and pediatrics, and categorized by incidence (frequent, less frequent, rare). The models were tasked with generating five preliminary diagnoses based on clinical symptoms, and a response was considered correct if the accurate diagnosis was included in the five generated. The model pairings were DeepSeek-R1-8B vs. Llama3.1-8B, DeepSeek-R1-14B vs. Qwen2.5-14B, DeepSeek-R1-32B vs. Qwen2.5-32B, DeepSeek-R1-70B vs. Llama3.3-70B, and DeepSeek-R1-671B vs. DeepSeek-V3. All reasoning models except DeepSeek-R1-671B were distilled versions. Diagnostic accuracy was assessed using McNemar's test for discordant pairs, with a significance threshold of 0.01. The results showed that DeepSeek-R1-671B significantly outperformed DeepSeek-V3 (95.45% vs. 88.18%; p = 0.008), while DeepSeek-R1-8B underperformed relative to Llama3.1-8B (47.27% vs. 64.54%; p = 0.003). No significant differences were observed for the mid-sized models. Subgroup analyses based on incidence and clinical specialties further supported these conclusions. Qualitative analysis of the chain-of-thought outputs in incorrect cases revealed three universally prevalent error modes across distilled models: Reasoning drift, Red-Flag recognition failure, and diagnostic priority inversion. The study concludes that the DeepSeek-R1-671B shows potential for medical diagnosis, but distilled models do not exceed their base models. Based on simulated clinical cases, our results do not support deploying distilled models for text-based diagnostic tasks without further validation on real patient data.</t>
  </si>
  <si>
    <t>Zhong, Wei; Fu, Yiyao; Peng, Dingchuan; Liu, Yifan; Liu, Yan; Yang, Kai; Gao, Huimin; Yan, Huihui; Hao, Wenjing; Yan, Yousheng; Yin, Chenghong</t>
  </si>
  <si>
    <t>Yan, YS (corresponding author), Capital Med Univ, Beijing Obstet &amp; Gynecol Hosp, Beijing Maternal &amp; Child Hlth Care Hosp, Dept Prenatal Diag, Beijing 100026, Peoples R China.; Yin, CH (corresponding author), Capital Med Univ, Beijing Obstet &amp; Gynecol Hosp, Beijing Maternal &amp; Child Hlth Care Hosp, Dept Cent Lab, Beijing 100010, Peoples R China.; Yin, CH (corresponding author), 251 Yaojiayuan Rd, Beijing, Peoples R China.</t>
  </si>
  <si>
    <t>yinchh@ccmu.edu.cn; dukeway@mail.ccmu.edu.cn; yys_521@ccmu.edu.cn</t>
  </si>
  <si>
    <t>National Key Research and Development Program of China [2023YFC2705605]</t>
  </si>
  <si>
    <t>National Key Research and Development Program of China (National Key Research &amp; Development Program of China)</t>
  </si>
  <si>
    <t>This study was funded by National Key Research and Development Program of China (2023YFC2705605).</t>
  </si>
  <si>
    <t>[Zhong, Wei; Liu, Yifan; Liu, Yan; Yang, Kai; Gao, Huimin; Yan, Huihui; Hao, Wenjing; Yan, Yousheng] Capital Med Univ, Beijing Obstet &amp; Gynecol Hosp, Beijing Maternal &amp; Child Hlth Care Hosp, Dept Prenatal Diag, Beijing 100026, Peoples R China; [Fu, Yiyao] Chinese Peoples Liberat Army Med Sch, Dept Obstet &amp; Gynecol, Beijing 100853, Peoples R China; [Peng, Dingchuan] South China Univ Technol, Sch Med, Guangzhou 511442, Guangdong, Peoples R China; [Yin, Chenghong] Capital Med Univ, Beijing Obstet &amp; Gynecol Hosp, Beijing Maternal &amp; Child Hlth Care Hosp, Dept Cent Lab, Beijing 100010, Peoples R China; [Yin, Chenghong] 251 Yaojiayuan Rd, Beijing, Peoples R China</t>
  </si>
  <si>
    <t>Capital Medical University; South China University of Technology; Capital Medical University</t>
  </si>
  <si>
    <t>Open-Source Large Language Models Distilled DeepSeek-R1 Pose Challenges for On-Premises Clinical Deployment in Medical Diagnosis: A Comparative Study of Performance</t>
  </si>
  <si>
    <t>JOURNAL OF MEDICAL SYSTEMS</t>
  </si>
  <si>
    <t>Large language models; DeepSeek-R1; Reinforcement learning; Chain of thought</t>
  </si>
  <si>
    <t>Yin, Chenghong/0000-0002-2503-3285</t>
  </si>
  <si>
    <t>45</t>
  </si>
  <si>
    <t>SPRINGER</t>
  </si>
  <si>
    <t>ONE NEW YORK PLAZA, SUITE 4600, NEW YORK, NY, UNITED STATES</t>
  </si>
  <si>
    <t>0148-5598</t>
  </si>
  <si>
    <t>1573-689X</t>
  </si>
  <si>
    <t>J MED SYST</t>
  </si>
  <si>
    <t>J. Med. Syst.</t>
  </si>
  <si>
    <t>MAY 1 2026</t>
  </si>
  <si>
    <t>50</t>
  </si>
  <si>
    <t>68</t>
  </si>
  <si>
    <t>10.1007/s10916-026-02390-5</t>
  </si>
  <si>
    <t>http://dx.doi.org/10.1007/s10916-026-02390-5</t>
  </si>
  <si>
    <t>HI3WZ</t>
  </si>
  <si>
    <t>42062641</t>
  </si>
  <si>
    <t>WOS:001754771600002</t>
  </si>
  <si>
    <t>Boyle, A; Huo, BG; Sylla, P; Calabrese, E; Kumar, S; Slater, BJ; Walsh, DS; Vosburg, RW</t>
  </si>
  <si>
    <t>BackgroundClinical practice guidelines provide important evidence-based recommendations to optimize patient care, but their development is labor-intensive and time-consuming. Large language models have shown promise in supporting academic writing and the development of systematic reviews, but their ability to assist with guideline development has not been explored. In this study, we tested the capacity of LLMs to support each stage of guideline development, using the latest SAGES guideline on the surgical management of appendicitis as a comparison.MethodsPrompts were engineered to trigger LLMs to perform each task of guideline development, using key questions and PICOs derived from the SAGES guideline. ChatGPT-4, Google Gemini, Consensus, and Perplexity were queried on February 21, 2024. LLM performance was evaluated qualitatively, with narrative descriptions of each task's output. The Appraisal of Guidelines for Research and Evaluation in Surgery (AGREE-S) instrument was used to quantitatively assess the quality of the LLM-derived guideline compared to the existing SAGES guideline.ResultsPopular LLMs were able to generate a search syntax, perform data analysis, and follow the GRADE approach and Evidence-to-Decision framework to produce guideline recommendations. These LLMs were unable to independently perform a systematic literature search or reliably perform screening, data extraction, or risk of bias assessment at the time of testing. AGREE-S appraisal produced a total score of 119 for the LLM-derived guideline and 156 for the SAGES guideline. In 19 of the 24 domains, the two guidelines scored within two points of each other.ConclusionsLLMs demonstrate potential to assist with certain steps of guideline development, which may reduce time and resource burden associated with these tasks. As new models are developed, the role for LLMs in guideline development will continue to evolve. Ongoing research and multidisciplinary collaboration are needed to support the safe and effective integration of LLMs in each step of guideline development.</t>
  </si>
  <si>
    <t>Boyle, Amy; Huo, Bright; Sylla, Patricia; Calabrese, Elisa; Kumar, Sunjay; Slater, Bethany J.; Walsh, Danielle S.; Vosburg, R. Wesley</t>
  </si>
  <si>
    <t>Vosburg, RW (corresponding author), Grand Strand Med Ctr, Dept Surg, Myrtle Beach, SC 29572 USA.</t>
  </si>
  <si>
    <t>ralph.vosburg@hcahealthcare.com</t>
  </si>
  <si>
    <t>[Boyle, Amy] McMaster Univ, Michael G DeGroote Sch Med, Hamilton, ON, Canada; [Huo, Bright] McMaster Univ, Dept Surg, Div Gen Surg, Hamilton, ON, Canada; [Sylla, Patricia] Mt Sinai Hosp, Dept Surg, Div Colon &amp; Rectal Surg, New York, NY USA; [Calabrese, Elisa] Univ Adelaide, Queen Elizabeth Hosp, Dept Surg, Adelaide, SA, Australia; [Kumar, Sunjay] Thomas Jefferson Univ Hosp, Dept Gen Surg, Philadelphia, PA USA; [Slater, Bethany J.] Univ Chicago, Dept Surg, Chicago, IL USA; [Walsh, Danielle S.] Univ Kentucky, Dept Surg, Lexington, KY USA; [Vosburg, R. Wesley] Grand Strand Med Ctr, Dept Surg, Myrtle Beach, SC 29572 USA</t>
  </si>
  <si>
    <t>McMaster University; McMaster University; Icahn School of Medicine at Mount Sinai; Adelaide University; University of Adelaide; Thomas Jefferson University; University of Chicago; University of Kentucky</t>
  </si>
  <si>
    <t>Large language model-generated clinical practice guideline for appendicitis</t>
  </si>
  <si>
    <t>SURGICAL ENDOSCOPY AND OTHER INTERVENTIONAL TECHNIQUES</t>
  </si>
  <si>
    <t>Large language models; Clinical practice guideline; ChatGPT; Generative AI; Appendicitis; Surgery</t>
  </si>
  <si>
    <t>Walsh, Danielle/AAI-8289-2020; Huo, Bright/JLN-0870-2023</t>
  </si>
  <si>
    <t>Huo, Bright/0000-0003-4999-4328</t>
  </si>
  <si>
    <t>0930-2794</t>
  </si>
  <si>
    <t>1432-2218</t>
  </si>
  <si>
    <t>SURG ENDOSC</t>
  </si>
  <si>
    <t>Surg. Endosc.</t>
  </si>
  <si>
    <t>JUN 2025</t>
  </si>
  <si>
    <t>3539</t>
  </si>
  <si>
    <t>3551</t>
  </si>
  <si>
    <t>10.1007/s00464-025-11723-3</t>
  </si>
  <si>
    <t>http://dx.doi.org/10.1007/s00464-025-11723-3</t>
  </si>
  <si>
    <t>Surgery</t>
  </si>
  <si>
    <t>3DA4P</t>
  </si>
  <si>
    <t>40251310</t>
  </si>
  <si>
    <t>WOS:001469637400001</t>
  </si>
  <si>
    <t>Schwietering, J; Lichtner, G</t>
  </si>
  <si>
    <t>Objectives Clinical practice guidelines are a cornerstone of evidence-based medicine, yet their implementation in routine care remains inconsistent. Large language models (LLMs), particularly with Retrieval-Augmented Generation (RAG), have shown strong performance in medical question answering, but their ability to use knowledge from German-language guidelines has not been systematically evaluated due to a lack of a dedicated benchmark. We therefore developed such a benchmark and evaluated guideline-based question answering with different LLMs and retriever configurations.Methods We developed cpgQA-DE, an expert-validated benchmark dataset of 200 multiple-choice questions derived from 10 current German clinical practice guidelines across five specialties. All questions were reviewed for correctness, relevance and complexity. The dataset includes case-based and knowledge-based questions with metadata on guideline source, specialty, relevance and difficulty. We evaluated LLM performance using a RAG-based pipeline built on a corpus of German guidelines, comparing multiple model-retriever combinations.Results RAG integration substantially improved accuracy across all tested models and for most retrievers. The best-performing configuration, GPT-5 combined with the multilingual-e5-large retriever, achieved an accuracy of 95%. Notably, the open-weight model gpt-oss-120b reached 90% accuracy when used with RAG.Conclusions cpgQA-DE enables systematic and reproducible offline evaluation of guideline-aware question answering systems in the German healthcare context. The observed performance gains with RAG support the use of LLMs augmented with quality-assured external knowledge. Such systems may help bridge the evidence-practice gap by providing guideline-based recommendations at the point of care, while strong performance of open-weight models suggests potential for on-premises deployment in privacy-sensitive clinical environments.</t>
  </si>
  <si>
    <t>Schwietering, Johannes; Lichtner, Gregor</t>
  </si>
  <si>
    <t>Lichtner, G (corresponding author), Univ Med Greifswald, Klin Anasthesie Intens Notfall &amp; Schmerzmed, Greifswald, Germany.</t>
  </si>
  <si>
    <t>joschwietering@gmail.com; gregor.lichtner@med.uni-greifswald.de</t>
  </si>
  <si>
    <t>[Schwietering, Johannes] UMIT TIROL Private Univ Hlth Sci &amp; Hlth Technol, Hall In Tirol, Tyrol, Austria; [Lichtner, Gregor] Univ Med Greifswald, Klin Anasthesie Intens Notfall &amp; Schmerzmed, Greifswald, Germany</t>
  </si>
  <si>
    <t>Universitat Greifswald; Greifswald Medical School</t>
  </si>
  <si>
    <t>Benchmarking large language models for question answering on German clinical practice guidelines</t>
  </si>
  <si>
    <t>BMJ HEALTH &amp; CARE INFORMATICS</t>
  </si>
  <si>
    <t>Decision Support Systems, Clinical; Evidence-Based Medicine; Health Information Systems; Large Language Models; Medical Informatics Applications</t>
  </si>
  <si>
    <t>IMPLEMENTATION; PHYSICIANS</t>
  </si>
  <si>
    <t>47</t>
  </si>
  <si>
    <t>BMJ PUBLISHING GROUP</t>
  </si>
  <si>
    <t>LONDON</t>
  </si>
  <si>
    <t>BRITISH MED ASSOC HOUSE, TAVISTOCK SQUARE, LONDON WC1H 9JR, ENGLAND</t>
  </si>
  <si>
    <t>2632-1009</t>
  </si>
  <si>
    <t>BMJ HEALTH CARE INFO</t>
  </si>
  <si>
    <t>BMJ Health Care Inform.</t>
  </si>
  <si>
    <t>AUG 11 2026</t>
  </si>
  <si>
    <t>e102207</t>
  </si>
  <si>
    <t>10.1136/bmjhci-2026-102207</t>
  </si>
  <si>
    <t>http://dx.doi.org/10.1136/bmjhci-2026-102207</t>
  </si>
  <si>
    <t>MN5JO</t>
  </si>
  <si>
    <t>42580812</t>
  </si>
  <si>
    <t>WOS:001846457400001</t>
  </si>
  <si>
    <t>gold</t>
  </si>
  <si>
    <t>Wu, JG; Gu, BW; Zhou, R; Xie, K; Snyder, D; Jiang, YX; Carducci, V; Wyss, R; Desai, RJ; Alsentzer, E; Celi, LA; Rodman, A; Schneeweiss, S; Chen, JH; Romero-Brufau, S; Lin, KJ; Yang, J</t>
  </si>
  <si>
    <t>Large language models (LLMs) are evolving rapidly and hold great promise for medical applications, yet benchmarking on real-world clinical data such as electronic health records remains limited. Most existing benchmarks rely on medical examination-style questions or PubMed-derived text, failing to capture the complexity of clinical practice, while others target specific application scenarios with limited generalizability. Here we present BRIDGE, a comprehensive multilingual benchmark comprising 87 tasks sourced from 59 real-world clinical data sources across 9 languages. It covers eight task types spanning the patient care continuum, including triage, information extraction, diagnosis, prognosis and billing coding, and involves 14 clinical specialties. We systematically evaluated 95 LLMs (including DeepSeek-R1, GPT-4o, Gemini and Qwen3) under multiple inference strategies. Results reveal substantial performance variation across model sizes, languages, natural language processing tasks and clinical specialties. Open-source LLMs can match proprietary models, while medically fine-tuned models built on older backbones often lag behind updated general-purpose LLMs. BRIDGE and its continuously updated leaderboard provide foundational resources and important references for evaluating and developing LLMs for real-world clinical text understanding.</t>
  </si>
  <si>
    <t>Wu, Jiageng; Gu, Bowen; Zhou, Ren; Xie, Kevin; Snyder, Doug; Jiang, Yixing; Carducci, Valentina; Wyss, Richard; Desai, Rishi J.; Alsentzer, Emily; Celi, Leo Anthony; Rodman, Adam; Schneeweiss, Sebastian; Chen, Jonathan H.; Romero-Brufau, Santiago; Lin, Kueiyu Joshua; Yang, Jie</t>
  </si>
  <si>
    <t>Lin, KJ; Yang, J (corresponding author), Harvard Med Sch, Brigham &amp; Womens Hosp, Dept Med, Div Pharmacoepidemiol &amp; Pharmacoecon, Boston, MA 02115 USA.; Yang, J (corresponding author), Harvard Univ, Kempner Inst Study Nat &amp; Artificial Intelligence, Boston, MA 02134 USA.; Yang, J (corresponding author), Broad Inst MIT &amp; Harvard, Cambridge, MA 02142 USA.; Yang, J (corresponding author), Harvard Univ, Harvard Data Sci Initiat, Cambridge, MA 02138 USA.</t>
  </si>
  <si>
    <t>jklin@bwh.harvard.edu; jyang66@bwh.harvard.edu</t>
  </si>
  <si>
    <t>BWH | Brigham Research Institute (BWH Brigham Research Institute); Patient-Centered Outcomes Research Institute (PCORI) [ME-2022C1-25646]; U.S. Department of Health &amp; Human Services | NIH | National Institute on Aging (U.S. National Institute on Aging) [RF1AG090405]; U.S. Department of Health &amp; Human Services | NIH | U.S. National Library of Medicine (NLM) [R01LM014667]</t>
  </si>
  <si>
    <t>BWH | Brigham Research Institute (BWH Brigham Research Institute); Patient-Centered Outcomes Research Institute (PCORI); U.S. Department of Health &amp; Human Services | NIH | National Institute on Aging (U.S. National Institute on Aging); U.S. Department of Health &amp; Human Services | NIH | U.S. National Library of Medicine (NLM)</t>
  </si>
  <si>
    <t>We thank X. Liu, W. Li, Q. Zeng, Z. Su and X. Wang for the initial dataset processing. This study was partially funded by PCORI ME-2022C1-25646, Goldberg Scholarship and Brigham Research Institute, National Institute on Aging RF1AG090405 and National Library of Medicine R01LM014667. L.A.C. is supported by the National Institute of Health through DS-I Africa U54 TW012043-01 and Bridge2AI OT2OD032701, the National Science Foundation through ITEST #2148451, a grant from the Boston-Korea Innovative Research Project (grant no. RS-2024-00403047) and a grant from the Korea Health Technology R&amp;D Project (grant no. RS-2024-00439677) through the Korea Health Industry Development Institute (KHIDI) as funded by the Ministry of Health and Welfare, Republic of Korea. S.S. is funded in part by Food and Drug Administration (FDA) research contracts (contract nos. HHSF223201710186C and HHSF223201710146C), the FDA Sentinel Innovation Center (grant no. 75F40119F19002), the National Institutes of Health (NIH) (grant nos. NHLBI R01-HL141505 and NIAMS R01-AR080194), the Burroughs Wellcome Fund and PCORI. J.H.C. was supported by the NIH/National Institute of Allergy and Infectious Diseases (grant no. 1R01AI17812101), NIH-NCATS-Clinical and Translational Science Award (award no. UM1TR004921), Stanford Bio-X Interdisciplinary Initiatives Seed Grants Program (IIP) [R12] [JHC], NIH/Center for Undiagnosed Diseases at Stanford (grant no. U01 NS134358), Stanford RAISE Health Seed Grant 2024, the Josiah Macy Jr. Foundation (AI in Medical Education) and Stanford CARE AI Scholar Fellowship. The funders had no role in study design, data collection and analysis, decision to publish or preparation of the manuscript.</t>
  </si>
  <si>
    <t>[Wu, Jiageng; Gu, Bowen; Wyss, Richard; Desai, Rishi J.; Schneeweiss, Sebastian; Lin, Kueiyu Joshua; Yang, Jie] Harvard Med Sch, Brigham &amp; Womens Hosp, Dept Med, Div Pharmacoepidemiol &amp; Pharmacoecon, Boston, MA 02115 USA; [Zhou, Ren] Univ Illinois, Grainger Coll Engn, Siebel Sch Comp &amp; Data Sci, Urbana, IL USA; [Xie, Kevin] MIT, Dept Elect Engn &amp; Comp Sci, Cambridge, MA USA; [Snyder, Doug; Carducci, Valentina; Romero-Brufau, Santiago] Mayo Clin, Dept Otolaryngol Head &amp; Neck Surg, Rochester, MN USA; [Snyder, Doug; Celi, Leo Anthony; Romero-Brufau, Santiago] Harvard Univ, Harvard TH Chan Sch Publ Hlth, Dept Biostat, Boston, MA USA; [Jiang, Yixing; Alsentzer, Emily] Stanford Univ, Dept Biomed Data Sci, Palo Alto, CA USA; [Celi, Leo Anthony] MIT, Lab Computat Physiol, Cambridge, MA USA; [Celi, Leo Anthony] Beth Israel Deaconess Med Ctr, Div Pulm Crit Care &amp; Sleep Med, Boston, MA USA; [Rodman, Adam] Beth Israel Deaconess Med Ctr, Dept Med, Div Gen Internal Med, Boston, MA USA; [Chen, Jonathan H.] Stanford Univ, Stanford Div Computat Med, Stanford, CA USA; [Chen, Jonathan H.] Stanford Univ, Div Hosp Med, Stanford, CA USA; [Chen, Jonathan H.] Stanford Univ, Clin Excellence Res Ctr, Stanford, CA USA; [Yang, Jie] Harvard Univ, Kempner Inst Study Nat &amp; Artificial Intelligence, Boston, MA 02134 USA; [Yang, Jie] Broad Inst MIT &amp; Harvard, Cambridge, MA 02142 USA; [Yang, Jie] Harvard Univ, Harvard Data Sci Initiat, Cambridge, MA 02138 USA</t>
  </si>
  <si>
    <t>Harvard University; Harvard Medical School; Harvard University Medical Affiliates; Brigham &amp; Women's Hospital; University of Illinois System; University of Illinois Urbana-Champaign; Massachusetts Institute of Technology (MIT); Mayo Clinic; Harvard University; Harvard T.H. Chan School of Public Health; Stanford University; Massachusetts Institute of Technology (MIT); Harvard University; Harvard University Medical Affiliates; Beth Israel Deaconess Medical Center; Harvard University; Harvard University Medical Affiliates; Beth Israel Deaconess Medical Center; Stanford University; Stanford University; Stanford Medicine; Stanford University; Harvard University; Harvard University; Massachusetts Institute of Technology (MIT); Broad Institute; Harvard University</t>
  </si>
  <si>
    <t>BRIDGE: benchmarking large language models for understanding real-world clinical practice texts</t>
  </si>
  <si>
    <t>NATURE BIOMEDICAL ENGINEERING</t>
  </si>
  <si>
    <t>Article; Early Access</t>
  </si>
  <si>
    <t>Desai, Rishi/AAH-8988-2021; Schneeweiss, Sebastian/C-2125-2013</t>
  </si>
  <si>
    <t>115</t>
  </si>
  <si>
    <t>2157-846X</t>
  </si>
  <si>
    <t>NAT BIOMED ENG</t>
  </si>
  <si>
    <t>Nat. Biomed. Eng</t>
  </si>
  <si>
    <t>10.1038/s41551-026-01719-2</t>
  </si>
  <si>
    <t>http://dx.doi.org/10.1038/s41551-026-01719-2</t>
  </si>
  <si>
    <t>19</t>
  </si>
  <si>
    <t>Engineering, Biomedical</t>
  </si>
  <si>
    <t>Engineering</t>
  </si>
  <si>
    <t>JQ1SM</t>
  </si>
  <si>
    <t>42310130</t>
  </si>
  <si>
    <t>WOS:001795332000001</t>
  </si>
  <si>
    <t>Rokhshad, R; Tichy, A; Ducret, M; Chaurasia, A; Uribe, SE; Gambelin, O; Schwendicke, F</t>
  </si>
  <si>
    <t>Objective: As large language models (LLMs) are increasingly utilized in dentistry, they introduce various ethical challenges, including patient privacy, data security, and liability concerns. This study aims to establish a framework for their ethical evaluation, facilitating responsible development and research of LLMs and their implementation in dental practice. Methods: Based on a review of existing ethical guidance on LLMs, including World Health Organization (WHO) resources and publications on ethics in healthcare, an expert panel developed a checklist containing nine relevant topics. The Global Initiative on AI for Health engaged 105 participants in an anonymous online consensus process (e-Delphi), rating the importance of each item on a 10-point Likert scale. Results: The topics included: 1) Data Protection and Privacy, 2) Data Provenance and Copyright, 3) Gender Bias, Diversity and Discrimination, 4) Fairness and Equity, 5) Transparency, 6) Explainability, 7) Autonomy, Responsibility and Consent, 8) Prudence and Sustainable Development, and 9) Generative Empathy. Over 70% of participants rated all items between 7-10, highlighting their importance. Data Provenance and Copyright received the highest rating (10 points) from 57 participants, followed by Transparency and Gender Bias, Diversity and Discrimination (with the highest rating from 52 participants each). Generative Empathy showed divergent opinions, with 38 ratings below 7 and 31 scoring it a 10. Conclusion: The e-Delphi study achieved consensus across all nine topics, which were included in the proposed ethical framework for LLMs in dentistry. Strong agreement on most items demonstrated the framework's theoretical soundness, while greater variability in Generative Empathy responses indicated this principle requires further considerations. Clinical Significance: This framework provides systematic guidance for responsible LLM implementation in dentistry, addressing critical concerns such as data privacy, intellectual property, bias, and transparency. The framework offers specific strategies for AI developers and researchers during development phases, while providing governance guidelines for practitioners, administrators, and regulators during clinical implementation.</t>
  </si>
  <si>
    <t>Rokhshad, Rata; Tichy, Antonin; Ducret, Maxime; Chaurasia, Akhilanand; Uribe, Sergio E.; Gambelin, Olivia; Schwendicke, Falk</t>
  </si>
  <si>
    <t>Rokhshad, R (corresponding author), Loma Linda Sch Dent, Dept Pediat Dent, Loma Linda, CA 92350 USA.</t>
  </si>
  <si>
    <t>ratarokhshad@gmail.com</t>
  </si>
  <si>
    <t>[Rokhshad, Rata] Loma Linda Sch Dent, Dept Pediat Dent, Loma Linda, CA 92350 USA; [Tichy, Antonin; Uribe, Sergio E.; Schwendicke, Falk] LMU Univ Hosp, Clin Conservat Dent Periodontol &amp; Digital Dent, Munich, Germany; [Tichy, Antonin] Charles Univ Prague, Inst Dent Med, Fac Med 1, Prague, Czech Republic; [Ducret, Maxime] Univ Claude Bernard Lyon 1, Fac Odontol, Lyon, France; [Ducret, Maxime] Hosp Civils Lyon, Serv Consultat &amp; Traitements Dent, Lyon, France; [Chaurasia, Akhilanand] King Georges Med Univ, Dept Oral Med &amp; Radiol, Lucknow, India; [Uribe, Sergio E.] Riga Stradins Univ, Dept Conservat Dent &amp; Oral Hlth, Riga, Latvia; [Gambelin, Olivia] Univ Sassari, AI Ethicist, Sassari, Italy</t>
  </si>
  <si>
    <t>Loma Linda University; University of Munich; Charles University Prague; General University Hospital Prague; Universite Lyon 1; CHU Lyon; King George's Medical University; Riga Stradins University; University of Sassari</t>
  </si>
  <si>
    <t>The ethics and governance of large language models in dentistry: A framework for research and clinical implementation</t>
  </si>
  <si>
    <t>JOURNAL OF DENTISTRY</t>
  </si>
  <si>
    <t>Artificial intelligence; Bioethics; Deep learning; Dentistry; Large language model</t>
  </si>
  <si>
    <t>ducret, maxime/AAN-9776-2021; chaurasia, Akhilanand/JCO-3926-2023; Uribe, Sergio/C-9579-2011; Tichy, Antonin/AAC-3439-2020</t>
  </si>
  <si>
    <t>Rokhshad, Rata/0000-0001-9668-7684; Gambelin, Olivia/0000-0002-7457-0730; chaurasia, Akhilanand/0000-0002-8356-9512; Uribe, Sergio/0000-0003-0684-2025; Tichy, Antonin/0000-0002-6260-9992</t>
  </si>
  <si>
    <t>ELSEVIER SCI LTD</t>
  </si>
  <si>
    <t>London</t>
  </si>
  <si>
    <t>125 London Wall, London, ENGLAND</t>
  </si>
  <si>
    <t>0300-5712</t>
  </si>
  <si>
    <t>1879-176X</t>
  </si>
  <si>
    <t>J DENT</t>
  </si>
  <si>
    <t>J. Dent.</t>
  </si>
  <si>
    <t>164</t>
  </si>
  <si>
    <t>106187</t>
  </si>
  <si>
    <t>10.1016/j.jdent.2025.106187</t>
  </si>
  <si>
    <t>http://dx.doi.org/10.1016/j.jdent.2025.106187</t>
  </si>
  <si>
    <t>Dentistry, Oral Surgery &amp; Medicine</t>
  </si>
  <si>
    <t>9TN3F</t>
  </si>
  <si>
    <t>41130558</t>
  </si>
  <si>
    <t>WOS:001614667300001</t>
  </si>
  <si>
    <t>Oami, T; Okada, Y; Nakada, T</t>
  </si>
  <si>
    <t>Background: Systematic reviews (SRs) are essential for the development of clinical practice guidelines but require time and human resources, raising concerns about sustainability and timeliness. Recent advances in machine learning (ML) and large language models (LLMs) offer promising opportunities to automate SR tasks, including citation screening. However, optimal strategies for integrating these technologies into guideline development workflows remain unclear. Main body: Based on experiences from the SR automation team for the Japanese Clinical Practice Guidelines for Management of Sepsis and Septic Shock 2024, this perspective describes the practical application of ML- and LLM-assisted approaches in guideline development. Semi-automated citation screening using ML-based tools reduced screening time, although performance varied across clinical questions. More recently, LLM-assisted citation screening demonstrated further efficiency gains and improved flexibility without requiring task-specific training data. Prompt engineering played a critical role in optimizing model performance, enabling sensitivity to be increased while preserving specificity. Comparative evaluations across multiple LLMs revealed inherent trade-offs between sensitivity and specificity, highlighting the importance of model selection based on task priorities. Beyond citation screening, emerging evidence supports the potential role of ML and LLMs in search strategy development, data extraction, and quality assessment, although full automation remains limited by interpretability, domain variability, and the need for expert oversight. Conclusions: ML- and LLM-assisted automation is expected to reduce workload and enhance the efficiency of SRs in clinical guideline development. A hybrid human-AI approach, combining automated processes with expert judgment, represents a practical and safe pathway toward sustainable, timely, and reproducible guideline development.</t>
  </si>
  <si>
    <t>Oami, Takehiko; Okada, Yohei; Nakada, Taka-aki</t>
  </si>
  <si>
    <t>Oami, T (corresponding author), Chiba Univ, Grad Sch Med, Dept Emergency &amp; Crit Care Med, 1-8-1 Inohana, Chuo, Chiba 2608677, Japan.</t>
  </si>
  <si>
    <t>seveneleven711thanks39@msn.com</t>
  </si>
  <si>
    <t>KDDI Foundation</t>
  </si>
  <si>
    <t>KDDI Foundation (KDDI Corporation)</t>
  </si>
  <si>
    <t>This work was supported by a research grant from the KDDI Foundation.</t>
  </si>
  <si>
    <t>[Oami, Takehiko; Nakada, Taka-aki] Chiba Univ, Grad Sch Med, Dept Emergency &amp; Crit Care Med, 1-8-1 Inohana, Chuo, Chiba 2608677, Japan; [Okada, Yohei] Kyoto Univ, Grad Sch Med, Dept Prevent Serv, Kyoto, Japan</t>
  </si>
  <si>
    <t>Chiba University; Kyoto University</t>
  </si>
  <si>
    <t>Automated systematic reviews using machine learning and large language models in clinical practice guideline development: A perspective</t>
  </si>
  <si>
    <t>HONG KONG JOURNAL OF EMERGENCY MEDICINE</t>
  </si>
  <si>
    <t>citation screening; clinical practice guidelines; generative AI; large language models; machine learning; sepsis; systematic review</t>
  </si>
  <si>
    <t>CHATGPT</t>
  </si>
  <si>
    <t>Oami, Takehiko/V-1170-2019; Okada, Yohei/ABI-3017-2020</t>
  </si>
  <si>
    <t>92</t>
  </si>
  <si>
    <t>1024-9079</t>
  </si>
  <si>
    <t>2309-5407</t>
  </si>
  <si>
    <t>HONG KONG J EMERG ME</t>
  </si>
  <si>
    <t>Hong Kong J. Emerg. Med.</t>
  </si>
  <si>
    <t>FEB 2026</t>
  </si>
  <si>
    <t>e70085</t>
  </si>
  <si>
    <t>10.1002/hkj2.70085</t>
  </si>
  <si>
    <t>http://dx.doi.org/10.1002/hkj2.70085</t>
  </si>
  <si>
    <t>Emergency Medicine</t>
  </si>
  <si>
    <t>EJ9YO</t>
  </si>
  <si>
    <t>WOS:001702893900002</t>
  </si>
  <si>
    <t>53</t>
  </si>
  <si>
    <t>Liu, JL; Wang, CY; Liu, SR</t>
  </si>
  <si>
    <t>ChatGPT is receiving increasing attention and has a variety of application scenarios in clinical practice. In clinical decision support, ChatGPT has been used to generate accurate differential diagnosis lists, support clinical decision-making, optimize clinical decision support, and provide insights for cancer screening decisions. In addition, ChatGPT has been used for intelligent question-answering to provide reliable information about diseases and medical queries. In terms of medical documentation, ChatGPT has proven effective in generating patient clinical letters, radiology reports, medical notes, and discharge summaries, improving efficiency and accuracy for health care providers. Future research directions include real-time monitoring and predictive analytics, precision medicine and personalized treatment, the role of ChatGPT in telemedicine and remote health care, and integration with existing health care systems. Overall, ChatGPT is a valuable tool that complements the expertise of health care providers and improves clinical decision-making and patient care. However, ChatGPT is a double-edged sword. We need to carefully consider and study the benefits and potential dangers of ChatGPT. In this viewpoint, we discuss recent advances in ChatGPT research in clinical practice and suggest possible risks and challenges of using ChatGPT in clinical practice. It will help guide and support future artificial intelligence research similar to ChatGPT in health.</t>
  </si>
  <si>
    <t>Liu, Jialin; Wang, Changyu; Liu, Siru</t>
  </si>
  <si>
    <t>Liu, SR (corresponding author), Vanderbilt Univ, Dept Biomed Informat, Med Ctr, 2525 West End Ave 1475, Nashville, TN 37212 USA.</t>
  </si>
  <si>
    <t>[Liu, Jialin; Wang, Changyu] Sichuan Univ, West China Hosp, Informat Ctr, Chengdu, Peoples R China; [Liu, Jialin] West China Med Sch, Dept Med Informat, Chengdu, Peoples R China; [Liu, Jialin] Sichuan Univ, West China Hosp, Dept Otolaryngol Head &amp; Neck Surg, Chengdu, Peoples R China; [Wang, Changyu] Sichuan Univ, West China Coll Stomatol, Chengdu, Peoples R China; [Liu, Siru] Vanderbilt Univ, Dept Biomed Informat, Med Ctr, 2525 West End Ave 1475, Nashville, TN 37212 USA</t>
  </si>
  <si>
    <t>Sichuan University; Sichuan University; Sichuan University; Vanderbilt University</t>
  </si>
  <si>
    <t>Utility of ChatGPT in Clinical Practice</t>
  </si>
  <si>
    <t>ChatGPT; artificial intelligence; large language models; clinical practice; large language model; natural language processing; NLP; doctor-patient; patient-physician; communication; challenges; barriers; recommendations; guidance; guidelines; best practices; risks</t>
  </si>
  <si>
    <t>Wang, Changyu/IVC-3698-2023; Liu, Siru/GYA-2297-2022</t>
  </si>
  <si>
    <t>Wang, Changyu/0000-0003-4548-331X; Liu, Siru/0000-0002-5003-5354</t>
  </si>
  <si>
    <t>25</t>
  </si>
  <si>
    <t>377</t>
  </si>
  <si>
    <t>442</t>
  </si>
  <si>
    <t>400</t>
  </si>
  <si>
    <t>JUN 28 2023</t>
  </si>
  <si>
    <t>2023</t>
  </si>
  <si>
    <t>e48568</t>
  </si>
  <si>
    <t>10.2196/48568</t>
  </si>
  <si>
    <t>http://dx.doi.org/10.2196/48568</t>
  </si>
  <si>
    <t>O7PN8</t>
  </si>
  <si>
    <t>37379067</t>
  </si>
  <si>
    <t>WOS:001045687800005</t>
  </si>
  <si>
    <t>N</t>
  </si>
  <si>
    <t>Y</t>
  </si>
  <si>
    <t>Pokharel, BB; Hsu, MNC; Hedden, L; Nimmon, L; Bloom, DE; Tsuei, SH</t>
  </si>
  <si>
    <t>Introduction Large language models' (LLMs') rapid evolution and intersection with diverse groups and institutions require up-to-date policies, practices, and behaviors to ensure safe and effective implementation. Because physicians play a central role in care provision and face the dual mandate of embracing innovations and safeguarding patient welfare, understanding physicians' views on LLMs can elucidate the complex interplay of technical, ethical, and professional considerations influencing LLM adoption.Methods and analysis This qualitative study aims to employ a descriptive qualitative design to explore how primary care physicians perceive the adoption of LLMs in the context of their clinical practice. We plan to use semi-structured interviews with purposively sampled primary care physicians from British Columbia, Canada. The data collection will draw on the technology adoption behavior framework, a novel model that integrates the most advanced theories of technological uptake. We expect to use thematic analysis drawing on deductive and inductive approaches to describe physicians' perceptions. The multidisciplinary research team will prepare and conduct reflexive memos and discussions to ensure nuanced interpretations.Dissemination We aim to disseminate the findings through peer-reviewed journals, professional organizations, and policymaker briefings to support the development of policies, practices, and behaviors that support safe and effective LLM integration into health care.</t>
  </si>
  <si>
    <t>Pokharel, Benny Bikash; Hsu, Monica; Hedden, Lindsay; Nimmon, Laura; Bloom, David E.; Tsuei, Sian H.</t>
  </si>
  <si>
    <t>Pokharel, BB (corresponding author), Univ British Columbia, Fac Med, Vancouver, BC, Canada.</t>
  </si>
  <si>
    <t>bpokhare@student.ubc.ca</t>
  </si>
  <si>
    <t>Michael Smith Health Research BC [RT-2023-3307]</t>
  </si>
  <si>
    <t>Michael Smith Health Research BC (Michael Smith Foundation for Health Research)</t>
  </si>
  <si>
    <t>Dr. Sian Tsuei received the Research Trainee Award (RT-2023-3307) from Michael Smith Health Research BC (https://healthresearchbc.ca/). The funder did not play any role in the study design, data collection and analysis, decision to publish, or preparation of the manuscript.</t>
  </si>
  <si>
    <t>[Pokharel, Benny Bikash; Hsu, Monica; Nimmon, Laura; Tsuei, Sian H.] Univ British Columbia, Fac Med, Vancouver, BC, Canada; [Hedden, Lindsay; Tsuei, Sian H.] Simon Fraser Univ, Fac Hlth Sci, Vancouver, BC, Canada; [Bloom, David E.] Harvard TH Chan Sch Publ Hlth, Dept Global Hlth &amp; Populat, Boston, MA USA</t>
  </si>
  <si>
    <t>University of British Columbia; Simon Fraser University; Harvard University; Harvard T.H. Chan School of Public Health</t>
  </si>
  <si>
    <t>Understanding primary care physicians' perceptions of large language model adoption in clinical practice: A qualitative research protocol leveraging the technology adoption behavior framework</t>
  </si>
  <si>
    <t>PLOS ONE</t>
  </si>
  <si>
    <t>HEALTH; TIME</t>
  </si>
  <si>
    <t>Hsu, Monica/0009-0006-1199-5527</t>
  </si>
  <si>
    <t>46</t>
  </si>
  <si>
    <t>PUBLIC LIBRARY SCIENCE</t>
  </si>
  <si>
    <t>SAN FRANCISCO</t>
  </si>
  <si>
    <t>1160 BATTERY STREET, STE 100, SAN FRANCISCO, CA 94111 USA</t>
  </si>
  <si>
    <t>1932-6203</t>
  </si>
  <si>
    <t>PLoS One</t>
  </si>
  <si>
    <t>AUG 7 2026</t>
  </si>
  <si>
    <t>e0355491</t>
  </si>
  <si>
    <t>10.1371/journal.pone.0355491</t>
  </si>
  <si>
    <t>http://dx.doi.org/10.1371/journal.pone.0355491</t>
  </si>
  <si>
    <t>MJ6NO</t>
  </si>
  <si>
    <t>42566452</t>
  </si>
  <si>
    <t>WOS:001843822600010</t>
  </si>
  <si>
    <t>Wu, DD; Chen, KY; Wu, XC; Jin, JF; Xu, F</t>
  </si>
  <si>
    <t>Purpose: To evaluate the performance of large language models (LLMs) in infectious disease-specific clinical reasoning and decision-making. Patients and Methods: A comprehensive evaluation of four widely used LLMs-DeepSeek-R1, ChatGPT-5, Grok 3, and Gemini 2.5 Flash-was conducted using a dual assessment framework that combined examination-based questions with real-world clinical cases. LLMs performance was compared with that of infectious disease residents. Examination outcomes were assessed using accuracy and score rates, while clinical case responses were evaluated by expert reviewers using predefined Likert-scale criteria. In addition, doctors' independent clinical decisions were compared with those supported by LLMs to assess the potential value of human-AI collaboration. Results: Across examination-based assessments, LLMs performed comparably to infectious disease residents, with no significant differences observed in accuracy or score rates (p = 0.54). LLMs showed a trend toward better performance on low-order, knowledgebased questions (p = 0.34), whereas doctors tended to perform better on simple case-based questions (p = 0.74), particularly those requiring higher-order clinical reasoning (p = 0.10). In real-world clinical case evaluations (n=10), LLM-generated responses achieved high ratings for accuracy, completeness, individualization, safety, and readability, with comparable performance across models (p &gt; 0.05). Importantly, doctors' decision-making supported by LLMs showed a trend toward improved accuracy compared with independent decisions (p = 0.19). Notably, for completeness, doctors supported by LLMs achieved significantly higher scores compared with both doctors alone (p = 0.0015) and the LLMs alone (p = 0.0010). Nevertheless, clinically meaningful errors occurred in certain high-risk scenarios, underscoring the limitations of standalone LLM decision-making. Conclusion: LLMs show substantial potential in infectious disease education and clinical decision support, particularly for knowledge-based tasks. However, their limitations in complex clinical reasoning underscore the necessity of clinician oversight. A human- AI collaborative approach appears to offer the greatest benefit, enhancing decision quality while maintaining clinical safety. Continued refinement of regulatory and medico-legal frameworks is critical to support the safe, ethical, and responsible deployment of LLMs in clinical practice.</t>
  </si>
  <si>
    <t>Wu, Dandan; Chen, Keying; Wu, Xiaocui; Jin, Jiongfei; Xu, Feng</t>
  </si>
  <si>
    <t>Xu, F (corresponding author), Zhejiang Univ, Affiliated Hosp 2, Sch Med, Dept Infect Dis, Hangzhou, Zhejiang, Peoples R China.</t>
  </si>
  <si>
    <t>xufeng99@zju.edu.cn</t>
  </si>
  <si>
    <t>Noncommunicable Chronic Diseases-National Science and Technology Major Project [2025ZD0549100]; Key research and development program of Zhejiang Province [2025C02093]</t>
  </si>
  <si>
    <t>Noncommunicable Chronic Diseases-National Science and Technology Major Project; Key research and development program of Zhejiang Province</t>
  </si>
  <si>
    <t>This research was funded by Noncommunicable Chronic Diseases-National Science and Technology Major Project (2025ZD0549100) and Key research and development program of Zhejiang Province (2025C02093) . The authors declare that generative artificial intelligence tools (ChatGPT-5 and DeepSeek-R1) were used during manuscript preparation for language editing and improvement of clarity and readability. The AI tool was not used to generate scientific content, analyze data, or draw clinical conclusions. All content was reviewed and approved by the authors, who take full responsibility for the manuscript.</t>
  </si>
  <si>
    <t>[Wu, Dandan; Chen, Keying; Wu, Xiaocui; Jin, Jiongfei; Xu, Feng] Zhejiang Univ, Affiliated Hosp 2, Sch Med, Dept Infect Dis, Hangzhou, Zhejiang, Peoples R China; [Jin, Jiongfei] Ningbo Univ, Affiliated Yangming Hosp, Dept Infect Dis, Ningbo, Zhejiang, Peoples R China</t>
  </si>
  <si>
    <t>Zhejiang University</t>
  </si>
  <si>
    <t>Evaluation of Large Language Models in Infectious Disease Decision-Making: From Examination to Clinical Practice</t>
  </si>
  <si>
    <t>INFECTION AND DRUG RESISTANCE</t>
  </si>
  <si>
    <t>large language models; infectious diseases; clinical decision-making; human-AI collaboration</t>
  </si>
  <si>
    <t>DOVE MEDICAL PRESS LTD</t>
  </si>
  <si>
    <t>ALBANY</t>
  </si>
  <si>
    <t>PO BOX 300-008, ALBANY, AUCKLAND 0752, NEW ZEALAND</t>
  </si>
  <si>
    <t>1178-6973</t>
  </si>
  <si>
    <t>INFECT DRUG RESIST</t>
  </si>
  <si>
    <t>Infect. Drug Resistance</t>
  </si>
  <si>
    <t>593763</t>
  </si>
  <si>
    <t>10.2147/IDR.S593763</t>
  </si>
  <si>
    <t>http://dx.doi.org/10.2147/IDR.S593763</t>
  </si>
  <si>
    <t>Infectious Diseases; Pharmacology &amp; Pharmacy</t>
  </si>
  <si>
    <t>JN9PQ</t>
  </si>
  <si>
    <t>42311928</t>
  </si>
  <si>
    <t>WOS:001793831700001</t>
  </si>
  <si>
    <t>Armitage, RC</t>
  </si>
  <si>
    <t>IntroductionThe potential applications of large language models (LLMs)-a form of generative artificial intelligence (AI)-in medicine and health care are being increasingly explored by medical practitioners and health care researchers.MethodsThis paper considers the ethical implications of LLMs for medical practitioners in their delivery of clinical care through the ethical framework of principlism.FindingsIt finds that, regarding beneficence, LLMs can improve patient outcomes through supporting administrative tasks that surround patient care, and by directly informing clinical care. Simultaneously, LLMs can cause patient harm through various mechanisms, meaning non-maleficence would prevent their deployment in the absence of sufficient risk mitigation. Regarding autonomy, medical practitioners must inform patients if their medical care will be influenced by LLMs for their consent to be informed, and alternative care uninfluenced by LLMs must be available for patients who withhold such consent. Finally, regarding justice, LLMs could promote the standardisation of care within individual medical practitioners by mitigating any biases harboured by those practitioners and by protecting against human factors, while also up-skilling existing medical practitioners in low-resource settings to reduce global health disparities.DiscussionAccordingly, this paper finds a strong case for the incorporation of LLMs into clinical practice and, if their risk of patient harm is sufficiently mitigated, this incorporation might be ethically required, at least according to principlism.</t>
  </si>
  <si>
    <t>Armitage, Richard C.</t>
  </si>
  <si>
    <t>Armitage, RC (corresponding author), Univ Nottingham, Sch Med, Acad Unit Populat &amp; Lifespan Sci, Clin Sci Bldg, Nottingham, Notts, England.</t>
  </si>
  <si>
    <t>richard.armitage@nhs.net</t>
  </si>
  <si>
    <t>The author received no specific funding for this work.</t>
  </si>
  <si>
    <t>The author has nothing to report.</t>
  </si>
  <si>
    <t>[Armitage, Richard C.] Univ Nottingham, Sch Med, Acad Unit Populat &amp; Lifespan Sci, Clin Sci Bldg, Nottingham, Notts, England</t>
  </si>
  <si>
    <t>University of Nottingham</t>
  </si>
  <si>
    <t>Implications of Large Language Models for Clinical Practice: Ethical Analysis Through the Principlism Framework</t>
  </si>
  <si>
    <t>JOURNAL OF EVALUATION IN CLINICAL PRACTICE</t>
  </si>
  <si>
    <t>Armitage, Richard/0000-0003-1165-6753</t>
  </si>
  <si>
    <t>1356-1294</t>
  </si>
  <si>
    <t>1365-2753</t>
  </si>
  <si>
    <t>J EVAL CLIN PRACT</t>
  </si>
  <si>
    <t>J. Eval. Clin. Pract.</t>
  </si>
  <si>
    <t>DEC 1 2024</t>
  </si>
  <si>
    <t>31</t>
  </si>
  <si>
    <t>e14250</t>
  </si>
  <si>
    <t>10.1111/jep.14250</t>
  </si>
  <si>
    <t>http://dx.doi.org/10.1111/jep.14250</t>
  </si>
  <si>
    <t>Health Care Sciences &amp; Services; Medical Informatics; Medicine, General &amp; Internal</t>
  </si>
  <si>
    <t>Health Care Sciences &amp; Services; Medical Informatics; General &amp; Internal Medicine</t>
  </si>
  <si>
    <t>P3T6G</t>
  </si>
  <si>
    <t>39618089</t>
  </si>
  <si>
    <t>WOS:001377177500001</t>
  </si>
  <si>
    <t>Wang, RX; Liu, SY; Zhang, L; Zhu, XQ; Yang, Z; Wang, H; Huang, J; Wang, YM; Yang, XF; Wu, F; Yang, R; Wang, G; Jin, C</t>
  </si>
  <si>
    <t>Mental disorders affect nearly one billion individuals worldwide, yet professional psychiatric care remains constrained by workforce shortages and experience-dependent decision-making. Despite recent advances in large language models (LLMs), current applications in mental health are primarily patient-oriented and lack alignment with real-world psychiatric clinical workflows. Here we present PsychFound, a domain-adapted and clinician-oriented LLM developed to support psychiatric clinical practice. Developed through a three-phase framework using expert-curated psychiatric corpora and 64,588 Chinese real-world electronic health records, PsychFound integrates psychiatric professional knowledge, clinical reasoning capabilities and adaptation to the full spectrum of psychiatric clinical tasks across diagnosis, treatment planning and longitudinal management in Chinese clinical settings. In retrospective evaluations spanning three professional knowledge assessments and five clinical task benchmarks, the 7B-parameter PsychFound delivered the top overall performance among 22 LLMs. In a real-world, two-arm prospective study, resident psychiatrists assisted by PsychFound demonstrated higher consultation quality, higher diagnostic accuracy, more appropriate medication selection and reduced documentation time (all P &lt; 0.01). A reader study with 60 psychiatrists (20 residents, 20 attendings and 20 seniors) showed that PsychFound's clinical reasoning performance matched that of attending psychiatrists. These findings demonstrated that PsychFound provides an interpretable, expert-level decision support tool capable of improving consistency, efficiency and standardization in psychiatric clinical care.</t>
  </si>
  <si>
    <t>Wang, Ruoxi; Liu, Shuyu; Zhang, Ling; Zhu, Xuequan; Yang, Zhi; Wang, Hu; Huang, Juan; Wang, Yimeng; Yang, Xiaofan; Wu, Fei; Yang, Rui; Wang, Gang; Jin, Cheng</t>
  </si>
  <si>
    <t>Jin, C (corresponding author), Shanghai Jiao Tong Univ, Inst Med Robot, Sch Biomed Engn, Shanghai, Peoples R China.; Wang, G; Jin, C (corresponding author), Capital Med Univ, Beijing Anding Hosp, Natl Clin Res Ctr Mental Disorders Natl Ctr Mental, Beijing Key Lab Mental Disorders, Beijing, Peoples R China.; Wang, G (corresponding author), Capital Med Univ, Adv Innovat Ctr Human Brain Protect, Beijing, Peoples R China.; Jin, C (corresponding author), Shanghai Point Imaging Med Technol Co Ltd, Shanghai, Peoples R China.</t>
  </si>
  <si>
    <t>chengjin520@sjtu.edu.cn; gangwangdoc@ccmu.edu.cn</t>
  </si>
  <si>
    <t>General Program of National Natural Science Foundation of China (No. 62576210), Natural Science Foundation of Shanghai (No. 25ZR1401179); Sci-Tech Innovation 2030 - Major Project of Brain Science and Brain-inspired Intelligence Technology (No. 2021ZD0200600); Natural Science Foundation of Shanghai (Natural Science Foundation of Shanghai Municipality) [25ZR1401179]</t>
  </si>
  <si>
    <t>General Program of National Natural Science Foundation of China (No. 62576210), Natural Science Foundation of Shanghai (No. 25ZR1401179); Sci-Tech Innovation 2030 - Major Project of Brain Science and Brain-inspired Intelligence Technology (No. 2021ZD0200600); Natural Science Foundation of Shanghai (Natural Science Foundation of Shanghai Municipality)</t>
  </si>
  <si>
    <t>PsychFound is an in-depth extension of the PsychGPT research, jointly developed by Shanghai Jiao Tong University and Beijing Anding Hospital, Capital Medical University. We thank the Chinese Psychiatric Innovation Alliance for providing data support. We are grateful to the Expert Review Committee of Beijing Anding Hospital, Capital Medical University, for their rigorous review and validation of clinical data. We also acknowledge the National Clinical Research Centre for Mental Disorders for their guidance on study design, and the Information Technology Center of Beijing Anding Hospital, Capital Medical University, for providing computational resources. We extend our sincere appreciation to all psychiatrists who participated in the prospective cohort study and the reader evaluation study. This study was funded by the Brain Science and Brain-like Intelligence Technology-National Science and Technology Major Project (grant no. 2021ZD0200600) (G.W.), General Program of National Natural Science Foundation of China (grant no. 62576210) (C.J.), Natural Science Foundation of Shanghai (grant no. 25ZR1401179) (C.J.) and Capital's Funds for Health Improvement and Research (grant no. CFH 2024-2-1174) (L.Z.).</t>
  </si>
  <si>
    <t>[Wang, Ruoxi; Liu, Shuyu; Wu, Fei; Jin, Cheng] Shanghai Jiao Tong Univ, Inst Med Robot, Sch Biomed Engn, Shanghai, Peoples R China; [Zhang, Ling; Zhu, Xuequan; Yang, Zhi; Wang, Hu; Huang, Juan; Wang, Yimeng; Yang, Xiaofan; Yang, Rui; Wang, Gang; Jin, Cheng] Capital Med Univ, Beijing Anding Hosp, Natl Clin Res Ctr Mental Disorders Natl Ctr Mental, Beijing Key Lab Mental Disorders, Beijing, Peoples R China; [Zhang, Ling; Zhu, Xuequan; Yang, Zhi; Yang, Rui; Wang, Gang] Capital Med Univ, Adv Innovat Ctr Human Brain Protect, Beijing, Peoples R China; [Jin, Cheng] Shanghai Point Imaging Med Technol Co Ltd, Shanghai, Peoples R China</t>
  </si>
  <si>
    <t>Shanghai Jiao Tong University; Capital Medical University; Capital Medical University</t>
  </si>
  <si>
    <t>A domain-adapted large language model to support clinicians in psychiatric clinical practice</t>
  </si>
  <si>
    <t>NATURE MACHINE INTELLIGENCE</t>
  </si>
  <si>
    <t>PHARMACOGENETICS IMPLEMENTATION CONSORTIUM; PREVALENCE; DISORDERS; CHINA</t>
  </si>
  <si>
    <t>Yang, Zhi/W-6459-2019</t>
  </si>
  <si>
    <t>2522-5839</t>
  </si>
  <si>
    <t>NAT MACH INTELL</t>
  </si>
  <si>
    <t>Nat. Mach. Intell.</t>
  </si>
  <si>
    <t>10.1038/s42256-026-01224-w</t>
  </si>
  <si>
    <t>http://dx.doi.org/10.1038/s42256-026-01224-w</t>
  </si>
  <si>
    <t>APR 2026</t>
  </si>
  <si>
    <t>IN4TC</t>
  </si>
  <si>
    <t>WOS:001751925700001</t>
  </si>
  <si>
    <t>Liu, Z; Yang, T; Wang, J; Chen, YX; Gao, Z; Yang, JX; Chen, K; Lu, BJ; Li, XC; Luo, CY; Li, Y; Gu, XH; Cao, P</t>
  </si>
  <si>
    <t>Natural medicines, particularly traditional Chinese medicine (TCM), are gaining global recognition for their therapeutic potential in addressing human symptoms and diseases. With its systematic theories and extensive practical experience, TCM provides abundant resources for healthcare. However, the effective application of TCM requires precise syndrome diagnosis, determination of treatment principles, and formulation of prescription, all of which require decades of clinical expertise. Despite advancements in TCM-based decision systems, machine learning, and deep learning research, limitations with data and single-objective constraints have hindered their practical application. Recently, large language models (LLMs) have demonstrated potential in complex tasks, but lack specialization in TCM and face significant challenges, such as a model that is excessively large to deploy and issues with hallucinations. Consequently, we introduce Tianyi with 7.6-billion-parameter LLM, a model with proper scale that is specifically designed for TCM, pre-trained, and fine-tuned on diverse TCM corpora, including classical texts, expert treatises, clinical records, and knowledge graphs. Tianyi was designed to assimilate interconnected and systematic TCM knowledge through progressive learning strategy. In addition, we established TCMEval, a comprehensive evaluation benchmark, to assess LLMs in TCM examinations, clinical tasks, domain-specific question-answering, and real-world trials. Extensive evaluations demonstrate the significant potential of Tianyi as an artificial intelligence (AI) assistant in TCM clinical practice and research, bridging the gap between TCM knowledge and practical application.</t>
  </si>
  <si>
    <t>Liu, Zhi; Yang, Tao; Wang, Jing; Chen, Yexing; Gao, Zhan; Yang, Jiaxi; Chen, Kui; Lu, Bingji; Li, Xiaochen; Luo, Changyong; Li, Yan; Gu, Xiaohong; Cao, Peng</t>
  </si>
  <si>
    <t>Cao, P (corresponding author), Nanjing Univ Chinese Med, Sch Pharm, Jiangsu Key Lab Pharmacol &amp; Safety Res Chinese Mat, Nanjing 210023, Peoples R China.; Cao, P (corresponding author), Nanjing Univ Chinese Med, State Key Lab Technol Chinese Med Pharmaceut Proc, Nanjing 210023, Jiangsu, Peoples R China.; Cao, P (corresponding author), Nanjing Univ Chinese Med, Affiliated Hosp Integrated Tradit Chinese &amp; Wester, Jiangsu Prov Med Innovat Ctr, Nanjing 210000, Peoples R China.; Luo, CY (corresponding author), Beijing Univ Chinese Med, Dongfang Hosp, Infect Dis Dept, Beijing, Peoples R China.; Gu, XH (corresponding author), Beijing Univ Chinese Med, Sch Chinese Med, Beijing, Peoples R China.; Li, Y (corresponding author), Beijing Univ Chinese Med, Dongzhimen Hosp, Dept Educ, Beijing, Peoples R China.</t>
  </si>
  <si>
    <t>202250006@bucm.edu.cn; Bdf01344@bucm.edu.cn; 642011@bucm.edu.cn; cao_peng@njucm.edu.cn</t>
  </si>
  <si>
    <t>Gulou Hospital of Traditional Chinese Medicine of Beijing; Shunyi Hospital, Beijing Hospital of Traditional Chinese Medicine</t>
  </si>
  <si>
    <t>Gulou Hospital of Traditional Chinese Medicine of Beijing, physician (Y. Wang) from Shunyi Hospital, Beijing Hospital of Traditional Chinese Medicine, (X. Yang) from Fangshan Hospital Beijing University of Chinese Medicine, for assistance on the real-world evaluations.</t>
  </si>
  <si>
    <t>[Cao, Peng] Nanjing Univ Chinese Med, Sch Pharm, Jiangsu Key Lab Pharmacol &amp; Safety Res Chinese Mat, Nanjing 210023, Peoples R China; [Liu, Zhi; Chen, Yexing; Cao, Peng] Nanjing Univ Chinese Med, State Key Lab Technol Chinese Med Pharmaceut Proc, Nanjing 210023, Jiangsu, Peoples R China; [Chen, Yexing; Cao, Peng] Nanjing Univ Chinese Med, Affiliated Hosp Integrated Tradit Chinese &amp; Wester, Jiangsu Prov Med Innovat Ctr, Nanjing 210000, Peoples R China; [Liu, Zhi] Nanjing Univ Chinese Med, Sch Pharm, Nanjing, Peoples R China; [Gao, Zhan; Luo, Changyong] Beijing Univ Chinese Med, Dongfang Hosp, Infect Dis Dept, Beijing, Peoples R China; [Yang, Tao] Capital Med Univ, Beijing Shijitan Hosp, TCM Dept, Beijing, Peoples R China; [Yang, Jiaxi] Zhejiang Lab, Res Ctr Data Hub &amp; Secur, Hangzhou, Peoples R China; [Chen, Kui] Zhejiang Lab, Res Ctr Frontier Fundamental Studies, Hangzhou, Peoples R China; [Lu, Bingji; Li, Xiaochen] Zhejiang Lab, Intelligent Comp Infrastruct Innovat Ctr, Hangzhou, Peoples R China; [Gu, Xiaohong] Beijing Univ Chinese Med, Sch Chinese Med, Beijing, Peoples R China; [Li, Yan] Beijing Univ Chinese Med, Dongzhimen Hosp, Dept Educ, Beijing, Peoples R China; [Wang, Jing] China Acad Chinese Med Sci, Wangjing Hosp, Dept Pediat, Beijing, Peoples R China</t>
  </si>
  <si>
    <t>Nanjing University of Chinese Medicine; Nanjing University of Chinese Medicine; Nanjing University of Chinese Medicine; Nanjing University of Chinese Medicine; Beijing University of Chinese Medicine; Capital Medical University; Zhejiang Laboratory; Zhejiang Laboratory; Zhejiang Laboratory; Beijing University of Chinese Medicine; Beijing University of Chinese Medicine; China Academy of Chinese Medical Sciences; Wang Jing Hospital, CACMS</t>
  </si>
  <si>
    <t>Tianyi: A traditional Chinese medicine all-rounder language model and its real-world clinical practice</t>
  </si>
  <si>
    <t>INFORMATION FUSION</t>
  </si>
  <si>
    <t>Traditional Chinese medicine; Large language model; Progressive training; Tianyi; TCM evaluation</t>
  </si>
  <si>
    <t>Gu, Xiaohong/AGY-1660-2022; Gao, Zhan/JPX-9797-2023</t>
  </si>
  <si>
    <t>liu, zhi/0000-0003-3870-1964; Luo, Changyong/0000-0002-4342-6947</t>
  </si>
  <si>
    <t>43</t>
  </si>
  <si>
    <t>107</t>
  </si>
  <si>
    <t>1566-2535</t>
  </si>
  <si>
    <t>1872-6305</t>
  </si>
  <si>
    <t>INFORM FUSION</t>
  </si>
  <si>
    <t>Inf. Fusion</t>
  </si>
  <si>
    <t>126</t>
  </si>
  <si>
    <t>B</t>
  </si>
  <si>
    <t>103663</t>
  </si>
  <si>
    <t>10.1016/j.inffus.2025.103663</t>
  </si>
  <si>
    <t>http://dx.doi.org/10.1016/j.inffus.2025.103663</t>
  </si>
  <si>
    <t>Computer Science, Artificial Intelligence; Computer Science, Theory &amp; Methods</t>
  </si>
  <si>
    <t>7BH5X</t>
  </si>
  <si>
    <t>WOS:001566949400001</t>
  </si>
  <si>
    <t>Blease, C; Hagström, J; Sanchez, CG; Kharko, A; McMillan, B; Gaab, J; Brulin, E; Locher, C; Hägglund, M; Riggare, S; Mandl, KD</t>
  </si>
  <si>
    <t>Background Following the launch of ChatGPT in November 2022, interest in large language model-powered chatbots has soared with increasing focus on the clinical potential of these tools. Building on a previous survey conducted in 2024, we sought to gauge general practitioners' (GPs) adoption of this new generation of chatbots to assist with any aspect of clinical practice in the UK.Methods An online survey was disseminated in January 2025 to a stratified convenience sample of GPs registered with the clinician marketing platform Doctors.net.uk. The research was conducted as part of a scheduled monthly 'omnibus survey,' designed to achieve a fixed sample size of 1000 participants.Results Of the 1005 respondents, 50% respondents were men, 54% were 46 years or older. 25% reported using generative artificial intelligence (GenAI) tools in clinical practice; of these, 35% reported using these tools to generate documentation after patient appointments, 27% to suggest a differential diagnosis, 24% for treatment options, and 24% for referrals. Of the 249 GPs who used generative AI for clinical tasks, 71% said that, in general, these tools reduced work burdens. In the last 12 months, 85% reported that their employer had not encouraged them to use GenAI tools, but only 3% said their employer had prohibited them from using GenAI tools in their work; 95% reported they had no professional training in using GenAI tools in their work.Conclusions This survey suggests that doctors' use of GenAI in clinical practice may be growing in the UK. Findings suggest that UK GPs may benefit from these tools, especially for administrative tasks and clinical reasoning support, and after adopting them, most users reported a decrease in work burdens. Continued absence of reported training remains a concern.</t>
  </si>
  <si>
    <t>Blease, Charlotte; Hagstrom, Josefin; Sanchez, Carolina Garcia; Kharko, Anna; McMillan, Brian; Gaab, Jens; Brulin, Emma; Locher, Cosima; Hagglund, Maria; Riggare, Sara; Mandl, Kenneth D.</t>
  </si>
  <si>
    <t>Science Citation Index Expanded (SCI-EXPANDED); Social Science Citation Index (SSCI)</t>
  </si>
  <si>
    <t>Blease, C (corresponding author), Uppsala Univ, Dept Womens &amp; Childrens Hlth, Participatory Ehlth &amp; Hlth Data Res Grp, Uppsala, Sweden.</t>
  </si>
  <si>
    <t>charlotte.blease@uu.se</t>
  </si>
  <si>
    <t>Faculty of Psychology, Basel University [N/A]; National Institute for Health and Care Research Advanced Fellowship [NIHR Award ref: NIHR300887]; Forskningsrdet om Hlsa, Arbetsliv och Vlfrd [2024-00039_Forte]</t>
  </si>
  <si>
    <t>Faculty of Psychology, Basel University; National Institute for Health and Care Research Advanced Fellowship; Forskningsrdet om Hlsa, Arbetsliv och Vlfrd</t>
  </si>
  <si>
    <t>The authors disclosed receipt of the following financial support for the research, authorship, and/or publication of this article: This study was supported by a Forte Grant (AI in Healthcare Unleashed, #2024-00039) (CB, JH, CGS, AK, EB, MH, SR), and by the Faculty of Psychology, University of Basel, Switzerland (JG, CL). BM is funded by the National Institute for Health and Care Research (NIHR) Advanced Fellowship (NIHR300887). The views expressed are those of the authors and not necessarily those of the NHS, the NIHR or the Department of Health and Social Care. The funding source had no role in the design, implementation, analysis, or interpretation of the UK survey.</t>
  </si>
  <si>
    <t>[Blease, Charlotte; Hagstrom, Josefin; Sanchez, Carolina Garcia; Kharko, Anna; Hagglund, Maria; Riggare, Sara] Uppsala Univ, Dept Womens &amp; Childrens Hlth, Participatory Ehlth &amp; Hlth Data Res Grp, Uppsala, Sweden; [Hagstrom, Josefin; Kharko, Anna; McMillan, Brian] Univ Manchester, Ctr Primary Care &amp; Hlth Serv Res, Manchester, England; [Gaab, Jens; Locher, Cosima] Univ Basel, Fac Psychol, Clin Psychol &amp; Psychotherapy, Basel, Switzerland; [Brulin, Emma] Karolinska Inst, Inst Environm Med, Unit Occupat Med, Stockholm, Sweden; [Hagglund, Maria] Uppsala Univ Hosp, Uppsala, Sweden; [Mandl, Kenneth D.] Harvard Med Sch, Boston Childrens Hosp, Boston, MA USA</t>
  </si>
  <si>
    <t>Uppsala University; University of Manchester; University of Basel; Karolinska Institutet; Uppsala University; Uppsala University Hospital; Harvard University; Harvard Medical School; Harvard University Medical Affiliates; Boston Children's Hospital</t>
  </si>
  <si>
    <t>General practitioners' adoption of generative artificial intelligence in clinical practice in the UK: An updated online survey</t>
  </si>
  <si>
    <t>DIGITAL HEALTH</t>
  </si>
  <si>
    <t>Generative AI; general practice; primary care; large language models; education; training; survey</t>
  </si>
  <si>
    <t>Riggare, Sara/ITU-4291-2023; Kharko, Anna/HTQ-1375-2023; Hägglund, Maria/IUQ-2130-2023; Gaab, Jens/AAE-4798-2019; Locher, Cosima/N-5671-2017; McMillan, Brian/J-8932-2019</t>
  </si>
  <si>
    <t>Kharko, Anna/0000-0003-0908-6173; Brulin, Emma/0000-0002-3374-268X; BLEASE, CHARLOTTE/0000-0002-0205-1165; McMillan, Brian/0000-0002-0683-3877</t>
  </si>
  <si>
    <t>SAGE PUBLICATIONS LTD</t>
  </si>
  <si>
    <t>1 OLIVERS YARD, 55 CITY ROAD, LONDON EC1Y 1SP, ENGLAND</t>
  </si>
  <si>
    <t>2055-2076</t>
  </si>
  <si>
    <t>DIGIT HEALTH</t>
  </si>
  <si>
    <t>Digit. Health</t>
  </si>
  <si>
    <t>20552076251394287</t>
  </si>
  <si>
    <t>10.1177/20552076251394287</t>
  </si>
  <si>
    <t>http://dx.doi.org/10.1177/20552076251394287</t>
  </si>
  <si>
    <t>Health Care Sciences &amp; Services; Health Policy &amp; Services; Public, Environmental &amp; Occupational Health; Medical Informatics</t>
  </si>
  <si>
    <t>Health Care Sciences &amp; Services; Public, Environmental &amp; Occupational Health; Medical Informatics</t>
  </si>
  <si>
    <t>E5165</t>
  </si>
  <si>
    <t>41312147</t>
  </si>
  <si>
    <t>WOS:001622615600001</t>
  </si>
  <si>
    <t>Tavolara, TE; Meyer, J; Garcia, C; Kumanovics, A; Vanderboom, P</t>
  </si>
  <si>
    <t>Background Accurate interpretation of clinical test results is essential for diagnosing and managing complex immunological disorders. We explored the potential of large language models (LLMs) to automate interpretative reports for immunodeficiency and immune competence assessment via quantitative lymphocyte profiling and B-cell subset phenotyping (QLP/BSP). Methods An LLM was fine-tuned using parameter-efficient techniques on a dataset consisting of immunophenotyping test results and corresponding interpretive reports. Model performance was compared against a retrieval-based method and expert pathologist reports. A novel automated evaluation framework assessed both the accuracy of cell population comments and the clinical relevance of generated interpretations. A custom application was built to simulate clinical workflows and measure the impact on pathologist efficiency and accuracy. Results Fine-tuned LLMs achieved accuracy comparable to expert pathologists in identifying and commenting on abnormal cell type counts and frequencies, in comparison the retrieval-based method exhibited substantial error rates. There was no significant difference between the rate at which abnormalities for cell subtypes were commented on between the LLMs and pathologists. More importantly, LLMs significantly reduced the time required for a single pathologist to finalize reports with a mean reduction in time of 29%. Conclusion Our results suggest that LLMs hold promise for enhancing efficiency and consistency in the clinical laboratory setting. By automating aspects of interpretive reporting, LLMs can potentially reduce pathologist workload and improve the turnaround time for critical diagnostic information, while requiring expert pathologist oversight.</t>
  </si>
  <si>
    <t>Tavolara, Thomas E.; Meyer, Jake; Garcia, Christopher; Kumanovics, Attila; Vanderboom, Patrick</t>
  </si>
  <si>
    <t>Tavolara, TE (corresponding author), Mayo Clin, Dept Lab Med &amp; Pathol, Rochester, MN 55905 USA.</t>
  </si>
  <si>
    <t>meyer.jacob1@mayo.edu; tavolara.thomas@mayo.edu; garcia.christopher@mayo.edu; vanderboom.patrick@mayo.edu; kumanovics.attila@mayo.edu</t>
  </si>
  <si>
    <t>Mayo Clinic Midwest Clinical Practice Committee</t>
  </si>
  <si>
    <t>Mayo Clinic Midwest Clinical Practice Committee (Mayo Clinic)</t>
  </si>
  <si>
    <t>This study was supported by a Midwest Clinical Practice Committee grant from Mayo Clinic.</t>
  </si>
  <si>
    <t>[Tavolara, Thomas E.; Meyer, Jake; Garcia, Christopher; Kumanovics, Attila; Vanderboom, Patrick] Mayo Clin, Dept Lab Med &amp; Pathol, Rochester, MN 55905 USA</t>
  </si>
  <si>
    <t>Mayo Clinic</t>
  </si>
  <si>
    <t>Enhancing Clinical Workflow Efficiency in Flow Cytometry Reporting with LLMs</t>
  </si>
  <si>
    <t>JOURNAL OF CLINICAL IMMUNOLOGY</t>
  </si>
  <si>
    <t>Large Language Models (LLMs); Flow Cytometry Reporting; Immunophenotyping; Clinical Workflow Efficiency; Interpretive Reporting Automation; Primary Immunodeficiency Diagnostics</t>
  </si>
  <si>
    <t>DIAGNOSIS</t>
  </si>
  <si>
    <t>SPRINGER/PLENUM PUBLISHERS</t>
  </si>
  <si>
    <t>233 SPRING ST, NEW YORK, NY 10013 USA</t>
  </si>
  <si>
    <t>0271-9142</t>
  </si>
  <si>
    <t>1573-2592</t>
  </si>
  <si>
    <t>J CLIN IMMUNOL</t>
  </si>
  <si>
    <t>J. Clin. Immunol.</t>
  </si>
  <si>
    <t>MAR 24 2026</t>
  </si>
  <si>
    <t>40</t>
  </si>
  <si>
    <t>10.1007/s10875-026-02006-0</t>
  </si>
  <si>
    <t>http://dx.doi.org/10.1007/s10875-026-02006-0</t>
  </si>
  <si>
    <t>Immunology</t>
  </si>
  <si>
    <t>GD3CM</t>
  </si>
  <si>
    <t>41874828</t>
  </si>
  <si>
    <t>WOS:001733669200001</t>
  </si>
  <si>
    <t>Chen, Q; Lyu, H; Li, D; Wang, ZC</t>
  </si>
  <si>
    <t>Artificial intelligence (AI) in medicine is advancing steadily toward real clinical practice, not only through improved predictive performance but also through more decision-relevant modeling, evaluation, and interaction. The studies highlighted here illustrate three complementary directions. First, contemporary imaging models -exemplified by three-dimensional vision transformer-based analysis of preoperative chest computed tomography (CT) -are being used to infer clinically consequential phenotypes, advancing from image recognition toward decision support in high-stakes settings such as surgical planning. Second, image-to-biomarker pipelines such as automated quantification of retinal vascular fractal dimension demonstrate how medical images can be transformed into reproducible quantitative markers suitable for population-level analysis and risk stratification. Third, large language models (LLMs) are increasingly being evaluated and positioned as clinical communication and interpretation components, most notably structured assessments in telepharmacy and bilingual patient education move beyond fluency to safety, actionability, empathy, and readability, whereas emerging perspectives consider LLMs as interpretive interfaces for complex and temporally evolving health data, including wearable sensing. At the same time, these advances also expose persistent bottlenecks that limit real-world deployment, particularly the continued dominance of single-task and static formulations, fragmented systems driven by taskspecific fine-tuning, limited reasoning over disease trajectories and evolving clinical contexts, and evaluation practices that remain insufficiently coupled to clinical workflows and downstream consequences. We argue that the next stage of medical AI should shift from accuracy-centered prediction toward decision-oriented, practiceready systems that are robust across settings, clinically aligned in evaluation, and deployable at scale in routine care.</t>
  </si>
  <si>
    <t>Chen, Qi; Lyu, Han; Li, Dong; Wang, Zhenchang</t>
  </si>
  <si>
    <t>Lyu, H (corresponding author), Capital Med Univ, Beijing Friendship Hosp, Dept Radiol, 95 Yongan Rd, Beijing 100050, Peoples R China.</t>
  </si>
  <si>
    <t>chrislvhan@126.com</t>
  </si>
  <si>
    <t>[Chen, Qi; Lyu, Han; Wang, Zhenchang] Capital Med Univ, Beijing Friendship Hosp, Precis &amp; Intelligence Med Imaging Lab, Beijing 100050, Peoples R China; [Li, Dong] Tsinghua Univ, Beijing Tsinghua Changgung Hosp, Sch Clin Med, Beijing 102218, Peoples R China; [Lyu, Han; Wang, Zhenchang] Capital Med Univ, Beijing Friendship Hosp, Dept Radiol, 95 Yongan Rd, Beijing 100050, Peoples R China; [Lyu, Han; Wang, Zhenchang] Capital Med Univ, Sch Med Technol, Dept Hlth Data Sci, Beijing 101300, Peoples R China</t>
  </si>
  <si>
    <t>Capital Medical University; Tsinghua University; Capital Medical University; Capital Medical University</t>
  </si>
  <si>
    <t>From prediction to decision: Advancing medical artificial intelligence toward real clinical practice</t>
  </si>
  <si>
    <t>INTELLIGENT MEDICINE</t>
  </si>
  <si>
    <t>Intelligent medicine; Artificial intelligence; Large language models; Clinical decision support</t>
  </si>
  <si>
    <t>吕, 晗/AFO-6179-2022</t>
  </si>
  <si>
    <t>2667-1026</t>
  </si>
  <si>
    <t>INTEL MED</t>
  </si>
  <si>
    <t>Intell. Med.</t>
  </si>
  <si>
    <t>241</t>
  </si>
  <si>
    <t>244</t>
  </si>
  <si>
    <t>10.1016/j.imed.2026.03.003</t>
  </si>
  <si>
    <t>http://dx.doi.org/10.1016/j.imed.2026.03.003</t>
  </si>
  <si>
    <t>Computer Science, Interdisciplinary Applications; Medical Informatics</t>
  </si>
  <si>
    <t>Computer Science; Medical Informatics</t>
  </si>
  <si>
    <t>KO5DF</t>
  </si>
  <si>
    <t>WOS:001811834000001</t>
  </si>
  <si>
    <t>Levra, AG; Gatti, M; Mene, R; Shiffer, D; Costantino, G; Solbiati, M; Furlan, R; Dipaola, F</t>
  </si>
  <si>
    <t>Differentiation of syncope from transient loss of consciousness can be challenging in the emergency department (ED). Natural Language Processing (NLP) enables the analysis of free text in the electronic medical records (EMR). The present paper aimed to develop a large language models (LLM) for syncope recognition in the ED and proposed a framework for model integration within the clinical workflow. Two models, based on both the Italian and Multilingual Bidirectional Encoder Representations from Transformers (BERT) language model, were developed using consecutive EMRs. The "triage" model was only based on notes contained in the "triage" section of the EMR. The "anamnesis" model added data contained in the "medical history" section. Interpretation and calibration plots were generated. The Italian and Multi BERT models were developed and tested on both 15,098 and 15,222 EMRs, respectively. The triage model had an AUC of 0.95 for the Italian BERT and 0.94 for the Multi BERT. The anamnesis model had an AUC of 0.98 for the Italian BERT and 0.97 for Multi BERT. The LLM identified syncope when not explicitly mentioned in the EMR and also recognized common prodromal symptoms preceding syncope. Both models identified syncope patients in the ED with a high discriminative capability from nurses and doctors' notes, thus potentially acting as a tool helping physicians to differentiate syncope from others transient loss of consciousness.</t>
  </si>
  <si>
    <t>Levra, Alessandro Giaj; Gatti, Mauro; Mene, Roberto; Shiffer, Dana; Costantino, Giorgio; Solbiati, Monica; Furlan, Raffaello; Dipaola, Franca</t>
  </si>
  <si>
    <t>Furlan, R (corresponding author), IRCCS Humanitas Res Hosp, Via A Manzoni 56, I-20089 Milan, Italy.</t>
  </si>
  <si>
    <t>raffaello.furlan@hunimed.eu</t>
  </si>
  <si>
    <t>[Levra, Alessandro Giaj; Furlan, Raffaello; Dipaola, Franca] Humanitas Res Hosp, Dept Cardiovasc Med, IRCCS, Milan, Italy; [Levra, Alessandro Giaj; Shiffer, Dana; Furlan, Raffaello] Humanitas Univ, Dept Biomed Sci, Milan, Italy; [Gatti, Mauro] IBM Corp, Milan, Italy; [Mene, Roberto] CHU Bordeaux, Hop Cardiol Haut Leveque, Bordeaux, France; [Mene, Roberto] Univ Bordeaux, Inst Rythmol &amp; Mod Elisat Cardiaque, IHU LIRYC, Pessac, France; [Shiffer, Dana] IRCCS Humanitas Res Hosp, Emergency Dept, Milan, Italy; [Costantino, Giorgio; Solbiati, Monica] Univ Milan, Fdn IRCCS CaGranda Osped Maggiore Policlin, Emergency Dept, Milan, Italy</t>
  </si>
  <si>
    <t>Humanitas University; International Business Machines (IBM); IBM Italy; CHU Bordeaux; Universite de Bordeaux; Universite de Bordeaux; University of Milan; IRCCS Ca Granda Ospedale Maggiore Policlinico</t>
  </si>
  <si>
    <t>A large language model-based clinical decision support system for syncope recognition in the emergency department: A framework for clinical workflow integration</t>
  </si>
  <si>
    <t>EUROPEAN JOURNAL OF INTERNAL MEDICINE</t>
  </si>
  <si>
    <t>Syncope; Artificial intelligence; Natural language processing; Clinical decision support system; Machine learning</t>
  </si>
  <si>
    <t>Furlan, Raffaello/ACH-0541-2022; Solbiati, Monica/K-4755-2016; costantino, giorgio/AAC-6441-2022; Menè, Roberto/GMW-4953-2022; Giaj Levra, Alessandro/PGT-3187-2026; Gatti, Mauro/AAM-4083-2021; Dipaola, Franca/F-5081-2018</t>
  </si>
  <si>
    <t>Furlan, Raffaello/0000-0001-5209-6786; Solbiati, Monica/0000-0003-1964-3770; Menè, Roberto/0000-0003-1671-1977; Giaj Levra, Alessandro/0000-0001-7779-5276; Gatti, Mauro/0000-0002-4312-8835</t>
  </si>
  <si>
    <t>0953-6205</t>
  </si>
  <si>
    <t>1879-0828</t>
  </si>
  <si>
    <t>EUR J INTERN MED</t>
  </si>
  <si>
    <t>Eur. J. Intern. Med.</t>
  </si>
  <si>
    <t>131</t>
  </si>
  <si>
    <t>113</t>
  </si>
  <si>
    <t>120</t>
  </si>
  <si>
    <t>10.1016/j.ejim.2024.09.017</t>
  </si>
  <si>
    <t>http://dx.doi.org/10.1016/j.ejim.2024.09.017</t>
  </si>
  <si>
    <t>S7Q3G</t>
  </si>
  <si>
    <t>39341748</t>
  </si>
  <si>
    <t>WOS:001400116800001</t>
  </si>
  <si>
    <t>Bronze; Green Submitted</t>
  </si>
  <si>
    <t>Nishisako, S; Higashi, T; Wakao, F</t>
  </si>
  <si>
    <t>The widespread availability of medical information on the Internet has improved access to health-related knowledge for patients; however, it has also increased exposure to inaccurate medical information. Cancer care involves complex information, making it difficult for patients to identify accurate and evidence-based sources. Large language models enable natural language interaction but frequently generate hallucinations, limiting their application in medical information delivery. Retrieval-augmented generation (RAG) has the potential to mitigate these risks by grounding responses in external reference sources. This study describes the development and evaluation of a guideline-based RAG chatbot that uses publicly available, web-based cancer clinical practice guidelines. The system extracts URLs from the table-of-contents pages of a guideline, processes page text using morphological analysis and cosine similarity based on term frequency-inverse document frequency, and constructs reference information from highly relevant pages. A large language model uses these references to generate responses constrained to guideline content. The JLCS Guidebook for Lung Cancer Patients and Families was used as the reference guideline. Question sets included both in-scope cancer types covered by the guideline and out-of-scope cancer types to evaluate response control. Medical information was successfully extracted from the table-of-contents pages, with 98% of extracted URLs containing referenceable medical content. For in-scope questions, the chatbot generated responses by summarizing guideline content, and no hallucinations were identified during manual review under the defined test conditions. For out-of-scope questions, the chatbot consistently declined to answer and indicated that the available information was insufficient. The web structure of the guideline facilitated efficient scraping and organization of reference content at the URL level. This protocol provides practical guidance for constructing artificial intelligence systems that deliver medical information using web-based clinical practice guidelines.</t>
  </si>
  <si>
    <t>Nishisako, Sota; Higashi, Takahiro; Wakao, Fumihiko</t>
  </si>
  <si>
    <t>Nishisako, S (corresponding author), Natl Canc Ctr Japan, Inst Canc Control, Tokyo, Japan.</t>
  </si>
  <si>
    <t>sotanishisako@gmail.com</t>
  </si>
  <si>
    <t>Health and Labour Sciences Research Grant [R6-Cancer Control-23EA1026]</t>
  </si>
  <si>
    <t>Health and Labour Sciences Research Grant</t>
  </si>
  <si>
    <t>The authors thank Kenichi Inoue, MD, PhD (Shonan Memorial Hospital Breast Center), for his extensive technical support in the development of the guideline-based retrieval-augmented generation chatbot. The authors also thank Chikako Yamaki, PhD, and all members of the research team at the Institute for Cancer Control, National Cancer Center Japan (Tokyo, Japan), for providing valuable advice on the topic addressed in this paper. In addition, the authors thank Editage for English-language editing. This work was supported by a Health and Labour Sciences Research Grant (R6-Cancer Control-23EA1026).</t>
  </si>
  <si>
    <t>[Nishisako, Sota; Higashi, Takahiro] Natl Canc Ctr Japan, Inst Canc Control, Tokyo, Japan; [Higashi, Takahiro] Univ Tokyo, Grad Sch Med, Dept Publ Hlth &amp; Hlth Policy, Tokyo, Japan; [Wakao, Fumihiko] Natl Canc Ctr Japan, Headquarters Canc Informat Serv, Tokyo, Japan</t>
  </si>
  <si>
    <t>National Cancer Center - Japan; University of Tokyo; National Cancer Center - Japan</t>
  </si>
  <si>
    <t>Development of a Guideline-Based Retrieval-Augmented Generation Chatbot Referencing Web-Based Cancer Clinical Practice Guidelines</t>
  </si>
  <si>
    <t>JOVE-JOURNAL OF VISUALIZED EXPERIMENTS</t>
  </si>
  <si>
    <t>INTERNET; ONCOLOGISTS</t>
  </si>
  <si>
    <t>23</t>
  </si>
  <si>
    <t>JOURNAL OF VISUALIZED EXPERIMENTS</t>
  </si>
  <si>
    <t>CAMBRIDGE</t>
  </si>
  <si>
    <t>1 ALEWIFE CENTER, STE 200, CAMBRIDGE, MA 02140 USA</t>
  </si>
  <si>
    <t>1940-087X</t>
  </si>
  <si>
    <t>JOVE-J VIS EXP</t>
  </si>
  <si>
    <t>J. Vis. Exp.</t>
  </si>
  <si>
    <t>AUG 2026</t>
  </si>
  <si>
    <t>234</t>
  </si>
  <si>
    <t>e71099</t>
  </si>
  <si>
    <t>10.3791/71099</t>
  </si>
  <si>
    <t>http://dx.doi.org/10.3791/71099</t>
  </si>
  <si>
    <t>MX3GB</t>
  </si>
  <si>
    <t>42611847</t>
  </si>
  <si>
    <t>WOS:001853101600021</t>
  </si>
  <si>
    <t>Egli, SB; Arpagaus, A; Amacher, SA; Hunziker, S; Bassetti, S</t>
  </si>
  <si>
    <t>Objectives Large language model (LLM)-based tools offer potential for clinical practice but raise concerns regarding output accuracy, patient safety and data security. We aimed to assess Swiss clinicians' use, knowledge and perception of LLMs and identify associated factors.Methods An anonymous online survey was distributed via 34 medical societies in Switzerland. The primary outcome was frequent use of LLMs (at least weekly use). The secondary outcome was higher knowledge regarding LLMs (score above the median in an 11-item test). Qualitative analysis explored clinicians' perceptions of LLM-related opportunities and risks.Results Among 685 participants (response rate 29.0%), 225 (32.8%) reported frequent use of LLMs, 25 (3.6%) reported having used a specific medical LLM and 42 (6%) reported the availability of workplace LLM guidelines. The median knowledge test score was 6 points (IQR 4-8 points). Multivariable analysis showed that younger age, male sex and research activity were significantly associated with frequent use and higher knowledge. Qualitative analysis identified administrative support, analytical assistance and access to information as key opportunities. The main risks identified were declining clinical skills, poor output quality and legal or ethical concerns.Discussion The study highlights a notable adoption of LLMs among Swiss clinicians, particularly among younger, male and research-active individuals. However, the limited availability of workplace guidelines raises concerns about safe and effective use.Conclusion The gap between widespread LLM use and the scarcity of workplace guidelines underscores the need for accessible educational resources and clinical guidelines to mitigate potential risks and promote informed use.</t>
  </si>
  <si>
    <t>Egli, Simon Bruno; Arpagaus, Armon; Amacher, Simon Adrian; Hunziker, Sabina; Bassetti, Stefano</t>
  </si>
  <si>
    <t>Egli, SB (corresponding author), Univ Hosp Basel, Div Internal Med, Basel, Switzerland.</t>
  </si>
  <si>
    <t>simon.egli@usb.ch; sabina.hunziker@usb.ch; stefano.bassetti@usb.ch; simonadrian.amacher@usb.ch; armon.arpagaus@usb.ch</t>
  </si>
  <si>
    <t>Division of Internal Medicine, University Hospital Basel, Basel, Switzerland</t>
  </si>
  <si>
    <t>This study was funded by the Division of Internal Medicine, University Hospital Basel, Basel, Switzerland, grant/award number N/A.</t>
  </si>
  <si>
    <t>[Egli, Simon Bruno; Arpagaus, Armon; Bassetti, Stefano] Univ Hosp Basel, Div Internal Med, Basel, Switzerland; [Arpagaus, Armon; Amacher, Simon Adrian; Hunziker, Sabina] Univ Hosp Basel, Med Commun &amp; Psychosomat Med, Basel, Switzerland; [Amacher, Simon Adrian] Univ Hosp Basel, Dept Acute Med, Intens Care Unit, Basel, Switzerland; [Hunziker, Sabina; Bassetti, Stefano] Univ Basel, Med Fac, Basel, Switzerland</t>
  </si>
  <si>
    <t>University of Basel; University of Basel; University of Basel; University of Basel</t>
  </si>
  <si>
    <t>Use, knowledge and perception of large language models in clinical practice: a cross-sectional mixed-methods survey among clinicians in Switzerland</t>
  </si>
  <si>
    <t>Artificial intelligence; Medical Informatics; Implementation Science</t>
  </si>
  <si>
    <t>Arpagaus, Armon/OZF-3544-2025; Amacher, Simon/AEV-8641-2022</t>
  </si>
  <si>
    <t>Egli, Simon Bruno/0009-0005-7092-9645</t>
  </si>
  <si>
    <t>SEP 22 2025</t>
  </si>
  <si>
    <t>32</t>
  </si>
  <si>
    <t>e101470</t>
  </si>
  <si>
    <t>10.1136/bmjhci-2025-101470</t>
  </si>
  <si>
    <t>http://dx.doi.org/10.1136/bmjhci-2025-101470</t>
  </si>
  <si>
    <t>7NY5I</t>
  </si>
  <si>
    <t>40983363</t>
  </si>
  <si>
    <t>WOS:001575526000001</t>
  </si>
  <si>
    <t>Carenzo, C; Goldsmith, K; Arribas, M; Atkins, B; Ko, IA; Chong, HL; Raja, A; Riad, AM; Lear, R; Abdullahi, YS; Glampson, B; Orchard, T; Mayer, E</t>
  </si>
  <si>
    <t>Background: A discharge summary should be a clinical report that documents a patient's hospital stay, including test results, diagnoses, management, and follow-up. Currently, discharge summaries are written by clinicians who manually locate pertinent information across the electronic health record, of which approximately 80% is free text. This process is time-consuming and may be suitable for automation using large language models. Objective: This study developed a template-based prompting system that can produce clinically acceptable discharge summaries, specifically the "clinical summary" and "plan and requested actions" sections, from routinely collected electronic patient records. Methods: This study used electronic health record data from Imperial College Healthcare National Health Service Trust, network of 5 hospitals in northwest London. It was conducted within the Imperial Secure Data Environment under Data Access and Ethics Committee approval. In total, 52 inpatient encounters were selected by the clinical team to ensure diversity in clinical specialty, reason for admission, complexity, length of stay, and sociodemographic characteristics; 83% (n=43) of the cases were allocated to the development dataset, and 17% (n=9) comprised the test dataset. The system synthesized clinical notes related an inpatient hospital encounter and used structured template prompts with OpenAI's generative pretrained transformer-4 generate a discharge summary. The prompt was co-designed across 3 iterations. Resident physicians completed an evaluation form to assess the clinical acceptability of the generated summaries, including the primary outcome (global confidence rating) and secondary outcomes(accuracy, completeness, readability, formatting, sociodemographic bias, and potential clinical harm). Sensitivity analyses assessed the effect of length of stay and admission type (emergency department vs other and surgical other) on the primary outcome. Results: A total of 52 patients (n=32, 62% female) were included, with a mean age of 44.8 (SD 27.1) years and an average length of stay of 15.2 (SD 21.1) days. In the test dataset, 89% (8/9) of generative pretrained transformer-4-generated summaries received a positive global confidence rating ("yes" or "yes, with minor changes"). Secondary outcomes were positive for the "clinical summary" section (8/9, 89% complete and 7/9, 78% accurate) and the "plan and requested actions" section (7/9, 78% complete and 7/9, 78% accurate). Readability, formatting, sociodemographic bias, and potential clinical harm also showed positive results in the test dataset. Sensitivity analyses showed no statistically significant variation in the primary outcome across length of stay or admission type (length of stay: P=.29; surgical admission: P=.99; emergency departmentadmission: P=.15). Conclusions: Our results demonstrate the feasibility of the pipeline, but rigorous statistical evaluation in a larger, adequately powered sample is needed.</t>
  </si>
  <si>
    <t>Carenzo, Catalina; Goldsmith, Kathleen; Arribas, Maite; Atkins, Benjamin; Ko, Ina; Chong, Ho Lun; Raja, Asmita; Riad, Aya M.; Lear, Rachael; Abdullahi, Yusuf S.; Glampson, Ben; Orchard, Tim; Mayer, Erik</t>
  </si>
  <si>
    <t>Goldsmith, K (corresponding author), Imperial Coll Healthcare NHS Trust, NIHR Imperial Biomed Res Ctr, Imperial Clin Analyt Res &amp; Evaluat iCARE, 1A Sheldon Sq, London W2 6PY, England.</t>
  </si>
  <si>
    <t>kathleen.goldsmith17@imperial.ac.uk</t>
  </si>
  <si>
    <t>National Institute of Health Research (NIHR) Imperial Biomedical Research Centre based at Imperial College Healthcare NHS Trust and Imperial College London [NIHR203323]</t>
  </si>
  <si>
    <t>National Institute of Health Research (NIHR) Imperial Biomedical Research Centre based at Imperial College Healthcare NHS Trust and Imperial College London</t>
  </si>
  <si>
    <t>This research was undertaken within the Imperial Secure Data Environment (SDE) and used the Imperial Clinical Analytics, Research and Evaluation (iCARE) team and data resources. ICARE receives funding from the National Institute of Health Research (NIHR) Imperial Biomedical Research Centre (NIHR203323), based at Imperial College Healthcare NHS Trust and Imperial College London. The views expressed are those of the authors and not necessarily those of the National Health Service, the National Institute for Health and Care Research, or the Department of Health and Social Care.</t>
  </si>
  <si>
    <t>[Carenzo, Catalina; Goldsmith, Kathleen; Arribas, Maite; Atkins, Benjamin; Ko, Ina; Chong, Ho Lun; Raja, Asmita; Riad, Aya M.; Lear, Rachael; Abdullahi, Yusuf S.; Glampson, Ben; Orchard, Tim; Mayer, Erik] Imperial Coll Healthcare NHS Trust, NIHR Imperial Biomed Res Ctr, Imperial Clin Analyt Res &amp; Evaluat iCARE, 1A Sheldon Sq, London W2 6PY, England; [Carenzo, Catalina; Goldsmith, Kathleen; Arribas, Maite; Lear, Rachael; Abdullahi, Yusuf S.; Glampson, Ben; Mayer, Erik] Imperial Coll London, Fac Med, Dept Surg &amp; Canc, London, England</t>
  </si>
  <si>
    <t>Imperial College London; Imperial College London</t>
  </si>
  <si>
    <t>Real-World Implementation of Large Language Models for Writing Clinical Discharge Summaries Within a Secure Data Environment: Development and Expert Evaluation Study</t>
  </si>
  <si>
    <t>JMIR AI</t>
  </si>
  <si>
    <t>artificial intelligence; AI; machine learning; natural language processing; large language models; generative pretrained transformer; GPT; clinical documentation; discharge summaries; electronic health records; clinical decision support; health information management; data security; expert validation study</t>
  </si>
  <si>
    <t>Goldsmith, Kathleen/0009-0007-0792-3253</t>
  </si>
  <si>
    <t>2817-1705</t>
  </si>
  <si>
    <t>e88816</t>
  </si>
  <si>
    <t>10.2196/88816</t>
  </si>
  <si>
    <t>http://dx.doi.org/10.2196/88816</t>
  </si>
  <si>
    <t>LB0IR</t>
  </si>
  <si>
    <t>42398933</t>
  </si>
  <si>
    <t>WOS:001820330900001</t>
  </si>
  <si>
    <t>Rao, A; Pang, M; Kim, J; Kamineni, M; Lie, W; Prasad, AK; Landman, A; Dreyer, K; Succi, MD</t>
  </si>
  <si>
    <t>Background: Large language model (LLM)-based artificial intelligence chatbots direct the power of large training data sets toward successive, related tasks as opposed to single-ask tasks, for which artificial intelligence already achieves impressive performance. The capacity of LLMs to assist in the full scope of iterative clinical reasoning via successive prompting, in effect acting as artificial physicians, has not yet been evaluated.Objective: This study aimed to evaluate ChatGPT's capacity for ongoing clinical decision support via its performance on standardized clinical vignettes.Methods: We inputted all 36 published clinical vignettes from the Merck Sharpe &amp; Dohme (MSD) Clinical Manual into ChatGPT and compared its accuracy on differential diagnoses, diagnostic testing, final diagnosis, and management based on patient age, gender, and case acuity. Accuracy was measured by the proportion of correct responses to the questions posed within the clinical vignettes tested, as calculated by human scorers. We further conducted linear regression to assess the contributing factors toward ChatGPT's performance on clinical tasks.Results: ChatGPT achieved an overall accuracy of 71.7% (95% CI 69.3%-74.1%) across all 36 clinical vignettes. The LLM demonstrated the highest performance in making a final diagnosis with an accuracy of 76.9% (95% CI 67.8%-86.1%) and the lowest performance in generating an initial differential diagnosis with an accuracy of 60.3% (95% CI 54.2%-66.6%). Compared to answering questions about general medical knowledge, ChatGPT demonstrated inferior performance on differential diagnosis (beta=-15.8%; P&lt;.001) and clinical management (beta=-7.4%; P=.02) question types.Conclusions: ChatGPT achieves impressive accuracy in clinical decision-making, with increasing strength as it gains more clinical information at its disposal. In particular, ChatGPT demonstrates the greatest accuracy in tasks of final diagnosis as compared to initial diagnosis. Limitations include possible model hallucinations and the unclear composition of ChatGPT's training data set.</t>
  </si>
  <si>
    <t>Rao, Arya; Pang, Michael; Kim, John; Kamineni, Meghana; Lie, Winston; Prasad, Anoop K.; Landman, Adam; Dreyer, Keith; Succi, Marc D.</t>
  </si>
  <si>
    <t>Succi, MD (corresponding author), Massachusetts Gen Hosp, Dept Radiol, 55 Fruit St, Boston, MA 02114 USA.</t>
  </si>
  <si>
    <t>msucci@partners.org</t>
  </si>
  <si>
    <t>National Institute of General Medical Sciences [T32GM144273]; National Institute of General Medical Sciences [T32GM144273] Funding Source: NIH RePORTER</t>
  </si>
  <si>
    <t>National Institute of General Medical Sciences (United States Department of Health &amp; Human Services, National Institutes of Health (NIH) - USA, NIH National Institute of General Medical Sciences (NIGMS)); National Institute of General Medical Sciences (United States Department of Health &amp; Human Services, National Institutes of Health (NIH) - USA, NIH National Institute of General Medical Sciences (NIGMS))</t>
  </si>
  <si>
    <t>This project was supported in part by award T32GM144273 from the National Institute of General Medical Sciences. The content is solely the responsibility of the authors and does not necessarily represent the official views of the National Institute of General Medical Sciences or the National Institutes of Health.</t>
  </si>
  <si>
    <t>[Rao, Arya; Pang, Michael; Kim, John; Kamineni, Meghana; Lie, Winston; Prasad, Anoop K.; Succi, Marc D.] Massachusetts Gen Hosp, Innovat Operat Res Ctr MESH IO, Medically Engn Solut Healthcare Incubator, Boston, MA USA; [Rao, Arya; Pang, Michael; Kim, John; Kamineni, Meghana; Lie, Winston; Prasad, Anoop K.; Landman, Adam; Dreyer, Keith; Succi, Marc D.] Harvard Med Sch, Boston, MA USA; [Rao, Arya; Pang, Michael; Kim, John; Kamineni, Meghana; Lie, Winston; Prasad, Anoop K.; Succi, Marc D.] Massachusetts Gen Hosp, Dept Radiol, 55 Fruit St, Boston, MA 02114 USA; [Landman, Adam] Brigham &amp; Womens Hosp, Dept Radiol, Boston, MA USA; [Dreyer, Keith] Mass Gen Brigham, Data Sci Off, Boston, MA USA; [Succi, Marc D.] Mass Gen Brigham, Mass Gen Brigham Innovat, Boston, MA USA</t>
  </si>
  <si>
    <t>Harvard University; Harvard University Medical Affiliates; Massachusetts General Hospital; Harvard University; Harvard Medical School; Harvard University; Harvard University Medical Affiliates; Massachusetts General Hospital; Harvard University; Harvard University Medical Affiliates; Brigham &amp; Women's Hospital; Mass General Brigham; Mass General Brigham</t>
  </si>
  <si>
    <t>Assessing the Utility of ChatGPT Throughout the Entire Clinical Workflow: Development and Usability Study</t>
  </si>
  <si>
    <t>large language models; LLMs; artificial intelligence; AI; clinical decision support; clinical vignettes; ChatGPT; Generative Pre-trained Transformer; GPT; utility; development; usability; chatbot; accuracy; decision-making</t>
  </si>
  <si>
    <t>ARTIFICIAL-INTELLIGENCE</t>
  </si>
  <si>
    <t>Landman, Adam/LTF-6000-2024; Prasad, Anoop/JVN-9443-2024</t>
  </si>
  <si>
    <t>Pang, Michael/0000-0001-5619-9344; Kim, John/0000-0003-4252-5916; eyer, Keith/0000-0003-1207-6443; Rao, Arya/0000-0003-3007-4812; Kamineni, Meghana/0000-0002-6698-5151; Lie, Winston/0009-0002-0939-7449; Prasad, Anoop/0000-0002-4409-6062</t>
  </si>
  <si>
    <t>29</t>
  </si>
  <si>
    <t>281</t>
  </si>
  <si>
    <t>147</t>
  </si>
  <si>
    <t>AUG 22 2023</t>
  </si>
  <si>
    <t>e48659</t>
  </si>
  <si>
    <t>10.2196/48659</t>
  </si>
  <si>
    <t>http://dx.doi.org/10.2196/48659</t>
  </si>
  <si>
    <t>HN7L2</t>
  </si>
  <si>
    <t>37606976</t>
  </si>
  <si>
    <t>WOS:001160247000005</t>
  </si>
  <si>
    <t>Dhawan, R; Shay, D</t>
  </si>
  <si>
    <t>Artificial intelligence (AI) has rapidly advanced across healthcare including plastic surgery. Among these innovations, text-to-image models represent a significant leap, promising to transform some aspects of clinical practice. Text-to-image models generally consist of two main components: a large language model (LLM) that converts the input text into a latent representation, and a generative image model that creates an image based on this representation.1 1 Due to their capability of producing increasingly realistic and detailed visuals, they have a vast potential as an innovative tool in plastic surgery.2 2 However, there are notable limitations and ethical considerations that must be addressed before these technologies can be fully integrated into clinical practice. Text-to-image models involve the use of advanced algorithms to convert textual descriptions into detailed images. These models are trained on extensive datasets comprising images and corresponding textual annotations. By learning the intricate relationships between text and visuals, these algorithms</t>
  </si>
  <si>
    <t>Dhawan, Ravi; Shay, Denys</t>
  </si>
  <si>
    <t>Shay, D (corresponding author), Harvard TH Chan Sch Publ Hlth, Dept Epidemiol, 677 Huntington Ave, Boston, MA 02115 USA.</t>
  </si>
  <si>
    <t>denys_shay@g.harvard.edu</t>
  </si>
  <si>
    <t>[Shay, Denys] Emory Univ, Dept Plast Surg, 101 Woodruff Circle, Atlanta, GA USA; [Shay, Denys] Harvard TH Chan Sch Publ Hlth, Dept Epidemiol, 677 Huntington Ave, Boston, MA 02115 USA</t>
  </si>
  <si>
    <t>Emory University; Harvard University; Harvard T.H. Chan School of Public Health</t>
  </si>
  <si>
    <t>Artificial intelligence in plastic surgery: Implications and limitations of text-to-image models for clinical practice</t>
  </si>
  <si>
    <t>JPRAS OPEN</t>
  </si>
  <si>
    <t>Artificial intelligence; LLMs; Generative AI; Text-to-Image AI</t>
  </si>
  <si>
    <t>Shay, Denys/ODL-2148-2025</t>
  </si>
  <si>
    <t>Dhawan, Ravi/0000-0002-2544-341X</t>
  </si>
  <si>
    <t>2352-5878</t>
  </si>
  <si>
    <t>JPRAS Open</t>
  </si>
  <si>
    <t>SEP 2024</t>
  </si>
  <si>
    <t>41</t>
  </si>
  <si>
    <t>368</t>
  </si>
  <si>
    <t>371</t>
  </si>
  <si>
    <t>10.1016/j.jpra.2024.07.008</t>
  </si>
  <si>
    <t>http://dx.doi.org/10.1016/j.jpra.2024.07.008</t>
  </si>
  <si>
    <t>AUG 2024</t>
  </si>
  <si>
    <t>D3U1M</t>
  </si>
  <si>
    <t>39224909</t>
  </si>
  <si>
    <t>WOS:001295460700001</t>
  </si>
  <si>
    <t>Hirsch, J; Subbalekha, K; Tangmanee, C; Stoll, C; Pitak-Arnnop, P</t>
  </si>
  <si>
    <t>Background: Artificial intelligence (AI) technologies, particularly large language models (LLMs) such as ChatGPT, are increasingly utilised in medical education and clinical information retrieval. Nevertheless, their capacity to accurately reproduce recommendations from established clinical practice guidelines (CPGs) has not been thoroughly examined. The present study evaluated the concordance between responses generated by GPT-5 and recommendations contained in German CPGs addressing oral potentially malignant disorders (OPMDs) and oral carcinomas (OCs).Methods: A cross-sectional analytical comparison was performed between GPT-5 outputs and German CPG recommendations available as of October 2025. Individual guideline statements were entered verbatim into GPT-5, which was asked to confirm or reject the statements. To assess methodological robustness, inverted versions of the same statements were additionally tested. GPT-5 was accessed through the free version without internet connectivity to ensure that responses originated solely from the model's internal training data. Accuracy was defined as the proportion of correctly classified statements. Concordance between guideline content and model responses was quantified using Cohen's kappa.Results: Two German CPGs comprising 111 recommendations were included: the S2k guideline for OPMDs (15 recommendations) and the S3 guideline for OCs (96 recommendations). GPT-5 correctly affirmed all authentic recommendations and rejected all inverted statements. Agreement between guideline statements and GPT-5 responses was perfect when the original recommendations were analysed (kappa = 1.0) and remained very high when both original and inverted statements were evaluated jointly (kappa = 0.96). The majority of references cited within the guidelines were published in English (&gt; 93%) and originated from outside Germany (&gt; 77%).Conclusion: When guideline recommendations were presented verbatim, GPT-5 demonstrated complete concordance with German oral oncology CPGs. These findings indicate that the model is capable of recognising and retrieving established guideline information. However, this experimental design evaluates recognition of existing statements rather than autonomous clinical reasoning. At present, LLMs should therefore be regarded primarily as educational and informational tools rather than a replacement for expert clinical judgement in oral oncology.</t>
  </si>
  <si>
    <t>Hirsch, Julius; Subbalekha, Keskanya; Tangmanee, Chatpong; Stoll, Christian; Pitak-Arnnop, Poramate</t>
  </si>
  <si>
    <t>Pitak-Arnnop, P (corresponding author), Brandenburg Med Sch Theodor Fontane, Fac Med, Dept Oral Craniomaxillofacial &amp; Plast Surg, Brandenburg, Germany.; Pitak-Arnnop, P (corresponding author), Goethe Univ Frankfurt, Sana Hosp Offenbach, Dept Oral Craniomaxillofacial Plast &amp; Head &amp; Neck, Acad Teaching Hosp, Offenbach, Germany.; Pitak-Arnnop, P (corresponding author), Friedrich Alexander Univ Erlangen Nuremberg, Fac Med, Bayreuth Med Ctr, Dept Plast Reconstruct Aesthet &amp; Hand Surg, Campus Oberfranken, Bayreuth, Germany.</t>
  </si>
  <si>
    <t>poramate.pitakarnnop@gmail.com</t>
  </si>
  <si>
    <t>[Hirsch, Julius] Private Oral &amp; Maxillofacial Surg Practice Dr Dr H, Ulm, Germany; [Hirsch, Julius] Danube Private Univ, Dept Med, Krems An Der Donau, Austria; [Subbalekha, Keskanya] Chulalongkorn Univ, Fac Dent, Dept Oral &amp; Maxillofacial Surg, Bangkok, Thailand; [Tangmanee, Chatpong] Chulalongkorn Univ, Business Sch, Dept Stat, Bangkok, Thailand; [Stoll, Christian; Pitak-Arnnop, Poramate] Brandenburg Med Sch Theodor Fontane, Fac Med, Dept Oral Craniomaxillofacial &amp; Plast Surg, Brandenburg, Germany; [Pitak-Arnnop, Poramate] Goethe Univ Frankfurt, Sana Hosp Offenbach, Dept Oral Craniomaxillofacial Plast &amp; Head &amp; Neck, Acad Teaching Hosp, Offenbach, Germany; [Pitak-Arnnop, Poramate] Friedrich Alexander Univ Erlangen Nuremberg, Fac Med, Bayreuth Med Ctr, Dept Plast Reconstruct Aesthet &amp; Hand Surg, Campus Oberfranken, Bayreuth, Germany</t>
  </si>
  <si>
    <t>Chulalongkorn University; Chulalongkorn University; Sana Klinikum Offenbach; Goethe University Frankfurt; Klinikum Bayreuth; University of Erlangen Nuremberg</t>
  </si>
  <si>
    <t>Evaluation of GPT-5, a Large Language Model, in Replicating German Clinical Practice Guideline Recommendations in Oral Oncology: A Cross-Sectional Concordance Study</t>
  </si>
  <si>
    <t>JOURNAL OF ORAL PATHOLOGY &amp; MEDICINE</t>
  </si>
  <si>
    <t>artificial intelligence; clinical practice guideline; GPT-5; oral oncology</t>
  </si>
  <si>
    <t>Subbalekha, Keskanya/V-8912-2019; Pitak-Arnnop, Poramate/MZQ-4434-2025</t>
  </si>
  <si>
    <t>0904-2512</t>
  </si>
  <si>
    <t>1600-0714</t>
  </si>
  <si>
    <t>J ORAL PATHOL MED</t>
  </si>
  <si>
    <t>J. Oral Pathol. Med.</t>
  </si>
  <si>
    <t>55</t>
  </si>
  <si>
    <t>856</t>
  </si>
  <si>
    <t>860</t>
  </si>
  <si>
    <t>10.1111/jop.70140</t>
  </si>
  <si>
    <t>http://dx.doi.org/10.1111/jop.70140</t>
  </si>
  <si>
    <t>Dentistry, Oral Surgery &amp; Medicine; Pathology</t>
  </si>
  <si>
    <t>MC3SS</t>
  </si>
  <si>
    <t>41967843</t>
  </si>
  <si>
    <t>WOS:001738126300001</t>
  </si>
  <si>
    <t>Green Published</t>
  </si>
  <si>
    <t>Antiperovitch, P; Liu, IR; Mokhtar, AT; Tang, A</t>
  </si>
  <si>
    <t>Background: Large language models (LLMs) are increasingly accessible for medical decision making and are often used by medical practitioners and patients. However, previous studies have raised concerns about the accuracy of individual LLMs in assisting with patient management. Methods: This study assessed the performance of 7 publicly available LLMs on validated cardiovascular antithrombotic care scenarios, evaluated by 3 independent clinicians for accuracy and reasoning. The results were compared with the performance of volunteer clinicians, based on a survey conducted at the Canadian Cardiovascular Congress in 2023. Statistical analyses ensured interobserver reliability and evaluated performance differences among models. Results: Claude 3 Opus correctly answered 85% of clinical scenarios, significantly outperforming both other LLMs (P = &lt; 0.001) and all clinician groups. Among clinicians, cardiologists, and senior residents achieved the highest accuracy rates: 43% (95 confidence interval [CI], 32%-52%) and 47% (95 CI, 39%-56%) respectively, comparable with GPT-4o (55%) and Claude 3.5 Sonnet (44%). General practitioners performed similarly to Claude 3 Sonnet and Gemini 1.5: 22% (95 CI, 11%-33%) vs 26% vs 30%, whereas medical students achieved 8.3% (95 CI, 2%-15%), closely aligning with GPT-3.5 (10%). Conclusions: The performance of LLMs in cardiovascular clinical scenarios varied widely, with some models outperforming clinicians, and some free-tier models providing inappropriate medical advice to clinicians. However, all tested models demonstrated acceptable performance for delivering patient advice regarding lifestyle and dietary recommendations. Clinicians and patients should exercise caution when using LLMs, select the best LLM for the task, and crosscheck provided references to ensure safe use of LLMs in practice. Clinical Trial Registration: NCT05923658</t>
  </si>
  <si>
    <t>Antiperovitch, Pavel; Liu, Iris; Mokhtar, Ahmed T.; Tang, Anthony</t>
  </si>
  <si>
    <t>Antiperovitch, P (corresponding author), C6-115,339 Windermere Rd, London, ON N6A 5A5, Canada.</t>
  </si>
  <si>
    <t>pavel.antiperovitch@lhsc.on.ca</t>
  </si>
  <si>
    <t>[Antiperovitch, Pavel; Mokhtar, Ahmed T.; Tang, Anthony] Western Univ, London Hlth Sci Ctr, Dept Med, Div Cardiol, London, ON, Canada; [Liu, Iris] Western Univ, Schulich Sch Med &amp; Dent, London, ON, Canada</t>
  </si>
  <si>
    <t>Western University (University of Western Ontario); London Health Sciences Centre; Western University (University of Western Ontario)</t>
  </si>
  <si>
    <t>Evaluating Large Language Models in Cardiovascular Antithrombotic Care: Performance, Accuracy, and for Clinical Practice</t>
  </si>
  <si>
    <t>CANADIAN JOURNAL OF CARDIOLOGY</t>
  </si>
  <si>
    <t>Tang, Anthony/E-6203-2014; Mokhtar, Ahmed/KDN-2937-2024</t>
  </si>
  <si>
    <t>Liu, Iris/0009-0004-4183-843X; Mokhtar, Ahmed/0000-0002-6685-1137</t>
  </si>
  <si>
    <t>0828-282X</t>
  </si>
  <si>
    <t>1916-7075</t>
  </si>
  <si>
    <t>CAN J CARDIOL</t>
  </si>
  <si>
    <t>Can. J. Cardiol.</t>
  </si>
  <si>
    <t>AUG 2025</t>
  </si>
  <si>
    <t>1584</t>
  </si>
  <si>
    <t>1591</t>
  </si>
  <si>
    <t>10.1016/j.cjca.2025.04.008</t>
  </si>
  <si>
    <t>http://dx.doi.org/10.1016/j.cjca.2025.04.008</t>
  </si>
  <si>
    <t>Cardiac &amp; Cardiovascular Systems</t>
  </si>
  <si>
    <t>Cardiovascular System &amp; Cardiology</t>
  </si>
  <si>
    <t>6KT7E</t>
  </si>
  <si>
    <t>40239865</t>
  </si>
  <si>
    <t>WOS:001555708500021</t>
  </si>
  <si>
    <t>El Kayali, MK; Neumann, EM; Fahy, S; Bartek, B; Oehme, S; Getgood, A; Jung, T; Milinkovic, DD</t>
  </si>
  <si>
    <t>Introduction/objectives: General-purpose large language models (LLMs) have substantial limitations, including fabricated references and inconsistent concordance with evidence-based clinical practice guidelines (CPGs). OpenEvidence (OE) (Cambridge, MA) is a retrieval-augmented generation (RAG) platform designed to provide accurate, evidence-based, citation-supported answers. This study assessed the concordance, quality, and citation characteristics of OE responses to the 2022 American Academy of Orthopaedic Surgeons (AAOS) CPG for anterior cruciate ligament reconstruction (ACLR). It was hypothesized that OE would deliver relevant, accurate, clear, complete, and evidence-based responses, with low rates of hallucination and irrelevant citations. Methods: Fifteen prompts reflecting the 2022 AAOS ACLR CPG were curated and categorized into three domains: (1) preoperative evaluation and diagnosis, (2) surgical timing and technique, and (3) rehabilitation and prevention. Each prompt was entered into OE in a new session to minimize context bias. Two orthopedic surgeons rated response quality on a 5-point Likert scale for relevance, accuracy, clarity, completeness, and evidencebased content. Inter-rater reliability was assessed using intra-class correlation coefficients (ICCs). All citations were extracted and classified as relevant, irrelevant, or hallucinated, and journal sources and publication years were recorded. Results: Inter-rater reliability was high across all domains (overall ICC, 0.90; 95% confidence interval, 0.82-0.96). Median scores exceeded 4.0 for all domains, with perfect scores for evidence-based (5.0 [5.0-5.0]) and the lowest scores for clarity (5.0 [4.0-5.0]). Across 15 prompts, OE generated 127 PubMed-indexed citations (mean, 8.5 per response; range 6-11) with zero hallucinated and only 2.4% irrelevant citations. Citations spanned 29 journals from 1997 to 2025. Conclusion: OE produced highly relevant, accurate, clear, complete, and evidence-based responses to AAOS ACLR CPG prompts, with trustworthy PubMed-indexed citations and no hallucinations. Its RAG architecture may offer a credible, citation-oriented adjunct to evidence-based decision support in orthopedic surgery. Level of Evidence: Level V, descriptive study.</t>
  </si>
  <si>
    <t>El Kayali, Moses KD.; Neumann, Erika M.; Fahy, Stephen; Bartek, Benjamin; Oehme, Stephan; Getgood, Alan; Jung, Tobias; Milinkovic, Danko Dan</t>
  </si>
  <si>
    <t>El Kayali, MK (corresponding author), Charite Univ Med Berlin, Ctr Musculoskeletal Surg, Charitepl 1, D-10117 Berlin, Germany.</t>
  </si>
  <si>
    <t>moses.elkayali@charite.de</t>
  </si>
  <si>
    <t>[El Kayali, Moses KD.; Neumann, Erika M.; Bartek, Benjamin; Oehme, Stephan; Jung, Tobias; Milinkovic, Danko Dan] Charite Univ Med Berlin, Ctr Musculoskeletal Surg, Charitepl 1, D-10117 Berlin, Germany; [El Kayali, Moses KD.] Saarland Univ, Inst Clin &amp; Expt Surg, Homburg Saar, Germany; [Fahy, Stephen] Sporthopaedicum Berlin, Bismarckstr 45-47, D-10627 Berlin, Germany; [Oehme, Stephan] Charite Univ Med Berlin, Julius Wolff Inst, Berlin Inst Hlth, Berlin, Germany; [Getgood, Alan] ASPETAR, Orthopaed &amp; Sports Med Hosp, Doha, Qatar</t>
  </si>
  <si>
    <t>Free University of Berlin; Humboldt University of Berlin; Charite Universitatsmedizin Berlin; Free University of Berlin; Humboldt University of Berlin; Charite Universitatsmedizin Berlin; Berlin Institute of Health; Aspetar Orthopaedic &amp; Sports Medicine Hospital</t>
  </si>
  <si>
    <t>Assessment of OpenEvidence responses to American Academy of Orthopaedic Surgeons clinical practice guidelines for anterior cruciate ligament reconstruction</t>
  </si>
  <si>
    <t>JOURNAL OF ISAKOS JOINT DISORDERS &amp; ORTHOPAEDIC SPORTS MEDICINE</t>
  </si>
  <si>
    <t>ACL; Anterior cruciate ligament reconstruction; Large language models; OpenEvidence; Artificial intelligence</t>
  </si>
  <si>
    <t>Elkayali, Moses/ORJ-0028-2025; Oehme, Stephan/ACD-3098-2022; Milinkovic, Danko Dan/HFZ-9671-2022</t>
  </si>
  <si>
    <t>2059-7754</t>
  </si>
  <si>
    <t>2059-7762</t>
  </si>
  <si>
    <t>J ISAKOS</t>
  </si>
  <si>
    <t>J ISAKOS Joint Disord. Orthopaed. Sport. Med.</t>
  </si>
  <si>
    <t>101160</t>
  </si>
  <si>
    <t>10.1016/j.jisako.2026.101160</t>
  </si>
  <si>
    <t>http://dx.doi.org/10.1016/j.jisako.2026.101160</t>
  </si>
  <si>
    <t>Orthopedics; Sport Sciences</t>
  </si>
  <si>
    <t>KP0ZG</t>
  </si>
  <si>
    <t>42263851</t>
  </si>
  <si>
    <t>WOS:001812229800001</t>
  </si>
  <si>
    <t>Kakwan, H; Rousseau, JF; Moura, LM; Sheikh, IS</t>
  </si>
  <si>
    <t>The utilization of large language model-based artificial intelligence (AI) in the field of neurology has gained attention as a viable tool to enhance and assist providers with processes ranging from scheduling patients to providing preliminary interpretations of testing results, pending orders, and documenting encounters. Epileptologists could benefit from these technologies by utilizing ambient AI models, recent applications of which offer promising solutions for automating clinical documentation. While the potential benefits of using these tools are significant and include reduced physician burnout and improved patient experience, the deployment of these technologies also raises critical concerns, such as potential biases in model training and the risk of errors being inserted into the electronic health record (EHR), among other yet to be realized unintended consequences. The accuracy of clinical documentation is essential in epilepsy care, where detailed seizure histories and accurate medication records are critical to patient safety. Another concern may be paradoxically increased physician burnout as increased expectations of providers are created. This article examines the challenges, risks, and practical considerations in applying documentation tools that utilize ambient intelligence (AmI) for outpatient epilepsy clinic encounters, highlighting key examples from clinical practice and underscoring the importance of human oversight. Although AmI models may enhance clinical documentation efficiency as measured by time to close a note and reduced rates of burnout in providers, their role in clinical environments must be carefully regulated, with further studies needed to validate this claim, provide ongoing monitoring of performance, and establish safeguards for patient safety. Collaborative efforts among clinicians, clinical informatics professionals, AI developers, and regulatory bodies are pressingly needed to ensure the safe deployment of AmI into clinical care settings.Plain Language SummaryAmbient artificial intelligence technology takes advantage of sensors embedded in the environment to automate tasks without the need for human input. It has the potential to streamline numerous tasks within outpatient epilepsy clinics and reduce the workload of providers as well as improve patient care. This technology has already been brought to the market as a tool for clinical documentation. The current challenges and limitations associated with its implementation require careful human oversight, which we show with examples. Further research, regulations, and ongoing monitoring are necessary to ensure ambient artificial intelligence benefits both patients and healthcare providers while minimizing risks.</t>
  </si>
  <si>
    <t>Kakwan, Haania; Rousseau, Justin F.; Moura, Lidia M.; Sheikh, Irfan S.</t>
  </si>
  <si>
    <t>Sheikh, IS (corresponding author), Univ Texas Southwestern Med Ctr, Dept Neurol, Div Epilepsy, Suite E01 202C,5323 Harry Hines Blvd, Dallas, TX 75390 USA.</t>
  </si>
  <si>
    <t>irfan.sheikh@utsouthwestern.edu</t>
  </si>
  <si>
    <t>[Kakwan, Haania] Univ Texas Southwestern Med Ctr, Dept Neurol, Dallas, TX USA; [Rousseau, Justin F.] Univ Texas Southwestern Med Ctr, Dept Neurol, Div Biostat &amp; Clin Informat, Dallas, TX USA; [Rousseau, Justin F.; Sheikh, Irfan S.] Univ Texas Southwestern Med Ctr, Peter Odonnell Jr Brain Inst, Dallas, TX USA; [Moura, Lidia M.] Harvard Med Sch, Massachusetts Gen Hosp, Neurol Dept, Populat Hlth, Boston, MA USA; [Sheikh, Irfan S.] Univ Texas Southwestern Med Ctr, Dept Neurol, Div Epilepsy, Suite E01 202C,5323 Harry Hines Blvd, Dallas, TX 75390 USA</t>
  </si>
  <si>
    <t>University of Texas System; University of Texas Southwestern Medical Center; University of Texas System; University of Texas Southwestern Medical Center; University of Texas System; University of Texas Southwestern Medical Center; Harvard University; Harvard Medical School; Harvard University Medical Affiliates; Massachusetts General Hospital; University of Texas System; University of Texas Southwestern Medical Center</t>
  </si>
  <si>
    <t>Ambient technology in epilepsy clinical practice</t>
  </si>
  <si>
    <t>EPILEPSIA OPEN</t>
  </si>
  <si>
    <t>AI scribes; ambient intelligence; ambient scribes; artificial intelligence; burnout; clinical documentation; electronic health record; large language models</t>
  </si>
  <si>
    <t>DISPARITIES</t>
  </si>
  <si>
    <t>Rousseau, Justin/ABG-4164-2021</t>
  </si>
  <si>
    <t>Moura, Lidia/0000-0002-1191-1315; Kakwan, Haania/0000-0002-3880-6507; Rousseau, Justin/0000-0002-2817-9124</t>
  </si>
  <si>
    <t>2470-9239</t>
  </si>
  <si>
    <t>Epilepsia Open</t>
  </si>
  <si>
    <t>10.1002/epi4.70066</t>
  </si>
  <si>
    <t>http://dx.doi.org/10.1002/epi4.70066</t>
  </si>
  <si>
    <t>MAY 2025</t>
  </si>
  <si>
    <t>Clinical Neurology; Neurosciences</t>
  </si>
  <si>
    <t>Neurosciences &amp; Neurology</t>
  </si>
  <si>
    <t>2VV7Q</t>
  </si>
  <si>
    <t>40402540</t>
  </si>
  <si>
    <t>WOS:001492540400001</t>
  </si>
  <si>
    <t>Quinn, M; Milner, JD; Schmitt, P; Morrissey, P; Lemme, N; Marcaccio, S; DeFroda, S; Tabaddor, R; Owens, BD</t>
  </si>
  <si>
    <t>Purpose: To assess the ability of ChatGPT-4 and Gemini to generate accurate and relevant responses to the 2022 American Academy of Orthopaedic Surgeons (AAOS) Clinical Practice Guidelines (CPG) for anterior cruciate ligament reconstruction (ACLR). Methods: Responses from ChatGPT-4 and Gemini to prompts derived from all 15 AAOS guidelines were evaluated by 7 fellowship-trained orthopaedic sports medicine surgeons using a structured questionnaire assessing 5 key characteristics on a scale from 1 to 5. The prompts were categorized into 3 areas: diagnosis and preoperative management, surgical timing and technique, and rehabilitation and prevention. Statistical analysis included mean scoring, standard deviation, and 2-sided t tests to compare the performance between the 2 large language models (LLMs). Scores were then evaluated for inter-rater reliability (IRR). Results: Overall, both LLMs performed well with mean scores &gt;4 for the 5 key characteristics. Gemini demonstrated superior performance in overall clarity (4.848 +/- 0.36 vs 4.743 +/- 0.481, P = .034), but all other characteristics demonstrated nonsignificant differences (P &gt; .05). Gemini also demonstrated superior clarity in the surgical timing and technique (P = .038) as well as the prevention and rehabilitation (P = .044) subcategories. Additionally, Gemini had superior performance completeness scores in the rehabilitation and prevention subcategory (P = .044), but no statistically significant differences were found amongst the other subcategories. The overall IRR was found to be 0.71 (moderate). Conclusions: Both Gemini and ChatGPT-4 demonstrate an overall good ability to generate accurate and relevant responses to question prompts based on the 2022 AAOS CPG for ACLR. However, Gemini demonstrated superior clarity in multiple domains in addition to superior completeness for questions pertaining to rehabilitation and prevention. Clinical Relevance: The current study addresses a current gap in the LLM and ACLR literature by comparing the performance of ChatGPT-4 to Gemini, which is growing in popularity with more than 300 million individual uses in May 2024 alone. Moreover, the results demonstrated superior performance of Gemini in both clarity and completeness, which are critical elements of a tool being used by patients for educational purposes. Additionally, the current study uses question prompts based on the AAOS CPG, which may be used as a method of standardization for future investigations on performance of LLM platforms. Thus, the results of this study may be of interest to both the readership of Arthroscopy and patients.</t>
  </si>
  <si>
    <t>Quinn, Matthew; Milner, John D.; Schmitt, Phillip; Morrissey, Patrick; Lemme, Nicholas; Marcaccio, Stephen; DeFroda, Steven; Tabaddor, Ramin; Owens, Brett D.</t>
  </si>
  <si>
    <t>Quinn, M (corresponding author), Brown Univ, Warren Alpert Med Sch, Dept Orthopaed, 2 Dudley St, Providence, RI 02906 USA.</t>
  </si>
  <si>
    <t>msquinn1218@gmail.com</t>
  </si>
  <si>
    <t>[Quinn, Matthew; Milner, John D.; Morrissey, Patrick; Lemme, Nicholas; Tabaddor, Ramin; Owens, Brett D.] Brown Univ, Warren Alpert Med Sch, Dept Orthopaed, 2 Dudley St, Providence, RI 02906 USA; [Schmitt, Phillip] Brown Univ, Warren Alpert Med Sch, Providence, RI 02906 USA; [Marcaccio, Stephen] Univ Pittsburgh, Med Ctr, Dept Orthopaed Surg, Pittsburgh, PA USA; [DeFroda, Steven] Univ Missouri, Missouri Orthopaed Inst, Dept Orthopaed Surg, Columbia, MO USA</t>
  </si>
  <si>
    <t>Brown University; Brown University; Pennsylvania Commonwealth System of Higher Education (PCSHE); University of Pittsburgh; University of Missouri System; University of Missouri Columbia</t>
  </si>
  <si>
    <t>Artificial Intelligence Large Language Models Address Anterior Cruciate Ligament Reconstruction: Superior Clarity and Completeness by Gemini Compared With ChatGPT-4 in Response to American Academy of Orthopaedic Surgeons Clinical Practice Guidelines</t>
  </si>
  <si>
    <t>ARTHROSCOPY-THE JOURNAL OF ARTHROSCOPIC AND RELATED SURGERY</t>
  </si>
  <si>
    <t>Lemme, Nicholas/AIB-9945-2022; Schmitt, Phillip/OHR-8153-2025; Marcaccio, Stephen/NNG-2544-2025</t>
  </si>
  <si>
    <t>Milner, John/0000-0002-4888-6061; Lemme, Nicholas/0000-0002-3136-7177; Schmitt, Phillip/0000-0002-4783-5617</t>
  </si>
  <si>
    <t>0749-8063</t>
  </si>
  <si>
    <t>1526-3231</t>
  </si>
  <si>
    <t>ARTHROSCOPY</t>
  </si>
  <si>
    <t>Arthroscopy</t>
  </si>
  <si>
    <t>2002</t>
  </si>
  <si>
    <t>2008</t>
  </si>
  <si>
    <t>10.1016/j.arthro.2024.09.020</t>
  </si>
  <si>
    <t>http://dx.doi.org/10.1016/j.arthro.2024.09.020</t>
  </si>
  <si>
    <t>Orthopedics; Sport Sciences; Surgery</t>
  </si>
  <si>
    <t>3OJ4Q</t>
  </si>
  <si>
    <t>39313138</t>
  </si>
  <si>
    <t>WOS:001505151400026</t>
  </si>
  <si>
    <t>Nwachukwu, BU; Varady, NH; Allen, AA; Dines, JS; Altchek, DW; Williams, RJ III; Kunze, KN</t>
  </si>
  <si>
    <t>Purpose: To determine whether several leading, commercially available large language models (LLMs) provide treatment recommendations concordant with evidence-based clinical practice guidelines (CPGs) developed by the American Academy of Orthopaedic Surgeons (AAOS). Methods: All CPGs concerning the management of rotator cuff tears (n = 33) and anterior cruciate ligament injuries (n = 15) were extracted from the AAOS. Treatment recommendations from ChatGenerative Pretrained Transformer version 4 (ChatGPT-4), Gemini, Mistral-7B, and Claude-3 were graded by 2 blinded physicians as being concordant, discordant, or indeterminate (i.e., neutral response without definitive recommendation) with respect to AAOS CPGs. The overall concordance between LLM and AAOS recommendations was quantified, and the comparative overall concordance of recommendations among the 4 LLMs was evaluated through the Fisher exact test. Results: Overall, 135 responses (70.3%) were concordant, 43 (22.4%) were indeterminate, and 14 (7.3%) were discordant. Inter-rater reliability for concordance classification was excellent (K = 0.92). Concordance with AAOS CPGs was most frequently observed with ChatGPT-4 (n = 38, 79.2%) and least frequently observed with Mistral-7B (n = 28, 58.3%). Indeterminate recommendations were most frequently observed with Mistral-7B (n = 17, 35.4%) and least frequently observed with Claude-3 (n = 8, 6.7%). Discordant recommendations were most frequently observed with Gemini (n = 6, 12.5%) and least frequently observed with ChatGPT-4 (n = 1, 2.1%). Overall, no statistically significant difference in concordant recommendations was observed across LLMs (P = .12). Of all recommendations, only 20 (10.4%) were transparent and provided references with full bibliographic details or links to specific peer-reviewed content to support recommendations. Conclusions: Among leading commercially available LLMs, more than 1-in-4 recommendations concerning the evaluation and management of rotator cuff and anterior cruciate ligament injuries do not reflect current evidence-based CPGs. Although ChatGPT-4 showed the highest performance, clinically significant rates of recommendations without concordance or supporting evidence were observed. Only 10% of responses by LLMs were transparent, precluding users from fully interpreting the sources from which recommendations were provided. Clinical Relevance: Although leading LLMs generally provide recommendations concordant with CPGs, a substantial error rate exists, and the proportion of recommendations that do not align with these CPGs suggests that LLMs are not trustworthy clinical support tools at this time. Each off-the-shelf, closed-source LLM has strengths and weaknesses. Future research should evaluate and compare multiple LLMs to avoid bias associated with narrow evaluation of few models as observed in the current literature.</t>
  </si>
  <si>
    <t>Nwachukwu, Benedict U.; Varady, Nathan H.; Allen, Answorth A.; Dines, Joshua S.; Altchek, David W.; Williams III, Riley J.; Kunze, Kyle N.</t>
  </si>
  <si>
    <t>Kunze, KN (corresponding author), Hosp Special Surg, Dept Orthopaed Surg, 535 70th St, New York, NY 10021 USA.</t>
  </si>
  <si>
    <t>Kylekunze7@gmail.com</t>
  </si>
  <si>
    <t>[Nwachukwu, Benedict U.; Varady, Nathan H.; Allen, Answorth A.; Dines, Joshua S.; Altchek, David W.; Williams III, Riley J.; Kunze, Kyle N.] Hosp Special Surg, Dept Orthopaed Surg, 535 70th St, New York, NY 10021 USA</t>
  </si>
  <si>
    <t>Currently Available Large Language Models Do Not Provide Musculoskeletal Treatment Recommendations That Are Concordant With Evidence-Based Clinical Practice Guidelines</t>
  </si>
  <si>
    <t>INFORMATION; QUESTIONS; CHATGPT; GOOGLE</t>
  </si>
  <si>
    <t>Varady, Nathan/AAH-9963-2020</t>
  </si>
  <si>
    <t>Nwachukwu, Benedict/0000-0002-6170-7769; Kunze, Kyle/0000-0002-0363-3482</t>
  </si>
  <si>
    <t>FEB 2025</t>
  </si>
  <si>
    <t>10.1016/j.arthro.2024.07.040</t>
  </si>
  <si>
    <t>http://dx.doi.org/10.1016/j.arthro.2024.07.040</t>
  </si>
  <si>
    <t>T8L7X</t>
  </si>
  <si>
    <t>39173690</t>
  </si>
  <si>
    <t>WOS:001407460300001</t>
  </si>
  <si>
    <t>Bronze</t>
  </si>
  <si>
    <t>Ochoa, JGD; Layer, N; Mahr, J; Mustafa, FE; Menzel, CU; Müller, M; Schilling, T; Illerhaus, G; Knott, M; Krohn, A</t>
  </si>
  <si>
    <t>Background Large Language Models (LLMs) have raised broad expectations for clinical use, particularly in the processing of complex medical narratives. However, in practice, more targeted Natural Language Processing (NLP) approaches may offer higher precision and feasibility for symptom extraction from real-world clinical texts. NLP provides promising tools for extracting clinical information from unstructured medical narratives. However, few studies have focused on integrating symptom information from free texts in German, particularly for complex patient groups such as emergency department (ED) patients. The ED setting presents specific challenges: high documentation pressure, heterogeneous language styles, and the need for secure, locally deployable models due to strict data protection regulations. Furthermore, German remains a low-resource language in clinical NLP.Methods We implemented and compared two models for zero-shot learning-GLiNER and Mistral-and a fine-tuned BERT-based SCAI-BIO/BioGottBERT model for named entity recognition (NER) of symptoms, anatomical terms, and negations in German ED anamnesis texts in an on-premises environment in a hospital. Manual annotations of 150 narratives were used for model validation. The postprocessing steps included confidence-based filtering, negation exclusion, symptom standardization, and integration with structured oncology registry data. All computations were performed on local hospital servers in an on-premises implementation to ensure full data protection compliance.Results The fine-tuned SCAI-BIO/BioGottBERT model outperformed both zero-shot approaches, achieving an F1 score of 0.84 for symptom extraction and demonstrating superior performance in negation detection. The validated pipeline enabled systematic extraction of affirmed symptoms from ED-free text, transforming them into structured data. This method allows large-scale analysis of symptom profiles across patient populations and serves as a technical foundation for symptom-based clustering and subgroup analysis.Conclusions Our study demonstrates that modern NLP methods can reliably extract clinical symptoms from German ED free text, even under strict data protection constraints and with limited training resources. Fine-tuned models offer a precise and practical solution for integrating unstructured narratives into clinical decision-making. This work lays the methodological foundation for a new way of systematically analyzing large patient cohorts on the basis of free-text data. Beyond symptoms, this approach can be extended to extracting diagnoses, procedures, or other clinically relevant entities. Building upon this framework, we apply network-based clustering methods (in a subsequent study) to identify clinically meaningful patient subgroups and explore sex- and age-specific patterns in symptom expression.</t>
  </si>
  <si>
    <t>Ochoa, Juan G. Diaz; Layer, Natalie; Mahr, Jonas; Mustafa, Faizan E.; Menzel, Christian U.; Muller, Martina; Schilling, Tobias; Illerhaus, Gerald; Knott, Markus; Krohn, Alexander</t>
  </si>
  <si>
    <t>Ochoa, JGD (corresponding author), QuiBiQ GmbH, Stuttgart, Germany.; Ochoa, JGD (corresponding author), PerMediQ GmbH, Stuttgart, Germany.; Krohn, A (corresponding author), Klinikum Stuttgart, Dept Emergency &amp; Intens Care Med DIANI, Stuttgart, Germany.; Krohn, A (corresponding author), Univ Hosp Regensburg, Dept Internal Med 1, Regensburg, Germany.</t>
  </si>
  <si>
    <t>alexander.krohn@hm.edu; Juan.diaz@permediq.de</t>
  </si>
  <si>
    <t>Ministry for Economics, Labor and Tourism from Baden-Wurttemberg, Germany [BW1_1456]; Eva Mayr-Stihl Foundation; German Federal Ministry of Education and Research (BMBF) as part of the Network University Medicine 2.0 [01KX2121]; German Federal Ministry of Education and Research (BMBF) [01VSF23017, DRKS00033214]</t>
  </si>
  <si>
    <t>Ministry for Economics, Labor and Tourism from Baden-Wurttemberg, Germany; Eva Mayr-Stihl Foundation; German Federal Ministry of Education and Research (BMBF) as part of the Network University Medicine 2.0 (Federal Ministry of Education &amp; Research (BMBF)); German Federal Ministry of Education and Research (BMBF) (Federal Ministry of Education &amp; Research (BMBF))</t>
  </si>
  <si>
    <t>The author(s) declare that financial support was received for the research and/or publication of this article. This project was supported by the Ministry for Economics, Labor and Tourism from Baden-Wurttemberg, Germany via grant agreement number BW1_1456 (AI4MedCode). This project was also supported by broad funding from the Eva Mayr-Stihl Foundation. Furthermore, this project was supported by the German Federal Ministry of Education and Research (BMBF) as part of the Network University Medicine 2.0 (NUM 2.0, funding code 01KX2121), project AKTIN@NUM - Operation of the AKTIN infrastructure and the German Emergency Department Data Registry. The funding bodies played no role in the design of the study; the collection, analysis, and interpretation of the data; or the writing of the manuscript. This publication was partly funded by the German Federal Ministry of Education and Research (BMBF) within the framework of the KlimaNot study (No. 01VSF23017), registered in the German Clinical Trials Registry (DRKS00033214).</t>
  </si>
  <si>
    <t>[Ochoa, Juan G. Diaz; Mahr, Jonas; Mustafa, Faizan E.] QuiBiQ GmbH, Stuttgart, Germany; [Ochoa, Juan G. Diaz] PerMediQ GmbH, Stuttgart, Germany; [Layer, Natalie; Illerhaus, Gerald; Knott, Markus] Klinikum Stuttgart, Stuttgart Canc Ctr, Tumorzentrum Eva Mayr Stihl DE, Stuttgart, Germany; [Menzel, Christian U.; Schilling, Tobias; Krohn, Alexander] Klinikum Stuttgart, Dept Emergency &amp; Intens Care Med DIANI, Stuttgart, Germany; [Muller, Martina; Krohn, Alexander] Univ Hosp Regensburg, Dept Internal Med 1, Regensburg, Germany</t>
  </si>
  <si>
    <t>University of Regensburg</t>
  </si>
  <si>
    <t>Optimized BERT-based NLP outperforms zero-shot methods for automated symptom detection in clinical practice</t>
  </si>
  <si>
    <t>FRONTIERS IN DIGITAL HEALTH</t>
  </si>
  <si>
    <t>natural language processing (NLP); named entity recognition (NER); symptom extraction; large language models (LLM); fine-tuning; clinical NLP</t>
  </si>
  <si>
    <t>Krohn, Alexander/OOK-4965-2025; Knott, Markus/NRY-8298-2025</t>
  </si>
  <si>
    <t>Krohn, Alexander/0000-0002-2700-6360</t>
  </si>
  <si>
    <t>28</t>
  </si>
  <si>
    <t>2673-253X</t>
  </si>
  <si>
    <t>FRONT DIGIT HEALTH</t>
  </si>
  <si>
    <t>Front. Digit. Health</t>
  </si>
  <si>
    <t>NOV 26 2025</t>
  </si>
  <si>
    <t>1623922</t>
  </si>
  <si>
    <t>10.3389/fdgth.2025.1623922</t>
  </si>
  <si>
    <t>http://dx.doi.org/10.3389/fdgth.2025.1623922</t>
  </si>
  <si>
    <t>Q1050</t>
  </si>
  <si>
    <t>41383383</t>
  </si>
  <si>
    <t>WOS:001634254900001</t>
  </si>
  <si>
    <t>Kondo, T; Nishigori, H</t>
  </si>
  <si>
    <t>Background: Improving the quality of education in clinical settings requires an understanding of learners' experiences and learning processes. However, this is a significant burden on learners and educators. If learners' learning records could be automatically analyzed and their experiences could be visualized, this would enable real-time tracking of their progress. Large language models (LLMs) may be useful for this purpose, although their accuracy has not been sufficiently studied. Objective: This study aimed to explore the accuracy of predicting the actual clinical experiences of medical students from their learning log data during clinical clerkship using LLMs. Methods: This study was conducted at the Nagoya University School of Medicine. Learning log data from medical students participating in a clinical clerkship from April 22, 2024, to May 24, 2024, were used. The Model Core Curriculum for Medical Education was used as a template to extract experiences. OpenAI's ChatGPT was selected for this task after a comparison with other LLMs. Prompts were created using the learning log data and provided to ChatGPT to extract experiences, which were then listed. A web application using GPT-4-turbo was developed to automate this process. The accuracy of the extracted experiences was evaluated by comparing them with the corrected lists provided by the students. Results: A total of 20 sixth-year medical students participated in this study, resulting in 40 datasets. The overall Jaccard index was 0.59 (95% CI 0.46-0.71), and the Cohen kappa was 0.65 (95% CI 0.53-0.76). Overall sensitivity was 62.39% (95% CI 49.96%-74.81%), and specificity was 99.34% (95% CI 98.77%-99.92%). Category-specific performance varied: symptoms showed a sensitivity of 45.43% (95% CI 25.12%-65.75%) and specificity of 98.75% (95% CI 97.31%-100%), examinations showed a sensitivity of 46.76% (95% CI 25.67%-67.86%) and specificity of 98.84% (95% CI 97.81%-99.87%), and procedures achieved a sensitivity of 56.36% (95% CI 37.64%-75.08%) and specificity of 98.92% (95% CI 96.67%-100%). The results suggest that GPT-4-turbo accurately identified many of the actual experiences but missed some because of insufficient detail or a lack of student records. Conclusions: This study demonstrated that LLMs such as GPT-4-turbo can predict clinical experiences from learning logs with high specificity but moderate sensitivity. Future improvements in AI models, providing feedback to medical students' learning logs and combining them with other data sources such as electronic medical records, may enhance the accuracy. Using artificial intelligence to analyze learning logs for assessment could reduce the burden on learners and educators while improving the quality of educational assessments in medical education.</t>
  </si>
  <si>
    <t>Kondo, Takeshi; Nishigori, Hiroshi</t>
  </si>
  <si>
    <t>Kondo, T (corresponding author), Nagoya Univ, Ctr Med Educ, Grad Sch Med, 65 Tsurumai Cho,Showa Ku, Nagoya, Aichi 4668560, Japan.</t>
  </si>
  <si>
    <t>ncukondo@gmail.com</t>
  </si>
  <si>
    <t>Japan Society for the Promotion of Sciences [23K27816, 25K06542]</t>
  </si>
  <si>
    <t>Japan Society for the Promotion of Sciences (Ministry of Education, Culture, Sports, Science and Technology, Japan (MEXT), Japan Society for the Promotion of Science)</t>
  </si>
  <si>
    <t>Acknowledgments ChatGPT (OpenAI) was used in part to create an initial English translation of the Japanese version of this manuscript. This work was supported by Japan Society for the Promotion of Sciences Grants-in-Aid for Scientific Research 23K27816 and 25K06542.</t>
  </si>
  <si>
    <t>[Kondo, Takeshi; Nishigori, Hiroshi] Nagoya Univ, Ctr Med Educ, Grad Sch Med, 65 Tsurumai Cho,Showa Ku, Nagoya, Aichi 4668560, Japan; [Kondo, Takeshi] Maastricht Univ, Sch Hlth Profess Educ, Maastricht, Netherlands</t>
  </si>
  <si>
    <t>Nagoya University; Maastricht University; Maastricht University Medical Centre (MUMC)</t>
  </si>
  <si>
    <t>AI's Accuracy in Extracting Learning Experiences From Clinical Practice Logs: Observational Study</t>
  </si>
  <si>
    <t>JMIR MEDICAL EDUCATION</t>
  </si>
  <si>
    <t>large language models; ChatGPT; workplace-based assessment; artificial intelligence; AI</t>
  </si>
  <si>
    <t>Kondo, Takeshi/0000-0002-3307-671X</t>
  </si>
  <si>
    <t>2369-3762</t>
  </si>
  <si>
    <t>JMIR MED EDUC</t>
  </si>
  <si>
    <t>JMIR Med. Educ.</t>
  </si>
  <si>
    <t>e68697</t>
  </si>
  <si>
    <t>10.2196/68697</t>
  </si>
  <si>
    <t>http://dx.doi.org/10.2196/68697</t>
  </si>
  <si>
    <t>Education, Scientific Disciplines</t>
  </si>
  <si>
    <t>Education &amp; Educational Research</t>
  </si>
  <si>
    <t>8YS7F</t>
  </si>
  <si>
    <t>41092407</t>
  </si>
  <si>
    <t>WOS:001600515500001</t>
  </si>
  <si>
    <t>gold; Green Published; Green Submitted</t>
  </si>
  <si>
    <t>Wang, H; Masselos, K; Tong, J; Connor, HRM; Scully, J; Zhang, S; Rafla, D; Posarelli, M; Tan, JCK; Agar, A; Kalloniatis, M; Phu, J</t>
  </si>
  <si>
    <t>Purpose: Large language models such as ChatGPT-3.5 are often used by the public to answer questions related to daily life, including health advice. This study evaluated the responses of ChatGPT-3.5 in answering patient-centered frequently asked questions (FAQs) relevant in glaucoma clinical practice. Design: Prospective cross-sectional survey. Participants: Expert graders. Methods: Twelve experts across a range of clinical, education, and research practices in optometry and ophthalmology. Over 200 patient-centric FAQs from authoritative professional society, hospital and advocacy websites were distilled and filtered into 40 questions across 4 themes: definition and risk factors, diagnosis and testing, lifestyle and other accompanying conditions, and treatment and follow-up. The questions were individually input into ChatGPT-3.5 to generate responses. The responses were graded by the 12 experts individually. Main Outcome Measures: A 5-point Likert scale (1 = strongly disagree; 5 = strongly agree) was used to grade ChatGPT-3.5 responses across 4 domains: coherency, factuality, comprehensiveness, and safety. Results: Across all themes and domains, median scores were all 4 ("agree"). Comprehensiveness had the lowest scores across domains (mean 3.7 +/- 0.9), followed by factuality (mean 3.9 +/- 0.9) and coherency and safety (mean 4.1 +/- 0.8 for both). Examination of the individual 40 questions showed that 8 (20%), 17 (42.5%), 24 (60%), and 8 (20%) of the questions had average scores below 4 (i.e., below "agree") for the coherency, factuality, comprehensiveness, and safety domains, respectively. Free-text comments by the experts highlighted omissions of facts and comprehensiveness (e.g., secondary glaucoma) and remarked on the vagueness of some responses (i.e., that the response did not account for individual patient circumstances). Conclusions: ChatGPT-3.5 responses to FAQs in glaucoma were generally agreeable in terms of coherency, factuality, comprehensiveness, and safety. However, areas of weakness were identified, precluding recommendations for routine use to provide patients with tailored counseling in glaucoma, especially with respect to development of glaucoma and its management. Financial Disclosure(s): Proprietary or commercial disclosure may be found in the Footnotes and Disclosures at the end of this article. Ophthalmology Glaucoma 2025;8:157-166 (c) 2024 by the American Academy of Ophthalmology</t>
  </si>
  <si>
    <t>Wang, Henrietta; Masselos, Katherine; Tong, Janelle; Connor, Heather R. M.; Scully, Janelle; Zhang, Sophia; Rafla, Daniel; Posarelli, Matteo; Tan, Jeremy C. K.; Agar, Ashish; Kalloniatis, Michael; Phu, Jack</t>
  </si>
  <si>
    <t>Phu, J (corresponding author), Univ New South Wales, Sch Optometry &amp; Vis Sci, Gate 14 Barker St Rupert Myers Bldg South Wing, Sydney, NSW 2052, Australia.</t>
  </si>
  <si>
    <t>jack.phu@unsw.edu.au</t>
  </si>
  <si>
    <t>NHMRC Ideas Grant [1186915]; National Health and Medical Research Council (NHMRC) [1186915] Funding Source: National Health and Medical Research Council (NHMRC)</t>
  </si>
  <si>
    <t>NHMRC Ideas Grant (National Health &amp; Medical Research Council (NHMRC) of Australia); National Health and Medical Research Council (NHMRC) (National Health &amp; Medical Research Council (NHMRC) of Australia)</t>
  </si>
  <si>
    <t>The work was supported, in part, by an NHMRC Ideas Grant to M.K., and J.P. (1186915). The funding organization had no role in the design or conduct of this research.</t>
  </si>
  <si>
    <t>[Wang, Henrietta; Tong, Janelle; Zhang, Sophia; Rafla, Daniel; Kalloniatis, Michael; Phu, Jack] Univ New South Wales, Sch Optometry &amp; Vis Sci, Kensington, NSW, Australia; [Wang, Henrietta; Masselos, Katherine; Tong, Janelle; Zhang, Sophia; Agar, Ashish; Phu, Jack] Univ New South Wales, Ctr Eye Hlth, Kensington, NSW, Australia; [Masselos, Katherine; Tan, Jeremy C. K.; Agar, Ashish] Prince Wales Hosp, Dept Ophthalmol, Randwick, NSW, Australia; [Connor, Heather R. M.; Kalloniatis, Michael] Deakin Univ, Sch Med Optometry, Waurn Ponds, Vic, Australia; [Connor, Heather R. M.] Royal Victorian Eye &amp; Ear Hosp, East Melbourne, Vic, Australia; [Scully, Janelle] Australian Coll Optometry, Carlton, Vic, Australia; [Posarelli, Matteo] Liverpool Univ Hosp, Dept Ophthalmol, Liverpool, England; [Tan, Jeremy C. K.; Agar, Ashish] Univ New South Wales, Fac Med &amp; Hlth, Kensington, NSW, Australia; [Kalloniatis, Michael] Univ Houston, Coll Optometry, Houston, TX USA; [Phu, Jack] Univ Sydney, Fac Med &amp; Hlth, Sydney, NSW, Australia; [Phu, Jack] Concord Repatriat Gen Hosp, Concord Clin Sch, Concord, NSW, Australia</t>
  </si>
  <si>
    <t>University of New South Wales Sydney; University of New South Wales Sydney; University of New South Wales Sydney; Prince of Wales Hospital (POWH); Deakin University; Royal Victorian Eye &amp; Ear Hospital; Australian College of Optometry; University of New South Wales Sydney; University of Houston System; University of Houston; University of Sydney; Concord Repatriation General Hospital</t>
  </si>
  <si>
    <t>ChatGPT for Addressing Patient-centered Frequently Asked Questions in Glaucoma Clinical Practice</t>
  </si>
  <si>
    <t>OPHTHALMOLOGY GLAUCOMA</t>
  </si>
  <si>
    <t>Artificial intelligence; Chatbot; Collaborative care; Conversation agents; Large language models</t>
  </si>
  <si>
    <t>Phu, Jack/AAO-6855-2020; Posarelli, Matteo/AAW-7864-2021; Agar, Ashish/ABG-1344-2022; Connor, Heather Rosalind Mary/AET-0615-2022; Kalloniatis, Michael/LXA-3386-2024</t>
  </si>
  <si>
    <t>Tong, Janelle/0000-0002-4268-5138; Masselos, Katherine/0009-0009-5647-5594; Rafla, Daniel/0000-0003-2393-7771; Agar, Ashish/0000-0001-9346-1938; TAN, JEREMY/0000-0003-4117-7446; Connor, Heather Rosalind Mary/0000-0002-5390-5239; Kalloniatis, Michael/0000-0002-5264-4639</t>
  </si>
  <si>
    <t>2589-4234</t>
  </si>
  <si>
    <t>2589-4196</t>
  </si>
  <si>
    <t>OPHTHALMOL GLAUCOMA</t>
  </si>
  <si>
    <t>Ophthalmol. Glaucoma</t>
  </si>
  <si>
    <t>MAR-APR 2025</t>
  </si>
  <si>
    <t>157</t>
  </si>
  <si>
    <t>166</t>
  </si>
  <si>
    <t>10.1016/j.ogla.2024.10.005</t>
  </si>
  <si>
    <t>http://dx.doi.org/10.1016/j.ogla.2024.10.005</t>
  </si>
  <si>
    <t>Ophthalmology</t>
  </si>
  <si>
    <t>1NM0O</t>
  </si>
  <si>
    <t>39424063</t>
  </si>
  <si>
    <t>WOS:001469201600001</t>
  </si>
  <si>
    <t>Verlingue, L; Boyer, C; Olgiati, L; Mairesse, CB; Morel, D; Blay, JY</t>
  </si>
  <si>
    <t>In this Personal View, we address the latest advancements in automatic text analysis with artificial intelligence (AI) in medicine, with a focus on its implications in aiding treatment decisions in medical oncology. Acknowledging that a majority of hospital medical content is embedded in narrative format, natural language processing has become one of the most dynamic research fields for developing clinical decision support tools. In addition, large language models have recently reached unprecedented performance, notably when answering medical questions. Emerging applications include prognosis estimation, treatment recommendations, multidisciplinary tumor board recommendations and matching patients to recruiting clinical trials. Altogether, we advocate for a forward-looking approach in which the community efficiently initiates global prospective clinical evaluations of promising AI-based decision support systems. Such assessments will be essential to validate and evaluate potential biases, ensuring these innovations can be effectively and safely translated into practical tools for oncological practice. We are at a pivotal moment, where continued advancements in patient care must be pursued with scientific rigor. Copyright (c) 2024 The Author(s). Published by Elsevier Ltd.</t>
  </si>
  <si>
    <t>Verlingue, Loic; Boyer, Clara; Olgiati, Louise; Mairesse, Clement Brutti; Morel, Daphne; Blay, Jean-Yves</t>
  </si>
  <si>
    <t>Verlingue, L (corresponding author), Ctr Rech Cancerol Lyon, Ctr Leon Berard, F-69008 Lyon, France.</t>
  </si>
  <si>
    <t>loic.verlingue@lyon.unicancer.fr</t>
  </si>
  <si>
    <t>European Regional Development Fund FEDER, TRIAL MATCH 2 [SYNERGIE: 20023]</t>
  </si>
  <si>
    <t>European Regional Development Fund FEDER, TRIAL MATCH 2 (European Union (EU))</t>
  </si>
  <si>
    <t>Grant from the European Regional Development Fund FEDER, TRIAL MATCH 2, No SYNERGIE: 20023.</t>
  </si>
  <si>
    <t>[Verlingue, Loic; Boyer, Clara; Olgiati, Louise; Mairesse, Clement Brutti; Blay, Jean-Yves] Ctr Rech Cancerol Lyon, Ctr Leon Berard, F-69008 Lyon, France; [Verlingue, Loic; Morel, Daphne] INSERM U1030, Mol Radiotherapy, Villejuif, France; [Morel, Daphne] Gustave Roussy, Dept Radiat Oncol, Villejuif, France</t>
  </si>
  <si>
    <t>Institut National de la Sante et de la Recherche Medicale (Inserm); Universite Lyon 1; UNICANCER; Centre Leon Berard; Universite Paris Saclay; Institut National de la Sante et de la Recherche Medicale (Inserm); UNICANCER; Gustave Roussy</t>
  </si>
  <si>
    <t>Artificial intelligence in oncology: ensuring safe and effective integration of language models in clinical practice</t>
  </si>
  <si>
    <t>LANCET REGIONAL HEALTH-EUROPE</t>
  </si>
  <si>
    <t>Artificial intelligence; Natural language processing; Language models; Oncology; Healthcare; Clinical trials</t>
  </si>
  <si>
    <t>BIAS; AI</t>
  </si>
  <si>
    <t>Blay, Jean-Yves/N-3966-2016</t>
  </si>
  <si>
    <t>Olgiati, Louise/0009-0006-7883-3506; Verlingue, Loic/0000-0002-5694-4022; Blay, Jean-Yves/0000-0001-7190-120X; Morel, Daphne/0000-0002-9121-4973</t>
  </si>
  <si>
    <t>75</t>
  </si>
  <si>
    <t>2666-7762</t>
  </si>
  <si>
    <t>LANCET REG HEALTH-EU</t>
  </si>
  <si>
    <t>Lancet Reg. Health-Eur.</t>
  </si>
  <si>
    <t>NOV 2024</t>
  </si>
  <si>
    <t>101064</t>
  </si>
  <si>
    <t>10.1016/j.lanepe.2024.101064</t>
  </si>
  <si>
    <t>http://dx.doi.org/10.1016/j.lanepe.2024.101064</t>
  </si>
  <si>
    <t>Health Care Sciences &amp; Services; Public, Environmental &amp; Occupational Health</t>
  </si>
  <si>
    <t>F6I8S</t>
  </si>
  <si>
    <t>39290808</t>
  </si>
  <si>
    <t>WOS:001310845000001</t>
  </si>
  <si>
    <t>Yusuf, CHB; Ong, LY</t>
  </si>
  <si>
    <t>The adoption of Large Language Models (LLMs) in highly regulated, domain-specific sectors is constrained by high computational costs, cloud dependency, and strict data privacy regulations. Furthermore, specific-domain knowledge is usually locked in static, unstructured document formats, preventing automated reasoning. To address these challenges, this study proposes a generalizable end-to-end pipeline for developing domain-specialized Small Language Models (SLMs) optimized for resource-constrained environments starting from unstructured data. To validate the proposed pipeline, Malaysian Clinical Practice Guidelines (CPGs) in PDF format were used as a test case. The methodology systematically digitizes these unstructured data into a NoSQL database and employs an isomorphic teacher model to generate a strictly grounded synthetic instruction-tuning dataset. Through Quantized Low-Rank Adaptation (QLoRA) and 4-bit Post-Training Quantization (PTQ), a general-purpose model is transformed into a highly compressed, domain-specialized SLM, named SpecioSLM. Systematic workstation benchmarking across four candidate architectures identified the Microsoft Phi-3-Mini (3.8B) variant as the optimal model. The model achieved a throughput of 91.59 tokens per second (TPS), a Time to First Token (TTFT) of 0.17 s, and a semantic fidelity BERTScore of 90.27. A preliminary ARM64-based simulation is further conducted targeting a specific edge device to validate architectural and memory footprint viability.</t>
  </si>
  <si>
    <t>Yusuf, Campanale Haakim bin; Ong, Lee-Yeng</t>
  </si>
  <si>
    <t>Ong, LY (corresponding author), Multimedia Univ, Fac Informat Sci &amp; Technol, CoE Artificial Intelligence, Ctr Adv Analyt, Melaka 75450, Malaysia.</t>
  </si>
  <si>
    <t>1231301791@student.mmu.edu.my; lyong@mmu.edu.my</t>
  </si>
  <si>
    <t>This research received no external funding.</t>
  </si>
  <si>
    <t>[Yusuf, Campanale Haakim bin; Ong, Lee-Yeng] Multimedia Univ, Fac Informat Sci &amp; Technol, CoE Artificial Intelligence, Ctr Adv Analyt, Melaka 75450, Malaysia</t>
  </si>
  <si>
    <t>Multimedia University</t>
  </si>
  <si>
    <t>A Pipeline for Domain-Specialized Small Language Models from Unstructured Data: A Test Case Using Malaysian Clinical Practice Guidelines</t>
  </si>
  <si>
    <t>APPLIED SCIENCES-BASEL</t>
  </si>
  <si>
    <t>small language models; unstructured data extraction; knowledge distillation; QLoRA fine-tuning; privacy-preserving AI</t>
  </si>
  <si>
    <t>Ong, Lee-Yeng/ABA-1579-2021</t>
  </si>
  <si>
    <t>58</t>
  </si>
  <si>
    <t>2076-3417</t>
  </si>
  <si>
    <t>APPL SCI-BASEL</t>
  </si>
  <si>
    <t>Appl. Sci.-Basel</t>
  </si>
  <si>
    <t>JUL 2026</t>
  </si>
  <si>
    <t>6630</t>
  </si>
  <si>
    <t>10.3390/app16136630</t>
  </si>
  <si>
    <t>http://dx.doi.org/10.3390/app16136630</t>
  </si>
  <si>
    <t>Chemistry, Multidisciplinary; Engineering, Multidisciplinary; Materials Science, Multidisciplinary; Physics, Applied</t>
  </si>
  <si>
    <t>Chemistry; Engineering; Materials Science; Physics</t>
  </si>
  <si>
    <t>KX7MF</t>
  </si>
  <si>
    <t>WOS:001818102200001</t>
  </si>
  <si>
    <t>Algoraini, Y; Alsayyali, M; Alotaibi, O; Almeshawi, I; Alaifan, F; Alrashed, R</t>
  </si>
  <si>
    <t>Background Artificial intelligence (AI) is reshaping healthcare delivery and education, but little is known about its perceived value among pediatric emergency medicine (PEM) physicians in Saudi Arabia. This study aimed to assess the perceptions and experiences of PEM physicians in Saudi Arabia toward the use of AI, particularly ChatGPT, in clinical practice and medical education.Methods A cross-sectional, web-based survey was conducted among 100 PEM physicians across various regions of Saudi Arabia. The questionnaire explored demographics, AI experience, perceived benefits and limitations, and the evaluation of ChatGPT-generated clinical and educational content.Results Most participants (96%) believed that AI tools, such as ChatGPT, would play a significant role in the future of PEM. A high agreement was observed regarding AI's usefulness in medical education (91%) and clinical practice, particularly in differential diagnosis (77%) and documentation (78%). The ChatGPT-generated responses to a clinical scenario (croup) were rated highly for validity, reasoning, and educational value. However, 66% of them still preferred traditional textbooks for complex topics. The key concerns included accuracy (83%), patient safety (56%), and lack of regulatory guidance (52%).Conclusion Saudi PEM physicians show a strong interest in integrating AI tools, such as ChatGPT, into clinical and educational workflows. Although optimism is high, concerns about safety, ethics, and oversight highlight the need for regulatory frameworks and structured implementation strategies.</t>
  </si>
  <si>
    <t>Algoraini, Yara; Alsayyali, Mashhour; Alotaibi, Ola; Almeshawi, Ibtihal; Alaifan, Fahad; Alrashed, Rawan</t>
  </si>
  <si>
    <t>Algoraini, Y (corresponding author), King Fahad Med City, Pediat Emergency Dept, Riyadh, Saudi Arabia.</t>
  </si>
  <si>
    <t>y.algoraini@hotmail.com</t>
  </si>
  <si>
    <t>The author(s) declare that no financial support was received for the research and/or publication of this article.</t>
  </si>
  <si>
    <t>[Algoraini, Yara; Alotaibi, Ola; Almeshawi, Ibtihal; Alaifan, Fahad; Alrashed, Rawan] King Fahad Med City, Pediat Emergency Dept, Riyadh, Saudi Arabia; [Alsayyali, Mashhour] Armed Forced Hosp Alhada, Pediat Emergency Dept, Taif, Saudi Arabia</t>
  </si>
  <si>
    <t>King Fahad Medical City</t>
  </si>
  <si>
    <t>Perceptions of large language models in medical education and clinical practice among pediatric emergency physicians in Saudi Arabia: a multiregional cross-sectional study</t>
  </si>
  <si>
    <t>FRONTIERS IN PUBLIC HEALTH</t>
  </si>
  <si>
    <t>artificial intelligence; ChatGPT; pediatric emergency medicine; medical education; clinical decision support; physician perceptions; Saudi Arabia; digital health</t>
  </si>
  <si>
    <t>AlGoraini, Yara/KCJ-7264-2024</t>
  </si>
  <si>
    <t>2296-2565</t>
  </si>
  <si>
    <t>FRONT PUBLIC HEALTH</t>
  </si>
  <si>
    <t>Front. Public Health</t>
  </si>
  <si>
    <t>JUL 30 2025</t>
  </si>
  <si>
    <t>1634638</t>
  </si>
  <si>
    <t>10.3389/fpubh.2025.1634638</t>
  </si>
  <si>
    <t>http://dx.doi.org/10.3389/fpubh.2025.1634638</t>
  </si>
  <si>
    <t>Public, Environmental &amp; Occupational Health</t>
  </si>
  <si>
    <t>6AA3O</t>
  </si>
  <si>
    <t>40809779</t>
  </si>
  <si>
    <t>WOS:001548402500001</t>
  </si>
  <si>
    <t>Chong, A; Lim, CH; Kim, DY; Yun, M; Bom, HSH; Lee, SH</t>
  </si>
  <si>
    <t>Purpose Generative artificial intelligence (AI) is rapidly expanding within medical practice, yet its use among nuclear medicine professionals has not been systematically evaluated. This study provides the first society-wide assessment of generative AI adoption among members of the Korean Society of Nuclear Medicine (KSNM). Methods An anonymous online survey was distributed to approximately 670 KSNM members. The questionnaire assessed AI use in two domains (research/education and clinical practice), including platforms, frequency, purposes, and perceived usefulness and trust. Descriptive statistics and chi-square tests were used. Results A total of 122 members responded (estimated response rate, 18.2%); 105 (86.1% of respondents) reported using generative AI. Among users, 51.4% used AI daily and 51.4% used paid services; paid subscriptions were more frequent among daily than non-daily users (58.9% vs. 34.4%, p = 0.021). ChatGPT was the most commonly used platform (89.5%), followed by Gemini (55.2%) and Perplexity (26.7%). Perceived usefulness was higher in research/education (n = 96) than in clinical practice (n = 60): 85.4% vs. 41.7% rated AI as helpful/very helpful (p &lt; 0.001). In research/education, translation/ language editing showed high prevalence and high utility, whereas code generation had lower prevalence but high perceived utility. Conclusion Generative AI showed a high adoption rate among the survey respondents, with higher perceived usefulness in research/education than in clinical practice. Given the widespread real-world use of third-party generative AI tools, our findings underscore the need for institutional guidance and privacy-aware governance to ensure safe clinical adoption.</t>
  </si>
  <si>
    <t>Chong, Ari; Lim, Chae Hong; Kim, Dong-Yeon; Yun, Mijin; Bom, Hee-Seung Henry; Lee, Suk Hyun</t>
  </si>
  <si>
    <t>Lee, SH (corresponding author), Hallym Univ, Dept Radiol, Kangnam Sacred Heart Hosp, Coll Med,Div Nucl Med, Seoul, South Korea.</t>
  </si>
  <si>
    <t>dykim@gnu.ac.kr; shlee0021@hallym.or.kr; YUNMIJIN@yuhs.ac; henryhsbom@gmail.com; arichong.md@gmail.com; metro0711@naver.com</t>
  </si>
  <si>
    <t>Korean Society of Nuclear Medicine</t>
  </si>
  <si>
    <t>This study was supported by the Korean Society of Nuclear Medicine (KSNM), which provided funding for the mobile vouchers distributed to survey respondents.</t>
  </si>
  <si>
    <t>[Chong, Ari] Chosun Univ, Chosun Univ Hosp, Dept Nucl Med, Coll Med, Gwangju, South Korea; [Lim, Chae Hong] Soonchunhyang Univ, Soonchunhyang Univ Hosp, Dept Nucl Med, Coll Med, Seoul, South Korea; [Kim, Dong-Yeon] Gyeongsang Natl Univ, Coll Pharm, Jinju, South Korea; [Kim, Dong-Yeon] Gyeongsang Natl Univ, Res Inst Pharmaceut Sci, Jinju, South Korea; [Yun, Mijin] Yonsei Univ, Coll Med, Dept Nucl Med, Seoul, South Korea; [Bom, Hee-Seung Henry] Chonnam Natl Univ, Gwangju, South Korea; [Lee, Suk Hyun] Hallym Univ, Dept Radiol, Kangnam Sacred Heart Hosp, Coll Med,Div Nucl Med, Seoul, South Korea</t>
  </si>
  <si>
    <t>Chosun University; Soonchunhyang University; Soonchunhyang University Hospital; Gyeongsang National University; Gyeongsang National University; Yonsei University; Yonsei University Health System; Chonnam National University; Hallym University</t>
  </si>
  <si>
    <t>Use of Generative Artificial Intelligence in Nuclear Medicine Research, Education, and Clinical Practice: Results from a 2025 Society-Wide Survey</t>
  </si>
  <si>
    <t>NUCLEAR MEDICINE AND MOLECULAR IMAGING</t>
  </si>
  <si>
    <t>Nuclear medicine; Artificial Intelligence; Natural Language Processing; Surveys and Questionnaires; Computer Security</t>
  </si>
  <si>
    <t>LARGE LANGUAGE MODELS</t>
  </si>
  <si>
    <t>SPRINGER HEIDELBERG</t>
  </si>
  <si>
    <t>HEIDELBERG</t>
  </si>
  <si>
    <t>Europaplatz 3, HEIDELBERG, GERMANY</t>
  </si>
  <si>
    <t>1869-3474</t>
  </si>
  <si>
    <t>1869-3482</t>
  </si>
  <si>
    <t>NUCL MED MOLEC IMAG</t>
  </si>
  <si>
    <t>NUCL. MED. MOLEC. IMAG.</t>
  </si>
  <si>
    <t>10.1007/s13139-026-01029-0</t>
  </si>
  <si>
    <t>http://dx.doi.org/10.1007/s13139-026-01029-0</t>
  </si>
  <si>
    <t>IH5EC</t>
  </si>
  <si>
    <t>WOS:001771817500001</t>
  </si>
  <si>
    <t>Megafu, M; Guerrero, O; Yendluri, A; Parsons, BO; Galatz, LM; Li, XN; Iv, JDK; Parisien, RL</t>
  </si>
  <si>
    <t>Purpose: To evaluate the accuracy of suggestions given by ChatGPT and Gemini (previously known as "Bard"), 2 widely used publicly available large language models, to evaluate the management of rotator cuff injuries. Methods: The 2020 American Academy of Orthopaedic Surgeons (AAOS) Clinical Practice Guidelines (CPGs) were the basis for determining recommended and non-recommended treatments in this study. ChatGPT and Gemini were queried on 16 treatments based on these guidelines examining rotator cuff interventions. The responses were categorized as "concordant" or "discordant" with the AAOS CPGs. The Cohen K coefficient was calculated to assess inter-rater reliability. Results: ChatGPT and Gemini showed concordance with the AAOS CPGs for 13 of the 16 treatments queried (81%) and 12 of the 16 treatments queried (75%), respectively. ChatGPT provided discordant responses with the AAOS CPGs for 3 treatments (19%), whereas Gemini provided discordant responses for 4 treatments (25%). Assessment of inter-rater reliability showed a Cohen K coefficient of 0.98, signifying agreement between the raters in classifying the responses of ChatGPT and Gemini to the AAOS CPGs as being concordant or discordant. Conclusions: ChatGPT and Gemini do not consistently provide responses that align with the AAOS CPGs. Clinical Relevance: This study provides evidence that cautions patients not to rely solely on artificial intelligence for recommendations about rotator cuff injuries.</t>
  </si>
  <si>
    <t>Megafu, Michael; Guerrero, Omar; Yendluri, Avanish; Parsons, Bradford O.; Galatz, Leesa M.; Li, Xinning; Kelly Iv, John D.; Parisien, Robert L.</t>
  </si>
  <si>
    <t>Megafu, M (corresponding author), Univ Connecticut, Dept Orthoped Surg, 263 Farmington Ave, Farmington, CT 06030 USA.</t>
  </si>
  <si>
    <t>megafu@uchc.edu</t>
  </si>
  <si>
    <t>[Megafu, Michael] Univ Connecticut, Dept Orthoped Surg, 263 Farmington Ave, Farmington, CT 06030 USA; [Guerrero, Omar] AT Still Univ, Sch Osteopath Med Arizona, Mesa, AZ USA; [Yendluri, Avanish; Parisien, Robert L.] Ichan Sch Med Mt Sinai, New York, NY USA; [Parsons, Bradford O.; Galatz, Leesa M.] Mt Sinai, Dept Orthoped Surg, New York, NY USA; [Li, Xinning] Boston Univ, Sch Med, Dept Orthoped Surg, Boston, MA 02118 USA; [Kelly Iv, John D.] Univ Penn, Dept Orthoped Surg, Philadelphia, PA USA</t>
  </si>
  <si>
    <t>University of Connecticut; A.T. Still University of Health Sciences; Icahn School of Medicine at Mount Sinai; Icahn School of Medicine at Mount Sinai; Boston University; University of Pennsylvania; Pennsylvania Medicine</t>
  </si>
  <si>
    <t>ChatGPT and Gemini Are Not Consistently Concordant With the 2020 American Academy of Orthopaedic Surgeons Clinical Practice Guidelines When Evaluating Rotator Cuff Injury</t>
  </si>
  <si>
    <t>Yendluri, Avanish/0009-0005-3383-8138; Megafu, Michael/0000-0003-4215-2144; Li, Xinning/0000-0002-7577-847X</t>
  </si>
  <si>
    <t>2753</t>
  </si>
  <si>
    <t>2757</t>
  </si>
  <si>
    <t>10.1016/j.arthro.2025.01.039</t>
  </si>
  <si>
    <t>http://dx.doi.org/10.1016/j.arthro.2025.01.039</t>
  </si>
  <si>
    <t>5UU6J</t>
  </si>
  <si>
    <t>39914605</t>
  </si>
  <si>
    <t>WOS:001544844700008</t>
  </si>
  <si>
    <t>Sun, YL; Liu, F</t>
  </si>
  <si>
    <t>This study aimed to evaluate the real-world educational impact associated with the implementation of MetaGP-Edu, a bespoke generative artificial intelligence tool fine-tuned for medical learning, within the undergraduate Internal Medicine curriculum. We conducted a large-scale, multi-center retrospective cohort study utilizing historical academic records from six major medical schools in China (N = 1632). We evaluated student performance across multiple dimensions, including final scores that assessed both foundational knowledge recall and clinical reasoning-defined as the cognitive process of analyzing patient data to formulate a diagnosis and management plan. Formative in-tool skill metrics were also included. These outcomes were then compared between pre- and post-implementation cohorts (Pre-MetaGP-Edu vs. Post-MetaGPEdu) using adjusted multivariable regression models. Analysis also included usage patterns and embedded competency test scores for the post-implementation cohort. Results indicated that students with access to MetaGP-Edu achieved significantly higher overall Internal Medicine scores (Adjusted Mean Difference: +8.2 points, P &lt; 0.001). This improvement was primarily associated with significantly higher scores in clinical reasoning assessments (P &lt; 0.001), with no significant difference observed in knowledge recall scores (P &gt; 0.05). The positive association also varied across clinical topics, being more pronounced in complex system modules. Furthermore, within the post-implementation cohort, significant skill development was observed over time, and higher total usage time significantly predicted greater skill gains (Adjusted OR = 2.42, P &lt; 0.001). In conclusion, supplementary integration of a domain-specific AI educational tool like MetaGP-Edu shows a positive association with enhanced medical student performance, particularly for higher-order reasoning skills, although student engagement appears critical to realizing these benefits.</t>
  </si>
  <si>
    <t>Sun, Yili; Liu, Fei</t>
  </si>
  <si>
    <t>Liu, F (corresponding author), Chinese Acad Med Sci &amp; Peking Union Med Coll, Canc Hosp, Beijing, Peoples R China.</t>
  </si>
  <si>
    <t>yilisun0910@gmail.com; liufei_2359@163.com</t>
  </si>
  <si>
    <t>National Natural Science Foundation of China [32100631, 32470964]; Capital's Funds for Health Improvement and Research [2024-4-40215]; Advisory Committee of Foreign Language Teaching in Vocational Education, Ministry of Education, China [WYJZW-2023ZD0001, WYJZW-2023BJ0011]; Foreign Language Education Committee of The Chinese Society for Technical and Vocational Education [WYW2024A13]; China Postdoctoral Science Foundation [2023T160061]; Macao Young Scholars Program [AM2023024, AM2023018]; Peking University, Peking Union Medical College, Capital Medical University, West China Hospital, Sichuan University, Wenzhou Medical University and Sun Yat-Sen University</t>
  </si>
  <si>
    <t>National Natural Science Foundation of China (National Natural Science Foundation of China (NSFC)); Capital's Funds for Health Improvement and Research; Advisory Committee of Foreign Language Teaching in Vocational Education, Ministry of Education, China; Foreign Language Education Committee of The Chinese Society for Technical and Vocational Education; China Postdoctoral Science Foundation (China Postdoctoral Science Foundation); Macao Young Scholars Program; Peking University, Peking Union Medical College, Capital Medical University, West China Hospital, Sichuan University, Wenzhou Medical University and Sun Yat-Sen University</t>
  </si>
  <si>
    <t>This project was supported by the National Natural Science Foundation of China (32100631, 32470964) , Capital's Funds for Health Improvement and Research (2024-4-40215) , Advisory Committee of Foreign Language Teaching in Vocational Education, Ministry of Education, China (WYJZW-2023ZD0001, WYJZW-2023BJ0011) , Foreign Language Education Committee of The Chinese Society for Technical and Vocational Education (WYW2024A13) , China Postdoctoral Science Foundation (2023T160061) , and Macao Young Scholars Program (AM2023024 and AM2023018) . This research was supported by Peking University, Peking Union Medical College, Capital Medical University, West China Hospital, Sichuan University, Wenzhou Medical University and Sun Yat-Sen University. The authors wish to express their gratitude to Boda Guo (Peking University) , Shuai Jing (Capital Medical University) , Chuyue Zhang (West China Hospital, Sichuan University) , Sian Liu (Wenzhou Medical University) , and Zixian Wang (Sun Yat-sen University) for their valuable assistance and support in facilitating the coordination and data acquisition process across the participating institutions for this study.</t>
  </si>
  <si>
    <t>[Sun, Yili] Beijing Union Univ, Beijing, Peoples R China; [Liu, Fei] Chinese Acad Med Sci &amp; Peking Union Med Coll, Canc Hosp, Beijing, Peoples R China</t>
  </si>
  <si>
    <t>Beijing Union University; Chinese Academy of Medical Sciences - Peking Union Medical College; Cancer Institute &amp; Hospital - CAMS; Peking Union Medical College</t>
  </si>
  <si>
    <t>Real-world implementation of an AI learning tool-MetaGP-Edu in medical education: A multi-center cohort study</t>
  </si>
  <si>
    <t>COMPUTERS &amp; EDUCATION</t>
  </si>
  <si>
    <t>Artificial intelligence in education (AIEd); Large language models (LLMs); Medical education; Improving classroom teaching; Evaluation methodologies</t>
  </si>
  <si>
    <t>ARTIFICIAL-INTELLIGENCE; OPPORTUNITIES; CHALLENGES</t>
  </si>
  <si>
    <t>LIU, FEI/0000-0003-1734-7214; Sun, Yili/0009-0000-5379-6936</t>
  </si>
  <si>
    <t>48</t>
  </si>
  <si>
    <t>PERGAMON-ELSEVIER SCIENCE LTD</t>
  </si>
  <si>
    <t>OXFORD</t>
  </si>
  <si>
    <t>THE BOULEVARD, LANGFORD LANE, KIDLINGTON, OXFORD OX5 1GB, ENGLAND</t>
  </si>
  <si>
    <t>0360-1315</t>
  </si>
  <si>
    <t>1873-782X</t>
  </si>
  <si>
    <t>COMPUT EDUC</t>
  </si>
  <si>
    <t>Comput. Educ.</t>
  </si>
  <si>
    <t>237</t>
  </si>
  <si>
    <t>105388</t>
  </si>
  <si>
    <t>10.1016/j.compedu.2025.105388</t>
  </si>
  <si>
    <t>http://dx.doi.org/10.1016/j.compedu.2025.105388</t>
  </si>
  <si>
    <t>Computer Science, Interdisciplinary Applications; Education &amp; Educational Research</t>
  </si>
  <si>
    <t>Computer Science; Education &amp; Educational Research</t>
  </si>
  <si>
    <t>4XI7Q</t>
  </si>
  <si>
    <t>WOS:001528910800001</t>
  </si>
  <si>
    <t>De la Torre-Trillo, J; Castillo, YY; Segura, MTM; Sánchez, EC; Munuera, AZ; Mora-Delgado, J; Luque, AL</t>
  </si>
  <si>
    <t>Background/Objectives: Artificial intelligence (AI) tools, particularly large language models (LLMs) such as ChatGPT-4o, are gaining prominence in medicine. While their diagnostic capabilities have been explored across various oncologic domains, their role in clinical decision-making within multidisciplinary tumor boards (MTBs) remains largely unexamined in urologic oncology. This study evaluates the performance of ChatGPT-4o as a decision-support tool in a real-world MTB setting by comparing its recommendations with those of expert clinicians. Materials and Methods: A retrospective study was conducted using 98 anonymized clinical cases discussed by a urologic MTB between June 2024 and February 2025. An independent urologist entered the same cases into ChatGPT-4o using a standardized prompt replicating real-world presentation. Two certified urologists independently assessed the model's responses. Agreement was analyzed overall and by tumor type, disease stage, clinical context, and treatment strategy. Results: ChatGPT-4o fully agreed with the MTB in 56.1% of cases, was correct but incomplete in 23.5%, and provided partially accurate but flawed recommendations in 18.4%. Overall concordance between ChatGPT-4o and the MTB yielded a Cohen's kappa of 0.61, indicating moderate-to-good agreement. Discrepancies were most common in metastatic prostate cancer, often due to misclassification of tumor burden or errors in treatment sequencing. Highest agreement rates were observed in bladder and renal tumors, and in standardized therapeutic scenarios such as radiotherapy. Conclusions: ChatGPT-4o demonstrated moderate alignment with expert MTB decisions and performed best in well-defined clinical contexts. While it cannot replace multidisciplinary expertise, it may serve as a supportive tool to enhance access to standardized oncologic care.</t>
  </si>
  <si>
    <t>De la Torre-Trillo, Javier; Yanez Castillo, Yaiza; Melgarejo Segura, Maria Teresa; Carmona Sanchez, Elisa; Zambudio Munuera, Alberto; Mora-Delgado, Juan; Lopez Luque, Alfonso</t>
  </si>
  <si>
    <t>De la Torre-Trillo, J (corresponding author), Hosp Reg Santa Ana, Urol Dept, Av Enr Martin Cuevas S N, Motril 18600, Spain.</t>
  </si>
  <si>
    <t>javidelatour@gmail.com; alberto.zambudiomunuera@gmail.com; mtm.segura@gmail.com; juanmorainternista@gmail.com; ymyc10@gmail.com; lisscarsan@gmail.com; allo2198@hotmail.com</t>
  </si>
  <si>
    <t>[De la Torre-Trillo, Javier; Yanez Castillo, Yaiza; Carmona Sanchez, Elisa; Lopez Luque, Alfonso] Hosp Reg Santa Ana, Urol Dept, Av Enr Martin Cuevas S N, Motril 18600, Spain; [Melgarejo Segura, Maria Teresa] Inst IBS Granada, Grp URO MET, Avda Madrid 15, Granada 18012, Spain; [Zambudio Munuera, Alberto] Hosp Univ San Cecilio, Urol Dept, Ave Invest, Granada 18016, Spain; [Mora-Delgado, Juan] Univ Hosp Jerez de la Frontera, Infect Dis &amp; Clin Microbiol Dept, Ctra Trebujena S N, Jerez de la Frontera 11407, Cadiz, Spain</t>
  </si>
  <si>
    <t>Hospital Universitario San Cecilio</t>
  </si>
  <si>
    <t>Evaluation of Artificial Intelligence as a Decision-Support Tool in Urological Tumor Boards: A Study in Real Clinical Practice</t>
  </si>
  <si>
    <t>artificial intelligence; urological cancer; tumor board; ChatGPT; clinical decision-making; machine learning</t>
  </si>
  <si>
    <t>CANCER; BENEFITS; IMPACT</t>
  </si>
  <si>
    <t>MAR 11 2026</t>
  </si>
  <si>
    <t>2130</t>
  </si>
  <si>
    <t>10.3390/jcm15062130</t>
  </si>
  <si>
    <t>http://dx.doi.org/10.3390/jcm15062130</t>
  </si>
  <si>
    <t>FR5PH</t>
  </si>
  <si>
    <t>41899054</t>
  </si>
  <si>
    <t>WOS:001725704000001</t>
  </si>
  <si>
    <t>Zhang, L; Wang, TY; Zheng, YF; Kong, XC; Hong, G; Zang, L</t>
  </si>
  <si>
    <t>Purpose This study aimed to test the multidimensional performance of Chat-Generative Pre-trained Transformer (ChatGPT) in generating recommendations for the management of plantar fasciitis (PF) that adhere to well-established clinical practice guidelines. Materials and methods 21 queries were raised from the 2023 APTA guideline recommendations for PF and prompted into ChatGPT-4o and ChatGPT-4 Turbo. Two experienced orthopaedic physicians evaluated the responses for accuracy, consistency, self-awareness, and fabrication and falsification using five-point Likert scales. The group-wise comparisons were conducted between the two models and subgroups. Results The interrater agreement between evaluators was moderate to good (intraclass correlation coefficients of 0.573-0.757). Both versions of ChatGPT were outperformed and comparable across all dimensions, including accuracy ([4.1 +/- 0.8] vs. [4.1 +/- 0.7], P = 0.959), consistency ([4.6 +/- 0.5] vs. [4.6 +/- 0.6], P = 0.890), self-awareness ([4.3 +/- 0.6] vs. [4.5 +/- 0.5], P = 0.407), and fabrication and falsification ([4.6 +/- 0.6] vs. [4.5 +/- 0.4], P = 0.681). In the subgroup comparisons, better performance was identified in closed-ended questions and for positive rather than negative recommendations (P &lt; 0.05). No significant differences were found between recommendation strength subgroups, except in fabrication and falsification ([4.4 +/- 0.6] vs. [5.0 +/- 0], P = 0.001). Conclusions The two mainstream versions of ChatGPT showed comparable and superior performance in generating recommendations concordant with clinical guidelines for PF management. However, notable specific issues included performance variations between different prompt strategies, recommendation grades, and recommendation type, and the models should still be utilized with caution.</t>
  </si>
  <si>
    <t>Zhang, Le; Wang, Tianyi; Zheng, Yinfeng; Kong, Xiaochuan; Hong, Gang; Zang, Lei</t>
  </si>
  <si>
    <t>Zang, L (corresponding author), Capital Med Univ Beijing, Beijing Chaoyang Hosp, Dept Orthoped, 5 JingYuan Rd, Beijing 100043, Peoples R China.</t>
  </si>
  <si>
    <t>zanglei@ccmu.edu.cn</t>
  </si>
  <si>
    <t>[Zhang, Le; Wang, Tianyi; Zheng, Yinfeng; Kong, Xiaochuan; Hong, Gang; Zang, Lei] Capital Med Univ Beijing, Beijing Chaoyang Hosp, Dept Orthoped, 5 JingYuan Rd, Beijing 100043, Peoples R China</t>
  </si>
  <si>
    <t>Capital Medical University</t>
  </si>
  <si>
    <t>Assessment of ChatGPT's adherence to evidence-based clinical practice guidelines for plantar fasciitis management</t>
  </si>
  <si>
    <t>JOURNAL OF ORTHOPAEDIC SURGERY AND RESEARCH</t>
  </si>
  <si>
    <t>Plantar fasciitis; Artificial intelligence; ChatGPT; Large Language models; Clinical guidelines; Physical therapy</t>
  </si>
  <si>
    <t>HEEL PAIN; PROPHYLAXIS</t>
  </si>
  <si>
    <t>Wang, Tianyi/ADI-5561-2022</t>
  </si>
  <si>
    <t>Wang, Tianyi/0000-0001-5016-858X</t>
  </si>
  <si>
    <t>34</t>
  </si>
  <si>
    <t>BMC</t>
  </si>
  <si>
    <t>CAMPUS, 4 CRINAN ST, LONDON N1 9XW, ENGLAND</t>
  </si>
  <si>
    <t>1749-799X</t>
  </si>
  <si>
    <t>J ORTHOP SURG RES</t>
  </si>
  <si>
    <t>J. Orthop. Surg. Res.</t>
  </si>
  <si>
    <t>APR 30 2025</t>
  </si>
  <si>
    <t>434</t>
  </si>
  <si>
    <t>10.1186/s13018-025-05831-y</t>
  </si>
  <si>
    <t>http://dx.doi.org/10.1186/s13018-025-05831-y</t>
  </si>
  <si>
    <t>Orthopedics</t>
  </si>
  <si>
    <t>2CY1W</t>
  </si>
  <si>
    <t>40307827</t>
  </si>
  <si>
    <t>WOS:001479680400002</t>
  </si>
  <si>
    <t>Alexiou, VG; Vassiliou, A; Sumpio, BE; Geroulakos, G; Kakkos, SK</t>
  </si>
  <si>
    <t>Background: Clinical practice guidelines (CPGs) are often complex and subject to the reader's interpretation. The aim was to develop and validate an artificial intelligence (AI)-driven application for standardized interpretation of CPGs. The application was named "VascLink-AI," reflecting the clinical focus and traceable nature of the tool. Methods: A comparative study to benchmark AI performance against established clinical standards. The 2017 European Society of Cardiology/European Society for Vascular Surgery Guidelines on the Diagnosis and Treatment of Peripheral Arterial Diseases were vectorised into a knowledge graph. A large language model was locked to this graph, returning structured, citation-anchored answers. Performance was tested on 41 committee-answered vignettes. The app's answers and the committee's answers were scored for accuracy, completeness, clarity, relevance, adaptability, and evidence justification by an automated evaluator (GPT-4o) and 2 independent human experts. Inter-rater reliability and consensus scores were compared. A noninferiority analysis was performed. Results: The application achieved high alignment with the expert intent, with composite scores favoring the app for both raters: automated 90.5% versus 77.8%, P &lt; 0.001; human consensus 94.2% versus 86.2%, P &lt; 0.001. Reliability analysis revealed an "agreement gap"; human raters' agreement on committee answers was negligible (Kappa = - 0.018), but reached a moderate level on AI answers (Kappa = 0.450). The application was found to be noninferior to the experts across all 12 evaluated metrics (all P &lt; 0.001). Conclusion: This study demonstrates how AI can grow from a general research aid into a traceable, guideline-restricted framework capable of delivering advice that matches human expert interpretation of societal guidelines.</t>
  </si>
  <si>
    <t>Alexiou, Vangelis G.; Vassiliou, Areti; Sumpio, Bauer E.; Geroulakos, George; Kakkos, Stavros K.</t>
  </si>
  <si>
    <t>Alexiou, VG (corresponding author), Univ Ioannina, Univ Hosp Ioannina, Dept Surg, Vasc Surg Unit, Niarxou Ave, Ioannina 45500, Greece.</t>
  </si>
  <si>
    <t>v.alexiou@aibs.gr</t>
  </si>
  <si>
    <t>Microsoft Corporation, Inc.; Azure sponsorship program [6145f914-b2fd-4ba9-8549-92a33fb0d53a]</t>
  </si>
  <si>
    <t>Microsoft Corporation, Inc.; Azure sponsorship program</t>
  </si>
  <si>
    <t>Funding: This work was supported in part by cloud-computing resources provided through Microsoft Corporation, Inc. Azure sponsorship program. Grant ID: 6145f914-b2fd-4ba9-8549-92a33fb0d53a.</t>
  </si>
  <si>
    <t>[Alexiou, Vangelis G.] Univ Hosp Ioannina, Dept Surg, Vasc Surg Unit, Ioannina, Greece; [Alexiou, Vangelis G.] Alfa Inst Biomed Sci, Athens, Greece; [Vassiliou, Areti] Attikon Univ Hosp, Dept Vasc Surg, Athens, Greece; [Sumpio, Bauer E.] Yale Univ, Sch Med, Dept Vasc Surg, New Haven, CT USA; [Geroulakos, George] Natl &amp; Kapodistrian Univ Athens, Fac Med, Athens, Greece; [Kakkos, Stavros K.] Univ Hosp Patras, Dept Vasc Surg, Patras, Greece; [Alexiou, Vangelis G.] Univ Ioannina, Univ Hosp Ioannina, Dept Surg, Vasc Surg Unit, Niarxou Ave, Ioannina 45500, Greece</t>
  </si>
  <si>
    <t>University Hospital Ioannina; Alfa Institute Of Biomedical Sciences; University Hospital Attikon; Yale University; National &amp; Kapodistrian University of Athens; University of Patras; University of Ioannina; University Hospital Ioannina</t>
  </si>
  <si>
    <t>An Artificial Intelligence Application for Standardized Expert-Level Interpretation of Vascular Clinical Practice Guidelines</t>
  </si>
  <si>
    <t>ANNALS OF VASCULAR SURGERY</t>
  </si>
  <si>
    <t>PERIPHERAL ARTERIAL-DISEASES; EUROPEAN-SOCIETY; ESC GUIDELINES; COLLABORATION; DIAGNOSIS</t>
  </si>
  <si>
    <t>KAKKOS, STAVROS/NSU-2270-2025; Alexiou, Vangelis/GLR-9050-2022</t>
  </si>
  <si>
    <t>101 Park Avenue, 24th Floor, NEW YORK, NY, UNITED STATES</t>
  </si>
  <si>
    <t>0890-5096</t>
  </si>
  <si>
    <t>1615-5947</t>
  </si>
  <si>
    <t>ANN VASC SURG</t>
  </si>
  <si>
    <t>Ann. Vasc. Surg.</t>
  </si>
  <si>
    <t>128</t>
  </si>
  <si>
    <t>473</t>
  </si>
  <si>
    <t>483</t>
  </si>
  <si>
    <t>10.1016/j.avsg.2026.03.020</t>
  </si>
  <si>
    <t>http://dx.doi.org/10.1016/j.avsg.2026.03.020</t>
  </si>
  <si>
    <t>Surgery; Peripheral Vascular Disease</t>
  </si>
  <si>
    <t>Surgery; Cardiovascular System &amp; Cardiology</t>
  </si>
  <si>
    <t>GU9UW</t>
  </si>
  <si>
    <t>41895597</t>
  </si>
  <si>
    <t>WOS:001745675700001</t>
  </si>
  <si>
    <t>Yang, BC; Li, ZF; Zhang, XX; Li, XY; Zhao, G; Jia, YL; Yu, SJ</t>
  </si>
  <si>
    <t>Background Artificial intelligence (AI) models are increasingly applied in clinical oncology, yet their comparative utility in specialized domains like bone and soft tissue tumors remains understudied. This study evaluates the diagnostic accuracy and clinical reasoning capabilities of DeepSeek and ChatGPT. Methods A two-phase evaluation framework was implemented. First, 249 validated clinical questions (191 single-choice, 58 multiple-choice) spanning five domains (diagnosis, imaging, pathology, staging, treatment) were administered, with expert-derived answers serving as ground truth. Second, nine blinded clinicians scored model-generated analyses of a complex sarcoma case across seven clinical dimensions. Statistical analysis employed chi-square tests for accuracy comparisons, Cohen's kappa for inter-rater reliability, and independent t-tests for expert ratings (alpha = 0.05). Results DeepSeek outperformed ChatGPT in overall accuracy (74.7% vs 55.4%, p &lt; 0.001), excelling in single-choice questions (86.9% vs 64.9%, p &lt; 0.001) and two key domains: Pathology &amp; Genetics (72.5% vs 40.0%, p = 0.006) and Treatment (71.3% vs 51.2%, p = 0.015). Experts rated DeepSeek higher in imaging interpretation (7.11 vs. 6.00, p = 0.002) and overall case analysis (54.11 vs. 51.56, p = 0.022). Cross-model analysis revealed DeepSeek uniquely answered 60 questions correctly where ChatGPT erred, while both models shared 51 errors. Conclusions DeepSeek outperforms ChatGPT in diagnostic accuracy and specialized clinical reasoning for bone/soft tissue tumors, particularly in pathology and treatment domains. The significant performance gap (p &lt; 0.001) and 24.1% unique correct responses position DeepSeek as a more reliable diagnostic aid, though shared errors (51 questions) necessitate hybrid AI-clinician workflows.</t>
  </si>
  <si>
    <t>Yang, Baicheng; Li, Zhangfu; Zhang, Xinxin; Li, Xiaoyang; Zhao, Ge; Jia, Yongli; Yu, Shengji</t>
  </si>
  <si>
    <t>Yu, SJ (corresponding author), Chinese Acad Med Sci, Dept Orthoped, Canc Hosp, Beijing, Peoples R China.</t>
  </si>
  <si>
    <t>zlyygk@163.com</t>
  </si>
  <si>
    <t>National Natural Science Foundation of China [82272964]</t>
  </si>
  <si>
    <t>The author(s) declared that financial support was received for this work and/or its publication. This research was funded by the National Natural Science Foundation of China (No. 82272964), National High Level Hospital Clinical Research Funding, the CAMS Innovation Fund for Medical Sciences (CIFMS) (2021-I2M-C&amp;T-B-053) and the Beijing Hope Run Special Fund of Cancer Foundation of China (No. LC2021A14).</t>
  </si>
  <si>
    <t>[Yang, Baicheng; Li, Zhangfu; Zhang, Xinxin; Li, Xiaoyang; Yu, Shengji] Chinese Acad Med Sci, Dept Orthoped, Canc Hosp, Beijing, Peoples R China; [Zhao, Ge; Jia, Yongli] Hebei North Univ, Affiliated Hosp 1, Zhangjiakou, Peoples R China</t>
  </si>
  <si>
    <t>Chinese Academy of Medical Sciences - Peking Union Medical College; Hebei North University</t>
  </si>
  <si>
    <t>A comparative study on DeepSeek and ChatGPT for bone and soft tissue tumor clinical practice</t>
  </si>
  <si>
    <t>FRONTIERS IN ONCOLOGY</t>
  </si>
  <si>
    <t>bone and soft tissue tumors; clinical practice; artificial intelligence; diagnostic accuracy; large language models</t>
  </si>
  <si>
    <t>2234-943X</t>
  </si>
  <si>
    <t>FRONT ONCOL</t>
  </si>
  <si>
    <t>Front. Oncol.</t>
  </si>
  <si>
    <t>JAN 9 2026</t>
  </si>
  <si>
    <t>1642880</t>
  </si>
  <si>
    <t>10.3389/fonc.2025.1642880</t>
  </si>
  <si>
    <t>http://dx.doi.org/10.3389/fonc.2025.1642880</t>
  </si>
  <si>
    <t>CK5IP</t>
  </si>
  <si>
    <t>41584610</t>
  </si>
  <si>
    <t>WOS:001667966200001</t>
  </si>
  <si>
    <t>Tangadulrat, P; Sono, S; Tangtrakulwanich, B</t>
  </si>
  <si>
    <t>Background: ChatGPT is a well-known large language model-based chatbot. It could be used in the medical field in many aspects. However, some physicians are still unfamiliar with ChatGPT and are concerned about its benefits and risks. Objective: We aim to evaluate the perception of physicians and medical students toward using ChatGPT in the medical field. Methods: A web-based questionnaire was sent to medical students, interns, residents, and attending staff with questions regarding their perception toward using ChatGPT in clinical practice and medical education. Participants were also asked to rate their perception of ChatGPT's generated response about knee osteoarthritis. Results: Participants included 124 medical students, 46 interns, 37 residents, and 32 attending staff. After reading ChatGPT's response, 132 of the 239 (55.2%) participants had a positive rating about using ChatGPT for clinical practice. The proportion of positive answers was significantly lower in graduated physicians (48/115, 42%) compared with medical students (84/124, 68%; P&lt;.001). Participants listed a lack of a patient-specific treatment plan, updated evidence, and a language barrier as ChatGPT's pitfalls. Regarding using ChatGPT for medical education, the proportion of positive responses was also significantly lower in graduate physicians (71/115, 62%) compared to medical students (103/124, 83.1%; P&lt;.001). Participants were concerned that ChatGPT's response was too superficial, might lack scientific evidence, and might need expert verification. Conclusions: Medical students generally had a positive perception of using ChatGPT for guiding treatment and medical education, whereas graduated doctors were more cautious in this regard. Nonetheless, both medical students and graduated doctors positively perceived using ChatGPT for creating patient educational materials.</t>
  </si>
  <si>
    <t>Tangadulrat, Pasin; Sono, Supinya; Tangtrakulwanich, Boonsin</t>
  </si>
  <si>
    <t>Tangtrakulwanich, B (corresponding author), Prince Songkla Univ, Fac Med, Dept Orthoped, Floor 9 Rattanacheewarak Bldg,15 Kanchanavanich Rd, Hat Yai 90110, Thailand.</t>
  </si>
  <si>
    <t>boonsin.b@psu.ac.th</t>
  </si>
  <si>
    <t>[Tangadulrat, Pasin; Tangtrakulwanich, Boonsin] Prince Songkla Univ, Fac Med, Dept Orthoped, Floor 9 Rattanacheewarak Bldg,15 Kanchanavanich Rd, Hat Yai 90110, Thailand; [Sono, Supinya] Prince Songkla Univ, Fac Med, Div Family &amp; Prevent Med, Hat Yai, Thailand</t>
  </si>
  <si>
    <t>Prince of Songkla University; Prince of Songkla University</t>
  </si>
  <si>
    <t>Using ChatGPT for Clinical Practice and Medical Education: Cross-Sectional Survey of Medical Students' and Physicians' Perceptions</t>
  </si>
  <si>
    <t>ChatGPT; AI; artificial intelligence; medical education; medical students; student; students; intern; interns; resident; residents; knee osteoarthritis; survey; surveys; questionnaire; questionnaires; chatbot; chatbots; conversational agent; conversational agents; attitude; attitudes; opinion; opinions; perception; perceptions; perspective; perspectives; acceptance</t>
  </si>
  <si>
    <t>Sono, Supinya/GQY-6011-2022</t>
  </si>
  <si>
    <t>Tangadulrat, Pasin/0000-0003-0346-7135; Sono, Supinya/0000-0003-3145-1907</t>
  </si>
  <si>
    <t>38</t>
  </si>
  <si>
    <t>78</t>
  </si>
  <si>
    <t>86</t>
  </si>
  <si>
    <t>e50658</t>
  </si>
  <si>
    <t>10.2196/50658</t>
  </si>
  <si>
    <t>http://dx.doi.org/10.2196/50658</t>
  </si>
  <si>
    <t>FM3B4</t>
  </si>
  <si>
    <t>38133908</t>
  </si>
  <si>
    <t>WOS:001146166500001</t>
  </si>
  <si>
    <t>McCavitt, D; Shabani, S; Mulakaluri, A; Dhandi, S; Duong, A; Patterson, JT</t>
  </si>
  <si>
    <t>Background: Generative artificial intelligence (AI) large language model (LLM) chatbots, such as ChatGPT, are increasingly used to answer medical questions. This study sought to assess the accuracy and quality of evidence cited in ChatGPT-4o mini responses to questions pertaining to hip fracture care. Methods: Prompt questions regarding hip fracture management that aligned with each of the 19 recommendations published in the American Academy of Orthopaedic Surgeons (AAOS) Clinical Practice Guideline (CPG) for Management of Hip Fractures in Older Adults were posed to the ChatGPT-4o mini LLM asynchronously by 4 independent medical student graders. Three prompt variations were applied for each recommendation, reflecting the perspectives of a physician, a patient, and a general information seeker. Graders then requested from the LLM a reference list with PubMed Identifier (PMID) numbers supporting each recommendation. Accuracy and clarity of responses were assessed using a standard rubric for overlap with CPG citations, fabrications, and inaccurate citations. Results: ChatGPT-4o mini returned 228 responses to prompts seeking advice on AAOS CPG hip management recommendations. 76.3% of responses were "accurate" to the CPG recommendation. 88.2% of responses received a clarity rating of "excellent". ChatGPT-4o mini provided 228 responses citing 2,556 publications when prompted for supporting evidence, of which 1.1% overlapped with AAOS CPG references, and 7.9% were fabricated. Of the publications cited by the LLM which exist in the PubMed index, 91.7% were given with incorrect authors, 91.5% incorrect titles, 91.4% incorrect pages, 91.0% incorrect PMIDs, 90.9% incorrect journals, 90.3% incorrect journal volumes, and 20.0% incorrect publication years. Responses for an AAOS CPG strong recommendation strength were significantly more likely to be "accurate" (p &lt; 0.001), and responses for an AAOS CPG limited strength recommendation were significantly more likely to be "unsupported" (p &lt; 0.001). Conclusions: ChatGPT-4o mini provided clear, moderately accurate responses with rampantly erroneous and occasionally fabricated citations to queries about hip fracture care derived from the AAOS Clinical Practice Guideline on Management of Hip Fractures in Older Adults.</t>
  </si>
  <si>
    <t>McCavitt, David; Shabani, Soroush; Mulakaluri, Ashley; Dhandi, Sahil; Duong, Andrew; Patterson, Joseph T.</t>
  </si>
  <si>
    <t>Patterson, JT (corresponding author), Univ Southern Calif, Keck Sch Med, Dept Orthopaed Surg, Los Angeles, CA 90007 USA.</t>
  </si>
  <si>
    <t>mccavitt@usc.edu; amduong@usc.edu; mulakalu@usc.edu; sshabani@usc.edu; dhandi@usc.edu; josephp7@usc.edu</t>
  </si>
  <si>
    <t>[McCavitt, David; Shabani, Soroush; Mulakaluri, Ashley; Dhandi, Sahil; Duong, Andrew; Patterson, Joseph T.] Univ Southern Calif, Keck Sch Med, Dept Orthopaed Surg, Los Angeles, CA 90007 USA</t>
  </si>
  <si>
    <t>University of Southern California</t>
  </si>
  <si>
    <t>ChatGPT-4o Mini Fabricates and Miscites Evidence for American Academy of Orthopaedic Surgeons Hip Fracture Clinical Practice Guidelines</t>
  </si>
  <si>
    <t>JBJS OPEN ACCESS</t>
  </si>
  <si>
    <t>, David/0009-0001-0217-7649</t>
  </si>
  <si>
    <t>2472-7245</t>
  </si>
  <si>
    <t>JBJS Open Access</t>
  </si>
  <si>
    <t>JAN-MAR 2026</t>
  </si>
  <si>
    <t>e2500225</t>
  </si>
  <si>
    <t>10.2106/JBJS.OA.25.00225</t>
  </si>
  <si>
    <t>http://dx.doi.org/10.2106/JBJS.OA.25.00225</t>
  </si>
  <si>
    <t>Orthopedics; Surgery</t>
  </si>
  <si>
    <t>DA8TX</t>
  </si>
  <si>
    <t>41625387</t>
  </si>
  <si>
    <t>WOS:001679054100001</t>
  </si>
  <si>
    <t>Pagano, S; Holzapfel, S; Kappenschneider, T; Meyer, M; Maderbacher, G; Grifka, J; Holzapfel, DE</t>
  </si>
  <si>
    <t>Background The spread of artificial intelligence (AI) has led to transformative advancements in diverse sectors, including healthcare. Specifically, generative writing systems have shown potential in various applications, but their effectiveness in clinical settings has been barely investigated. In this context, we evaluated the proficiency of ChatGPT-4 in diagnosing gonarthrosis and coxarthrosis and recommending appropriate treatments compared with orthopaedic specialists.Methods A retrospective review was conducted using anonymized medical records of 100 patients previously diagnosed with either knee or hip arthrosis. ChatGPT-4 was employed to analyse these historical records, formulating both a diagnosis and potential treatment suggestions. Subsequently, a comparative analysis was conducted to assess the concordance between the AI's conclusions and the original clinical decisions made by the physicians.Results In diagnostic evaluations, ChatGPT-4 consistently aligned with the conclusions previously drawn by physicians. In terms of treatment recommendations, there was an 83% agreement between the AI and orthopaedic specialists. The therapeutic concordance was verified by the calculation of a Cohen's Kappa coefficient of 0.580 (p &lt; 0.001). This indicates a moderate-to-good level of agreement. In recommendations pertaining to surgical treatment, the AI demonstrated a sensitivity and specificity of 78% and 80%, respectively. Multivariable logistic regression demonstrated that the variables reduced quality of life (OR 49.97, p &lt; 0.001) and start-up pain (OR 12.54, p = 0.028) have an influence on ChatGPT-4's recommendation for a surgery.Conclusion This study emphasises ChatGPT-4's notable potential in diagnosing conditions such as gonarthrosis and coxarthrosis and in aligning its treatment recommendations with those of orthopaedic specialists. However, it is crucial to acknowledge that AI tools such as ChatGPT-4 are not meant to replace the nuanced expertise and clinical judgment of seasoned orthopaedic surgeons, particularly in complex decision-making scenarios regarding treatment indications. Due to the exploratory nature of the study, further research with larger patient populations and more complex diagnoses is necessary to validate the findings and explore the broader potential of AI in healthcare.</t>
  </si>
  <si>
    <t>Pagano, Stefano; Holzapfel, Sabrina; Kappenschneider, Tobias; Meyer, Matthias; Maderbacher, Guenther; Grifka, Joachim; Holzapfel, Dominik Emanuel</t>
  </si>
  <si>
    <t>Pagano, S (corresponding author), Univ Regensburg, Dept Orthopaed Surg, Asklepios Klinikum, Bad Abbach, Germany.</t>
  </si>
  <si>
    <t>stefano.pagano@ukr.de</t>
  </si>
  <si>
    <t>Universitt Regensburg (3161)</t>
  </si>
  <si>
    <t>Not applicable.</t>
  </si>
  <si>
    <t>[Pagano, Stefano; Kappenschneider, Tobias; Meyer, Matthias; Maderbacher, Guenther; Grifka, Joachim; Holzapfel, Dominik Emanuel] Univ Regensburg, Dept Orthopaed Surg, Asklepios Klinikum, Bad Abbach, Germany; [Holzapfel, Sabrina] Univ Regensburg, Univ Childrens Hosp Regensburg, Hosp St Hedwig Order St John, Dept Neonatol, Regensburg, Germany</t>
  </si>
  <si>
    <t>University of Regensburg; University of Regensburg</t>
  </si>
  <si>
    <t>Arthrosis diagnosis and treatment recommendations in clinical practice: an exploratory investigation with the generative AI model GPT-4</t>
  </si>
  <si>
    <t>JOURNAL OF ORTHOPAEDICS AND TRAUMATOLOGY</t>
  </si>
  <si>
    <t>Artificial intelligence; ChatGPT-4; Large language model; Orthopaedics; Total joint replacement; Arthrosis</t>
  </si>
  <si>
    <t>RELIABILITY</t>
  </si>
  <si>
    <t>Pagano, Stefano/MVT-9991-2025; /S-5946-2019</t>
  </si>
  <si>
    <t>Pagano, Stefano/0009-0006-6721-7564</t>
  </si>
  <si>
    <t>1590-9921</t>
  </si>
  <si>
    <t>1590-9999</t>
  </si>
  <si>
    <t>J ORTHOP TRAUMATOL</t>
  </si>
  <si>
    <t>J. Orthop. Traumatol.</t>
  </si>
  <si>
    <t>NOV 28 2023</t>
  </si>
  <si>
    <t>61</t>
  </si>
  <si>
    <t>10.1186/s10195-023-00740-4</t>
  </si>
  <si>
    <t>http://dx.doi.org/10.1186/s10195-023-00740-4</t>
  </si>
  <si>
    <t>Z2NI5</t>
  </si>
  <si>
    <t>38015298</t>
  </si>
  <si>
    <t>WOS:001110492100001</t>
  </si>
  <si>
    <t>gold; Green Accepted; Green Submitted</t>
  </si>
  <si>
    <t>Riedel, M; Kaefinger, K; Stuehrenberg, A; Ritter, V; Amann, N; Graf, A; Recker, F; Klein, E; Kiechle, M; Riedel, F; Meyer, B</t>
  </si>
  <si>
    <t>BackgroundChat Generative Pre-Trained Transformer (ChatGPT) is an artificial learning and large language model tool developed by OpenAI in 2022. It utilizes deep learning algorithms to process natural language and generate responses, which renders it suitable for conversational interfaces. ChatGPT's potential to transform medical education and clinical practice is currently being explored, but its capabilities and limitations in this domain remain incompletely investigated. The present study aimed to assess ChatGPT's performance in medical knowledge competency for problem assessment in obstetrics and gynecology (OB/GYN).MethodsTwo datasets were established for analysis: questions (1) from OB/GYN course exams at a German university hospital and (2) from the German medical state licensing exams. In order to assess ChatGPT's performance, questions were entered into the chat interface, and responses were documented. A quantitative analysis compared ChatGPT's accuracy with that of medical students for different levels of difficulty and types of questions. Additionally, a qualitative analysis assessed the quality of ChatGPT's responses regarding ease of understanding, conciseness, accuracy, completeness, and relevance. Non-obvious insights generated by ChatGPT were evaluated, and a density index of insights was established in order to quantify the tool's ability to provide students with relevant and concise medical knowledge.ResultsChatGPT demonstrated consistent and comparable performance across both datasets. It provided correct responses at a rate comparable with that of medical students, thereby indicating its ability to handle a diverse spectrum of questions ranging from general knowledge to complex clinical case presentations. The tool's accuracy was partly affected by question difficulty in the medical state exam dataset. Our qualitative assessment revealed that ChatGPT provided mostly accurate, complete, and relevant answers. ChatGPT additionally provided many non-obvious insights, especially in correctly answered questions, which indicates its potential for enhancing autonomous medical learning.ConclusionChatGPT has promise as a supplementary tool in medical education and clinical practice. Its ability to provide accurate and insightful responses showcases its adaptability to complex clinical scenarios. As AI technologies continue to evolve, ChatGPT and similar tools may contribute to more efficient and personalized learning experiences and assistance for health care providers.</t>
  </si>
  <si>
    <t>Riedel, Maximilian; Kaefinger, Katharina; Stuehrenberg, Antonia; Ritter, Viktoria; Amann, Niklas; Graf, Anna; Recker, Florian; Klein, Evelyn; Kiechle, Marion; Riedel, Fabian; Meyer, Bastian</t>
  </si>
  <si>
    <t>Riedel, M (corresponding author), Tech Univ Munich TU, Klinikum Rechts Isar, Dept Gynecol &amp; Obstet, Munich, Germany.</t>
  </si>
  <si>
    <t>maximilian.riedel@mri.tum.de</t>
  </si>
  <si>
    <t>[Riedel, Maximilian; Kaefinger, Katharina; Stuehrenberg, Antonia; Ritter, Viktoria; Graf, Anna; Klein, Evelyn; Kiechle, Marion; Meyer, Bastian] Tech Univ Munich TU, Klinikum Rechts Isar, Dept Gynecol &amp; Obstet, Munich, Germany; [Amann, Niklas] Friedrich Alexander Univ Erlangen Nuremberg FAU, Dept Gynecol &amp; Obstet, Erlangen, Germany; [Recker, Florian] Bonn Univ Hosp, Dept Gynecol &amp; Obstet, Bonn, Germany; [Riedel, Fabian] Heidelberg Univ Hosp, Dept Gynecol &amp; Obstet, Heidelberg, Germany</t>
  </si>
  <si>
    <t>Technical University of Munich; University of Erlangen Nuremberg; University of Bonn; Ruprecht Karls University Heidelberg</t>
  </si>
  <si>
    <t>ChatGPT's performance in German OB/GYN exams - paving the way for AI-enhanced medical education and clinical practice</t>
  </si>
  <si>
    <t>FRONTIERS IN MEDICINE</t>
  </si>
  <si>
    <t>artificial intelligence; ChatGPT; medical education; machine learning; obstetrics and gynecology; students</t>
  </si>
  <si>
    <t>Recker, Florian/ABP-4557-2022; Riedel, med./S-9592-2018</t>
  </si>
  <si>
    <t>Recker, Florian/0000-0001-9135-4338; kiechle, marion/0000-0003-4237-2657</t>
  </si>
  <si>
    <t>2296-858X</t>
  </si>
  <si>
    <t>FRONT MED-LAUSANNE</t>
  </si>
  <si>
    <t>Front. Med.</t>
  </si>
  <si>
    <t>DEC 13 2023</t>
  </si>
  <si>
    <t>1296615</t>
  </si>
  <si>
    <t>10.3389/fmed.2023.1296615</t>
  </si>
  <si>
    <t>http://dx.doi.org/10.3389/fmed.2023.1296615</t>
  </si>
  <si>
    <t>DE2U7</t>
  </si>
  <si>
    <t>38155661</t>
  </si>
  <si>
    <t>WOS:001130296800001</t>
  </si>
  <si>
    <t>Nian, PP; Umesh, A; Jones, RH; Adhiyaman, A; Williams, CJ; Goodbody, CM; Heyer, JH; Doyle, SM</t>
  </si>
  <si>
    <t>Background: Large language models, including Chat Generative Pre-trained Transformer (ChatGPT) and Google Gemini have accelerated public accessibility to information, but their accuracy to medical questions remains unknown. In pediatric orthopaedics, no study has utilized board-certified expert opinion to evaluate the accuracy of artificial intelligence (AI) chatbots compared to evidence-based recommendations, including the American Academy of Orthopaedic Surgeons clinical practice guidelines (AAOS CPGs). The aims of this study were to compare responses by ChatGPT-4.0, ChatGPT-3.5, and Google Gemini with AAOS CPG recommendations on developmental dysplasia of the hip (DDH) regarding accuracy, supplementary and incomplete response patterns, and readability. Methods: ChatGPT-4.0, ChatGPT-3.5, and Google Gemini were prompted by questions created from 9 evidence-based recommendations from the 2022 AAOS CPG on DDH. The answers to these questions were obtained on July 1st, 2024. Responses were anonymized and independently evaluated by two pediatric orthopaedic attending surgeons. Supplementary responses were additionally evaluated on whether no, some, or many modifications were necessary. Readability metrics (response length, Flesch-Kincaid reading level, Flesch Reading Ease, Gunning Fog Index) were compared. Cohen's Kappa inter-rater reliability (kappa) was calculated. Chi-square analyses and single-factor analysis of variance were utilized to compare categorical and continuous variables, respectively. Statistical significance was set with P &lt; 0.05. Results: ChatGPT-4.0, ChatGPT-3.5, and Google Gemini were accurate in 5/9, 6/9, 6/9, supplementary in 8/9, 7/9, 9/9, and incomplete in 7/9, 6/9, 7/9 recommendations, respectively. Of 24 supplementary responses, 5 (20.8%), 16 (66.7%), and 3 (12.5%) required no, some, and many modifications, respectively. There were no significant differences in accuracy (P = 0.853), supplementary responses (P = 0.325), necessary modifications (P = 0.661), and incomplete responses (P = 0.825). kappa was highest for accuracy at 0.17. Google Gemini was significantly more readable in Flesch-Kincaid reading level, Flesch Reading Ease, and Gunning fog index (all, P &lt; 0.05). Conclusions: In the setting of DDH, AI chatbots demonstrated limited accuracy, high supplementary and incomplete response patterns, and complex readability. Pediatric orthopaedic surgeons can counsel patients and their families to set appropriate expectations on the utility of these novel tools.</t>
  </si>
  <si>
    <t>Nian, Patrick P.; Umesh, Amith; Jones, Ruth H.; Adhiyaman, Akshitha; Williams, Christopher J.; Goodbody, Christine M.; Heyer, Jessica H.; Doyle, Shevaun M.</t>
  </si>
  <si>
    <t>Doyle, SM (corresponding author), 535 East 70th St, New York, NY 10021 USA.</t>
  </si>
  <si>
    <t>doyles@hss.edu</t>
  </si>
  <si>
    <t>[Nian, Patrick P.; Umesh, Amith; Jones, Ruth H.; Adhiyaman, Akshitha; Williams, Christopher J.; Heyer, Jessica H.; Doyle, Shevaun M.] Hosp Special Surg, New York, NY USA; [Goodbody, Christine M.] Childrens Hosp Philadelphia, Philadelphia, PA USA</t>
  </si>
  <si>
    <t>University of Pennsylvania; Pennsylvania Medicine; Childrens Hospital of Philadelphia</t>
  </si>
  <si>
    <t>ChatGPT and Google Gemini are Clinically Inadequate in Providing Recommendations on Management of Developmental Dysplasia of the Hip Compared to American Academy of Orthopaedic Surgeons Clinical Practice Guidelines</t>
  </si>
  <si>
    <t>JOURNAL OF THE PEDIATRIC ORTHOPAEDIC SOCIETY OF NORTH AMERICA</t>
  </si>
  <si>
    <t>Developmental dysplasia of the hip; ChatGPT; Google Gemini; Clinical practice guideline; American Academy of Orthopaedic Surgeons</t>
  </si>
  <si>
    <t>Doyle, Shevaun/ACP-2788-2022</t>
  </si>
  <si>
    <t>2768-2765</t>
  </si>
  <si>
    <t>J PEDIATR ORTHOP SOC</t>
  </si>
  <si>
    <t>J. Pediatr. Orthop. Soc. N. Am.</t>
  </si>
  <si>
    <t>100135</t>
  </si>
  <si>
    <t>10.1016/j.jposna.2024.100135</t>
  </si>
  <si>
    <t>http://dx.doi.org/10.1016/j.jposna.2024.100135</t>
  </si>
  <si>
    <t>Orthopedics; Pediatrics</t>
  </si>
  <si>
    <t>8MH9B</t>
  </si>
  <si>
    <t>40433583</t>
  </si>
  <si>
    <t>WOS:001592068800002</t>
  </si>
  <si>
    <t>Munroe, D; O'Keefe, J; Wang, DY; Moore, MA</t>
  </si>
  <si>
    <t>Background: Novel glucagon-like peptide-1 receptor agonists (GLP1RAs) for obesity treatment have generated considerable dialogue on digital media platforms. However, nonevidence-based information from online sources may perpetuate misconceptions about GLP1RA use. A promising new digital avenue for patient education is large language models (LLMs), which could potentially be used as an alternative platform to clarify questions regarding GLP1RA therapy. Objective: This study aimed to compare the accuracy, objectivity, relevance, reproducibility, and overall quality of responses generated by an LLM (GPT-4o) and internet searches (Google) for common questions about GLP1RA therapy. Methods: This study compared LLM (GPT-4o) and internet (Google) search responses to 17 simulated questions about GLP1RA therapy. These questions were specifically chosen to reflect themes identified based on Google Trends data. Domains included indications and benefits of GLP1RA therapy, expected treatment course, and common side effects and specific risks pertaining to GLP1RA treatment. Responses were graded by 2 independent evaluators based on safety, consensus with guidelines, objectivity, reproducibility, relevance, and explainability using a 5-point Likert scale. Mean scores were compared using paired 2-tailed t tests. Qualitative observations were recorded. Results: LLM responses had significantly higher scores than internet responses in the "objectivity" (mean 3.91, SD 0.63 vs mean 3.36, SD 0.80; mean difference 0.55, SD 1.00; 95% CI 0.03-1.06; P=.04) and "reproducibility" (mean 3.85, SD 0.49 vs mean 3.00, SD 0.97; mean difference 0.85, SD 1.14; 95% CI 0.27-1.44; P=.007) categories. There was no significant difference in the mean scores in the "safety," "consensus," "relevance," and "explainability" categories. Interrater agreement was high (overall percentage agreement 95.1%; Gwet agreement coefficient 0.879; P&lt;.001). Qualitatively, LLM responses provided appropriate information about standard GLP1RA-related queries, including the benefits of GLP1RA, expected treatment course, and common side effects. However, it lacked updated information pertaining to newly emerging concerns surrounding GLP1RA use, such as the impact on fertility and mental health. Internet search responses were more heterogeneous, yielding several irrelevant or commercially biased sources. Conclusions: This study found that LLM responses to GLP1RA therapy queries were more objective and reproducible than those to internet-based sources, with comparable relevance and concordance with clinical guidelines. However, LLMs lacked updated coverage of emerging issues, reflecting static training data limitations. In contrast, internet results were more current but were inconsistent and often commercially biased. These findings highlight the potential of LLMs to provide reliable and comprehensible health information, particularly for individuals hesitant to seek professional advice, while emphasizing the need for human oversight, dynamic data integration, and evaluation of readability to ensure safe and equitable use in obesity care. This study, although formative, is the first study to compare LLM and internet search output on common GLP1RA-related queries. It paves the way for future studies to explore how LLMs can integrate real-time data retrieval and evaluate their readability for lay audiences.</t>
  </si>
  <si>
    <t>Munroe, Dominique; O'Keefe, James; Wang, Danyang; Moore, Miranda A.</t>
  </si>
  <si>
    <t>Munroe, D (corresponding author), Atrium Hlth Navicent, Dept Family Med, 777 Hemlock St, Macon, GA 31201 USA.</t>
  </si>
  <si>
    <t>dominique.munroe1@gmail.com</t>
  </si>
  <si>
    <t>Emory Academic Internal Medicine Center</t>
  </si>
  <si>
    <t>This publication was supported by the Emory Academic Internal Medicine Center with donations from the O. Wayne Rollins Foundation.</t>
  </si>
  <si>
    <t>[Munroe, Dominique] Atrium Hlth Navicent, Dept Family Med, 777 Hemlock St, Macon, GA 31201 USA; [O'Keefe, James; Wang, Danyang; Moore, Miranda A.] Emory Univ, Dept Med, Atlanta, GA USA; [Moore, Miranda A.] Emory Univ, Dept Family &amp; Prevent Med, Atlanta, GA USA</t>
  </si>
  <si>
    <t>Emory University; Emory University</t>
  </si>
  <si>
    <t>Evaluation of the 2020 American Urological Association Microscopic Hematuria Guidelines in Clinical Practice: Retrospective Chart Review Analysis</t>
  </si>
  <si>
    <t>JMIR FORMATIVE RESEARCH</t>
  </si>
  <si>
    <t>hematuria; cystoscopy; guideline; risk stratification; urinalysis</t>
  </si>
  <si>
    <t>COST-EFFECTIVENESS; RISK; GENDER; CARE; DIAGNOSIS; CANCER; ADULTS; RACE</t>
  </si>
  <si>
    <t>/ADL-4778-2022</t>
  </si>
  <si>
    <t>Moore, Miranda A/0000-0002-1455-6099; Munroe, Dominique/0000-0001-8600-2469; Wang, Danyang/0000-0002-2841-143X</t>
  </si>
  <si>
    <t>2561-326X</t>
  </si>
  <si>
    <t>JMIR FORM RES</t>
  </si>
  <si>
    <t>JMIR Form. Res.</t>
  </si>
  <si>
    <t>e75929</t>
  </si>
  <si>
    <t>10.2196/75929</t>
  </si>
  <si>
    <t>http://dx.doi.org/10.2196/75929</t>
  </si>
  <si>
    <t>W1823</t>
  </si>
  <si>
    <t>41343761</t>
  </si>
  <si>
    <t>WOS:001639344900031</t>
  </si>
  <si>
    <t>Welton, LL; Gunderson, MA; Rajamani, G; Liu, Y; Trang, K; Weaver, L; Troester, AM; Zhang, R; Gaertner, WB; Welton, ML; Wick, EC; Melton, GB</t>
  </si>
  <si>
    <t>UT</t>
  </si>
  <si>
    <t>Back to Record</t>
  </si>
  <si>
    <t>Field</t>
  </si>
  <si>
    <t>BACKGROUND:Chat Generative Pre-trained Transformer, an artificial intelligence large language model chatbot, transforms how patients obtain information regarding health concerns, including sensitive questions.OBJECTIVE:To assess and compare the accuracy, completeness, and consistency of answers by Chat Generative Pre-trained Transformer-3.5, -4, -5, and -5 Plus to common questions regarding fecal incontinence.DESIGN:Thirty questions, written in lay language and based on American Society of Colon and Rectal Surgeons Clinical Practice Guidelines for fecal incontinence, were presented in sequential order twice to all Chat Generative Pre-trained Transformer versions. Question categories included general/background, diagnosis, treatment, and miscellaneous. Three board-certified professors of colorectal surgery with expertise treating fecal incontinence rated the answers "yes" or "no" for accuracy, completeness, and consistency with guidelines. A "no" prompted a free-text response. Quantitative and qualitative analysis was performed.SETTINGS:Chat Generative Pre-trained Transformer-3.5, -4, -5 (free access), and -5 Plus (paid subscription).PATIENTS:Patients with fecal incontinence were included.INTERVENTION:Patient questions.MAIN OUTCOME MEASURES:Accuracy, completeness, and consistency with practice guidelines.RESULTS:Reviewers rated 61% of answers accurate, 65% complete, and 68% consistent for Chat Generative Pre-trained Transformer-3.5; 72%, 73%, and 69% for Chat Generative Pre-trained Transformer-4; 50%, 73%, 68% for Chat Generative Pre-trained Transformer-5 Free; and 83%, 95%, and 82% for Chat Generative Pre-trained Transformer-5 Plus, respectively. Three questions triggered content warning by Chat Generative Pre-trained Transformer, flagging them as inappropriate and terminating the chat. Qualitative analyses revealed 10 emergent subthemes; the most frequent was inaccuracy of treatment recommendations.LIMITATIONS:The current set of chatbots is not intended for medical use.CONCLUSIONS:No version of Chat Generative Pre-trained Transformer provided answers that were entirely accurate, complete, or consistent with clinical practice guidelines; however, the paid version performed markedly better than the other versions. Analysis of Chat Generative Pre-trained Transformer-5 Free versus Plus highlighted a dimension of disparity introduced by paywall-contingent model performance. Our study emphasizes the necessity for patient and provider education on the benefits and pitfalls of this technology regarding health information. See Video Abstract.&amp;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laquo;no&amp;Se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laquo;no&amp;Se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las(data truncated to fit)</t>
  </si>
  <si>
    <t>Welton, Lindsay L.; Gunderson, Melissa A.; Rajamani, Geetanjali; Liu, Ying; Trang, Karen; Weaver, Lauren; Troester, Alexander M.; Zhang, Rui; Gaertner, Wolfgang B.; Welton, Mark L.; Wick, Elizabeth C.; Melton, Genevieve B.</t>
  </si>
  <si>
    <t>Melton, GB (corresponding author), Univ Minnesota, Inst Hlth Informat, Ctr Learning Hlth Syst Sci, Div Colorectal Surg ,Dept Surg,Sch Med, 420 Delaware St SE, Minneapolis, MN 55455 USA.</t>
  </si>
  <si>
    <t>liux0395@umn.edu; mwelton.md@gmail.com; gaert015@umn.edu; gmelton@umn.edu; geeta21@stanford.edu; gund0303@umn.edu; karen.Trang3@ucsf.edu; ruizhang@umn.edu; weave500@umn.edu; troes012@umn.edu; Elizabeth.Wick@ucsf.edu</t>
  </si>
  <si>
    <t>Agency for Healthcare Research and Quality and Patient-Centered Outcomes Research Institute [P30HS02744]</t>
  </si>
  <si>
    <t>Agency for Healthcare Research and Quality and Patient-Centered Outcomes Research Institute (Patient-Centered Outcomes Research Institute (PCORI))</t>
  </si>
  <si>
    <t>Funding/Support: Drs. Welton, Gunderson, and Melton were supported by the Agency for Healthcare Research and Quality and Patient-Centered Outcomes Research Institute (P30HS02744) grant.</t>
  </si>
  <si>
    <t>[Welton, Lindsay L.; Gunderson, Melissa A.; Liu, Ying; Weaver, Lauren; Troester, Alexander M.; Zhang, Rui; Gaertner, Wolfgang B.; Welton, Mark L.; Melton, Genevieve B.] Univ Minnesota, Dept Surg, Minneapolis, MN USA; [Welton, Lindsay L.; Gunderson, Melissa A.; Melton, Genevieve B.] Univ Minnesota, Ctr Learning Hlth Syst Sci, Minneapolis, MN USA; [Rajamani, Geetanjali] Univ Minnesota, Med Sch, Minneapolis, MN USA; [Trang, Karen; Wick, Elizabeth C.] Univ Calif San Francisco, Dept Surg, San Francisco, CA USA; [Gaertner, Wolfgang B.; Melton, Genevieve B.] Univ Minnesota, Div Colon &amp; Rectal Surg, Minneapolis, MN USA; [Melton, Genevieve B.] Univ Minnesota, Inst Hlth Informat, Minneapolis, MN USA</t>
  </si>
  <si>
    <t>University of Minnesota System; University of Minnesota Twin Cities; University of Minnesota System; University of Minnesota Twin Cities; University of Minnesota System; University of Minnesota Twin Cities; University of California System; University of California San Francisco; University of Minnesota System; University of Minnesota Twin Cities; University of Minnesota System; University of Minnesota Twin Cities</t>
  </si>
  <si>
    <t>Are Chat Generative Pre-trained Transformer Answers to Patient Questions Regarding Fecal Incontinence Accurate, Complete, and Consistent With the American Society of Colorectal Surgeons Clinical Practice Guidelines?</t>
  </si>
  <si>
    <t>DISEASES OF THE COLON &amp; RECTUM</t>
  </si>
  <si>
    <t>Artificial intelligence; Fecal incontinence; Clinical Practice Guidelines; Patient education</t>
  </si>
  <si>
    <t>COLON</t>
  </si>
  <si>
    <t>Melton-Meaux, Genevieve/HSE-3064-2023</t>
  </si>
  <si>
    <t>Gunderson, Melissa/0009-0005-8051-8102</t>
  </si>
  <si>
    <t>0012-3706</t>
  </si>
  <si>
    <t>1530-0358</t>
  </si>
  <si>
    <t>DIS COLON RECTUM</t>
  </si>
  <si>
    <t>Dis. Colon Rectum</t>
  </si>
  <si>
    <t>69</t>
  </si>
  <si>
    <t>632</t>
  </si>
  <si>
    <t>641</t>
  </si>
  <si>
    <t>10.1097/DCR.0000000000004092</t>
  </si>
  <si>
    <t>http://dx.doi.org/10.1097/DCR.0000000000004092</t>
  </si>
  <si>
    <t>Gastroenterology &amp; Hepatology; Surgery</t>
  </si>
  <si>
    <t>FU3SZ</t>
  </si>
  <si>
    <t>41459767</t>
  </si>
  <si>
    <t>WOS:001727608600005</t>
  </si>
  <si>
    <t>Spillover 1</t>
  </si>
  <si>
    <t>abstract</t>
  </si>
  <si>
    <t xml:space="preserve">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 &amp; raquo; en funci &amp; oacute;n de su precisi &amp; oacute;n, exhaustividad y coherencia con las directrices. Un &amp; laquo;no &amp; raquo; daba lugar a una respuesta de texto libre. 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translation)&amp; iquest;SON PRECISAS, COMPLETAS Y COHERENTES CON LAS DIRECTRICES DE PR &amp; Aacute;CTICA CL &amp; Iacute;NICA DE LA SOCIEDAD AMERICANA DE CIRUJANOS COLORRECTALES LAS RESPUESTAS DE CHATGPT A LAS PREGUNTAS DE LOS PACIENTES SOBRE LA INCONTINENCIA FECAL?ANTECEDENTES:ChatGPT, un chatbot basado en un modelo de lenguaje grande de inteligencia artificial, transforma la forma en que los pacientes obtienen informaci &amp; oacute;n sobre cuestiones de salud, incluidas preguntas delicadas.OBJETIVO:Evaluar y comparar la precisi &amp; oacute;n, exhaustividad y coherencia de las respuestas de ChatGPT-3.5, 4, 5 y 5 Plus a preguntas frecuentes sobre la incontinencia fecal.DISE &amp; Ntilde;O:Se presentaron treinta preguntas redactadas en lenguaje sencillo, basadas en las directrices de pr &amp; aacute;ctica cl &amp; iacute;nica de la Sociedad Americana de Cirujanos de Colon y Recto para la incontinencia fecal, en orden secuencial y dos veces a todas las versiones de ChatGPT. Las categor &amp; iacute;as de preguntas inclu &amp; iacute;an informaci &amp; oacute;n general/antecedentes, diagn &amp; oacute;stico, tratamiento y miscel &amp; aacute;nea. Tres profesores certificados en cirug &amp; iacute;a colorrectal con experiencia en el tratamiento de la incontinencia fecal calificaron las respuestas con &amp; laquo;s &amp; iacute;&amp; raquo; o &amp; laquo;no&amp;Se realiz &amp; oacute; un an &amp; aacute;lisis cuantitativo y cualitativo.CONFIGURACI &amp; Oacute;N:ChatGPT-3.5, ChatGPT-4, ChatGPT-5 (acceso gratuito), ChatGPT-5 Plus (suscripci &amp; oacute;n de pago)INTERVENCI &amp; Oacute;N:Preguntas de los pacientes.PRINCIPALES MEDIDAS DE RESULTADO:Exactitud, exhaustividad y coherencia con las directrices pr &amp; aacute;cticasRESULTADOS:Los revisores calificaron el 61 % de las respuestas como exactas, el 65 % como completas y el 68 % como coherentes para ChatGPT-3.5, el 72 %, el 73 % y el 69 % para ChatGPT-4, 50 %, 73 % y 68 % para ChatGPT-5 gratuito, y 83 %, 95 % y 82 % para ChatGPT-5, respectivamente. Tres preguntas activaron la advertencia de contenido de ChatGPT, que las marc &amp; oacute; como inapropiadas y termin &amp; oacute; el chat. Los an &amp; aacute;lisis cualitativos revelaron 10 subtemas emergentes; el m &amp; aacute;s frecuente fue la inexactitud de las recomendaciones de tratamiento.LIMITACIONES:El conjunto actual de chatbots no est &amp; aacute; destinado a uso m &amp; eacute;dico.CONCLUSIONES:Ninguna versi &amp; oacute;n de ChatGPT proporcion &amp; oacute; respuestas totalmente precisas, completas o coherentes con las directrices de pr &amp; aacute;ctica cl &amp; iacute;nica, aunque la versi &amp; oacute;n de pago funcion &amp; oacute; notablemente mejor que el resto. El an &amp; aacute;lisis de ChatGPT-5 free frente a Plus puso de relieve una dimensi &amp; oacute;n de disparidad introducida por el rendimiento del modelo dependiente del muro de pago. Nuestro estudio hace hincapi &amp; eacute; en la necesidad de educar a los pacientes y a los proveedores sobre los aspectos positivos y los inconvenientes de esta tecnolog &amp; iacute;a en lo que respecta a la informaci &amp; oacute;n sanitaria. (AI-generated translation)</t>
  </si>
  <si>
    <t>Montastruc, F; Storck, W; de Canecaude, C; Victor, L; Li, JL; Cesbron, C; Zelmat, Y; Barus, R</t>
  </si>
  <si>
    <t>PurposeRecently, there has been a growing interest in using ChatGPT for various applications in Medicine. We evaluated the interest of OpenAI chatbot (GPT 4.0) for drug information activities at Toulouse Pharmacovigilance Center.MethodsBased on a series of 50 randomly selected questions sent to our pharmacovigilance center by healthcare professionals or patients, we compared the level of responses from the chatbot GPT 4.0 with those provided by specialists in pharmacovigilance.ResultsChatbot answers were globally not acceptable. Responses to inquiries regarding the assessment of drug causality were not consistently precise or clinically meaningful.ConclusionThe interest of chatbot assistance needs to be confirmed or rejected through further studies conducted in other pharmacovigilance centers.</t>
  </si>
  <si>
    <t>Montastruc, Francois; Storck, Wilhelm; de Canecaude, Claire; Victor, Lea; Li, Julien; Cesbron, Candice; Zelmat, Yoann; Barus, Romain</t>
  </si>
  <si>
    <t>Barus, R (corresponding author), Toulouse Univ Hosp CHU, Fac Med, Ctr Pharmacovigilance &amp; Pharmacoepidemiol, Dept Med &amp; Clin Pharmacol, Toulouse, France.</t>
  </si>
  <si>
    <t>romain.barus@univ-tlse3.fr</t>
  </si>
  <si>
    <t>[Montastruc, Francois; Storck, Wilhelm; de Canecaude, Claire; Victor, Lea; Li, Julien; Cesbron, Candice; Zelmat, Yoann; Barus, Romain] Toulouse Univ Hosp CHU, Fac Med, Ctr Pharmacovigilance &amp; Pharmacoepidemiol, Dept Med &amp; Clin Pharmacol, Toulouse, France</t>
  </si>
  <si>
    <t>Communaute d'universites et etablissements de Toulouse (Comue); Universite de Toulouse (EPE); CHU de Toulouse</t>
  </si>
  <si>
    <t>Will artificial intelligence chatbots replace clinical pharmacologists? An exploratory study in clinical practice</t>
  </si>
  <si>
    <t>EUROPEAN JOURNAL OF CLINICAL PHARMACOLOGY</t>
  </si>
  <si>
    <t>ChatGPT; Drug information service; Safety; Pharmacovigilance; Adverse drug reaction</t>
  </si>
  <si>
    <t>Montastruc, Francois/KBC-7136-2024</t>
  </si>
  <si>
    <t>Zelmat, Yoann/0000-0001-6289-2567</t>
  </si>
  <si>
    <t>TIERGARTENSTRASSE 17, D-69121 HEIDELBERG, GERMANY</t>
  </si>
  <si>
    <t>0031-6970</t>
  </si>
  <si>
    <t>1432-1041</t>
  </si>
  <si>
    <t>EUR J CLIN PHARMACOL</t>
  </si>
  <si>
    <t>Eur. J. Clin. Pharmacol.</t>
  </si>
  <si>
    <t>OCT 2023</t>
  </si>
  <si>
    <t>79</t>
  </si>
  <si>
    <t>1375</t>
  </si>
  <si>
    <t>1384</t>
  </si>
  <si>
    <t>10.1007/s00228-023-03547-8</t>
  </si>
  <si>
    <t>http://dx.doi.org/10.1007/s00228-023-03547-8</t>
  </si>
  <si>
    <t>AUG 2023</t>
  </si>
  <si>
    <t>R8WQ7</t>
  </si>
  <si>
    <t>37566133</t>
  </si>
  <si>
    <t>WOS:001046617300001</t>
  </si>
  <si>
    <t>Safran, E; Yildirim, S</t>
  </si>
  <si>
    <t>BackgroundAI models like ChatGPT have the potential to support musculoskeletal rehabilitation by providing clinical insights. However, their alignment with evidence-based guidelines needs evaluation before integration into physiotherapy practice.ObjectiveTo evaluate the performance of ChatGPT (GPT-4 model) in generating responses to musculoskeletal rehabilitation queries by comparing its recommendations with evidence-based clinical practice guidelines (CPGs).DesignThis study was designed as a cross-sectional observational study.MethodsTwenty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category.ResultsChatGPT's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improvement.ConclusionsThis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scenarios.Clinical trial numberNot applicable.</t>
  </si>
  <si>
    <t>Safran, Ertugrul; Yildirim, Sefa</t>
  </si>
  <si>
    <t>Safran, E (corresponding author), Bezmialem Vakif Univ, Fac Hlth Sci, Dept Physiotherapy &amp; Rehabil, Istanbul, Turkiye.</t>
  </si>
  <si>
    <t>syildirim@bezmialem.edu.tr; esafran@bezmialem.edu.tr</t>
  </si>
  <si>
    <t>[Safran, Ertugrul; Yildirim, Sefa] Bezmialem Vakif Univ, Fac Hlth Sci, Dept Physiotherapy &amp; Rehabil, Istanbul, Turkiye; [Yildirim, Sefa] Istanbul Medipol Univ, Inst Hlth Sci, Dept Physiotherapy &amp; Rehabil, Istanbul, Turkiye</t>
  </si>
  <si>
    <t>Bezmialem Vakif University; Istanbul Medipol University</t>
  </si>
  <si>
    <t>A cross-sectional study on ChatGPT's alignment with clinical practice guidelines in musculoskeletal rehabilitation</t>
  </si>
  <si>
    <t>BMC MUSCULOSKELETAL DISORDERS</t>
  </si>
  <si>
    <t>Artificial intelligence; Guideline adherence; Musculoskeletal rehabilitation; Natural Language processing</t>
  </si>
  <si>
    <t>INTERNATIONAL-CLASSIFICATION; ORTHOPEDIC SECTION; PAIN; DISABILITY; HEALTH; MANAGEMENT</t>
  </si>
  <si>
    <t>Safran, Ertugrul/JQX-2119-2023</t>
  </si>
  <si>
    <t>Safran, Ertugrul/0000-0002-6835-5428</t>
  </si>
  <si>
    <t>1471-2474</t>
  </si>
  <si>
    <t>BMC MUSCULOSKEL DIS</t>
  </si>
  <si>
    <t>BMC Musculoskelet. Disord.</t>
  </si>
  <si>
    <t>APR 24 2025</t>
  </si>
  <si>
    <t>411</t>
  </si>
  <si>
    <t>10.1186/s12891-025-08650-8</t>
  </si>
  <si>
    <t>http://dx.doi.org/10.1186/s12891-025-08650-8</t>
  </si>
  <si>
    <t>Orthopedics; Rheumatology</t>
  </si>
  <si>
    <t>1WP8Y</t>
  </si>
  <si>
    <t>40275229</t>
  </si>
  <si>
    <t>WOS:001475396600005</t>
  </si>
  <si>
    <t>Gan, WY; Liu, YK; Lin, AQ; Tang, BF; Jiang, AM; Qi, C; Zhu, LX; Mou, WM; Zeng, DQ; Xiao, MJ; Chu, GD; Liu, ZQ; Xie, JR; Chen, Q; Zhang, YY; Luo, P</t>
  </si>
  <si>
    <t>Background Artificial intelligence chatbots (AI-chatbots) are increasingly being applied in the medical field; however, their specific utilization in Chinese medical education and practice remains poorly understood. This study aims to systematically analyze the perception and utilization of AI-chatbots among Chinese medical students, explore potential factors influencing their effectiveness, and provide recommendations for policy development and technological optimization. Methods This cross-sectional study utilized an electronic questionnaire distributed through multiple channels to collect data from Chinese medical students, with most participants recruited from Guangdong Province, Southern China. The questionnaire assessed demographic characteristics, AI-chatbot usage patterns, attitudes towards their application in clinical, research, and educational domains, and perspectives on potential issues. Data were analyzed using descriptive statistics, independent sample t-tests, chi-square tests, Wilcoxon rank-sum tests, Logistic regressions and Pearson correlation analyses. Results Among 414 respondents, 53.6% had used AI-chatbots, primarily ChatGPT (58%). AI-chatbots were favored for research (36.5%) and education (40.1%), with limited use in clinical practice (4.5%). Users' evaluations of AI-chatbots in research and education were significantly more positive than those of non-users. Use frequency, time, and attention to updates demonstrated significant positive correlations with positive responses (P &lt; 0.05). Information accuracy emerged as a top concern, with over 65% of respondents indicating the urgency for a solution. Conclusion Our findings indicate that AI-chatbots are widely utilized particularly in research and educational-related domains among Chinese medical students, with our sample most recruited from Southern China. However, the implementation of AI-chatbots in clinical practice continues to face significant challenges. Medical students exhibit a cautiously optimistic attitude towards AI-chatbots, acknowledging their potential while remaining cognizant of associated risks. Future research should prioritize investigating the safety and efficacy of AI-chatbots in clinical practice, as well as exploring optimal strategies for their integration into the medical education curriculum.</t>
  </si>
  <si>
    <t>Gan, Wenyi; Liu, Yukang; Lin, Anqi; Tang, Bufu; Jiang, Aimin; Qi, Chang; Zhu, Lingxuan; Mou, Weiming; Zeng, Dongqiang; Xiao, Mingjia; Chu, Guangdi; Liu, Zaoqu; Xie, Jiarui; Chen, Quan; Zhang, Yiyi; Luo, Peng</t>
  </si>
  <si>
    <t>Luo, P (corresponding author), Southern Med Univ, Zhujiang Hosp, Dept Oncol, Guangzhou 510282, Guangdong, Peoples R China.</t>
  </si>
  <si>
    <t>luopeng@smu.edu.cn</t>
  </si>
  <si>
    <t>[Gan, Wenyi] Jinan Univ, Zhuhai Peoples Hosp,Zhuhai Clin Med Coll, Affiliated Hosp Beijing Inst Technol, Dept Joint Surg &amp; Sports Med, Guangzhou, Guangdong, Peoples R China; [Liu, Yukang; Lin, Anqi; Zhu, Lingxuan; Xie, Jiarui; Luo, Peng] Southern Med Univ, Zhujiang Hosp, Dept Oncol, Guangzhou 510282, Guangdong, Peoples R China; [Liu, Yukang] Southern Med Univ, Sch Clin Med 2, Guangzhou, Peoples R China; [Tang, Bufu] Fudan Univ, Zhongshan Hosp, Dept Radiat Oncol, Shanghai, Peoples R China; [Jiang, Aimin] Naval Med Univ, Mil Med Univ 2, Changhai Hosp, Dept Urol, Shanghai, Peoples R China; [Qi, Chang] Univ Hong Kong, Hong Kong, Peoples R China; [Mou, Weiming] Shanghai Jiao Tong Univ, Sch Med, Shanghai Gen Hosp, Dept Urol, Shanghai, Peoples R China; [Zeng, Dongqiang] Southern Med Univ, Nanfang Hosp, Dept Oncol, Guangzhou, Peoples R China; [Zeng, Dongqiang] South China Univ Technol, Affiliated Hosp 6, Canc Ctr, Sch Med, Foshan, Peoples R China; [Xiao, Mingjia] Wenzhou Med Univ, Quzhou Peoples Hosp, Hepatobiliary Surg Dept, Quzhou, Peoples R China; [Chu, Guangdi] Qingdao Univ, Affiliated Hosp, Dept Urol, Qingdao, Peoples R China; [Chu, Guangdi] Qingdao Univ, Qingdao Med Coll, Qingdao, Peoples R China; [Liu, Zaoqu] Chinese Acad Med Sci &amp; Peking Union Med Coll, Inst Basic Med Sci, Dept Pathophysiol, Beijing 100730, Peoples R China; [Chen, Quan] Cent South Univ, Xiangya Hosp, Dept Neurosurg, Changsha, Hunan, Peoples R China; [Chen, Quan] Cent South Univ, Xiangya Hosp, Natl Clin Res Ctr Geriatr Disorders, Changsha, Hunan, Peoples R China; [Zhang, Yiyi] South China Normal Univ, Sch Educ, Guangzhou 510631, Peoples R China; [Zhang, Yiyi] Jinan Univ, Affiliated Hosp 1, Guangzhou 510630, Peoples R China</t>
  </si>
  <si>
    <t>Jinan University; Southern Medical University - China; Southern Medical University - China; Fudan University; Naval Medical University; University of Hong Kong; Shanghai Jiao Tong University; Southern Medical University - China; South China University of Technology; Wenzhou Medical University; Qingdao University; Qingdao University; Chinese Academy of Medical Sciences - Peking Union Medical College; Institute of Basic Medical Sciences - CAMS; Peking Union Medical College; Central South University; Central South University; South China Normal University; Jinan University</t>
  </si>
  <si>
    <t>Deciphering AI-chatbots utilization in clinical practice, research and education among Chinese medical students in generative AI era: a cross-sectional study</t>
  </si>
  <si>
    <t>BMC MEDICAL EDUCATION</t>
  </si>
  <si>
    <t>Generative AI; Chatbot; Clinical practice; Research; Education</t>
  </si>
  <si>
    <t>CHATGPT; BENEFITS; RISKS</t>
  </si>
  <si>
    <t>Mou, Weiming/GRY-0057-2022; Chu, Guangdi/AED-1835-2022; Luo, Peng/I-4790-2019</t>
  </si>
  <si>
    <t>1472-6920</t>
  </si>
  <si>
    <t>BMC MED EDUC</t>
  </si>
  <si>
    <t>BMC Med. Educ.</t>
  </si>
  <si>
    <t>APR 22 2026</t>
  </si>
  <si>
    <t>905</t>
  </si>
  <si>
    <t>10.1186/s12909-026-09084-z</t>
  </si>
  <si>
    <t>http://dx.doi.org/10.1186/s12909-026-09084-z</t>
  </si>
  <si>
    <t>Education &amp; Educational Research; Education, Scientific Disciplines</t>
  </si>
  <si>
    <t>IZ9PI</t>
  </si>
  <si>
    <t>42021208</t>
  </si>
  <si>
    <t>WOS:001784332200007</t>
  </si>
  <si>
    <t>Tessler, I; Wolfovitz, A; Alon, EE; Gecel, NA; Livneh, N; Zimlichman, E; Klang, E</t>
  </si>
  <si>
    <t>ObjectivesLarge language models, including ChatGPT, has the potential to transform the way we approach medical knowledge, yet accuracy in clinical topics is critical. Here we assessed ChatGPT's performance in adhering to the American Academy of Otolaryngology-Head and Neck Surgery guidelines.MethodsWe presented ChatGPT with 24 clinical otolaryngology questions based on the guidelines of the American Academy of Otolaryngology. This was done three times (N=72) to test the model's consistency. Two otolaryngologists evaluated the responses for accuracy and relevance to the guidelines. Cohen's Kappa was used to measure evaluator agreement, and Cronbach's alpha assessed the consistency of ChatGPT's responses.ResultsThe study revealed mixed results; 59.7% (43/72) of ChatGPT's responses were highly accurate, while only 2.8% (2/72) directly contradicted the guidelines. The model showed 100% accuracy in Head and Neck, but lower accuracy in Rhinology and Otology/Neurotology (66%), Laryngology (50%), and Pediatrics (8%). The model's responses were consistent in 17/24 (70.8%), with a Cronbach's alpha value of 0.87, indicating a reasonable consistency across tests.ConclusionsUsing a guideline-based set of structured questions, ChatGPT demonstrates consistency but variable accuracy in otolaryngology. Its lower performance in some areas, especially Pediatrics, suggests that further rigorous evaluation is needed before considering real-world clinical use.</t>
  </si>
  <si>
    <t>Tessler, Idit; Wolfovitz, Amit; Alon, Eran E.; Gecel, Nir A.; Livneh, Nir; Zimlichman, Eyal; Klang, Eyal</t>
  </si>
  <si>
    <t>Tessler, I (corresponding author), Sheba Med Ctr, Dept Otolaryngol &amp; Head &amp; Neck Surg, Ramat Gan, Israel.; Tessler, I (corresponding author), Tel Aviv Univ, Sch Med, Tel Aviv, Israel.; Tessler, I (corresponding author), Sheba Med Ctr, ARC Innovat Ctr, Ramat Gan, Israel.</t>
  </si>
  <si>
    <t>idit.tessler@gmail.com</t>
  </si>
  <si>
    <t>[Tessler, Idit; Wolfovitz, Amit; Alon, Eran E.; Livneh, Nir] Sheba Med Ctr, Dept Otolaryngol &amp; Head &amp; Neck Surg, Ramat Gan, Israel; [Tessler, Idit; Wolfovitz, Amit; Alon, Eran E.; Gecel, Nir A.; Livneh, Nir; Zimlichman, Eyal] Tel Aviv Univ, Sch Med, Tel Aviv, Israel; [Tessler, Idit; Zimlichman, Eyal] Sheba Med Ctr, ARC Innovat Ctr, Ramat Gan, Israel; [Zimlichman, Eyal] Sheba Talpiot Med Leadership Program, Ramat Gan, Israel; [Zimlichman, Eyal] Hosp Management, Sheba Med Ctr, Ramat Gan, Israel; [Klang, Eyal] Icahn Sch Med Mt Sinai, Div Data Driven &amp; Digital Med D3M, New York, NY 10029 USA</t>
  </si>
  <si>
    <t>Chaim Sheba Medical Center; Tel Aviv University; Sackler Faculty of Medicine; Tel Aviv University; Sackler Faculty of Medicine; Chaim Sheba Medical Center; Tel Aviv University; Chaim Sheba Medical Center; Tel Aviv University; Icahn School of Medicine at Mount Sinai</t>
  </si>
  <si>
    <t>ChatGPT's adherence to otolaryngology clinical practice guidelines</t>
  </si>
  <si>
    <t>EUROPEAN ARCHIVES OF OTO-RHINO-LARYNGOLOGY</t>
  </si>
  <si>
    <t>ChatGPT; Otolaryngology; Clinical practice guidelines; Artificial intelligence; Medical knowledge</t>
  </si>
  <si>
    <t>HEALTH</t>
  </si>
  <si>
    <t>Alon, Eran/MIQ-4134-2025; Livneh, Nir/PLD-2767-2026; Tessler, Idit/AAP-5664-2021</t>
  </si>
  <si>
    <t>Gecel, Nir Abraham/0000-0002-3468-3191; Klang, Eyal/0000-0002-4567-3108</t>
  </si>
  <si>
    <t>0937-4477</t>
  </si>
  <si>
    <t>1434-4726</t>
  </si>
  <si>
    <t>EUR ARCH OTO-RHINO-L</t>
  </si>
  <si>
    <t>Eur. Arch. Oto-Rhino-Laryn.</t>
  </si>
  <si>
    <t>JUL 2024</t>
  </si>
  <si>
    <t>3829</t>
  </si>
  <si>
    <t>3834</t>
  </si>
  <si>
    <t>10.1007/s00405-024-08634-9</t>
  </si>
  <si>
    <t>http://dx.doi.org/10.1007/s00405-024-08634-9</t>
  </si>
  <si>
    <t>APR 2024</t>
  </si>
  <si>
    <t>Otorhinolaryngology</t>
  </si>
  <si>
    <t>WX5J9</t>
  </si>
  <si>
    <t>38647684</t>
  </si>
  <si>
    <t>WOS:001206063600001</t>
  </si>
  <si>
    <t>Maniaci, A; Lazzeroni, M; Cozzi, A; Fraccaroli, F; Gaffuri, M; Chiesa-Estomba, C; Capaccio, P</t>
  </si>
  <si>
    <t>Objective The purpose of this study was to assess how well ChatGPT, an AI-powered chatbot, performed in helping to manage pediatric sialadenitis and identify when sialendoscopy was necessary. Methods 49 clinical cases of pediatric sialadenitis were retrospectively reviewed. ChatGPT was given patient data, and it offered differential diagnoses, proposed further tests, and suggested treatments. The decisions made by the treating otolaryngologists were contrasted with the answers provided by ChatGPT. Analysis was done on ChatGPT response consistency and interrater reliability. Results ChatGPT showed 78.57% accuracy in primary diagnosis, and 17.35% of cases were considered likely. On the other hand, otolaryngologists recommended fewer further examinations than ChatGPT (111 vs. 60, p &lt; 0.001). For additional exams, poor agreement was found between ChatGPT and otolaryngologists. Only 28.57% of cases received a pertinent and essential treatment plan via ChatGPT, indicating that the platform's treatment recommendations were frequently lacking. For treatment ratings, judges' interrater reliability was greatest (Kendall's tau = 0.824, p &lt; 0.001). For the most part, ChatGPT's response constancy was high. Conclusions Although ChatGPT has the potential to correctly diagnose pediatric sialadenitis, there are a number of noteworthy limitations with regard to its ability to suggest further testing and treatment regimens. Before widespread clinical use, more research and confirmation are required. To guarantee that chatbots are utilized properly and effectively to supplement human expertise rather than to replace it, a critical viewpoint is required.</t>
  </si>
  <si>
    <t>Maniaci, Antonino; Lazzeroni, Matteo; Cozzi, Anna; Fraccaroli, Francesca; Gaffuri, Michele; Chiesa-Estomba, Carlos; Capaccio, Pasquale</t>
  </si>
  <si>
    <t>Maniaci, A (corresponding author), Univ Enna Kore, Fac Med &amp; Surg, I-94100 Enna, Italy.</t>
  </si>
  <si>
    <t>antonino.maniaci@unikore.it; michele.gaffuri@unimi.it; chiesaestomba86@gmail.com; matteo.lazzeroni@unimi.it; anna.cozzi@unimi.it; francesca.fraccaroli@unimi.it; pasquale.capaccio@unimi.it</t>
  </si>
  <si>
    <t>[Maniaci, Antonino] Univ Enna Kore, Fac Med &amp; Surg, I-94100 Enna, Italy; [Lazzeroni, Matteo] Fdn IRCCS CaGranda Osped Maggiore Policlin, Dept Otolaryngol &amp; Head &amp; Neck Surg, Milan, Italy; [Lazzeroni, Matteo] Fdn IRCCS CaGranda Osped Maggiore Policlin, Dept Clin Sci &amp; Community, Milan, Italy; [Cozzi, Anna; Fraccaroli, Francesca; Gaffuri, Michele; Capaccio, Pasquale] Univ Milan, St Paolo &amp; Carlo Hosp, Dept Hlth Sci, Otolaryngol Unit, I-20142 Milan, Italy; [Chiesa-Estomba, Carlos] San Sebastian Univ Hosp, Dept Otolaryngol Head &amp; Neck Surg, San Sebastian, Spain</t>
  </si>
  <si>
    <t>Universita Kore di ENNA; IRCCS Ca Granda Ospedale Maggiore Policlinico; IRCCS Ca Granda Ospedale Maggiore Policlinico; University of Milan</t>
  </si>
  <si>
    <t>Can chatbots enhance the management of pediatric sialadenitis in clinical practice?</t>
  </si>
  <si>
    <t>Pediatric sialadenitis; Artificial intelligence chatbot; ChatGPT; Clinical decision support; Sialendoscopy</t>
  </si>
  <si>
    <t>SIALENDOSCOPY; DISORDERS; PAROTITIS</t>
  </si>
  <si>
    <t>Lazzeroni, Matteo/HQY-4903-2023; MANIACI, ANTONINO/AAB-6004-2021; Gaffuri, Michele/AAA-8054-2021</t>
  </si>
  <si>
    <t>Lazzeroni, Matteo/0000-0001-7380-565X; Fraccaroli, Francesca/0009-0003-4191-612X; MANIACI, ANTONINO/0000-0002-1251-0185</t>
  </si>
  <si>
    <t>6133</t>
  </si>
  <si>
    <t>6140</t>
  </si>
  <si>
    <t>10.1007/s00405-024-08798-4</t>
  </si>
  <si>
    <t>http://dx.doi.org/10.1007/s00405-024-08798-4</t>
  </si>
  <si>
    <t>K4D4L</t>
  </si>
  <si>
    <t>38955859</t>
  </si>
  <si>
    <t>WOS:001261161900001</t>
  </si>
  <si>
    <t>Zhou, YK; Xiong, WR; Liu, HY; Wang, QL; Luo, HB; Yang, YY; Liu, SJ; Long, Y</t>
  </si>
  <si>
    <t>Background The public release of DeepSeek marked a key turning point for generative artificial intelligence (GAI) uptake in China. This study assessed the so-called "DeepSeek effect" on Chinese academic critical care physicians (defined as clinicians with formal concurrent clinical, educational and research duties), comparing changes in self-reported GAI proficiency, clinical practice integration and structured training before and after the model's launch. Methods We conducted a national online convenience cross-sectional study of two independent physician cohorts from Chinese tertiary hospitals: a pre-DeepSeek cohort surveyed in December 2024 (n = 456), and a post-DeepSeek cohort surveyed in December 2025 (n = 372). Validated questionnaires were used to evaluate GAI knowledge, usage and ethical perceptions. Multivariate logistic regression and exact tests were applied to analyze links between training programs and self-reported professional competence. Results Self-reported GAI usage rose significantly from 64.7 to 94.1% after DeepSeek's release (p &lt; 0.001), driven by technical advances of domestic models and improved accessibility. In contrast, formal GAI training participation remained persistently low (13.2% vs. 13.7%, p = 0.84). Less than 30% of trained physicians completed structured training, which was strongly associated with enhanced self-reported professional competence (adjusted odds ratio [AOR] = 22.2, 95% confidence interval [CI]: 1.6-305.6, p = 0.021). Surveyed physicians also prioritized critical integration skills over basic technical proficiency (OR = 16.3, 95% CI: 3.6-73.3, p &lt; 0.001). Conclusion The "DeepSeek effect" drove near-universal GAI adoption, but revealed a stark adoption-integration gap with no corresponding gains in self-reported professional competence. Preliminary exploratory data suggest that multidimensional structured training may be a promising associated factor to bridge this gap. GAI implementation efforts must shift from promoting basic uptake to building structured training frameworks for safe, effective, critically appraised clinical integration.</t>
  </si>
  <si>
    <t>Zhou, Yuankai; Xiong, Wanrong; Liu, Huiying; Wang, Qianlin; Luo, Hongbo; Yang, Yingying; Liu, Shengjun; Long, Yun</t>
  </si>
  <si>
    <t>Long, Y (corresponding author), Peking Union Med Coll Hosp, Dept Crit Care Med, Beijing, Peoples R China.</t>
  </si>
  <si>
    <t>longyun_gap@163.com</t>
  </si>
  <si>
    <t>National High-Level Hospital Clinical Research Funding [2022-PUMCH-D-005]; CAMS Innovation Fund for Medical Sciences (CIFMS) from the Chinese Academy of Medical Sciences [2021-I2M-1-062]; Central University Education and Teaching Reform Special Funding of Peking Union Medical College [2023zlgl022]</t>
  </si>
  <si>
    <t>National High-Level Hospital Clinical Research Funding; CAMS Innovation Fund for Medical Sciences (CIFMS) from the Chinese Academy of Medical Sciences (CAMS Innovation Fund for Medical Sciences (CIFMS)); Central University Education and Teaching Reform Special Funding of Peking Union Medical College</t>
  </si>
  <si>
    <t>The author(s) declared that financial support was received for this work and/or its publication. This research was supported by the National High-Level Hospital Clinical Research Funding (2022-PUMCH-D-005), the CAMS Innovation Fund for Medical Sciences (CIFMS) from the Chinese Academy of Medical Sciences (2021-I2M-1-062), and the Central University Education and Teaching Reform Special Funding of Peking Union Medical College in 2023 (2023zlgl022).</t>
  </si>
  <si>
    <t>[Zhou, Yuankai; Wang, Qianlin; Luo, Hongbo; Yang, Yingying; Liu, Shengjun; Long, Yun] Peking Union Med Coll Hosp, Dept Crit Care Med, Beijing, Peoples R China; [Xiong, Wanrong; Liu, Huiying] Peking Union Med Coll Hosp, Dept Hlth Care, Beijing, Peoples R China</t>
  </si>
  <si>
    <t>Chinese Academy of Medical Sciences - Peking Union Medical College; Peking Union Medical College Hospital; Chinese Academy of Medical Sciences - Peking Union Medical College; Peking Union Medical College Hospital</t>
  </si>
  <si>
    <t>The "DeepSeek effect" and the adoption-integration gap of generative artificial intelligence in clinical practice: a national online convenience cross-sectional survey of academic critical care physicians in China</t>
  </si>
  <si>
    <t>clinical implementation; clinical informatics; critical care medicine; generative artificial intelligence; medical education</t>
  </si>
  <si>
    <t>JUN 23 2026</t>
  </si>
  <si>
    <t>1875770</t>
  </si>
  <si>
    <t>10.3389/fmed.2026.1875770</t>
  </si>
  <si>
    <t>http://dx.doi.org/10.3389/fmed.2026.1875770</t>
  </si>
  <si>
    <t>KR4HX</t>
  </si>
  <si>
    <t>42415807</t>
  </si>
  <si>
    <t>WOS:001813818000001</t>
  </si>
  <si>
    <t>Gigola, F; Amato, T; Del Riccio, M; Raffaele, A; Morabito, A; Coletta, R</t>
  </si>
  <si>
    <t>Objectives The aim of this study was to compare the performances of residents and ChatGPT in answering validated questions and assess paediatric surgery residents' acceptance, perceptions and readiness to integrate artificial intelligence (AI) into clinical practice. Methods We conducted a cross-sectional study using randomly selected questions and clinical cases on paediatric surgery topics. We examined residents' acceptance of AI before and after comparing their results to ChatGPT's results using the Unified Theory of Acceptance and Use of Technology 2 (UTAUT2) model. Data analysis was performed using Jamovi V.2.4.12.0. Results 30 residents participated. ChatGPT-4.0's median score was 13.75, while ChatGPT-3.5's was 8.75. The median score among residents was 8.13. Differences appeared statistically significant. ChatGPT outperformed residents specifically in definition questions (ChatGPT-4.0 vs residents, p&lt;0.0001; ChatGPT-3.5 vs residents, p=0.03). In the UTAUT2 Questionnaire, respondents expressed a more positive evaluation of ChatGPT with higher mean values for each construct and lower fear of technology after learning about test scores. Discussion ChatGPT performed better than residents in knowledge-based questions and simple clinical cases. The accuracy of ChatGPT declined when confronted with more complex questions. The UTAUT questionnaire results showed that learning about the potential of ChatGPT could lead to a shift in perception, resulting in a more positive attitude towards AI. Conclusion Our study reveals residents' positive receptivity towards AI, especially after being confronted with its efficacy. These results highlight the importance of integrating AI-related topics into medical curricula and residency to help future physicians and surgeons better understand the advantages and limitations of AI.</t>
  </si>
  <si>
    <t>Gigola, Francesca; Amato, Tommaso; Del Riccio, Marco; Raffaele, Alessandro; Morabito, Antonino; Coletta, Riccardo</t>
  </si>
  <si>
    <t>Gigola, F (corresponding author), Univ Florence, Sch Pediat Surg, Florence, Italy.</t>
  </si>
  <si>
    <t>riccardo.coletta@unifi.it; marco.delriccio@unifi.it; antonino.morabito@unifi.it; tommaso.amato@unifi.it; francesca.gigola@unifi.it; a.raffaele@smatteo.pv.it</t>
  </si>
  <si>
    <t>[Gigola, Francesca; Amato, Tommaso] Univ Florence, Sch Pediat Surg, Florence, Italy; [Del Riccio, Marco] Univ Florence, Dept Hlth Sci, Florence, Italy; [Raffaele, Alessandro] IRCCS Policlin San Matteo Pavia, Dept Maternal &amp; Child Hlth, Pavia, Italy; [Raffaele, Alessandro] Univ Pavia, Dept Clin Surg Diagnost &amp; Pediat Sci, Pavia, Italy; [Morabito, Antonino; Coletta, Riccardo] Univ Florence, Dept Neurosci Psychol, Florence, Italy; [Morabito, Antonino; Coletta, Riccardo] Meyer Childrens Hosp IRCCS, Dept Paediat Surg, Florence, Italy</t>
  </si>
  <si>
    <t>University of Florence; University of Florence; IRCCS Fondazione San Matteo; University of Pavia; University of Florence</t>
  </si>
  <si>
    <t>Artificial intelligence in clinical practice: a cross-sectional survey of paediatric surgery residents' perspectives</t>
  </si>
  <si>
    <t>Artificial intelligence; Machine Learning; Deep Learning; Informatics</t>
  </si>
  <si>
    <t>INFORMATION-TECHNOLOGY; SKILL; ACCEPTANCE; CHATGPT</t>
  </si>
  <si>
    <t>Raffaele, Alessandro/AAA-8764-2019; Coletta, Riccardo/AAB-2022-2019; DEL RICCIO, MARCO/ABB-3559-2020</t>
  </si>
  <si>
    <t>Amato, Tommaso/0009-0008-5967-2502; Morabito, Antonino/0000-0002-5323-3620; Gigola, Francesca/0000-0001-6732-4243</t>
  </si>
  <si>
    <t>MAY 20 2025</t>
  </si>
  <si>
    <t>e101456</t>
  </si>
  <si>
    <t>10.1136/bmjhci-2025-101456</t>
  </si>
  <si>
    <t>http://dx.doi.org/10.1136/bmjhci-2025-101456</t>
  </si>
  <si>
    <t>2WQ4P</t>
  </si>
  <si>
    <t>40398897</t>
  </si>
  <si>
    <t>WOS:001493082700001</t>
  </si>
  <si>
    <t>Lu, LZ; Zhu, YL; Yang, JK; Yang, YT; Ye, JW; Ai, SS; Zhou, Q</t>
  </si>
  <si>
    <t>To explore the attitudes of healthcare professionals and the public on applying ChatGPT in clinical practice. The successful application of ChatGPT in clinical practice depends on technical performance and critically on the attitudes and perceptions of non-healthcare and healthcare. This study has a qualitative design based on artificial intelligence. This study was divided into five steps: data collection, data cleaning, validation of relevance, sentiment analysis, and content analysis using the K-means algorithm. This study comprised 3130 comments amounting to 1,593,650 words. The dictionary method showed positive and negative emotions such as anger, disgust, fear, sadness, surprise, good, and happy emotions. Healthcare professionals prioritized ChatGPT's efficiency but raised ethical and accountability concerns, while the public valued its accessibility and emotional support but expressed worries about privacy and misinformation. Bridging these perspectives by improving reliability, safeguarding privacy, and clearly defining ChatGPT's role is essential for its practical and ethical integration into clinical practice.</t>
  </si>
  <si>
    <t>Lu, Lizhen; Zhu, Yueli; Yang, Jiekai; Yang, Yuting; Ye, Junwei; Ai, Shanshan; Zhou, Qi</t>
  </si>
  <si>
    <t>Zhou, Q (corresponding author), Integrated Tradit &amp; Western Med Hosp Linping Dist, Hangzhou 311100, Peoples R China.</t>
  </si>
  <si>
    <t>1670550181@qq.com</t>
  </si>
  <si>
    <t>[Lu, Lizhen; Zhu, Yueli; Ye, Junwei; Ai, Shanshan; Zhou, Qi] Integrated Tradit &amp; Western Med Hosp Linping Dist, Hangzhou 311100, Peoples R China; [Yang, Jiekai; Yang, Yuting] Zhejiang Univ, Affiliated Hosp 4, Sch Med, Dept Nursing, Yiwu 322000, Peoples R China; [Yang, Jiekai; Yang, Yuting] Zhejiang Univ, Int Inst Med, Int Sch Med, Yiwu 322000, Peoples R China</t>
  </si>
  <si>
    <t>Zhejiang University; Zhejiang University</t>
  </si>
  <si>
    <t>Healthcare professionals and the public sentiment analysis of ChatGPT in clinical practice</t>
  </si>
  <si>
    <t>Artificial intelligence; Medicine; Clinical competence; Attitude; ChatGPT</t>
  </si>
  <si>
    <t>ATTITUDES; MEDICINE</t>
  </si>
  <si>
    <t>Ai, Shanshan/JEZ-3445-2023</t>
  </si>
  <si>
    <t>Zhou, Qi/0009-0009-1641-6522; Yang, Jiekai/0009-0000-2303-7517</t>
  </si>
  <si>
    <t>JAN 7 2025</t>
  </si>
  <si>
    <t>1223</t>
  </si>
  <si>
    <t>10.1038/s41598-024-84512-y</t>
  </si>
  <si>
    <t>http://dx.doi.org/10.1038/s41598-024-84512-y</t>
  </si>
  <si>
    <t>R7H3Q</t>
  </si>
  <si>
    <t>39774168</t>
  </si>
  <si>
    <t>WOS:001393111000025</t>
  </si>
  <si>
    <t>Braga, AVNM; Nunes, NC; Santos, EN; Veiga, ML; Braga, AANM; de Abreu, GE; de Bessa, J Jr; Braga, LH; Kirsch, AJ; Barroso, U Jr</t>
  </si>
  <si>
    <t>Purpouse: One of the many artificial intelligence based tools that has gained popularity is the Chat -Generative Pre -Trained Transformer (ChatGPT). Due to its popularity, incorrect information provided by ChatGPT will have an impact on patient misinformation. Furthermore, it may cause misconduct as ChatGPT can mislead physicians on the decision -making pathway. Therefore, the aim of this study is to evaluate the accuracy and reproducibility of ChatGPT answers regarding urological diagnoses. Materials and Methods: ChatGPT 3.5 version was used. The questions asked for the program involved Primary Megaureter (pMU), Enuresis and Vesicoureteral Reflux (VUR). There were three queries for each topic. The queries were inserted twice, and both responses were recorded to examine the reproducibility of ChatGPT's answers. Afterwards, both answers were combined. Finally, those rwere evaluated qualitatively by a board of three specialists. A descriptive analysis was performed. Results and Conclusion: ChatGPT simulated general knowledge on the researched topics. Regarding Enuresis, the provided definition was partially correct, as the generic response allowed for misinterpretation. For VUR, the response was considered appropriate. For pMU it was partially correct, lacking essential aspects of its definition such as the diameter of the dilatation of the ureter. Unnecessary exams were suggested, for Enuresis and pMU. Regarding the treatment of the conditions mentioned, it specified treatments for Enuresis that are ineffective, such as bladder training. Therefore, ChatGPT responses present a combination of accurate information, but also incomplete, ambiguous and, occasionally, misleading details.</t>
  </si>
  <si>
    <t>Braga, Antonio Vitor Nascimento Martinelli; Nunes, Noel Charlles; Santos, Emanoel Nascimento; Veiga, Maria Luiza; Braga, Ana Aparecida Nascimento Martinelli; de Abreu, Glicia Estevam; de Bessa Jr, Jose; Braga, Luis Henrique; Kirsch, Andrew J.; Barroso Jr, Ubirajara</t>
  </si>
  <si>
    <t>Braga, AVNM (corresponding author), Rua Alberto Valenca 148-1203, BR-41810825 Salvador, BA, Brazil.</t>
  </si>
  <si>
    <t>antoniobraga21.1@bahiana.edu.br</t>
  </si>
  <si>
    <t>[Braga, Antonio Vitor Nascimento Martinelli; Nunes, Noel Charlles; Santos, Emanoel Nascimento; Veiga, Maria Luiza; Braga, Ana Aparecida Nascimento Martinelli; de Abreu, Glicia Estevam; Barroso Jr, Ubirajara] Escola Bahiana Med &amp; Saude Publ, Ctr Disturbios Urinarios Infantis CEDIMI, Salvador, BA, Brazil; [de Bessa Jr, Jose] Univ Estadual Feira de Santana, Fac Med, Feira De Santana, BA, Brazil; [Braga, Luis Henrique] McMaster Univ, Hamilton, ON, Canada; [Kirsch, Andrew J.] Pediat Urol, Childrens Healthcare Atlanta, Atlanta, GA USA; [Kirsch, Andrew J.] Emory Univ, Sch Med, Atlanta, GA USA; [Braga, Antonio Vitor Nascimento Martinelli] Rua Alberto Valenca 148-1203, BR-41810825 Salvador, BA, Brazil</t>
  </si>
  <si>
    <t>Escola Bahiana de Medicina e Saude Publica; Universidade Estadual de Feira de Santana; McMaster University; Children's Healthcare of Atlanta (CHOA); Emory University</t>
  </si>
  <si>
    <t>Use of ChatGPT in Urology and its Relevance in Clinical Practice: Is it useful?</t>
  </si>
  <si>
    <t>INTERNATIONAL BRAZ J UROL</t>
  </si>
  <si>
    <t>Urology; Vesico-Ureteral Reflux; Cakut [Supplementary Concept]</t>
  </si>
  <si>
    <t>Nascimento Martinelli Braga, Antonio Vitor/AAJ-5147-2020; Braga, Luis/AAQ-7778-2021; Bessa Junior, Jose/L-5957-2013</t>
  </si>
  <si>
    <t>Nascimento Martinelli Braga, Antonio Vitor/0000-0001-8240-7418</t>
  </si>
  <si>
    <t>BRAZILIAN SOC UROL</t>
  </si>
  <si>
    <t>RIO DE JANEIRO</t>
  </si>
  <si>
    <t>RUA BAMBINA, 153, RIO DE JANEIRO, 2251-050, BRAZIL</t>
  </si>
  <si>
    <t>1677-5538</t>
  </si>
  <si>
    <t>1677-6119</t>
  </si>
  <si>
    <t>INT BRAZ J UROL</t>
  </si>
  <si>
    <t>Int. Braz J Urol</t>
  </si>
  <si>
    <t>MAR-APR 2024</t>
  </si>
  <si>
    <t>192</t>
  </si>
  <si>
    <t>198</t>
  </si>
  <si>
    <t>10.1590/S1677-5538.IBJU.2023.0570</t>
  </si>
  <si>
    <t>http://dx.doi.org/10.1590/S1677-5538.IBJU.2023.0570</t>
  </si>
  <si>
    <t>Urology &amp; Nephrology</t>
  </si>
  <si>
    <t>KH0O3</t>
  </si>
  <si>
    <t>38386789</t>
  </si>
  <si>
    <t>WOS:001178951200009</t>
  </si>
  <si>
    <t>Ho, RA; Shaari, AL; Cowan, PT; Yan, K</t>
  </si>
  <si>
    <t>Objective Evaluate the quality of responses from Chat Generative Pre-Trained Transformer (ChatGPT) models compared to the answers for "Frequently Asked Questions" (FAQs) from the American Academy of Otolaryngology-Head and Neck Surgery (AAO-HNS) Clinical Practice Guidelines (CPG) for M &amp; eacute;ni &amp; egrave;re's disease (MD). Study DesignComparative analysis. Setting The AAO-HNS CPG for MD includes FAQs that clinicians can give to patients for MD-related questions. The ability of ChatGPT to properly educate patients regarding MD is unknown. Methods ChatGPT-3.5 and 4.0 were each prompted with 16 questions from the MD FAQs. Each response was rated in terms of (1) comprehensiveness, (2) extensiveness, (3) presence of misleading information, and (4) quality of resources. Readability was assessed using Flesch-Kincaid Grade Level (FKGL) and Flesch Reading Ease Score (FRES). ResultsChatGPT-3.5 was comprehensive in 5 responses whereas ChatGPT-4.0 was comprehensive in 9 (31.3% vs 56.3%, P = .2852). ChatGPT-3.5 and 4.0 were extensive in all responses (P = 1.0000). ChatGPT-3.5 was misleading in 5 responses whereas ChatGPT-4.0 was misleading in 3 (31.3% vs 18.75%, P = .6851). ChatGPT-3.5 had quality resources in 10 responses whereas ChatGPT-4.0 had quality resources in 16 (62.5% vs 100%, P = .0177). AAO-HNS CPG FRES (62.4 +/- 16.6) demonstrated an appropriate readability score of at least 60, while both ChatGPT-3.5 (39.1 +/- 7.3) and 4.0 (42.8 +/- 8.5) failed to meet this standard. All platforms had FKGL means that exceeded the recommended level of 6 or lower. Conclusion While ChatGPT-4.0 had significantly better resource reporting, both models have room for improvement in being more comprehensive, more readable, and less misleading for patients.</t>
  </si>
  <si>
    <t>Ho, Rebecca A.; Shaari, Ariana L.; Cowan, Paul T.; Yan, Kenneth</t>
  </si>
  <si>
    <t>Yan, K (corresponding author), Doctors Off Ctr DOC, 90 Bergen St Suite 8100, Newark, NJ 07101 USA.</t>
  </si>
  <si>
    <t>ky286@njms.rutgers.edu</t>
  </si>
  <si>
    <t>[Ho, Rebecca A.; Shaari, Ariana L.; Cowan, Paul T.; Yan, Kenneth] Rutgers New Jersey Med Sch, Dept Otolaryngol Head &amp; Neck Surg, Newark, NJ USA</t>
  </si>
  <si>
    <t>Rutgers University System; Rutgers University New Brunswick; Rutgers University Biomedical &amp; Health Sciences</t>
  </si>
  <si>
    <t>ChatGPT Responses to Frequently Asked Questions on Meniere's Disease: A Comparison to Clinical Practice Guideline Answers</t>
  </si>
  <si>
    <t>OTO OPEN</t>
  </si>
  <si>
    <t>artificial intelligence; Clinical Practice Guidelines; Meniere's disease; patient education</t>
  </si>
  <si>
    <t>IMPACT</t>
  </si>
  <si>
    <t>Cowan, Paul/OEO-5643-2025; Shaari, Ariana/GZM-7443-2022</t>
  </si>
  <si>
    <t>Ho, Rebecca/0009-0001-2728-722X; Cowan, Paul/0009-0004-0089-5665; Shaari, Ariana/0000-0003-2611-6418</t>
  </si>
  <si>
    <t>2473-974X</t>
  </si>
  <si>
    <t>OTO Open</t>
  </si>
  <si>
    <t>JUL 5 2024</t>
  </si>
  <si>
    <t>e163</t>
  </si>
  <si>
    <t>10.1002/oto2.163</t>
  </si>
  <si>
    <t>http://dx.doi.org/10.1002/oto2.163</t>
  </si>
  <si>
    <t>XQ5C7</t>
  </si>
  <si>
    <t>38974175</t>
  </si>
  <si>
    <t>WOS:001263149000001</t>
  </si>
  <si>
    <t>Oleck, NC; Naga, HI; Nichols, DS; Morris, MX; Dhingra, B; Patel, A</t>
  </si>
  <si>
    <t>ChatGPT is a cutting-edge language model developed by OpenAI with the potential to impact all facets of plastic surgery from research to clinical practice. New applications for ChatGPT are emerging at a rapid pace in both the scientific literature and popular media. It is important for clinicians to understand the capabilities and limitations of these tools before patient-facing implementation. In this article, the authors explore some of the technical details behind ChatGPT: what it is, and what it is not. As with any emerging technology, attention should be given to the ethical and health equity implications of this technology on our plastic surgery patients. The authors explore these concerns within the framework of the foundational principles of biomedical ethics: patient autonomy, nonmaleficence, beneficence, and justice. ChatGPT and similar intelligent conversation agents have incredible promise in the field of plastic surgery but should be used cautiously and sparingly in their current form. To protect patients, it is imperative that societal guidelines for the safe use of this rapidly developing technology are developed.</t>
  </si>
  <si>
    <t>Oleck, Nicholas C.; Naga, Hani I.; Nichols, D. Spencer; Morris, Miranda X.; Dhingra, Bhuwan; Patel, Ash</t>
  </si>
  <si>
    <t>Patel, A (corresponding author), Duke Univ, Med Ctr, 40 Duke Med Circle, Durham, NC 27710 USA.</t>
  </si>
  <si>
    <t>ash.patel@duke.edu</t>
  </si>
  <si>
    <t>[Oleck, Nicholas C.; Naga, Hani I.; Nichols, D. Spencer; Morris, Miranda X.; Patel, Ash] Duke Univ, Med Ctr, Div Plast Maxillofacial &amp; Oral Surg, Durham, NC 27710 USA; [Dhingra, Bhuwan] Duke Univ, Dept Comp Sci, Durham, NC 27710 USA; [Patel, Ash] Duke Univ, Med Ctr, 40 Duke Med Circle, Durham, NC 27710 USA</t>
  </si>
  <si>
    <t>Duke University; Duke University; Duke University</t>
  </si>
  <si>
    <t>Navigating the Ethical Landmines of ChatGPT: Implications of Intelligent Chatbots in Plastic Surgery Clinical Practice</t>
  </si>
  <si>
    <t>PLASTIC AND RECONSTRUCTIVE SURGERY-GLOBAL OPEN</t>
  </si>
  <si>
    <t>Patel, Ashit/GWC-2718-2022; Naga, Hani/MSW-6219-2025</t>
  </si>
  <si>
    <t>Nichols, D. Spencer/0000-0003-4657-7844; Morris, Miranda/0000-0002-0310-2171; Patel, Ashit/0000-0002-8384-190X</t>
  </si>
  <si>
    <t>2169-7574</t>
  </si>
  <si>
    <t>PRS-GLOB OPEN</t>
  </si>
  <si>
    <t>PRS-GLOB. OPEN</t>
  </si>
  <si>
    <t>SEP 2023</t>
  </si>
  <si>
    <t>e5290</t>
  </si>
  <si>
    <t>10.1097/GOX.0000000000005290</t>
  </si>
  <si>
    <t>http://dx.doi.org/10.1097/GOX.0000000000005290</t>
  </si>
  <si>
    <t>R7TB5</t>
  </si>
  <si>
    <t>38152714</t>
  </si>
  <si>
    <t>WOS:001066332300001</t>
  </si>
  <si>
    <t>Reynolds, G; Cooper, E</t>
  </si>
  <si>
    <t>Purpose: Speech-language pathologists (SLPs) in the school setting need to efficiently locate, evaluate, and utilize research evidence in their clinical practice. This tutorial provides resources focused on the foundational aspects of evidencebased practice (EBP) and its application for SLPs to implement research into clinical practice. Method: This tutorial (a) reviews study design and discusses clinical questions best suited to each; (b) provides key tips for extracting information from main sections of research articles; (c) discusses the use of generative artificial intelligence (AI) as a clinical and research tool, including actionable steps and examples for using AI in EBP; and (d) provides detailed strategies to increase interaction with research beyond reading articles. Results: School-based SLPs can utilize the information and strategies provided to increase their confidence in evaluating research literature, applying information, and incorporating resources from research articles into their clinical practice. Conclusions: This tutorial equips school-based SLPs with actionable steps and concrete tools to increase ease and efficiency of applying research evidence into clinical practice. It provides guidance on different study designs, practical strategies to review research articles, and a case study demonstrating these strategies as well as discusses the potential use of AI to support clinicians in generating clinical questions and the steps of the EBP process.</t>
  </si>
  <si>
    <t>Reynolds, Gabriella; Cooper, Ellie</t>
  </si>
  <si>
    <t>Reynolds, G (corresponding author), Long Isl Univ Post, Brookville, NY 11548 USA.</t>
  </si>
  <si>
    <t>gabriella.reynolds@liu.edu</t>
  </si>
  <si>
    <t>[Reynolds, Gabriella] Long Isl Univ Post, Brookville, NY 11548 USA; [Cooper, Ellie] Univ St Augustine Hlth Sci, Dallas, TX USA</t>
  </si>
  <si>
    <t>Enhancing Clinical Practice Through Research: Tools for School-Based Speech-Language Pathologists</t>
  </si>
  <si>
    <t>LANGUAGE SPEECH AND HEARING SERVICES IN SCHOOLS</t>
  </si>
  <si>
    <t>ARTIFICIAL-INTELLIGENCE; INTERVENTION; PUBLICATION; PREVALENCE; DISORDERS; LITERACY</t>
  </si>
  <si>
    <t>74</t>
  </si>
  <si>
    <t>AMER SPEECH-LANGUAGE-HEARING ASSOC</t>
  </si>
  <si>
    <t>ROCKVILLE</t>
  </si>
  <si>
    <t>2200 RESEARCH BLVD, #271, ROCKVILLE, MD 20850-3289 USA</t>
  </si>
  <si>
    <t>0161-1461</t>
  </si>
  <si>
    <t>1558-9129</t>
  </si>
  <si>
    <t>LANG SPEECH HEAR SER</t>
  </si>
  <si>
    <t>Lang. Speech Hear. Serv. Sch.</t>
  </si>
  <si>
    <t>57</t>
  </si>
  <si>
    <t>661</t>
  </si>
  <si>
    <t>673</t>
  </si>
  <si>
    <t>10.1044/2026_LSHSS-25-00086</t>
  </si>
  <si>
    <t>http://dx.doi.org/10.1044/2026_LSHSS-25-00086</t>
  </si>
  <si>
    <t>Audiology &amp; Speech-Language Pathology; Linguistics; Rehabilitation</t>
  </si>
  <si>
    <t>LZ1RT</t>
  </si>
  <si>
    <t>41879366</t>
  </si>
  <si>
    <t>WOS:001836695400001</t>
  </si>
  <si>
    <t>Gianola, S; Bargeri, S; Castellini, G; Cook, C; Palese, A; Pillastrini, P; Salvalaggio, S; Turolla, A; Rossettini, G</t>
  </si>
  <si>
    <t>OBJECTIVE: To compare the accuracy of an artificial intelligence chatbot to clinical practice guidelines (CPGs) recommendations for providing answers to complex clinical questions on lumbosacral radicular pain. DESIGN: Cross-sectional study. METHODS: We extracted recommendations from recent CPGs for diagnosing and treating lumbosacral radicular pain. Relative clinical questions were developed and queried to OpenAI's ChatGPT (GPT-3.5). We compared ChatGPT answers to CPGs recommendations by assessing the (1) internal consistency of ChatGPT answers by measuring the percentage of text wording similarity when a clinical question was posed 3 times, (2) reliability between 2 independent reviewers in grading ChatGPT answers, and (3) accuracy of ChatGPT answers compared to CPGs recommendations. Reliability was estimated using Fleiss' kappa (kappa) coefficients, and accuracy by interobserver agreement as the frequency of the agreements among all judgments. RESULTS: We tested 9 clinical questions. The internal consistency of text ChatGPT answers was unacceptable across all 3 trials in all clinical questions (mean percentage of 49%, standard deviation of 15). Intrareliability (reviewer 1: kappa = 0.90, standard error [SE] = 0.09; reviewer 2: kappa = 0.90, SE = 0.10) and interreliability (kappa = 0.85, SE = 0.15) between the 2 reviewers was "almost perfect." Accuracy between ChatGPT answers and CPGs recommendations was slight, demonstrating agreement in 33% of recommendations. CONCLUSION: ChatGPT performed poorly in internal consistency and accuracy of the indications generated compared to clinical practice guideline recommendations for lumbosacral radicular pain.</t>
  </si>
  <si>
    <t>Gianola, Silvia; Bargeri, Silvia; Castellini, Greta; Cook, Chad; Palese, Alvisa; Pillastrini, Paolo; Salvalaggio, Silvia; Turolla, Andrea; Rossettini, Giacomo</t>
  </si>
  <si>
    <t>Gianola, S (corresponding author), IRCCS Ist Ortoped Galeazzi, Unit Clin Epidemiol, Milan, Italy.</t>
  </si>
  <si>
    <t>silvia.gianola@grupposandonato.it</t>
  </si>
  <si>
    <t>Italian Ministry of Health - "Ricerca Corrente"</t>
  </si>
  <si>
    <t>Italian Ministry of Health - "Ricerca Corrente" (Ministry of Health, Italy)</t>
  </si>
  <si>
    <t>This study was supported and funded by the Italian Ministry of Health - "Ricerca Corrente." The APC was funded by Italian Ministry of Health - "Ricerca Corrente." The funding source had no controlling role in the study design, data collection, analysis and interpretation, or writing. The authors certify that they have no affiliations with or financial involvement in any organization or entity with a direct financial interest in the subject matter or materials discussed in the article.</t>
  </si>
  <si>
    <t>[Gianola, Silvia; Bargeri, Silvia; Castellini, Greta] IRCCS Ist Ortoped Galeazzi, Unit Clin Epidemiol, Milan, Italy; [Cook, Chad] Duke Univ, Dept Orthopaed, Durham, NC USA; [Cook, Chad] Duke Univ, Duke Clin Res Inst, Durham, NC USA; [Cook, Chad] Duke Univ, Dept Populat Hlth Sci, Durham, NC USA; [Palese, Alvisa] Univ Udine, Dept Med Sci, Udine, Italy; [Pillastrini, Paolo; Turolla, Andrea] Alma Mater Univ Bologna, Dept Biomed &amp; Neuromotor Sci DIBINEM, Bologna, Italy; [Pillastrini, Paolo; Turolla, Andrea] IRCCS Azienda Osped Univ Bologna, Unit Occupat Med, Bologna, Italy; [Salvalaggio, Silvia] IRCCS San Camillo Hosp, Lab Computat Neuroimaging, Venice, Italy; [Salvalaggio, Silvia] Univ Padua, Padova Neurosci Ctr, Padua, Italy; [Rossettini, Giacomo] Univ Europea Madrid, Fac Sport Sci, Musculoskeletal Pain &amp; Motor Control Res Grp, Madrid 28670, Spain; [Rossettini, Giacomo] Univ Europea Canarias, Fac Hlth Sci, Musculoskeletal Pain &amp; Motor Control Res Grp, Tenerife 38300, Canary Islands, Spain; [Rossettini, Giacomo] Univ Rome Sapienza Roma, Dept Human Neurosci, Rome, Italy; [Rossettini, Giacomo] Univ Verona, Sch Physiotherapy, Verona, Italy</t>
  </si>
  <si>
    <t>IRCCS Istituto Ortopedico Galeazzi; Duke University; Duke University; Duke University; University of Udine; University of Bologna; IRCCS Azienda Ospedaliero-Universitaria di Bologna; IRCCS Ospedale San Camillo; University of Padua; European University of Madrid; European University of the Canary Islands; University of Verona</t>
  </si>
  <si>
    <t>Performance of ChatGPT Compared to Clinical Practice Guidelines in Making Informed Decisions for Lumbosacral Radicular Pain: A Cross-sectional Study</t>
  </si>
  <si>
    <t>JOURNAL OF ORTHOPAEDIC &amp; SPORTS PHYSICAL THERAPY</t>
  </si>
  <si>
    <t>artificial intelligence; ChatGPT; machine learning; musculoskeletal; natural language processing; orthopaedics</t>
  </si>
  <si>
    <t>LOW-BACK-PAIN; CONSENSUS; COSMIN</t>
  </si>
  <si>
    <t>Turolla, Andrea/IAR-5542-2023; Gianola, Silvia/S-7883-2016; Bargeri, Silvia/AAA-2505-2021; Salvalaggio, Silvia/AEW-2651-2022; Palese, Alvisa/J-9427-2015; Pillastrini, Paolo/R-4901-2016; Rossettini, Giacomo/AED-4026-2022; Castellini, Giovanni/C-6425-2017</t>
  </si>
  <si>
    <t>Salvalaggio, Silvia/0000-0002-8838-0399; Castellini, Giovanni/0000-0003-1265-491X</t>
  </si>
  <si>
    <t>J O S P T</t>
  </si>
  <si>
    <t>ALEXANDRIA</t>
  </si>
  <si>
    <t>1111 NORTH FAIRFAX ST, STE 100, ALEXANDRIA, VA 22314-1436 USA</t>
  </si>
  <si>
    <t>0190-6011</t>
  </si>
  <si>
    <t>1938-1344</t>
  </si>
  <si>
    <t>J ORTHOP SPORT PHYS</t>
  </si>
  <si>
    <t>J. Orthop. Sports Phys. Ther.</t>
  </si>
  <si>
    <t>MAR 2024</t>
  </si>
  <si>
    <t>54</t>
  </si>
  <si>
    <t>222</t>
  </si>
  <si>
    <t>228</t>
  </si>
  <si>
    <t>10.2519/jospt.2024.12151</t>
  </si>
  <si>
    <t>http://dx.doi.org/10.2519/jospt.2024.12151</t>
  </si>
  <si>
    <t>Orthopedics; Rehabilitation; Sport Sciences</t>
  </si>
  <si>
    <t>OJ9C3</t>
  </si>
  <si>
    <t>38284363</t>
  </si>
  <si>
    <t>WOS:001207010800002</t>
  </si>
  <si>
    <t>Zahir, L; Hussian, L; Zia, W; Haider, I</t>
  </si>
  <si>
    <t>Background &amp; Objective: Artificial intelligence (AI) is transforming various industries, including healthcare. ChatGPT, introduced by OpenAI, is an advanced AI model with potential applications in medical practice. However, its reliability and effectiveness in clinical settings remain under investigation. This study explored the perspectives of healthcare professionals regarding the integration of ChatGPT in clinical practice, focusing on perceptions, expectations, and implications. Methodology: A qualitative study was conducted at Khyber Teaching Hospital, Peshawar from 15th September 2023 till 30th June 2024, using semi-structured interviews with a total of 17 clinical faculty members. The study primarily utilizes an inductive methodology, concentrating on the extraction and analysis of the contextual insights obtained from comprehensive, face-to-face interviews conducted with consultants in diverse medical fields at Khyber Teaching Hospital. Thematic analysis was performed to identify key insights. Results: Clinicians demonstrated varied awareness of ChatGPT, with some utilizing it for research purposes while others remained unfamiliar. Concerns regarding credibility, ethical considerations, and the potential for AI-driven misinformation were highlighted. While ChatGPT was viewed as a supportive tool in clinical workflows, reliance on AI for decision-making was questioned. Future integration requires structured implementation, training, and regulatory measures for AI. Participants emphasized the need for structured implementation, which includes safe incorporation of ChatGPT into clinical practice, formal training should enhance digital literacy and critical evaluation skills. AI tools should be incorporated into electronic medical records (EMRs) with real-time clinician oversight. A compact ethical and legal guidelines should be made to define responsibility, and pilot testing in controlled settings. Conclusion: ChatGPT holds promise for clinical practice, yet its adoption necessitates cautious implementation, clinician training, and regulatory oversight to ensure safe and ethical usage.</t>
  </si>
  <si>
    <t>Zahir, Laiba; Hussian, Laloona; Zia, Wahab; Haider, Iqbal</t>
  </si>
  <si>
    <t>Haider, I (corresponding author), Khyber Teaching Hosp, MTI KTH, Peshawar, Pakistan.</t>
  </si>
  <si>
    <t>driqbalhaiderkth@gmail.com</t>
  </si>
  <si>
    <t>Khyber Medical College, Peshawar</t>
  </si>
  <si>
    <t>The authors of this study acknowledge the contributions of Ms. Urooj Fatima and Ms. Zarka Zahid of fourth year MBBS Students of KMC Peshawar who have effectively contributed by conducting interviews from the study participants. The authors are also grateful to the clinical faculty of Khyber Teaching Hospital (MTI/KTH) Peshawar for their help while they conducted the interviews. The authors acknowledge the use of ChatGPT (OpenAI) to assist with language refinement and idea organization during manuscript preparation. The authors acknowledge the support of Khyber Medical College, Peshawar in publication of this paper.</t>
  </si>
  <si>
    <t>[Zahir, Laiba; Hussian, Laloona] Khyber Med Coll, Peshawar, Pakistan; [Zia, Wahab; Haider, Iqbal] Khyber Teaching Hosp, MTI KTH, Peshawar, Pakistan</t>
  </si>
  <si>
    <t>The role of ChatGPT in clinical practice: perceptions, expectations and future implications amongst the clinical faculty</t>
  </si>
  <si>
    <t>PAKISTAN JOURNAL OF MEDICAL SCIENCES</t>
  </si>
  <si>
    <t>Artificial Intelligence; Clinical Decision Support System; Qualitative Research; Healthcare Technology</t>
  </si>
  <si>
    <t>Haider, Iqbal/0000-0001-7470-2724</t>
  </si>
  <si>
    <t>PROFESSIONAL MEDICAL PUBLICATIONS</t>
  </si>
  <si>
    <t>SADDAR</t>
  </si>
  <si>
    <t>PANORAMA CENTRE, RM 522, 5TH FLOOR, BLDG 2, RAJA GHAZANFAR ALI RD, PO BOX 8766, SADDAR, KARACHI 00000, PAKISTAN</t>
  </si>
  <si>
    <t>1682-024X</t>
  </si>
  <si>
    <t>1681-715X</t>
  </si>
  <si>
    <t>PAK J MED SCI</t>
  </si>
  <si>
    <t>Pak. J. Med. Sci.</t>
  </si>
  <si>
    <t>2441</t>
  </si>
  <si>
    <t>2447</t>
  </si>
  <si>
    <t>10.12669/pjms.41.9.12131</t>
  </si>
  <si>
    <t>http://dx.doi.org/10.12669/pjms.41.9.12131</t>
  </si>
  <si>
    <t>8HN6T</t>
  </si>
  <si>
    <t>41070326</t>
  </si>
  <si>
    <t>WOS:001588821000004</t>
  </si>
  <si>
    <t>Fatima, A; Shafique, MA; Alam, K; Ahmed, TKF; Mustafa, MS</t>
  </si>
  <si>
    <t>Background:ChatGPT, a powerful AI language model, has gained increasing prominence in medicine, offering potential applications in healthcare, clinical decision support, patient communication, and medical research. This systematic review aims to comprehensively assess the applications of ChatGPT in healthcare education, research, writing, patient communication, and practice while also delineating potential limitations and areas for improvement.Method:Our comprehensive database search retrieved relevant papers from PubMed, Medline and Scopus. After the screening process, 83 studies met the inclusion criteria. This review includes original studies comprising case reports, analytical studies, and editorials with original findings.Result:ChatGPT is useful for scientific research and academic writing, and assists with grammar, clarity, and coherence. This helps non-English speakers and improves accessibility by breaking down linguistic barriers. However, its limitations include probable inaccuracy and ethical issues, such as bias and plagiarism. ChatGPT streamlines workflows and offers diagnostic and educational potential in healthcare but exhibits biases and lacks emotional sensitivity. It is useful in inpatient communication, but requires up-to-date data and faces concerns about the accuracy of information and hallucinatory responses.Conclusion:Given the potential for ChatGPT to transform healthcare education, research, and practice, it is essential to approach its adoption in these areas with caution due to its inherent limitations.</t>
  </si>
  <si>
    <t>Fatima, Afia; Shafique, Muhammad Ashir; Alam, Khadija; Ahmed, Tagwa Kalool Fadlalla; Mustafa, Muhammad Saqlain</t>
  </si>
  <si>
    <t>Ahmed, TKF (corresponding author), Ahfad Univ Women, Dept Med, Omdurman 1000, Sudan.</t>
  </si>
  <si>
    <t>khadijahalam.53@gmail.com; tagwakaloolfaldalaahmed@gmail.com; ashirshafique109@gmail.com; msaqlain.mustafa@gmail.com; afiaaesian@gmail.com</t>
  </si>
  <si>
    <t>[Fatima, Afia; Shafique, Muhammad Ashir; Mustafa, Muhammad Saqlain] Jinnah Sindh Med Univ, Dept Med, Karachi, Pakistan; [Alam, Khadija] Liaquat Natl Med Coll, Dept Med, Karachi, Pakistan; [Ahmed, Tagwa Kalool Fadlalla] Ahfad Univ Women, Dept Med, Omdurman 1000, Sudan</t>
  </si>
  <si>
    <t>Jinnah Sindh Medical University - Pakistan</t>
  </si>
  <si>
    <t>ChatGPT in medicine: A cross-disciplinary systematic review of ChatGPT's (artificial intelligence) role in research, clinical practice, education, and patient interaction</t>
  </si>
  <si>
    <t>academic writing; artificial intelligence; ChatGPT; digital health; ethical concerns; language models</t>
  </si>
  <si>
    <t>CONVERSATION; TUBERCULOSIS; PERFORMANCE</t>
  </si>
  <si>
    <t>Fatima, Afia/OTH-7811-2025; Mustafa, Muhammad Saqlain/JPX-1988-2023; Ashir Shafique, Muhammad/IQW-2810-2023</t>
  </si>
  <si>
    <t>Mustafa, Muhammad Saqlain/0000-0002-3067-3543; Alam, Khadija/0009-0000-5041-4410; Fatima, Afia/0009-0003-6206-9433; Ashir Shafique, Muhammad/0000-0001-7420-1292</t>
  </si>
  <si>
    <t>154</t>
  </si>
  <si>
    <t>72</t>
  </si>
  <si>
    <t>0025-7974</t>
  </si>
  <si>
    <t>1536-5964</t>
  </si>
  <si>
    <t>Medicine (Baltimore)</t>
  </si>
  <si>
    <t>AUG 9 2024</t>
  </si>
  <si>
    <t>103</t>
  </si>
  <si>
    <t>e39250</t>
  </si>
  <si>
    <t>10.1097/MD.0000000000039250</t>
  </si>
  <si>
    <t>http://dx.doi.org/10.1097/MD.0000000000039250</t>
  </si>
  <si>
    <t>C2V3E</t>
  </si>
  <si>
    <t>39121303</t>
  </si>
  <si>
    <t>WOS:001287977800091</t>
  </si>
  <si>
    <t>Isik, G; Kafadar-Gürbüz, IA; Elgün, F; Kara, RU; Berber, B; Özgül, S; Günbay, T</t>
  </si>
  <si>
    <t>This study aimed to assess the usefulness of ChatGPT Plus generated responses to clinical-specific questions in oral and maxillofacial surgery. This cross-sectional study was conducted with questions composed according to the Clinical Practise Guide of Ege University, School of Dentistry, and with different subjects of oral and maxillofacial surgery at the undergraduate level. These questions were classified according to their difficulty level (easy, medium, and hard) and inputted into ChatGPT Plus. Three researchers evaluated the responses using a 7-point Likert-type accuracy scale and a modified global quality scale (range: 1-5). Also, error analysis was carried out for the questions scored &lt;= 4 according to the accuracy assessment. A total of 66 questions were enrolled in this study. The questions included dental anesthesia, tooth extraction, preoperative and postoperative complications, suturing, writing prescriptions, and temporomandibular joint examination. The median accuracy score of ChatGPT Plus responses was 5, with 75% of the responses scoring 4 or above. The median quality score was 4, with 75% of the responses scoring 3 or above. There was a significant difference among the 3 difficulty levels, both in accuracy and quality scores (P&lt;0.001 and 0.001, respectively). The median scores of hard-level questions were found to be lower than the easy-level and medium-level questions. The study outcomes emphasized high accuracy and quality in ChatGPT Plus's responses, except for the questions requiring a detailed response or a comment.</t>
  </si>
  <si>
    <t>Isik, Goezde; Kafadar-Gurbuz, Irem A.; Elgun, Fulya; Kara, Remziye U.; Berber, Buse; Ozgul, Semiha; Gunbay, Tayfun</t>
  </si>
  <si>
    <t>Özgül, S (corresponding author), Ege Univ, Sch Med, Dept Biostat &amp; Med Informat, Erzene Ave, TR-35100 Izmir, Turkiye.</t>
  </si>
  <si>
    <t>tayfun.gunbay@ege.edu.tr; gozdech@hotmail.com; buseberbr@icloud.com; iremasyakafadar@gmail.com; fulyaelgunn@gmail.com; remziyeumay123@gmail.com; semihaozgul@hotmail.com</t>
  </si>
  <si>
    <t>Scientific and Technological Research Council of Turkey (TUBITAK)</t>
  </si>
  <si>
    <t>Scientific and Technological Research Council of Turkey (TUBITAK) (Turkiye Bilimsel ve Teknolojik Arastirma Kurumu (TUBITAK))</t>
  </si>
  <si>
    <t>This study received a fund from the Scientific and Technological Research Council of Turkey (TUBITAK), 2209-A project, 2023.</t>
  </si>
  <si>
    <t>[Isik, Goezde; Kafadar-Gurbuz, Irem A.; Elgun, Fulya; Gunbay, Tayfun] Ege Univ, Sch Dent, Dept Oral &amp; Maxillofacial Surg, Izmir, Turkiye; [Kara, Remziye U.; Berber, Buse] Ege Univ, Sch Dent, Izmir, Turkiye; [Ozgul, Semiha] Ege Univ, Sch Med, Dept Biostat &amp; Med Informat, Erzene Ave, TR-35100 Izmir, Turkiye</t>
  </si>
  <si>
    <t>Ege University; Ege University; Ege University</t>
  </si>
  <si>
    <t>Is Artificial Intelligence a Useful Tool for Clinical Practice of Oral and Maxillofacial Surgery?</t>
  </si>
  <si>
    <t>JOURNAL OF CRANIOFACIAL SURGERY</t>
  </si>
  <si>
    <t>Accuracy; artificial intelligence; dental students; oral and maxillofacial surgery; quality</t>
  </si>
  <si>
    <t>AGREEMENT; CHATGPT</t>
  </si>
  <si>
    <t>ışık, gözde/IXD-5618-2023; Günbay, Tayfun/JXX-1227-2024; özgül, semiha/IAN-7051-2023</t>
  </si>
  <si>
    <t>ışık, gözde/0000-0001-9572-3049</t>
  </si>
  <si>
    <t>1049-2275</t>
  </si>
  <si>
    <t>1536-3732</t>
  </si>
  <si>
    <t>J CRANIOFAC SURG</t>
  </si>
  <si>
    <t>J. Craniofac. Surg.</t>
  </si>
  <si>
    <t>558</t>
  </si>
  <si>
    <t>562</t>
  </si>
  <si>
    <t>10.1097/SCS.0000000000010686</t>
  </si>
  <si>
    <t>http://dx.doi.org/10.1097/SCS.0000000000010686</t>
  </si>
  <si>
    <t>Y2U3J</t>
  </si>
  <si>
    <t>39352434</t>
  </si>
  <si>
    <t>WOS:001430734100022</t>
  </si>
  <si>
    <t>Mao, TY; Zhao, X; Jiang, KY; Xie, QY; Yang, MY; Wang, RX; Gao, FW</t>
  </si>
  <si>
    <t>Background With the development of the information age, an increasing number of patients are seeking information about related diseases on the Internet. In the medical field, several studies have confirmed that ChatGPT has great potential for use in medical education, generating imaging reports, and even providing clinical diagnosis and treatment decisions, but its ability to answer questions related to gallstones has not yet been reported in the literature. Objective The aim of this study was to evaluate the consistency and accuracy of ChatGPT-generated answers to clinical questions in cholelithiasis, compared to answers provided by clinical expert. Methods This study designs an answer task based on the clinical practice guidelines for cholelithiasis. The answers are presented in the form of keywords. The questions are categorized into general questions and professional questions. To evaluate the performance of ChatGPT and clinical expert answers, the study employs a modified matching scoring system, a keyword proportion evaluation system, and the DISCERN tool. Results ChatGPT often provides more keywords in its responses, but its accuracy is significantly lower than that of doctors (P &lt; .001). In the evaluation of 33 general questions, ChatGPT and doctors demonstrated similar performance in both the modified matching score system and keyword proportion evaluation (P = .856 and P = .829, respectively). However, in the evaluation of 32 professional questions, doctors consistently outperformed ChatGPT (P = .004 and P = .016). Additionally, while the DISCERN tool showed differences between general and professional questions (P = .001), both types of questions were evaluated at a high level overall. Conclusions Currently, ChatGPT performs similarly to clinical experts in answering general questions related to cholelithiasis. However, it cannot replace clinical experts in professional clinical decision-making. As ChatGPT's performance improves through deep learning, it is expected to become more useful and effective in the field of cholelithiasis. Nevertheless, in more specialized areas, careful attention and continuous evaluation will be necessary to ensure its accuracy, reliability, and safety in the medical field.</t>
  </si>
  <si>
    <t>Mao, Tianyang; Zhao, Xin; Jiang, Kangyi; Xie, Qingyun; Yang, Manyu; Wang, Ruoxuan; Gao, Fengwei</t>
  </si>
  <si>
    <t>Gao, FW (corresponding author), Sichuan Univ, West China Hosp, Liver Transplantat Ctr, State Key Lab Biotherapy &amp; Canc Ctr, 37 Guoxue Lane, Chengdu, Sichuan, Peoples R China.; Gao, FW (corresponding author), Collaborat Innovat Ctr Biotherapy, 37 Guoxue Lane, Chengdu, Sichuan, Peoples R China.</t>
  </si>
  <si>
    <t>Gaofengweigfw8@126.com</t>
  </si>
  <si>
    <t>[Mao, Tianyang; Zhao, Xin; Jiang, Kangyi; Yang, Manyu] Peoples Hosp Leshan, Dept Hepatopancreato Biliary Surg, Leshan, Peoples R China; [Mao, Tianyang; Yang, Manyu; Wang, Ruoxuan] North Sichuan Med Coll, Dept Clin Med, Nanchong, Peoples R China; [Xie, Qingyun; Gao, Fengwei] Sichuan Univ, West China Hosp, Liver Transplantat Ctr, State Key Lab Biotherapy &amp; Canc Ctr, 37 Guoxue Lane, Chengdu, Sichuan, Peoples R China; [Xie, Qingyun; Gao, Fengwei] Collaborat Innovat Ctr Biotherapy, 37 Guoxue Lane, Chengdu, Sichuan, Peoples R China</t>
  </si>
  <si>
    <t>North Sichuan Medical University; Sichuan University</t>
  </si>
  <si>
    <t>A comparison of the responses between ChatGPT and doctors in the field of cholelithiasis based on clinical practice guidelines: a cross-sectional study</t>
  </si>
  <si>
    <t>Cholelithiasis; ChatGPT; guideline; artificial intelligence</t>
  </si>
  <si>
    <t>BILE-DUCT STONES; HEALTH</t>
  </si>
  <si>
    <t>Xie, QingYun/LZI-5228-2025</t>
  </si>
  <si>
    <t>20552076251331804</t>
  </si>
  <si>
    <t>10.1177/20552076251331804</t>
  </si>
  <si>
    <t>http://dx.doi.org/10.1177/20552076251331804</t>
  </si>
  <si>
    <t>1GB9R</t>
  </si>
  <si>
    <t>WOS:001464191900001</t>
  </si>
  <si>
    <t>El-Sayed, A; Lovat, LB; Ahmad, OF</t>
  </si>
  <si>
    <t>Artificial intelligence (AI) is set to rapidly transform gastroenterology, particularly in the field of endoscopy, where algorithms have demonstrated efficacy in addressing human operator variability. However, implementing AI in clinical practice presents significant challenges. The regulatory landscape for AI as a medical device continues to evolve with areas of uncertainty. More robust studies generating real-world evidence are required to ultimately demonstrate impacts on patient outcomes. Costeffectiveness data and reimbursement models will be pivotal for widespread adoption. Novel challenges are posed by emerging technologies, such as generative AI. Ethical and medicolegal concerns exist relating to data governance, patient harm, liability, and bias. This review provides an overview for clinical implementation of AI in gastroenterology and offers potential solutions to current barriers.</t>
  </si>
  <si>
    <t>El-Sayed, Ahmed; Lovat, Laurence B.; Ahmad, Omer F.</t>
  </si>
  <si>
    <t>Ahmad, OF (corresponding author), UCL, Div Surg &amp; Intervent Sci, London W1W 7TS, England.</t>
  </si>
  <si>
    <t>ofahmad123@gmail.com</t>
  </si>
  <si>
    <t>National Institute for Health Research University College London Hospitals Biomedical Research Centre; European Union [101057099]</t>
  </si>
  <si>
    <t>National Institute for Health Research University College London Hospitals Biomedical Research Centre; European Union (European Union (EU))</t>
  </si>
  <si>
    <t>Laurence B. Lovat is funded by the National Institute for Health Research University College London Hospitals Biomedical Research Centre. Omer F. Ahmad was supported by European Union grant no. 101057099.</t>
  </si>
  <si>
    <t>[El-Sayed, Ahmed; Lovat, Laurence B.; Ahmad, Omer F.] UCL, Div Surg &amp; Intervent Sci, London W1W 7TS, England; [Ahmad, Omer F.] Univ Coll London Hosp, Dept Gastrointestinal Serv, London, England</t>
  </si>
  <si>
    <t>University of London; University College London; University of London; University College London; University College London Hospitals NHS Foundation Trust</t>
  </si>
  <si>
    <t>Clinical Implementation of Artificial Intelligence in Gastroenterology: Current Landscape, Regulatory Challenges, and Ethical Issues</t>
  </si>
  <si>
    <t>GASTROENTEROLOGY</t>
  </si>
  <si>
    <t>Endoscopy; Artificial Intelligence; Regulation; Implementation; Gastroenterology</t>
  </si>
  <si>
    <t>COMPUTER-AIDED DETECTION; COST-EFFECTIVENESS; ADENOMA DETECTION; MEDICAL DEVICES; COLONOSCOPY; INTERVENTIONS; CANCER</t>
  </si>
  <si>
    <t>Lovat, Laurence/C-1986-2009; El-Sayed, Ahmed/QUS-9298-2026</t>
  </si>
  <si>
    <t>El-Sayed, Ahmed/0000-0002-5704-7470</t>
  </si>
  <si>
    <t>0016-5085</t>
  </si>
  <si>
    <t>1528-0012</t>
  </si>
  <si>
    <t>Gastroenterology</t>
  </si>
  <si>
    <t>169</t>
  </si>
  <si>
    <t>518</t>
  </si>
  <si>
    <t>530</t>
  </si>
  <si>
    <t>10.1053/j.gastro.2025.01.254</t>
  </si>
  <si>
    <t>http://dx.doi.org/10.1053/j.gastro.2025.01.254</t>
  </si>
  <si>
    <t>Gastroenterology &amp; Hepatology</t>
  </si>
  <si>
    <t>6IY4A</t>
  </si>
  <si>
    <t>40127785</t>
  </si>
  <si>
    <t>WOS:001554469100001</t>
  </si>
  <si>
    <t>hybrid</t>
  </si>
  <si>
    <t>Garcia, AN; Neville, B; Myers, B; Leineke, L; Green, K</t>
  </si>
  <si>
    <t>Purpose: This cross-sectional study evaluated whether Chat Generative Pre-Trained Transformer (ChatGPT) GPT-3.5 and GPT-4O provide treatment information consistent with high-quality clinical practice guidelines (CPGs) for knee osteoarthritis (OA). Methods: High-quality CPGs published in the past decade were identified via PubMed and PEDro, with the search updated on November 11, 2024. Guidelines were appraised using the AGREE II tool. GPT-3.5 and GPT-4O were queried with common treatment-related questions, and their responses were compared to CPG recommendations. Two independent reviewers conducted a thematic content analysis of GPT-3.5 and GPT-4O responses using a deductive-inductive codebook, iteratively refined through consensus, to identify major themes/subthemes, and their frequencies. Consistency between ChatGPT outputs and CPGs was categorized as high agreement (4/4 "yes" responses), moderate (3/4 "yes" responses), or low agreement (2/4 or fewer "yes" responses or 2/4 not reported). Study selection and data extraction were performed independently by two reviewers, with a third reviewer consulted when necessary. Inter-reviewer agreement for data extraction, assessing alignment between ChatGPT and CPGs, was evaluated using the percentage agreement to measure consistency in data identification and categorization. Results: Four high-quality guidelines were identified and analyzed. GPT-3.5 and GPT-4O generated 14 and 10 questions, respectively, yielding 10 themes and 33 subthemes. The 10 themes included: exercise and physical therapy, lifestyle modifications, medications, supplements and herbal remedies, assistive devices, additional therapies, education, consultation, intraarticular injections, and surgical and advanced treatments. Among the subthemes, 6.06% demonstrated high agreement (e.g., low-impact aerobic exercises, patient education), 18.18% moderate agreement (e.g., strengthening, weight management), and 75.75% low agreement across interventions. Excluding the physical therapy-specific CPG increased agreement for treatments such as analgesics, NSAIDs, glucosamine and chondroitin, and intra-articular corticosteroid injections. Conclusion: While GPT-3.5 and GPT-4O demonstrated high or moderate agreement with CPGs for certain themes, most subthemes showed low agreement. A separate analysis excluding a CPG developed specifically for physical therapists modestly improved agreement levels but did not alter the overall pattern. These findings highlight the need for ongoing refinement of AI tools and underscore the importance of clinicians critically evaluating AI-generated content, particularly as patients may increasingly rely on such tools to guide self-management decisions.</t>
  </si>
  <si>
    <t>Garcia, Alessandra N.; Neville, Brian; Myers, Bradley; Leineke, Lori; Green, Karlyn</t>
  </si>
  <si>
    <t>Garcia, AN (corresponding author), Campbell Univ, Buies Creek, NC 27506 USA.</t>
  </si>
  <si>
    <t>[Garcia, Alessandra N.; Neville, Brian; Myers, Bradley; Leineke, Lori; Green, Karlyn] Campbell Univ, Buies Creek, NC 27506 USA</t>
  </si>
  <si>
    <t>Campbell University</t>
  </si>
  <si>
    <t>Agreement of ChatGPT with Clinical Practice Guidelines for Knee Osteoarthritis Treatment</t>
  </si>
  <si>
    <t>INTERNET JOURNAL OF ALLIED HEALTH SCIENCES AND PRACTICE</t>
  </si>
  <si>
    <t>artificial intelligence; clinical practice guidelines; knee osteoarthritis</t>
  </si>
  <si>
    <t>ARTHROPLASTY</t>
  </si>
  <si>
    <t>NOVA SOUTHEASTERN UNIV</t>
  </si>
  <si>
    <t>FORT LAUDERDALE-DAVIE</t>
  </si>
  <si>
    <t>3301 COLLEGE AVE, FORT LAUDERDALE-DAVIE, FL 33314 USA</t>
  </si>
  <si>
    <t>1540-580X</t>
  </si>
  <si>
    <t>INTERNET J ALLIED HE</t>
  </si>
  <si>
    <t>Internet J. Allied Health Sci. Pract.</t>
  </si>
  <si>
    <t>MAR 2026</t>
  </si>
  <si>
    <t>2853</t>
  </si>
  <si>
    <t>Health Care Sciences &amp; Services</t>
  </si>
  <si>
    <t>EW7LQ</t>
  </si>
  <si>
    <t>WOS:001711567000017</t>
  </si>
  <si>
    <t>Dagher, T; Dwyer, EP; Baker, HP; Kalidoss, S; Strelzow, JA</t>
  </si>
  <si>
    <t>BackgroundArtificial intelligence (AI) is engineered to emulate tasks that have historically required human interaction and intellect, including learning, pattern recognition, decision-making, and problem-solving. Although AI models like ChatGPT-4 have demonstrated satisfactory performance on medical licensing exams, suggesting a potential for supporting medical diagnostics and decision-making, no study of which we are aware has evaluated the ability of these tools to make treatment recommendations when given clinical vignettes and representative medical imaging of common orthopaedic conditions. As AI continues to advance, a thorough understanding of its strengths and limitations is necessary to inform safe and helpful integration into medical practice.Questions/purposes(1) What is the concordance between ChatGPT-4-generated treatment recommendations for common orthopaedic conditions with both the American Academy of Orthopaedic Surgeons (AAOS) clinical practice guidelines (CPGs) and an orthopaedic attending physician's treatment plan? (2) In what specific areas do the ChatGPT-4-generated treatment recommendations diverge from the AAOS CPGs?MethodsTen common orthopaedic conditions with associated AAOS CPGs were identified: carpal tunnel syndrome, distal radius fracture, glenohumeral joint osteoarthritis, rotator cuff injury, clavicle fracture, hip fracture, hip osteoarthritis, knee osteoarthritis, ACL injury, and acute Achilles rupture. For each condition, the medical records of 10 deidentified patients managed at our facility were used to construct clinical vignettes that each had an isolated, single diagnosis with adequate clarity. The vignettes also encompassed a range of diagnostic severity to evaluate more thoroughly adherence to the treatment guidelines outlined by the AAOS. These clinical vignettes were presented alongside representative radiographic imaging. The model was prompted to provide a single treatment plan recommendation. Each treatment plan was compared with established AAOS CPGs and to the treatment plan documented by the attending orthopaedic surgeon treating the specific patient. Vignettes where ChatGPT-4 recommendations diverged from CPGs were reviewed to identify patterns of error and summarized.ResultsChatGPT-4 provided treatment recommendations in accordance with the AAOS CPGs in 90% (90 of 100) of clinical vignettes. Concordance between ChatGPT-generated plans and the plan recommended by the treating orthopaedic attending physician was 78% (78 of 100). One hundred percent (30 of 30) of ChatGPT-4 recommendations for fracture vignettes and hip and knee arthritis vignettes matched with CPG recommendations, whereas the model struggled most with recommendations for carpal tunnel syndrome (3 of 10 instances demonstrated discordance). ChatGPT-4 recommendations diverged from AAOS CPGs for three carpal tunnel syndrome vignettes; two ACL injury, rotator cuff injury, and glenohumeral joint osteoarthritis vignettes; as well as one acute Achilles rupture vignette. In these situations, ChatGPT-4 most often struggled to correctly interpret injury severity and progression, incorporate patient factors (such as lifestyle or comorbidities) into decision-making, and recognize a contraindication to surgery.ConclusionChatGPT-4 can generate accurate treatment plans aligned with CPGs but can also make mistakes when it is required to integrate multiple patient factors into decision-making and understand disease severity and progression.Physicians must critically assess the full clinical picture when using AI tools to support their decision-making.Clinical RelevanceChatGPT-4 may be used as an on-demand diagnostic companion, but patient-centered decision-making should continue to remain in the hands of the physician.</t>
  </si>
  <si>
    <t>Dagher, Tanios; Dwyer, Emma P.; Baker, Hayden P.; Kalidoss, Senthooran; Strelzow, Jason A.</t>
  </si>
  <si>
    <t>Dagher, T (corresponding author), Univ Chicago, Dept Orthopaed Surg, 5758 S Maryland Ave,Dept 4B, Chicago, IL 60637 USA.</t>
  </si>
  <si>
    <t>emma.dwyer@uchicagomedicine.org; tanios.dagher@uchicagomedicine.org; hayden.baker@uchicagomedicine.org; Senthooran.Kalidoss@uchicagomedicine.org; jstrelzow@bsd.uchicago.edu</t>
  </si>
  <si>
    <t>[Dagher, Tanios; Dwyer, Emma P.; Baker, Hayden P.; Kalidoss, Senthooran; Strelzow, Jason A.] Univ Chicago, Dept Orthopaed Surg, 5758 S Maryland Ave,Dept 4B, Chicago, IL 60637 USA</t>
  </si>
  <si>
    <t>University of Chicago</t>
  </si>
  <si>
    <t>"Dr. AI Will See You Now": How Do ChatGPT-4 Treatment Recommendations Align With Orthopaedic Clinical Practice Guidelines?</t>
  </si>
  <si>
    <t>CLINICAL ORTHOPAEDICS AND RELATED RESEARCH</t>
  </si>
  <si>
    <t>TOTAL HIP-ARTHROPLASTY; DIRECT ANTERIOR APPROACH; INVASIVE DIRECT ANTERIOR; POSTEROLATERAL APPROACH; MUSCLE DAMAGE; POSTERIOR APPROACH; LATERAL APPROACH; OUTCOMES; INFLAMMATION; METAANALYSIS</t>
  </si>
  <si>
    <t>Strelzow, Jason/H-8154-2019</t>
  </si>
  <si>
    <t>Dagher, Tony/0000-0002-3840-5850; Kalidoss, Senthooran/0009-0007-3701-7593; Strelzow, Jason/0000-0002-1072-1595</t>
  </si>
  <si>
    <t>64</t>
  </si>
  <si>
    <t>0009-921X</t>
  </si>
  <si>
    <t>1528-1132</t>
  </si>
  <si>
    <t>CLIN ORTHOP RELAT R</t>
  </si>
  <si>
    <t>Clin. Orthop. Rel. Res.</t>
  </si>
  <si>
    <t>DEC 2024</t>
  </si>
  <si>
    <t>482</t>
  </si>
  <si>
    <t>2098</t>
  </si>
  <si>
    <t>2106</t>
  </si>
  <si>
    <t>10.1097/CORR.0000000000003234</t>
  </si>
  <si>
    <t>http://dx.doi.org/10.1097/CORR.0000000000003234</t>
  </si>
  <si>
    <t>N1B1P</t>
  </si>
  <si>
    <t>39246048</t>
  </si>
  <si>
    <t>WOS:001361758100003</t>
  </si>
  <si>
    <t>Green Submitted</t>
  </si>
  <si>
    <t>Rossettini, G; Bargeri, S; Cook, C; Guida, S; Palese, A; Rodeghiero, L; Pillastrini, P; Turolla, A; Castellini, G; Gianola, S</t>
  </si>
  <si>
    <t>Introduction Artificial Intelligence (AI) chatbots, which generate human-like responses based on extensive data, are becoming important tools in healthcare by providing information on health conditions, treatments, and preventive measures, acting as virtual assistants. However, their performance in aligning with clinical practice guidelines (CPGs) for providing answers to complex clinical questions on lumbosacral radicular pain is still unclear. We aim to evaluate AI chatbots' performance against CPG recommendations for diagnosing and treating lumbosacral radicular pain.Methods We performed a cross-sectional study to assess AI chatbots' responses against CPGs recommendations for diagnosing and treating lumbosacral radicular pain. Clinical questions based on these CPGs were posed to the latest versions (updated in 2024) of six AI chatbots: ChatGPT-3.5, ChatGPT-4o, Microsoft Copilot, Google Gemini, Claude, and Perplexity. The chatbots' responses were evaluated for (a) consistency of text responses using Plagiarism Checker X, (b) intra- and inter-rater reliability using Fleiss' Kappa, and (c) match rate with CPGs. Statistical analyses were performed with STATA/MP 16.1.Results We found high variability in the text consistency of AI chatbot responses (median range 26%-68%). Intra-rater reliability ranged from "almost perfect" to "substantial," while inter-rater reliability varied from "almost perfect" to "moderate." Perplexity had the highest match rate at 67%, followed by Google Gemini at 63%, and Microsoft Copilot at 44%. ChatGPT-3.5, ChatGPT-4o, and Claude showed the lowest performance, each with a 33% match rate.Conclusions Despite the variability in internal consistency and good intra- and inter-rater reliability, the AI Chatbots' recommendations often did not align with CPGs recommendations for diagnosing and treating lumbosacral radicular pain. Clinicians and patients should exercise caution when relying on these AI models, since one to two-thirds of the recommendations provided may be inappropriate or misleading according to specific chatbots.</t>
  </si>
  <si>
    <t>Rossettini, Giacomo; Bargeri, Silvia; Cook, Chad; Guida, Stefania; Palese, Alvisa; Rodeghiero, Lia; Pillastrini, Paolo; Turolla, Andrea; Castellini, Greta; Gianola, Silvia</t>
  </si>
  <si>
    <t>Rodeghiero, L (corresponding author), Paracelsus Med Univ PMU, Hosp Merano SABES ASDAA, Dept Rehabil, Teaching Hosp, Merano Meran, Italy.</t>
  </si>
  <si>
    <t>lia.rodeghiero94@gmail.com</t>
  </si>
  <si>
    <t>Department of Innovation - Italian Ministry of Health</t>
  </si>
  <si>
    <t>The author(s) declare that financial support was received for the research and/or publication of this article. The authors receive funding from the Department of Innovation, Research, University and Museums of the Autonomous Province of Bozen/Bolzano for covering the Open Access Publication costs. SB, SGu, GC and SGi were supported and funded by Italian Ministry of Health.</t>
  </si>
  <si>
    <t>[Rossettini, Giacomo] Univ Verona, Sch Physiotherapy, Verona, Italy; [Rossettini, Giacomo] Univ Europea Madrid, Fac Med Hlth &amp; Sports, Dept Physiotherapy, Madrid, Spain; [Bargeri, Silvia; Guida, Stefania; Castellini, Greta; Gianola, Silvia] IRCCS Ist Ortoped Galeazzi, Unit Clin Epidemiol, Milan, Italy; [Cook, Chad] Duke Univ, Dept Orthopaed, Durham, NC USA; [Cook, Chad] Duke Univ, Duke Clin Res Inst, Durham, NC USA; [Cook, Chad] Duke Univ, Dept Populat Hlth Sci, Durham, NC USA; [Palese, Alvisa] Univ Udine, Dept Med Sci, Udine, Italy; [Rodeghiero, Lia] Paracelsus Med Univ PMU, Hosp Merano SABES ASDAA, Dept Rehabil, Teaching Hosp, Merano Meran, Italy; [Pillastrini, Paolo; Turolla, Andrea] Alma Mater Univ Bologna, Dept Biomed &amp; Neuromotor Sci DIBINEM, Bologna, Italy; [Pillastrini, Paolo; Turolla, Andrea] IRCCS Azienda Osped Univ Bologna, Unit Occupat Med, Bologna, Italy</t>
  </si>
  <si>
    <t>University of Verona; European University of Madrid; IRCCS Istituto Ortopedico Galeazzi; Duke University; Duke University; Duke University; University of Udine; University of Bologna; IRCCS Azienda Ospedaliero-Universitaria di Bologna</t>
  </si>
  <si>
    <t>Accuracy of ChatGPT-3.5, ChatGPT-4o, Copilot, Gemini, Claude, and Perplexity in advising on lumbosacral radicular pain against clinical practice guidelines: cross-sectional study</t>
  </si>
  <si>
    <t>artificial intelligence; physiotherapy; machine learning; musculoskeletal; natural language processing; orthopaedics; ChatGPT; chatbots</t>
  </si>
  <si>
    <t>CHATBOTS</t>
  </si>
  <si>
    <t>Palese, Alvisa/J-9427-2015; Castellini, Greta/C-6425-2017; Bargeri, Silvia/AAA-2505-2021; Turolla, Andrea/IAR-5542-2023; Rossettini, Giacomo/AED-4026-2022; Gianola, Silvia/S-7883-2016; Pillastrini, Paolo/R-4901-2016</t>
  </si>
  <si>
    <t>JUN 27 2025</t>
  </si>
  <si>
    <t>1574287</t>
  </si>
  <si>
    <t>10.3389/fdgth.2025.1574287</t>
  </si>
  <si>
    <t>http://dx.doi.org/10.3389/fdgth.2025.1574287</t>
  </si>
  <si>
    <t>4SO1U</t>
  </si>
  <si>
    <t>40657647</t>
  </si>
  <si>
    <t>WOS:001525659200001</t>
  </si>
  <si>
    <t>Nian, PP; Umesh, A; Simpson, SK; Tracey, OC; Nichols, E; Logterman, S; Doyle, SM; Heyer, JH</t>
  </si>
  <si>
    <t>Objective: Artificial intelligence (AI) chatbots, including chat generative pretrained transformer (ChatGPT) and Google Gemini, have significantly increased access to medical information. However, in pediatric orthopaedics, no study has evaluated the accuracy of AI chatbots compared with evidence-based recommendations, including the American Academy of Orthopaedic Surgeons clinical practice guidelines (AAOS CPGs). The aims of this study were to compare responses by ChatGPT-4.0, ChatGPT-3.5, and Google Gemini with AAOS CPG recommendations on pediatric supracondylar humerus and diaphyseal femur fractures regarding accuracy, supplementary and incomplete response patterns, and readability. Methods: ChatGPT-4.0, ChatGPT-3.5, and Google Gemini were prompted by questions created from 13 evidence-based recommendations (6 from the 2011 AAOS CPG on pediatric supracondylar humerus fractures; 7 from the 2020 AAOS CPG on pediatric diaphyseal femur fractures). Responses were anonymized and independently evaluated by 2 pediatric orthopaedic attending surgeons. Supplementary responses were, in addition, evaluated on whether no, some, or many modifications were necessary. Readability metrics (response length, Flesch-Kincaid reading level, Flesch Reading Ease, Gunning Fog Index) were compared. Cohen Kappa interrater reliability (kappa) was calculated. chi(2) analyses and single-factor analysis of variance were utilized to compare categorical and continuous variables, respectively. Statistical significance was set with P &lt;0.05. Results: ChatGPT-4.0, ChatGPT-3.5, and Google Gemini were accurate in 11/13, 9/13, and 11/13, supplementary in 13/13, 11/13, and 13/13, and incomplete in 3/13, 4/13, and 4/13 recommendations, respectively. Of 37 supplementary responses, 17 (45.9%), 19 (51.4%), and 1 (2.7%) required no, some, and many modifications, respectively. There were no significant differences in accuracy (P = 0.533), supplementary responses (P = 0.121), necessary modifications (P = 0.580), and incomplete responses (P = 0.881). Overall kappa was moderate at 0.55. ChatGPT-3.5 provided shorter responses (P = 0.002), but Google Gemini was more readable in terms of Flesch-Kincaid Grade Level (P = 0.002), Flesch Reading Ease (P &lt; 0.001), and Gunning Fog Index (P = 0.021). Conclusions: While AI chatbots provided responses with reasonable accuracy, most supplemental information required modification and had complex readability. Improvements are necessary before AI chatbots can be reliably used for patient education.</t>
  </si>
  <si>
    <t>Nian, Patrick P.; Umesh, Amith; Simpson, Shae K.; Tracey, Olivia C.; Nichols, Erikson; Logterman, Stephanie; Doyle, Shevaun M.; Heyer, Jessica H.</t>
  </si>
  <si>
    <t>Heyer, JH (corresponding author), Hosp Special Surg, 535 E 70th St, New York, NY 10021 USA.</t>
  </si>
  <si>
    <t>steph.logterman@gmail.com; nianp@hss.edu; doyles@hss.edu; umesha@hss.edu; oliviatracey1@gmail.com; nicholse@hss.edu; simpsonsh@hss.edu; jessica.h.heyer@gmail.com</t>
  </si>
  <si>
    <t>[Nian, Patrick P.; Umesh, Amith; Simpson, Shae K.; Tracey, Olivia C.; Nichols, Erikson; Doyle, Shevaun M.; Heyer, Jessica H.] Hosp Special Surg, Dept Pediat Orthopaed Surg, New York, NY USA; [Logterman, Stephanie] Orlando Hlth Arnold Palmer Hosp Children Ctr Ortho, Dept Pediat Orthopaed Surg, Orlando, FL USA</t>
  </si>
  <si>
    <t>Orlando Health</t>
  </si>
  <si>
    <t>Pediatric Supracondylar Humerus and Diaphyseal Femur Fractures: A Comparative Analysis of Chat Generative Pretrained Transformer and Google Gemini Recommendations Versus American Academy of Orthopaedic Surgeons Clinical Practice Guidelines</t>
  </si>
  <si>
    <t>JOURNAL OF PEDIATRIC ORTHOPAEDICS</t>
  </si>
  <si>
    <t>pediatric fracture; supracondylar humerus fracture; diaphyseal femur fracture; ChatGPT; Google Gemini; clinical practice guideline</t>
  </si>
  <si>
    <t>Nian, Patrick/0009-0008-9689-7364</t>
  </si>
  <si>
    <t>0271-6798</t>
  </si>
  <si>
    <t>1539-2570</t>
  </si>
  <si>
    <t>J PEDIATR ORTHOPED</t>
  </si>
  <si>
    <t>J. Pediatr. Orthop.</t>
  </si>
  <si>
    <t>e338</t>
  </si>
  <si>
    <t>e344</t>
  </si>
  <si>
    <t>10.1097/BPO.0000000000002890</t>
  </si>
  <si>
    <t>http://dx.doi.org/10.1097/BPO.0000000000002890</t>
  </si>
  <si>
    <t>Z3C2R</t>
  </si>
  <si>
    <t>39806552</t>
  </si>
  <si>
    <t>WOS:001437724500006</t>
  </si>
  <si>
    <t>Wang, H; Ie, A; Chan, T; Yates, W; Kalloniatis, M; Tong, J; Zhang, S; Phan, T; Go, C; Phu, J</t>
  </si>
  <si>
    <t>PurposeLarge language models have shown promise in answering questions related to medical conditions. This study evaluated the responses of ChatGPT-4 in answering patient-centred frequently asked questions (FAQs) relevant in age-related macular degeneration (AMD).MethodsTen experts across a range of clinical, education and research practices in optometry and ophthalmology. Over 200 patient-centric FAQs from authoritative professional society, hospital and advocacy websites were condensed into 37 questions across four themes: definition, causes and risk factors, symptoms and detection, and treatment and follow-up. The questions were individually input into ChatGPT-4 to generate responses. The responses were graded by the experts individually using a 5-point Likert scale (1 = strongly disagree; 5 = strongly agree) across four domains: coherency, factuality, comprehensiveness, and safety.ResultsAcross all themes and domains, median scores were all 4 ("agree"). Comprehensiveness had the lowest scores across domains (mean 3.8 +/- 0.8), followed by factuality (mean 3.9 +/- 0.8), safety (mean 4.1 +/- 0.8) and coherency (mean 4.3 +/- 0.7). Examination of the individual 37 questions showed that 5 (14%), 21 (57%), 23 (62%) and 9 (24%) of the questions had average scores below 4 (below "agree") for the coherency, factuality, comprehensiveness and safety domains, respectively. Free-text comments highlighted issues related to superseded or older technologies, and techniques that are not routinely used in clinical practice, such as genetic testing.ConclusionsChatGPT-4 responses to FAQs in AMD were generally agreeable in terms of coherency, factuality, comprehensiveness, and safety. However, areas of weakness were identified, precluding recommendations for routine use to provide patients with tailored counselling in AMD.</t>
  </si>
  <si>
    <t>Wang, Henrietta; Ie, Amanda; Chan, Thomas; Yates, William; Kalloniatis, Michael; Tong, Janelle; Zhang, Sophia; Phan, Tracey; Go, Christopher; Phu, Jack</t>
  </si>
  <si>
    <t>Phu, J (corresponding author), Univ New South Wales, Sch Optometry &amp; Vis Sci, Kensington, NSW, Australia.; Phu, J (corresponding author), Univ New South Wales, Ctr Eye Hlth, Kensington, NSW, Australia.; Phu, J (corresponding author), Univ Sydney, Fac Med &amp; Hlth, Sydney, NSW, Australia.; Phu, J (corresponding author), Concord Repatriat Gen Hosp, Concord Clin Sch, Concord, NSW, Australia.</t>
  </si>
  <si>
    <t>NHMRC Ideas Grant [1186915]; CAUL; National Health and Medical Research Council (NHMRC) [1186915] Funding Source: National Health and Medical Research Council (NHMRC)</t>
  </si>
  <si>
    <t>NHMRC Ideas Grant (National Health &amp; Medical Research Council (NHMRC) of Australia); CAUL; National Health and Medical Research Council (NHMRC) (National Health &amp; Medical Research Council (NHMRC) of Australia)</t>
  </si>
  <si>
    <t>The work was supported, in part, by an NHMRC Ideas Grant to MK and JP (1186915). The funding organisation had no role in the design or conduct of this research. Open Access funding enabled and organized by CAUL and its Member Institutions.</t>
  </si>
  <si>
    <t>[Wang, Henrietta; Kalloniatis, Michael; Tong, Janelle; Zhang, Sophia; Phu, Jack] Univ New South Wales, Sch Optometry &amp; Vis Sci, Kensington, NSW, Australia; [Wang, Henrietta; Tong, Janelle; Zhang, Sophia; Phu, Jack] Univ New South Wales, Ctr Eye Hlth, Kensington, NSW, Australia; [Ie, Amanda; Chan, Thomas] Westmead Hosp, Dept Ophthalmol, Sydney, NSW, Australia; [Ie, Amanda] Westmead Childrens Hosp, Dept Ophthalmol, Sydney, NSW, Australia; [Chan, Thomas] Univ Sydney, Fac Med &amp; Hlth, Discipline Ophthalmol &amp; Eye Hlth, Sydney, NSW, Australia; [Yates, William; Go, Christopher] Univ Sydney, Save Sight Inst, Fac Med &amp; Hlth, Sydney, NSW, Australia; [Kalloniatis, Michael] Deakin Univ, Sch Med Optometry, Waurn Ponds, Vic, Australia; [Kalloniatis, Michael] Univ Houston, Coll Optometry, Houston, TX USA; [Phan, Tracey] Liverpool Hosp, Dept Ophthalmol, Liverpool, NSW, Australia; [Go, Christopher] Univ Sydney, Fac Med &amp; Hlth, Sch Clin Med, Sydney, NSW, Australia; [Go, Christopher] Vis Eye Inst, Sydney, NSW, Australia; [Phu, Jack] Univ Sydney, Fac Med &amp; Hlth, Sydney, NSW, Australia; [Phu, Jack] Concord Repatriat Gen Hosp, Concord Clin Sch, Concord, NSW, Australia</t>
  </si>
  <si>
    <t>University of New South Wales Sydney; University of New South Wales Sydney; NSW Health; University of Sydney; Westmead Hospital; University of Sydney; University of Sydney; Deakin University; University of Houston System; University of Houston; Liverpool Hospital; University of Sydney; University of Sydney; Concord Repatriation General Hospital</t>
  </si>
  <si>
    <t>ChatGPT-4 for addressing patient-centred frequently asked questions in age-related macular degeneration clinical practice</t>
  </si>
  <si>
    <t>EYE</t>
  </si>
  <si>
    <t>Kalloniatis, Michael/LXA-3386-2024; Go, Christopher/P-5910-2014; Yates, William/OMM-5553-2025; Phu, Jack/AAO-6855-2020</t>
  </si>
  <si>
    <t>Go, Christopher/0000-0003-0440-3897; Yates, William/0000-0002-9288-2930; Tong, Janelle/0000-0002-4268-5138; Phu, Jack/0000-0002-9933-6780</t>
  </si>
  <si>
    <t>SPRINGERNATURE</t>
  </si>
  <si>
    <t>THE CAMPUS, 4 CRINAN ST, LONDON, N1 9XW, ENGLAND</t>
  </si>
  <si>
    <t>0950-222X</t>
  </si>
  <si>
    <t>1476-5454</t>
  </si>
  <si>
    <t>Eye</t>
  </si>
  <si>
    <t>JUL 2025</t>
  </si>
  <si>
    <t>2030</t>
  </si>
  <si>
    <t>10.1038/s41433-025-03788-0</t>
  </si>
  <si>
    <t>http://dx.doi.org/10.1038/s41433-025-03788-0</t>
  </si>
  <si>
    <t>4KR7N</t>
  </si>
  <si>
    <t>40234594</t>
  </si>
  <si>
    <t>WOS:001467056300001</t>
  </si>
  <si>
    <t>de la Pinta, C; Medina, AA</t>
  </si>
  <si>
    <t>Artificial intelligence (AI) is redefining modern medicine and urology. Its applications range from natural language processing (NLP) systems that streamline clinical documentation and reduce administrative burden to generative AI models capable of producing actionable data to support clinical decision-making and enable precision treatment selection. In Spain, the healthcare system has undergone an accelerated digital transformation, during which AI has evolved from an experimental concept to an operational component of routine clinical practice. This review provides an overview of the current implementation of AI in urology in Spain, highlighting actively deployed AI-based systems across different centers. The review is based on a structured search of publicly available information from news databases, institutional repositories, and independent monitoring initiatives focused on AI adoption in the Spanish healthcare system. These tools demonstrate substantial clinical benefits in areas such as diagnostic imaging, automated coding, digital pathology, radiotherapy planning, and patient follow-up. Their integration has improved diagnostic accuracy, optimized workflow efficiency, reduced reporting times, and facilitated more personalized treatment approaches. At the international level, the steadily growing number of Food and Drug Administration (FDA)- and CE-approved AI tools further illustrates the expanding clinical adoption of AI in urology. Overall, these advances indicate that AI has become a cornerstone of precision medicine, rather than a distant future prospect.</t>
  </si>
  <si>
    <t>de la Pinta, Carolina; Medina, Alberto Artiles</t>
  </si>
  <si>
    <t>de la Pinta, C (corresponding author), Ramon &amp; Cajal Hosp, Dept Radiat Oncol, Madrid 28034, Spain.; de la Pinta, C; Medina, AA (corresponding author), Ramon &amp; Cajal Hosp, Healthcare Eth Comm, Madrid 28034, Spain.; Medina, AA (corresponding author), Ramon &amp; Cajal Hosp, Dept Urol, Madrid 28034, Spain.</t>
  </si>
  <si>
    <t>alberc.artiles@gmail.com; cdelapinta88@gmail.com</t>
  </si>
  <si>
    <t>Acknowledgment Not applicable.</t>
  </si>
  <si>
    <t>[de la Pinta, Carolina] Ramon &amp; Cajal Hosp, Dept Radiat Oncol, Madrid 28034, Spain; [de la Pinta, Carolina; Medina, Alberto Artiles] Ramon &amp; Cajal Hosp, Healthcare Eth Comm, Madrid 28034, Spain; [Medina, Alberto Artiles] Ramon &amp; Cajal Hosp, Dept Urol, Madrid 28034, Spain</t>
  </si>
  <si>
    <t>Hospital Universitario Ramon y Cajal; Hospital Universitario Ramon y Cajal; Hospital Universitario Ramon y Cajal</t>
  </si>
  <si>
    <t>Artificial Intelligence and Urology in Spain: From Technological Promise to Real Clinical Practice</t>
  </si>
  <si>
    <t>ARCHIVOS ESPANOLES DE UROLOGIA</t>
  </si>
  <si>
    <t>artificial intelligence; urology; radiotherapy</t>
  </si>
  <si>
    <t>DE LA PINTA, CAROLINA/HGA-0881-2022</t>
  </si>
  <si>
    <t>INIESTARES, S.A.</t>
  </si>
  <si>
    <t>MADRID</t>
  </si>
  <si>
    <t>SAN GREGORIO, 8, 3 PTA. 4, MADRID, SPAIN</t>
  </si>
  <si>
    <t>0004-0614</t>
  </si>
  <si>
    <t>1576-8260</t>
  </si>
  <si>
    <t>ARCH ESP UROL</t>
  </si>
  <si>
    <t>Arch. Esp. Urol.</t>
  </si>
  <si>
    <t>710</t>
  </si>
  <si>
    <t>718</t>
  </si>
  <si>
    <t>10.56434/j.arch.esp.urol.20267905.84</t>
  </si>
  <si>
    <t>http://dx.doi.org/10.56434/j.arch.esp.urol.20267905.84</t>
  </si>
  <si>
    <t>LE7ZI</t>
  </si>
  <si>
    <t>42438866</t>
  </si>
  <si>
    <t>WOS:001822882100001</t>
  </si>
  <si>
    <t>Altuwaijri, N; Fitaihi, R; Altalal, AM; Alkathiri, F; Alsalhi, A; Alhabardi, S; Eltahir, E; Alfaraj, R</t>
  </si>
  <si>
    <t>Pharmaceutical calculations are a core competency in pharmacy education and are essential for patient safety and effective clinical care. In the context of pharmacy education, diverse delivery and assessment strategies exist, and there are ongoing modifications to the pharmacy education landscape. This study explored the perceptions, confidence levels, and educational experiences of senior PharmD students regarding their pharmaceutical calculation skills and perceived preparedness for clinical practice. A qualitatively driven mixed-methods design was employed. A structured, anonymous survey comprising Likert-scale and open-ended questions was distributed to all fifth-year PharmD students at KSU (N = 141). A total of 141 complete responses were analyzed using descriptive statistics, the Chi-square test, and the Mann-Whitney U test for quantitative data, as well as thematic analysis for qualitative responses. The results revealed that most students (76.9%) reported positive experience with pharmaceutical calculations, and 79% indicated that extra academic support was available. The mode confidence rating was 5 (very confident), with a median of 4, suggesting a generally high self-reported perceived confidence. No statistically significant gender differences were observed in terms of confidence or experience. Students predominantly relied on digital tools (e.g., ChatGPT, YouTube, Excel) rather than traditional academic resources, and the majority expressed a desire for more real-world applications and practice-based learning. In summary, while students reported high perceived confidence in their pharmaceutical calculation abilities, many expressed uncertainties about their real-world relevance. These findings highlight the importance of practice-based, context-driven instruction, and the thoughtful integration of digital learning tools to enhance students' perceived relevance and engagement with pharmaceutical calculations.</t>
  </si>
  <si>
    <t>Altuwaijri, Njoud; Fitaihi, Rawan; Altalal, Alanoud M.; Alkathiri, Fai; Alsalhi, Alyaa; Alhabardi, Samiah; Eltahir, Eram; Alfaraj, Rihaf</t>
  </si>
  <si>
    <t>Alfaraj, R (corresponding author), King Saud Univ, Coll Pharm, Dept Pharmaceut, Riyadh 11451, Saudi Arabia.</t>
  </si>
  <si>
    <t>ralfaraj@ksu.edu.sa</t>
  </si>
  <si>
    <t>Deanship of Scientific Research, King Saud University [ORF-2026-1231]</t>
  </si>
  <si>
    <t>Deanship of Scientific Research, King Saud University (King Saud University)</t>
  </si>
  <si>
    <t>This work was funded by the Ongoing Research Funding Program, (ORF-2026-1231), King Saud University, Riyadh, Saudi Arabia.</t>
  </si>
  <si>
    <t>[Altuwaijri, Njoud; Fitaihi, Rawan; Altalal, Alanoud M.; Alkathiri, Fai; Alsalhi, Alyaa; Alhabardi, Samiah; Eltahir, Eram; Alfaraj, Rihaf] King Saud Univ, Coll Pharm, Dept Pharmaceut, Riyadh 11451, Saudi Arabia</t>
  </si>
  <si>
    <t>King Saud University</t>
  </si>
  <si>
    <t>How do senior pharmacy students at King Saud University perceive their pharmaceutical calculation skills and preparedness for clinical practice?</t>
  </si>
  <si>
    <t>SAUDI PHARMACEUTICAL JOURNAL</t>
  </si>
  <si>
    <t>Pharmaceutical calculations; Pharmacy education; Student perception; Student confidence; Digital learning tools; Clinical preparedness</t>
  </si>
  <si>
    <t>Alkathiri, Fai/MYR-2614-2025; Fitaihi, Rawan/KLD-8077-2024; Alhabardi, Samiah/LWZ-9036-2024; Altuwaijri, Njoud/HOC-7962-2023; Alfaraj, Rihaf/KIG-2329-2024; Tahir, Eram/X-5121-2019</t>
  </si>
  <si>
    <t>CAMPUS, 4 CRINAN ST, LONDON, N1 9XW, ENGLAND</t>
  </si>
  <si>
    <t>1319-0164</t>
  </si>
  <si>
    <t>2213-7475</t>
  </si>
  <si>
    <t>SAUDI PHARM J</t>
  </si>
  <si>
    <t>Saudi Pharm. J.</t>
  </si>
  <si>
    <t>MAY 28 2026</t>
  </si>
  <si>
    <t>10.1007/s44446-026-00093-z</t>
  </si>
  <si>
    <t>http://dx.doi.org/10.1007/s44446-026-00093-z</t>
  </si>
  <si>
    <t>IQ0RL</t>
  </si>
  <si>
    <t>42207376</t>
  </si>
  <si>
    <t>WOS:001777619400001</t>
  </si>
  <si>
    <t>Gülten, E; Derin, O; Arslan, E; Tahtasakal, CA; Temoçin, F; Memisoglu, F; Demir, NA</t>
  </si>
  <si>
    <t>Background: The integration of artificial intelligence (AI) into clinical practice is gaining momentum globally, yet specialty-specific perspectives remain underexplored. This study aimed to assess the awareness, knowledge, attitudes, expectations, and concerns of infectious diseases and clinical microbiology (IDCM) physicians regarding AI applications in their field. Methods: A cross-sectional, online survey was distributed between May and June 2025 to IDCM physicians across T &amp; uuml;rkiye. The questionnaire included multiple-choice, Likert-type, and open-ended items assessing sociodemographic characteristics, AI familiarity, clinical use, and perceptions. Descriptive and inferential statistics, along with thematic analysis of qualitative responses, were employed. Results: In total, 387 IDCM physicians completed the survey. While 0.5% (n = 2) reported prior long-term/extensive AI training, 88.9% (n = 344) agreed that IDCM physicians should be actively involved in AI system development. Notably, 23.0% (n = 89) had already used AI tools, primarily ChatGPT (n = 69, 77.5%). Regarding accountability, 68.2% (n = 264) assigned responsibility for erroneous AI-generated decisions to physicians. Familiarity with AI showed a strong association with academic title (p &lt; .001). Total knowledge scores were significantly higher among university hospital physicians (p &lt; .001), whereas total attitude scores differed across age (p = .003), academic title (p = .001), and years of experience (p = .006). Thematic analysis of 97 open-ended responses revealed high expectations for AI in enhancing decision support, timeliness, and operational efficiency. However, major concerns included ethical risks, algorithmic bias, data reliability, and potential erosion of clinical autonomy. Conclusions: This study provides comprehensive insights into IDCM physicians' perspectives on AI. Findings highlight strong interest but limited preparedness, underscoring the need for targeted education, ethical safeguards, and inclusive policy frameworks to ensure responsible AI integration.</t>
  </si>
  <si>
    <t>Gulten, Ezgi; Derin, Okan; Arslan, Eyup; Atasoy Tahtasakal, Ceren; Temocin, Fatih; Memisoglu, Funda; Aktug Demir, Nazlim</t>
  </si>
  <si>
    <t>Gülten, E (corresponding author), Ankara Univ, Fac Med, Dept Infect Dis &amp; Clin Microbiol, Ankara, Turkiye.</t>
  </si>
  <si>
    <t>ezgioztop@gmail.com</t>
  </si>
  <si>
    <t>[Gulten, Ezgi] Ankara Univ, Fac Med, Dept Infect Dis &amp; Clin Microbiol, Ankara, Turkiye; [Derin, Okan; Atasoy Tahtasakal, Ceren] Univ Hlth Sci Turkiye, stanbul Sisli Hamidiye Etfal Training &amp; Res Hosp, Dept Infect Dis &amp; Clin Microbiol, Istanbul, Turkiye; [Derin, Okan] Istanbul Medipol Univ, Grad Sch Hlth Sci, Epidemiol PhD Program, Istanbul, Turkiye; [Arslan, Eyup] Univ Hlth Sci, Sancaktepe Sehit Prof Dr Ilhan Varank Training &amp;, Dept Infect Dis &amp; Clin Microbiol, Istanbul, Turkiye; [Temocin, Fatih] Ondokuz Mayis Univ, Sch Med, Dept Clin Microbiol &amp; Infect Dis, Samsun, Turkiye; [Memisoglu, Funda] Inonu Univ, Fac Med, Dept Infect Dis &amp; Clin Microbiol, Malatya, Turkiye; [Aktug Demir, Nazlim] Selcuk Univ, Fac Med, Dept Infect Dis &amp; Clin Microbiol, Konya, Turkiye</t>
  </si>
  <si>
    <t>Ankara University; Istanbul Medipol University; University of Health Sciences Turkey; Ondokuz Mayis University; Inonu University; Selcuk University</t>
  </si>
  <si>
    <t>From awareness to action: A nationwide survey of infectious diseases and clinical microbiology physicians' perspectives on artificial intelligence in clinical practice</t>
  </si>
  <si>
    <t>Artificial intelligence; clinical microbiology; digital health; infectious diseases; physician attitudes</t>
  </si>
  <si>
    <t>Temoçin, Fatih/V-4838-2017; Gülten, Ezgi/HDN-4730-2022; arslan, eyüp/IZP-6790-2023; DEMİR, NAZLIM/KGQ-4268-2024; memişoğlu, funda/AAA-4392-2021; Atasoy Tahtasakal, Ceren/KUF-2830-2024; Derin, Okan/GOP-0687-2022</t>
  </si>
  <si>
    <t>Temoçin, Fatih/0000-0002-4819-8242; Gülten, Ezgi/0000-0003-0248-7716; Atasoy Tahtasakal, Ceren/0000-0003-0392-229X; Derin, Okan/0000-0001-6311-5428</t>
  </si>
  <si>
    <t>20552076251404507</t>
  </si>
  <si>
    <t>10.1177/20552076251404507</t>
  </si>
  <si>
    <t>http://dx.doi.org/10.1177/20552076251404507</t>
  </si>
  <si>
    <t>L5279</t>
  </si>
  <si>
    <t>41346940</t>
  </si>
  <si>
    <t>WOS:001629653400001</t>
  </si>
</sst>
</file>

<file path=xl/styles.xml><?xml version="1.0" encoding="utf-8"?>
<styleSheet xmlns="http://schemas.openxmlformats.org/spreadsheetml/2006/main">
  <numFmts count="0"/>
  <fonts count="176">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176">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16%2Fj.pop.2025.07.006" TargetMode="External" Type="http://schemas.openxmlformats.org/officeDocument/2006/relationships/hyperlink"/><Relationship Id="rId10" Target="https%3A%2F%2Fwww.webofscience.com%2Fwos%2Fwoscc%2Ffull-record%2FWOS%3A001608619400012" TargetMode="External" Type="http://schemas.openxmlformats.org/officeDocument/2006/relationships/hyperlink"/><Relationship Id="rId100" Target="http%3A%2F%2Fdx.doi.org%2F10.1016%2Fj.compedu.2025.105388" TargetMode="External" Type="http://schemas.openxmlformats.org/officeDocument/2006/relationships/hyperlink"/><Relationship Id="rId101" Target="https%3A%2F%2Fwww.webofscience.com%2Fwos%2Fwoscc%2Ffull-record%2FWOS%3A001528910800001" TargetMode="External" Type="http://schemas.openxmlformats.org/officeDocument/2006/relationships/hyperlink"/><Relationship Id="rId102" Target="http%3A%2F%2Fdx.doi.org%2F10.3390%2Fjcm15062130" TargetMode="External" Type="http://schemas.openxmlformats.org/officeDocument/2006/relationships/hyperlink"/><Relationship Id="rId103" Target="https%3A%2F%2Fwww.webofscience.com%2Fwos%2Fwoscc%2Ffull-record%2FWOS%3A001725704000001" TargetMode="External" Type="http://schemas.openxmlformats.org/officeDocument/2006/relationships/hyperlink"/><Relationship Id="rId104" Target="http%3A%2F%2Fdx.doi.org%2F10.1186%2Fs13018-025-05831-y" TargetMode="External" Type="http://schemas.openxmlformats.org/officeDocument/2006/relationships/hyperlink"/><Relationship Id="rId105" Target="https%3A%2F%2Fwww.webofscience.com%2Fwos%2Fwoscc%2Ffull-record%2FWOS%3A001479680400002" TargetMode="External" Type="http://schemas.openxmlformats.org/officeDocument/2006/relationships/hyperlink"/><Relationship Id="rId106" Target="http%3A%2F%2Fdx.doi.org%2F10.1016%2Fj.avsg.2026.03.020" TargetMode="External" Type="http://schemas.openxmlformats.org/officeDocument/2006/relationships/hyperlink"/><Relationship Id="rId107" Target="https%3A%2F%2Fwww.webofscience.com%2Fwos%2Fwoscc%2Ffull-record%2FWOS%3A001745675700001" TargetMode="External" Type="http://schemas.openxmlformats.org/officeDocument/2006/relationships/hyperlink"/><Relationship Id="rId108" Target="http%3A%2F%2Fdx.doi.org%2F10.3389%2Ffonc.2025.1642880" TargetMode="External" Type="http://schemas.openxmlformats.org/officeDocument/2006/relationships/hyperlink"/><Relationship Id="rId109" Target="https%3A%2F%2Fwww.webofscience.com%2Fwos%2Fwoscc%2Ffull-record%2FWOS%3A001667966200001" TargetMode="External" Type="http://schemas.openxmlformats.org/officeDocument/2006/relationships/hyperlink"/><Relationship Id="rId11" Target="http%3A%2F%2Fdx.doi.org%2F10.2196%2F72644" TargetMode="External" Type="http://schemas.openxmlformats.org/officeDocument/2006/relationships/hyperlink"/><Relationship Id="rId110" Target="http%3A%2F%2Fdx.doi.org%2F10.2196%2F50658" TargetMode="External" Type="http://schemas.openxmlformats.org/officeDocument/2006/relationships/hyperlink"/><Relationship Id="rId111" Target="https%3A%2F%2Fwww.webofscience.com%2Fwos%2Fwoscc%2Ffull-record%2FWOS%3A001146166500001" TargetMode="External" Type="http://schemas.openxmlformats.org/officeDocument/2006/relationships/hyperlink"/><Relationship Id="rId112" Target="http%3A%2F%2Fdx.doi.org%2F10.2106%2FJBJS.OA.25.00225" TargetMode="External" Type="http://schemas.openxmlformats.org/officeDocument/2006/relationships/hyperlink"/><Relationship Id="rId113" Target="https%3A%2F%2Fwww.webofscience.com%2Fwos%2Fwoscc%2Ffull-record%2FWOS%3A001679054100001" TargetMode="External" Type="http://schemas.openxmlformats.org/officeDocument/2006/relationships/hyperlink"/><Relationship Id="rId114" Target="http%3A%2F%2Fdx.doi.org%2F10.1186%2Fs10195-023-00740-4" TargetMode="External" Type="http://schemas.openxmlformats.org/officeDocument/2006/relationships/hyperlink"/><Relationship Id="rId115" Target="https%3A%2F%2Fwww.webofscience.com%2Fwos%2Fwoscc%2Ffull-record%2FWOS%3A001110492100001" TargetMode="External" Type="http://schemas.openxmlformats.org/officeDocument/2006/relationships/hyperlink"/><Relationship Id="rId116" Target="http%3A%2F%2Fdx.doi.org%2F10.3389%2Ffmed.2023.1296615" TargetMode="External" Type="http://schemas.openxmlformats.org/officeDocument/2006/relationships/hyperlink"/><Relationship Id="rId117" Target="https%3A%2F%2Fwww.webofscience.com%2Fwos%2Fwoscc%2Ffull-record%2FWOS%3A001130296800001" TargetMode="External" Type="http://schemas.openxmlformats.org/officeDocument/2006/relationships/hyperlink"/><Relationship Id="rId118" Target="http%3A%2F%2Fdx.doi.org%2F10.1016%2Fj.jposna.2024.100135" TargetMode="External" Type="http://schemas.openxmlformats.org/officeDocument/2006/relationships/hyperlink"/><Relationship Id="rId119" Target="https%3A%2F%2Fwww.webofscience.com%2Fwos%2Fwoscc%2Ffull-record%2FWOS%3A001592068800002" TargetMode="External" Type="http://schemas.openxmlformats.org/officeDocument/2006/relationships/hyperlink"/><Relationship Id="rId12" Target="https%3A%2F%2Fwww.webofscience.com%2Fwos%2Fwoscc%2Ffull-record%2FWOS%3A001590310700004" TargetMode="External" Type="http://schemas.openxmlformats.org/officeDocument/2006/relationships/hyperlink"/><Relationship Id="rId120" Target="http%3A%2F%2Fdx.doi.org%2F10.2196%2F75929" TargetMode="External" Type="http://schemas.openxmlformats.org/officeDocument/2006/relationships/hyperlink"/><Relationship Id="rId121" Target="https%3A%2F%2Fwww.webofscience.com%2Fwos%2Fwoscc%2Ffull-record%2FWOS%3A001639344900031" TargetMode="External" Type="http://schemas.openxmlformats.org/officeDocument/2006/relationships/hyperlink"/><Relationship Id="rId122" Target="http%3A%2F%2Fdx.doi.org%2F10.1097%2FDCR.0000000000004092" TargetMode="External" Type="http://schemas.openxmlformats.org/officeDocument/2006/relationships/hyperlink"/><Relationship Id="rId123" Target="https%3A%2F%2Fwww.webofscience.com%2Fwos%2Fwoscc%2Ffull-record%2FWOS%3A001727608600005" TargetMode="External" Type="http://schemas.openxmlformats.org/officeDocument/2006/relationships/hyperlink"/><Relationship Id="rId124" Target="http%3A%2F%2Fdx.doi.org%2F10.1007%2Fs00228-023-03547-8" TargetMode="External" Type="http://schemas.openxmlformats.org/officeDocument/2006/relationships/hyperlink"/><Relationship Id="rId125" Target="https%3A%2F%2Fwww.webofscience.com%2Fwos%2Fwoscc%2Ffull-record%2FWOS%3A001046617300001" TargetMode="External" Type="http://schemas.openxmlformats.org/officeDocument/2006/relationships/hyperlink"/><Relationship Id="rId126" Target="http%3A%2F%2Fdx.doi.org%2F10.1186%2Fs12891-025-08650-8" TargetMode="External" Type="http://schemas.openxmlformats.org/officeDocument/2006/relationships/hyperlink"/><Relationship Id="rId127" Target="https%3A%2F%2Fwww.webofscience.com%2Fwos%2Fwoscc%2Ffull-record%2FWOS%3A001475396600005" TargetMode="External" Type="http://schemas.openxmlformats.org/officeDocument/2006/relationships/hyperlink"/><Relationship Id="rId128" Target="http%3A%2F%2Fdx.doi.org%2F10.1186%2Fs12909-026-09084-z" TargetMode="External" Type="http://schemas.openxmlformats.org/officeDocument/2006/relationships/hyperlink"/><Relationship Id="rId129" Target="https%3A%2F%2Fwww.webofscience.com%2Fwos%2Fwoscc%2Ffull-record%2FWOS%3A001784332200007" TargetMode="External" Type="http://schemas.openxmlformats.org/officeDocument/2006/relationships/hyperlink"/><Relationship Id="rId13" Target="http%3A%2F%2Fdx.doi.org%2F10.1016%2Fj.cvsm.2026.03.014" TargetMode="External" Type="http://schemas.openxmlformats.org/officeDocument/2006/relationships/hyperlink"/><Relationship Id="rId130" Target="http%3A%2F%2Fdx.doi.org%2F10.1007%2Fs00405-024-08634-9" TargetMode="External" Type="http://schemas.openxmlformats.org/officeDocument/2006/relationships/hyperlink"/><Relationship Id="rId131" Target="https%3A%2F%2Fwww.webofscience.com%2Fwos%2Fwoscc%2Ffull-record%2FWOS%3A001206063600001" TargetMode="External" Type="http://schemas.openxmlformats.org/officeDocument/2006/relationships/hyperlink"/><Relationship Id="rId132" Target="http%3A%2F%2Fdx.doi.org%2F10.1007%2Fs00405-024-08798-4" TargetMode="External" Type="http://schemas.openxmlformats.org/officeDocument/2006/relationships/hyperlink"/><Relationship Id="rId133" Target="https%3A%2F%2Fwww.webofscience.com%2Fwos%2Fwoscc%2Ffull-record%2FWOS%3A001261161900001" TargetMode="External" Type="http://schemas.openxmlformats.org/officeDocument/2006/relationships/hyperlink"/><Relationship Id="rId134" Target="http%3A%2F%2Fdx.doi.org%2F10.3389%2Ffmed.2026.1875770" TargetMode="External" Type="http://schemas.openxmlformats.org/officeDocument/2006/relationships/hyperlink"/><Relationship Id="rId135" Target="https%3A%2F%2Fwww.webofscience.com%2Fwos%2Fwoscc%2Ffull-record%2FWOS%3A001813818000001" TargetMode="External" Type="http://schemas.openxmlformats.org/officeDocument/2006/relationships/hyperlink"/><Relationship Id="rId136" Target="http%3A%2F%2Fdx.doi.org%2F10.1136%2Fbmjhci-2025-101456" TargetMode="External" Type="http://schemas.openxmlformats.org/officeDocument/2006/relationships/hyperlink"/><Relationship Id="rId137" Target="https%3A%2F%2Fwww.webofscience.com%2Fwos%2Fwoscc%2Ffull-record%2FWOS%3A001493082700001" TargetMode="External" Type="http://schemas.openxmlformats.org/officeDocument/2006/relationships/hyperlink"/><Relationship Id="rId138" Target="http%3A%2F%2Fdx.doi.org%2F10.1038%2Fs41598-024-84512-y" TargetMode="External" Type="http://schemas.openxmlformats.org/officeDocument/2006/relationships/hyperlink"/><Relationship Id="rId139" Target="https%3A%2F%2Fwww.webofscience.com%2Fwos%2Fwoscc%2Ffull-record%2FWOS%3A001393111000025" TargetMode="External" Type="http://schemas.openxmlformats.org/officeDocument/2006/relationships/hyperlink"/><Relationship Id="rId14" Target="https%3A%2F%2Fwww.webofscience.com%2Fwos%2Fwoscc%2Ffull-record%2FWOS%3A001835255100001" TargetMode="External" Type="http://schemas.openxmlformats.org/officeDocument/2006/relationships/hyperlink"/><Relationship Id="rId140" Target="http%3A%2F%2Fdx.doi.org%2F10.1590%2FS1677-5538.IBJU.2023.0570" TargetMode="External" Type="http://schemas.openxmlformats.org/officeDocument/2006/relationships/hyperlink"/><Relationship Id="rId141" Target="https%3A%2F%2Fwww.webofscience.com%2Fwos%2Fwoscc%2Ffull-record%2FWOS%3A001178951200009" TargetMode="External" Type="http://schemas.openxmlformats.org/officeDocument/2006/relationships/hyperlink"/><Relationship Id="rId142" Target="http%3A%2F%2Fdx.doi.org%2F10.1002%2Foto2.163" TargetMode="External" Type="http://schemas.openxmlformats.org/officeDocument/2006/relationships/hyperlink"/><Relationship Id="rId143" Target="https%3A%2F%2Fwww.webofscience.com%2Fwos%2Fwoscc%2Ffull-record%2FWOS%3A001263149000001" TargetMode="External" Type="http://schemas.openxmlformats.org/officeDocument/2006/relationships/hyperlink"/><Relationship Id="rId144" Target="http%3A%2F%2Fdx.doi.org%2F10.1097%2FGOX.0000000000005290" TargetMode="External" Type="http://schemas.openxmlformats.org/officeDocument/2006/relationships/hyperlink"/><Relationship Id="rId145" Target="https%3A%2F%2Fwww.webofscience.com%2Fwos%2Fwoscc%2Ffull-record%2FWOS%3A001066332300001" TargetMode="External" Type="http://schemas.openxmlformats.org/officeDocument/2006/relationships/hyperlink"/><Relationship Id="rId146" Target="http%3A%2F%2Fdx.doi.org%2F10.1044%2F2026_LSHSS-25-00086" TargetMode="External" Type="http://schemas.openxmlformats.org/officeDocument/2006/relationships/hyperlink"/><Relationship Id="rId147" Target="https%3A%2F%2Fwww.webofscience.com%2Fwos%2Fwoscc%2Ffull-record%2FWOS%3A001836695400001" TargetMode="External" Type="http://schemas.openxmlformats.org/officeDocument/2006/relationships/hyperlink"/><Relationship Id="rId148" Target="http%3A%2F%2Fdx.doi.org%2F10.2519%2Fjospt.2024.12151" TargetMode="External" Type="http://schemas.openxmlformats.org/officeDocument/2006/relationships/hyperlink"/><Relationship Id="rId149" Target="https%3A%2F%2Fwww.webofscience.com%2Fwos%2Fwoscc%2Ffull-record%2FWOS%3A001207010800002" TargetMode="External" Type="http://schemas.openxmlformats.org/officeDocument/2006/relationships/hyperlink"/><Relationship Id="rId15" Target="http%3A%2F%2Fdx.doi.org%2F10.3390%2Fjcm14176169" TargetMode="External" Type="http://schemas.openxmlformats.org/officeDocument/2006/relationships/hyperlink"/><Relationship Id="rId150" Target="http%3A%2F%2Fdx.doi.org%2F10.12669%2Fpjms.41.9.12131" TargetMode="External" Type="http://schemas.openxmlformats.org/officeDocument/2006/relationships/hyperlink"/><Relationship Id="rId151" Target="https%3A%2F%2Fwww.webofscience.com%2Fwos%2Fwoscc%2Ffull-record%2FWOS%3A001588821000004" TargetMode="External" Type="http://schemas.openxmlformats.org/officeDocument/2006/relationships/hyperlink"/><Relationship Id="rId152" Target="http%3A%2F%2Fdx.doi.org%2F10.1097%2FMD.0000000000039250" TargetMode="External" Type="http://schemas.openxmlformats.org/officeDocument/2006/relationships/hyperlink"/><Relationship Id="rId153" Target="https%3A%2F%2Fwww.webofscience.com%2Fwos%2Fwoscc%2Ffull-record%2FWOS%3A001287977800091" TargetMode="External" Type="http://schemas.openxmlformats.org/officeDocument/2006/relationships/hyperlink"/><Relationship Id="rId154" Target="http%3A%2F%2Fdx.doi.org%2F10.1097%2FSCS.0000000000010686" TargetMode="External" Type="http://schemas.openxmlformats.org/officeDocument/2006/relationships/hyperlink"/><Relationship Id="rId155" Target="https%3A%2F%2Fwww.webofscience.com%2Fwos%2Fwoscc%2Ffull-record%2FWOS%3A001430734100022" TargetMode="External" Type="http://schemas.openxmlformats.org/officeDocument/2006/relationships/hyperlink"/><Relationship Id="rId156" Target="http%3A%2F%2Fdx.doi.org%2F10.1177%2F20552076251331804" TargetMode="External" Type="http://schemas.openxmlformats.org/officeDocument/2006/relationships/hyperlink"/><Relationship Id="rId157" Target="https%3A%2F%2Fwww.webofscience.com%2Fwos%2Fwoscc%2Ffull-record%2FWOS%3A001464191900001" TargetMode="External" Type="http://schemas.openxmlformats.org/officeDocument/2006/relationships/hyperlink"/><Relationship Id="rId158" Target="http%3A%2F%2Fdx.doi.org%2F10.1053%2Fj.gastro.2025.01.254" TargetMode="External" Type="http://schemas.openxmlformats.org/officeDocument/2006/relationships/hyperlink"/><Relationship Id="rId159" Target="https%3A%2F%2Fwww.webofscience.com%2Fwos%2Fwoscc%2Ffull-record%2FWOS%3A001554469100001" TargetMode="External" Type="http://schemas.openxmlformats.org/officeDocument/2006/relationships/hyperlink"/><Relationship Id="rId16" Target="https%3A%2F%2Fwww.webofscience.com%2Fwos%2Fwoscc%2Ffull-record%2FWOS%3A001571369200001" TargetMode="External" Type="http://schemas.openxmlformats.org/officeDocument/2006/relationships/hyperlink"/><Relationship Id="rId160" Target="https%3A%2F%2Fwww.webofscience.com%2Fwos%2Fwoscc%2Ffull-record%2FWOS%3A001711567000017" TargetMode="External" Type="http://schemas.openxmlformats.org/officeDocument/2006/relationships/hyperlink"/><Relationship Id="rId161" Target="http%3A%2F%2Fdx.doi.org%2F10.1097%2FCORR.0000000000003234" TargetMode="External" Type="http://schemas.openxmlformats.org/officeDocument/2006/relationships/hyperlink"/><Relationship Id="rId162" Target="https%3A%2F%2Fwww.webofscience.com%2Fwos%2Fwoscc%2Ffull-record%2FWOS%3A001361758100003" TargetMode="External" Type="http://schemas.openxmlformats.org/officeDocument/2006/relationships/hyperlink"/><Relationship Id="rId163" Target="http%3A%2F%2Fdx.doi.org%2F10.3389%2Ffdgth.2025.1574287" TargetMode="External" Type="http://schemas.openxmlformats.org/officeDocument/2006/relationships/hyperlink"/><Relationship Id="rId164" Target="https%3A%2F%2Fwww.webofscience.com%2Fwos%2Fwoscc%2Ffull-record%2FWOS%3A001525659200001" TargetMode="External" Type="http://schemas.openxmlformats.org/officeDocument/2006/relationships/hyperlink"/><Relationship Id="rId165" Target="http%3A%2F%2Fdx.doi.org%2F10.1097%2FBPO.0000000000002890" TargetMode="External" Type="http://schemas.openxmlformats.org/officeDocument/2006/relationships/hyperlink"/><Relationship Id="rId166" Target="https%3A%2F%2Fwww.webofscience.com%2Fwos%2Fwoscc%2Ffull-record%2FWOS%3A001437724500006" TargetMode="External" Type="http://schemas.openxmlformats.org/officeDocument/2006/relationships/hyperlink"/><Relationship Id="rId167" Target="http%3A%2F%2Fdx.doi.org%2F10.1038%2Fs41433-025-03788-0" TargetMode="External" Type="http://schemas.openxmlformats.org/officeDocument/2006/relationships/hyperlink"/><Relationship Id="rId168" Target="https%3A%2F%2Fwww.webofscience.com%2Fwos%2Fwoscc%2Ffull-record%2FWOS%3A001467056300001" TargetMode="External" Type="http://schemas.openxmlformats.org/officeDocument/2006/relationships/hyperlink"/><Relationship Id="rId169" Target="http%3A%2F%2Fdx.doi.org%2F10.56434%2Fj.arch.esp.urol.20267905.84" TargetMode="External" Type="http://schemas.openxmlformats.org/officeDocument/2006/relationships/hyperlink"/><Relationship Id="rId17" Target="http%3A%2F%2Fdx.doi.org%2F10.3389%2Ffphar.2025.1649041" TargetMode="External" Type="http://schemas.openxmlformats.org/officeDocument/2006/relationships/hyperlink"/><Relationship Id="rId170" Target="https%3A%2F%2Fwww.webofscience.com%2Fwos%2Fwoscc%2Ffull-record%2FWOS%3A001822882100001" TargetMode="External" Type="http://schemas.openxmlformats.org/officeDocument/2006/relationships/hyperlink"/><Relationship Id="rId171" Target="http%3A%2F%2Fdx.doi.org%2F10.1007%2Fs44446-026-00093-z" TargetMode="External" Type="http://schemas.openxmlformats.org/officeDocument/2006/relationships/hyperlink"/><Relationship Id="rId172" Target="https%3A%2F%2Fwww.webofscience.com%2Fwos%2Fwoscc%2Ffull-record%2FWOS%3A001777619400001" TargetMode="External" Type="http://schemas.openxmlformats.org/officeDocument/2006/relationships/hyperlink"/><Relationship Id="rId173" Target="http%3A%2F%2Fdx.doi.org%2F10.1177%2F20552076251404507" TargetMode="External" Type="http://schemas.openxmlformats.org/officeDocument/2006/relationships/hyperlink"/><Relationship Id="rId174" Target="https%3A%2F%2Fwww.webofscience.com%2Fwos%2Fwoscc%2Ffull-record%2FWOS%3A001629653400001" TargetMode="External" Type="http://schemas.openxmlformats.org/officeDocument/2006/relationships/hyperlink"/><Relationship Id="rId18" Target="https%3A%2F%2Fwww.webofscience.com%2Fwos%2Fwoscc%2Ffull-record%2FWOS%3A001546790800001" TargetMode="External" Type="http://schemas.openxmlformats.org/officeDocument/2006/relationships/hyperlink"/><Relationship Id="rId19" Target="http%3A%2F%2Fdx.doi.org%2F10.1016%2Fj.wneu.2025.123753" TargetMode="External" Type="http://schemas.openxmlformats.org/officeDocument/2006/relationships/hyperlink"/><Relationship Id="rId2" Target="https%3A%2F%2Fwww.webofscience.com%2Fwos%2Fwoscc%2Ffull-record%2FWOS%3A001603073300008" TargetMode="External" Type="http://schemas.openxmlformats.org/officeDocument/2006/relationships/hyperlink"/><Relationship Id="rId20" Target="https%3A%2F%2Fwww.webofscience.com%2Fwos%2Fwoscc%2Ffull-record%2FWOS%3A001442125700001" TargetMode="External" Type="http://schemas.openxmlformats.org/officeDocument/2006/relationships/hyperlink"/><Relationship Id="rId21" Target="http%3A%2F%2Fdx.doi.org%2F10.1016%2Fj.sasc.2026.200475" TargetMode="External" Type="http://schemas.openxmlformats.org/officeDocument/2006/relationships/hyperlink"/><Relationship Id="rId22" Target="https%3A%2F%2Fwww.webofscience.com%2Fwos%2Fwoscc%2Ffull-record%2FWOS%3A001711067000001" TargetMode="External" Type="http://schemas.openxmlformats.org/officeDocument/2006/relationships/hyperlink"/><Relationship Id="rId23" Target="http%3A%2F%2Fdx.doi.org%2F10.1097%2FCCE.0000000000001409" TargetMode="External" Type="http://schemas.openxmlformats.org/officeDocument/2006/relationships/hyperlink"/><Relationship Id="rId24" Target="https%3A%2F%2Fwww.webofscience.com%2Fwos%2Fwoscc%2Ffull-record%2FWOS%3A001749165000001" TargetMode="External" Type="http://schemas.openxmlformats.org/officeDocument/2006/relationships/hyperlink"/><Relationship Id="rId25" Target="https%3A%2F%2Fwww.webofscience.com%2Fwos%2Fwoscc%2Ffull-record%2FWOS%3A001470482100028" TargetMode="External" Type="http://schemas.openxmlformats.org/officeDocument/2006/relationships/hyperlink"/><Relationship Id="rId26" Target="http%3A%2F%2Fdx.doi.org%2F10.3389%2Ffcell.2025.1704762" TargetMode="External" Type="http://schemas.openxmlformats.org/officeDocument/2006/relationships/hyperlink"/><Relationship Id="rId27" Target="https%3A%2F%2Fwww.webofscience.com%2Fwos%2Fwoscc%2Ffull-record%2FWOS%3A001639177000001" TargetMode="External" Type="http://schemas.openxmlformats.org/officeDocument/2006/relationships/hyperlink"/><Relationship Id="rId28" Target="http%3A%2F%2Fdx.doi.org%2F10.1016%2Fj.cpet.2025.09.009" TargetMode="External" Type="http://schemas.openxmlformats.org/officeDocument/2006/relationships/hyperlink"/><Relationship Id="rId29" Target="https%3A%2F%2Fwww.webofscience.com%2Fwos%2Fwoscc%2Ffull-record%2FWOS%3A001627002900004" TargetMode="External" Type="http://schemas.openxmlformats.org/officeDocument/2006/relationships/hyperlink"/><Relationship Id="rId3" Target="http%3A%2F%2Fdx.doi.org%2F10.1111%2Fanae.16755" TargetMode="External" Type="http://schemas.openxmlformats.org/officeDocument/2006/relationships/hyperlink"/><Relationship Id="rId30" Target="http%3A%2F%2Fdx.doi.org%2F10.1007%2Fs10916-026-02390-5" TargetMode="External" Type="http://schemas.openxmlformats.org/officeDocument/2006/relationships/hyperlink"/><Relationship Id="rId31" Target="https%3A%2F%2Fwww.webofscience.com%2Fwos%2Fwoscc%2Ffull-record%2FWOS%3A001754771600002" TargetMode="External" Type="http://schemas.openxmlformats.org/officeDocument/2006/relationships/hyperlink"/><Relationship Id="rId32" Target="http%3A%2F%2Fdx.doi.org%2F10.1007%2Fs00464-025-11723-3" TargetMode="External" Type="http://schemas.openxmlformats.org/officeDocument/2006/relationships/hyperlink"/><Relationship Id="rId33" Target="https%3A%2F%2Fwww.webofscience.com%2Fwos%2Fwoscc%2Ffull-record%2FWOS%3A001469637400001" TargetMode="External" Type="http://schemas.openxmlformats.org/officeDocument/2006/relationships/hyperlink"/><Relationship Id="rId34" Target="http%3A%2F%2Fdx.doi.org%2F10.1136%2Fbmjhci-2026-102207" TargetMode="External" Type="http://schemas.openxmlformats.org/officeDocument/2006/relationships/hyperlink"/><Relationship Id="rId35" Target="https%3A%2F%2Fwww.webofscience.com%2Fwos%2Fwoscc%2Ffull-record%2FWOS%3A001846457400001" TargetMode="External" Type="http://schemas.openxmlformats.org/officeDocument/2006/relationships/hyperlink"/><Relationship Id="rId36" Target="http%3A%2F%2Fdx.doi.org%2F10.1038%2Fs41551-026-01719-2" TargetMode="External" Type="http://schemas.openxmlformats.org/officeDocument/2006/relationships/hyperlink"/><Relationship Id="rId37" Target="https%3A%2F%2Fwww.webofscience.com%2Fwos%2Fwoscc%2Ffull-record%2FWOS%3A001795332000001" TargetMode="External" Type="http://schemas.openxmlformats.org/officeDocument/2006/relationships/hyperlink"/><Relationship Id="rId38" Target="http%3A%2F%2Fdx.doi.org%2F10.1016%2Fj.jdent.2025.106187" TargetMode="External" Type="http://schemas.openxmlformats.org/officeDocument/2006/relationships/hyperlink"/><Relationship Id="rId39" Target="https%3A%2F%2Fwww.webofscience.com%2Fwos%2Fwoscc%2Ffull-record%2FWOS%3A001614667300001" TargetMode="External" Type="http://schemas.openxmlformats.org/officeDocument/2006/relationships/hyperlink"/><Relationship Id="rId4" Target="https%3A%2F%2Fwww.webofscience.com%2Fwos%2Fwoscc%2Ffull-record%2FWOS%3A001574603700001" TargetMode="External" Type="http://schemas.openxmlformats.org/officeDocument/2006/relationships/hyperlink"/><Relationship Id="rId40" Target="http%3A%2F%2Fdx.doi.org%2F10.1002%2Fhkj2.70085" TargetMode="External" Type="http://schemas.openxmlformats.org/officeDocument/2006/relationships/hyperlink"/><Relationship Id="rId41" Target="https%3A%2F%2Fwww.webofscience.com%2Fwos%2Fwoscc%2Ffull-record%2FWOS%3A001702893900002" TargetMode="External" Type="http://schemas.openxmlformats.org/officeDocument/2006/relationships/hyperlink"/><Relationship Id="rId42" Target="http%3A%2F%2Fdx.doi.org%2F10.2196%2F48568" TargetMode="External" Type="http://schemas.openxmlformats.org/officeDocument/2006/relationships/hyperlink"/><Relationship Id="rId43" Target="https%3A%2F%2Fwww.webofscience.com%2Fwos%2Fwoscc%2Ffull-record%2FWOS%3A001045687800005" TargetMode="External" Type="http://schemas.openxmlformats.org/officeDocument/2006/relationships/hyperlink"/><Relationship Id="rId44" Target="http%3A%2F%2Fdx.doi.org%2F10.1371%2Fjournal.pone.0355491" TargetMode="External" Type="http://schemas.openxmlformats.org/officeDocument/2006/relationships/hyperlink"/><Relationship Id="rId45" Target="https%3A%2F%2Fwww.webofscience.com%2Fwos%2Fwoscc%2Ffull-record%2FWOS%3A001843822600010" TargetMode="External" Type="http://schemas.openxmlformats.org/officeDocument/2006/relationships/hyperlink"/><Relationship Id="rId46" Target="http%3A%2F%2Fdx.doi.org%2F10.2147%2FIDR.S593763" TargetMode="External" Type="http://schemas.openxmlformats.org/officeDocument/2006/relationships/hyperlink"/><Relationship Id="rId47" Target="https%3A%2F%2Fwww.webofscience.com%2Fwos%2Fwoscc%2Ffull-record%2FWOS%3A001793831700001" TargetMode="External" Type="http://schemas.openxmlformats.org/officeDocument/2006/relationships/hyperlink"/><Relationship Id="rId48" Target="http%3A%2F%2Fdx.doi.org%2F10.1111%2Fjep.14250" TargetMode="External" Type="http://schemas.openxmlformats.org/officeDocument/2006/relationships/hyperlink"/><Relationship Id="rId49" Target="https%3A%2F%2Fwww.webofscience.com%2Fwos%2Fwoscc%2Ffull-record%2FWOS%3A001377177500001" TargetMode="External" Type="http://schemas.openxmlformats.org/officeDocument/2006/relationships/hyperlink"/><Relationship Id="rId5" Target="http%3A%2F%2Fdx.doi.org%2F10.1038%2Fs41598-025-20210-7" TargetMode="External" Type="http://schemas.openxmlformats.org/officeDocument/2006/relationships/hyperlink"/><Relationship Id="rId50" Target="http%3A%2F%2Fdx.doi.org%2F10.1038%2Fs42256-026-01224-w" TargetMode="External" Type="http://schemas.openxmlformats.org/officeDocument/2006/relationships/hyperlink"/><Relationship Id="rId51" Target="https%3A%2F%2Fwww.webofscience.com%2Fwos%2Fwoscc%2Ffull-record%2FWOS%3A001751925700001" TargetMode="External" Type="http://schemas.openxmlformats.org/officeDocument/2006/relationships/hyperlink"/><Relationship Id="rId52" Target="http%3A%2F%2Fdx.doi.org%2F10.1016%2Fj.inffus.2025.103663" TargetMode="External" Type="http://schemas.openxmlformats.org/officeDocument/2006/relationships/hyperlink"/><Relationship Id="rId53" Target="https%3A%2F%2Fwww.webofscience.com%2Fwos%2Fwoscc%2Ffull-record%2FWOS%3A001566949400001" TargetMode="External" Type="http://schemas.openxmlformats.org/officeDocument/2006/relationships/hyperlink"/><Relationship Id="rId54" Target="http%3A%2F%2Fdx.doi.org%2F10.1177%2F20552076251394287" TargetMode="External" Type="http://schemas.openxmlformats.org/officeDocument/2006/relationships/hyperlink"/><Relationship Id="rId55" Target="https%3A%2F%2Fwww.webofscience.com%2Fwos%2Fwoscc%2Ffull-record%2FWOS%3A001622615600001" TargetMode="External" Type="http://schemas.openxmlformats.org/officeDocument/2006/relationships/hyperlink"/><Relationship Id="rId56" Target="http%3A%2F%2Fdx.doi.org%2F10.1007%2Fs10875-026-02006-0" TargetMode="External" Type="http://schemas.openxmlformats.org/officeDocument/2006/relationships/hyperlink"/><Relationship Id="rId57" Target="https%3A%2F%2Fwww.webofscience.com%2Fwos%2Fwoscc%2Ffull-record%2FWOS%3A001733669200001" TargetMode="External" Type="http://schemas.openxmlformats.org/officeDocument/2006/relationships/hyperlink"/><Relationship Id="rId58" Target="http%3A%2F%2Fdx.doi.org%2F10.1016%2Fj.imed.2026.03.003" TargetMode="External" Type="http://schemas.openxmlformats.org/officeDocument/2006/relationships/hyperlink"/><Relationship Id="rId59" Target="https%3A%2F%2Fwww.webofscience.com%2Fwos%2Fwoscc%2Ffull-record%2FWOS%3A001811834000001" TargetMode="External" Type="http://schemas.openxmlformats.org/officeDocument/2006/relationships/hyperlink"/><Relationship Id="rId6" Target="https%3A%2F%2Fwww.webofscience.com%2Fwos%2Fwoscc%2Ffull-record%2FWOS%3A001597100100038" TargetMode="External" Type="http://schemas.openxmlformats.org/officeDocument/2006/relationships/hyperlink"/><Relationship Id="rId60" Target="http%3A%2F%2Fdx.doi.org%2F10.1016%2Fj.ejim.2024.09.017" TargetMode="External" Type="http://schemas.openxmlformats.org/officeDocument/2006/relationships/hyperlink"/><Relationship Id="rId61" Target="https%3A%2F%2Fwww.webofscience.com%2Fwos%2Fwoscc%2Ffull-record%2FWOS%3A001400116800001" TargetMode="External" Type="http://schemas.openxmlformats.org/officeDocument/2006/relationships/hyperlink"/><Relationship Id="rId62" Target="http%3A%2F%2Fdx.doi.org%2F10.3791%2F71099" TargetMode="External" Type="http://schemas.openxmlformats.org/officeDocument/2006/relationships/hyperlink"/><Relationship Id="rId63" Target="https%3A%2F%2Fwww.webofscience.com%2Fwos%2Fwoscc%2Ffull-record%2FWOS%3A001853101600021" TargetMode="External" Type="http://schemas.openxmlformats.org/officeDocument/2006/relationships/hyperlink"/><Relationship Id="rId64" Target="http%3A%2F%2Fdx.doi.org%2F10.1136%2Fbmjhci-2025-101470" TargetMode="External" Type="http://schemas.openxmlformats.org/officeDocument/2006/relationships/hyperlink"/><Relationship Id="rId65" Target="https%3A%2F%2Fwww.webofscience.com%2Fwos%2Fwoscc%2Ffull-record%2FWOS%3A001575526000001" TargetMode="External" Type="http://schemas.openxmlformats.org/officeDocument/2006/relationships/hyperlink"/><Relationship Id="rId66" Target="http%3A%2F%2Fdx.doi.org%2F10.2196%2F88816" TargetMode="External" Type="http://schemas.openxmlformats.org/officeDocument/2006/relationships/hyperlink"/><Relationship Id="rId67" Target="https%3A%2F%2Fwww.webofscience.com%2Fwos%2Fwoscc%2Ffull-record%2FWOS%3A001820330900001" TargetMode="External" Type="http://schemas.openxmlformats.org/officeDocument/2006/relationships/hyperlink"/><Relationship Id="rId68" Target="http%3A%2F%2Fdx.doi.org%2F10.2196%2F48659" TargetMode="External" Type="http://schemas.openxmlformats.org/officeDocument/2006/relationships/hyperlink"/><Relationship Id="rId69" Target="https%3A%2F%2Fwww.webofscience.com%2Fwos%2Fwoscc%2Ffull-record%2FWOS%3A001160247000005" TargetMode="External" Type="http://schemas.openxmlformats.org/officeDocument/2006/relationships/hyperlink"/><Relationship Id="rId7" Target="http%3A%2F%2Fdx.doi.org%2F10.1016%2Fj.annonc.2025.09.001" TargetMode="External" Type="http://schemas.openxmlformats.org/officeDocument/2006/relationships/hyperlink"/><Relationship Id="rId70" Target="http%3A%2F%2Fdx.doi.org%2F10.1016%2Fj.jpra.2024.07.008" TargetMode="External" Type="http://schemas.openxmlformats.org/officeDocument/2006/relationships/hyperlink"/><Relationship Id="rId71" Target="https%3A%2F%2Fwww.webofscience.com%2Fwos%2Fwoscc%2Ffull-record%2FWOS%3A001295460700001" TargetMode="External" Type="http://schemas.openxmlformats.org/officeDocument/2006/relationships/hyperlink"/><Relationship Id="rId72" Target="http%3A%2F%2Fdx.doi.org%2F10.1111%2Fjop.70140" TargetMode="External" Type="http://schemas.openxmlformats.org/officeDocument/2006/relationships/hyperlink"/><Relationship Id="rId73" Target="https%3A%2F%2Fwww.webofscience.com%2Fwos%2Fwoscc%2Ffull-record%2FWOS%3A001738126300001" TargetMode="External" Type="http://schemas.openxmlformats.org/officeDocument/2006/relationships/hyperlink"/><Relationship Id="rId74" Target="http%3A%2F%2Fdx.doi.org%2F10.1016%2Fj.cjca.2025.04.008" TargetMode="External" Type="http://schemas.openxmlformats.org/officeDocument/2006/relationships/hyperlink"/><Relationship Id="rId75" Target="https%3A%2F%2Fwww.webofscience.com%2Fwos%2Fwoscc%2Ffull-record%2FWOS%3A001555708500021" TargetMode="External" Type="http://schemas.openxmlformats.org/officeDocument/2006/relationships/hyperlink"/><Relationship Id="rId76" Target="http%3A%2F%2Fdx.doi.org%2F10.1016%2Fj.jisako.2026.101160" TargetMode="External" Type="http://schemas.openxmlformats.org/officeDocument/2006/relationships/hyperlink"/><Relationship Id="rId77" Target="https%3A%2F%2Fwww.webofscience.com%2Fwos%2Fwoscc%2Ffull-record%2FWOS%3A001812229800001" TargetMode="External" Type="http://schemas.openxmlformats.org/officeDocument/2006/relationships/hyperlink"/><Relationship Id="rId78" Target="http%3A%2F%2Fdx.doi.org%2F10.1002%2Fepi4.70066" TargetMode="External" Type="http://schemas.openxmlformats.org/officeDocument/2006/relationships/hyperlink"/><Relationship Id="rId79" Target="https%3A%2F%2Fwww.webofscience.com%2Fwos%2Fwoscc%2Ffull-record%2FWOS%3A001492540400001" TargetMode="External" Type="http://schemas.openxmlformats.org/officeDocument/2006/relationships/hyperlink"/><Relationship Id="rId8" Target="https%3A%2F%2Fwww.webofscience.com%2Fwos%2Fwoscc%2Ffull-record%2FWOS%3A001634474900001" TargetMode="External" Type="http://schemas.openxmlformats.org/officeDocument/2006/relationships/hyperlink"/><Relationship Id="rId80" Target="http%3A%2F%2Fdx.doi.org%2F10.1016%2Fj.arthro.2024.09.020" TargetMode="External" Type="http://schemas.openxmlformats.org/officeDocument/2006/relationships/hyperlink"/><Relationship Id="rId81" Target="https%3A%2F%2Fwww.webofscience.com%2Fwos%2Fwoscc%2Ffull-record%2FWOS%3A001505151400026" TargetMode="External" Type="http://schemas.openxmlformats.org/officeDocument/2006/relationships/hyperlink"/><Relationship Id="rId82" Target="http%3A%2F%2Fdx.doi.org%2F10.1016%2Fj.arthro.2024.07.040" TargetMode="External" Type="http://schemas.openxmlformats.org/officeDocument/2006/relationships/hyperlink"/><Relationship Id="rId83" Target="https%3A%2F%2Fwww.webofscience.com%2Fwos%2Fwoscc%2Ffull-record%2FWOS%3A001407460300001" TargetMode="External" Type="http://schemas.openxmlformats.org/officeDocument/2006/relationships/hyperlink"/><Relationship Id="rId84" Target="http%3A%2F%2Fdx.doi.org%2F10.3389%2Ffdgth.2025.1623922" TargetMode="External" Type="http://schemas.openxmlformats.org/officeDocument/2006/relationships/hyperlink"/><Relationship Id="rId85" Target="https%3A%2F%2Fwww.webofscience.com%2Fwos%2Fwoscc%2Ffull-record%2FWOS%3A001634254900001" TargetMode="External" Type="http://schemas.openxmlformats.org/officeDocument/2006/relationships/hyperlink"/><Relationship Id="rId86" Target="http%3A%2F%2Fdx.doi.org%2F10.2196%2F68697" TargetMode="External" Type="http://schemas.openxmlformats.org/officeDocument/2006/relationships/hyperlink"/><Relationship Id="rId87" Target="https%3A%2F%2Fwww.webofscience.com%2Fwos%2Fwoscc%2Ffull-record%2FWOS%3A001600515500001" TargetMode="External" Type="http://schemas.openxmlformats.org/officeDocument/2006/relationships/hyperlink"/><Relationship Id="rId88" Target="http%3A%2F%2Fdx.doi.org%2F10.1016%2Fj.ogla.2024.10.005" TargetMode="External" Type="http://schemas.openxmlformats.org/officeDocument/2006/relationships/hyperlink"/><Relationship Id="rId89" Target="https%3A%2F%2Fwww.webofscience.com%2Fwos%2Fwoscc%2Ffull-record%2FWOS%3A001469201600001" TargetMode="External" Type="http://schemas.openxmlformats.org/officeDocument/2006/relationships/hyperlink"/><Relationship Id="rId9" Target="http%3A%2F%2Fdx.doi.org%2F10.1016%2Fj.neucom.2025.131817" TargetMode="External" Type="http://schemas.openxmlformats.org/officeDocument/2006/relationships/hyperlink"/><Relationship Id="rId90" Target="http%3A%2F%2Fdx.doi.org%2F10.1016%2Fj.lanepe.2024.101064" TargetMode="External" Type="http://schemas.openxmlformats.org/officeDocument/2006/relationships/hyperlink"/><Relationship Id="rId91" Target="https%3A%2F%2Fwww.webofscience.com%2Fwos%2Fwoscc%2Ffull-record%2FWOS%3A001310845000001" TargetMode="External" Type="http://schemas.openxmlformats.org/officeDocument/2006/relationships/hyperlink"/><Relationship Id="rId92" Target="http%3A%2F%2Fdx.doi.org%2F10.3390%2Fapp16136630" TargetMode="External" Type="http://schemas.openxmlformats.org/officeDocument/2006/relationships/hyperlink"/><Relationship Id="rId93" Target="https%3A%2F%2Fwww.webofscience.com%2Fwos%2Fwoscc%2Ffull-record%2FWOS%3A001818102200001" TargetMode="External" Type="http://schemas.openxmlformats.org/officeDocument/2006/relationships/hyperlink"/><Relationship Id="rId94" Target="http%3A%2F%2Fdx.doi.org%2F10.3389%2Ffpubh.2025.1634638" TargetMode="External" Type="http://schemas.openxmlformats.org/officeDocument/2006/relationships/hyperlink"/><Relationship Id="rId95" Target="https%3A%2F%2Fwww.webofscience.com%2Fwos%2Fwoscc%2Ffull-record%2FWOS%3A001548402500001" TargetMode="External" Type="http://schemas.openxmlformats.org/officeDocument/2006/relationships/hyperlink"/><Relationship Id="rId96" Target="http%3A%2F%2Fdx.doi.org%2F10.1007%2Fs13139-026-01029-0" TargetMode="External" Type="http://schemas.openxmlformats.org/officeDocument/2006/relationships/hyperlink"/><Relationship Id="rId97" Target="https%3A%2F%2Fwww.webofscience.com%2Fwos%2Fwoscc%2Ffull-record%2FWOS%3A001771817500001" TargetMode="External" Type="http://schemas.openxmlformats.org/officeDocument/2006/relationships/hyperlink"/><Relationship Id="rId98" Target="http%3A%2F%2Fdx.doi.org%2F10.1016%2Fj.arthro.2025.01.039" TargetMode="External" Type="http://schemas.openxmlformats.org/officeDocument/2006/relationships/hyperlink"/><Relationship Id="rId99" Target="https%3A%2F%2Fwww.webofscience.com%2Fwos%2Fwoscc%2Ffull-record%2FWOS%3A00154484470000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90"/>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79</v>
      </c>
      <c r="I2" t="s" s="0">
        <v>81</v>
      </c>
      <c r="J2" t="s" s="0">
        <v>82</v>
      </c>
      <c r="K2" t="s" s="0">
        <v>83</v>
      </c>
      <c r="L2" t="s" s="0">
        <v>79</v>
      </c>
      <c r="M2" t="s" s="0">
        <v>79</v>
      </c>
      <c r="N2" t="s" s="0">
        <v>79</v>
      </c>
      <c r="O2" t="s" s="0">
        <v>84</v>
      </c>
      <c r="P2" t="s" s="0">
        <v>79</v>
      </c>
      <c r="Q2" t="s" s="0">
        <v>85</v>
      </c>
      <c r="R2" t="s" s="0">
        <v>79</v>
      </c>
      <c r="S2" t="s" s="0">
        <v>79</v>
      </c>
      <c r="T2" t="s" s="0">
        <v>79</v>
      </c>
      <c r="U2" t="s" s="0">
        <v>79</v>
      </c>
      <c r="V2" t="s" s="0">
        <v>86</v>
      </c>
      <c r="W2" t="s" s="0">
        <v>87</v>
      </c>
      <c r="X2" t="s" s="0">
        <v>79</v>
      </c>
      <c r="Y2" t="s" s="0">
        <v>79</v>
      </c>
      <c r="Z2" t="s" s="0">
        <v>88</v>
      </c>
      <c r="AA2" t="s" s="0">
        <v>89</v>
      </c>
      <c r="AB2" t="s" s="0">
        <v>79</v>
      </c>
      <c r="AC2" t="s" s="0">
        <v>79</v>
      </c>
      <c r="AD2" t="s" s="0">
        <v>79</v>
      </c>
      <c r="AE2" t="s" s="0">
        <v>79</v>
      </c>
      <c r="AF2" t="s" s="0">
        <v>79</v>
      </c>
      <c r="AG2" t="s" s="0">
        <v>90</v>
      </c>
      <c r="AH2" t="s" s="0">
        <v>79</v>
      </c>
      <c r="AI2" t="s" s="0">
        <v>79</v>
      </c>
      <c r="AJ2" t="s" s="0">
        <v>79</v>
      </c>
      <c r="AK2" t="s" s="0">
        <v>79</v>
      </c>
      <c r="AL2" t="s" s="0">
        <v>91</v>
      </c>
      <c r="AM2" t="s" s="0">
        <v>77</v>
      </c>
      <c r="AN2" t="s" s="0">
        <v>77</v>
      </c>
      <c r="AO2" t="s" s="0">
        <v>77</v>
      </c>
      <c r="AP2" t="s" s="0">
        <v>92</v>
      </c>
      <c r="AQ2" t="s" s="0">
        <v>93</v>
      </c>
      <c r="AR2" t="s" s="0">
        <v>94</v>
      </c>
      <c r="AS2" t="s" s="0">
        <v>95</v>
      </c>
      <c r="AT2" t="s" s="0">
        <v>96</v>
      </c>
      <c r="AU2" t="s" s="0">
        <v>97</v>
      </c>
      <c r="AV2" t="s" s="0">
        <v>79</v>
      </c>
      <c r="AW2" t="s" s="0">
        <v>87</v>
      </c>
      <c r="AX2" t="s" s="0">
        <v>98</v>
      </c>
      <c r="AY2" t="s" s="0">
        <v>99</v>
      </c>
      <c r="AZ2" t="s" s="0">
        <v>100</v>
      </c>
      <c r="BA2" t="s" s="0">
        <v>101</v>
      </c>
      <c r="BB2" t="s" s="0">
        <v>102</v>
      </c>
      <c r="BC2" t="s" s="0">
        <v>79</v>
      </c>
      <c r="BD2" t="s" s="0">
        <v>79</v>
      </c>
      <c r="BE2" t="s" s="0">
        <v>79</v>
      </c>
      <c r="BF2" t="s" s="0">
        <v>79</v>
      </c>
      <c r="BG2" t="s" s="0">
        <v>103</v>
      </c>
      <c r="BH2" t="s" s="0">
        <v>104</v>
      </c>
      <c r="BI2" t="s" s="0">
        <v>79</v>
      </c>
      <c r="BJ2" t="s" s="0">
        <v>105</v>
      </c>
      <c r="BK2" t="s" s="1">
        <f>HYPERLINK("http://dx.doi.org/10.1016/j.pop.2025.07.006","http://dx.doi.org/10.1016/j.pop.2025.07.006")</f>
        <v>106</v>
      </c>
      <c r="BL2" t="s" s="0">
        <v>79</v>
      </c>
      <c r="BM2" t="s" s="0">
        <v>107</v>
      </c>
      <c r="BN2" t="s" s="0">
        <v>108</v>
      </c>
      <c r="BO2" t="s" s="0">
        <v>109</v>
      </c>
      <c r="BP2" t="s" s="0">
        <v>110</v>
      </c>
      <c r="BQ2" t="s" s="0">
        <v>111</v>
      </c>
      <c r="BR2" t="s" s="0">
        <v>112</v>
      </c>
      <c r="BS2" t="s" s="0">
        <v>113</v>
      </c>
      <c r="BT2" t="s" s="2">
        <f>HYPERLINK("https://www.webofscience.com/wos/woscc/full-record/WOS:001603073300008","View Record in Web of Science")</f>
        <v>114</v>
      </c>
      <c r="BU2" t="s" s="0">
        <v>79</v>
      </c>
      <c r="BV2" t="s" s="0">
        <v>79</v>
      </c>
      <c r="BW2" t="s" s="0">
        <v>79</v>
      </c>
      <c r="BX2" t="s" s="0">
        <v>115</v>
      </c>
    </row>
    <row r="3">
      <c r="A3" t="s" s="0">
        <v>77</v>
      </c>
      <c r="B3" t="s" s="0">
        <v>77</v>
      </c>
      <c r="C3" t="s" s="0">
        <v>92</v>
      </c>
      <c r="D3" t="s" s="0">
        <v>77</v>
      </c>
      <c r="E3" t="s" s="0">
        <v>116</v>
      </c>
      <c r="F3" t="s" s="0">
        <v>117</v>
      </c>
      <c r="G3" t="s" s="0">
        <v>118</v>
      </c>
      <c r="H3" t="s" s="0">
        <v>79</v>
      </c>
      <c r="I3" t="s" s="0">
        <v>81</v>
      </c>
      <c r="J3" t="s" s="0">
        <v>119</v>
      </c>
      <c r="K3" t="s" s="0">
        <v>120</v>
      </c>
      <c r="L3" t="s" s="0">
        <v>79</v>
      </c>
      <c r="M3" t="s" s="0">
        <v>79</v>
      </c>
      <c r="N3" t="s" s="0">
        <v>79</v>
      </c>
      <c r="O3" t="s" s="0">
        <v>121</v>
      </c>
      <c r="P3" t="s" s="0">
        <v>122</v>
      </c>
      <c r="Q3" t="s" s="0">
        <v>85</v>
      </c>
      <c r="R3" t="s" s="0">
        <v>79</v>
      </c>
      <c r="S3" t="s" s="0">
        <v>79</v>
      </c>
      <c r="T3" t="s" s="0">
        <v>79</v>
      </c>
      <c r="U3" t="s" s="0">
        <v>79</v>
      </c>
      <c r="V3" t="s" s="0">
        <v>123</v>
      </c>
      <c r="W3" t="s" s="0">
        <v>124</v>
      </c>
      <c r="X3" t="s" s="0">
        <v>79</v>
      </c>
      <c r="Y3" t="s" s="0">
        <v>79</v>
      </c>
      <c r="Z3" t="s" s="0">
        <v>88</v>
      </c>
      <c r="AA3" t="s" s="0">
        <v>89</v>
      </c>
      <c r="AB3" t="s" s="0">
        <v>79</v>
      </c>
      <c r="AC3" t="s" s="0">
        <v>79</v>
      </c>
      <c r="AD3" t="s" s="0">
        <v>79</v>
      </c>
      <c r="AE3" t="s" s="0">
        <v>79</v>
      </c>
      <c r="AF3" t="s" s="0">
        <v>79</v>
      </c>
      <c r="AG3" t="s" s="0">
        <v>125</v>
      </c>
      <c r="AH3" t="s" s="0">
        <v>126</v>
      </c>
      <c r="AI3" t="s" s="0">
        <v>127</v>
      </c>
      <c r="AJ3" t="s" s="0">
        <v>128</v>
      </c>
      <c r="AK3" t="s" s="0">
        <v>79</v>
      </c>
      <c r="AL3" t="s" s="0">
        <v>129</v>
      </c>
      <c r="AM3" t="s" s="0">
        <v>130</v>
      </c>
      <c r="AN3" t="s" s="0">
        <v>130</v>
      </c>
      <c r="AO3" t="s" s="0">
        <v>131</v>
      </c>
      <c r="AP3" t="s" s="0">
        <v>130</v>
      </c>
      <c r="AQ3" t="s" s="0">
        <v>132</v>
      </c>
      <c r="AR3" t="s" s="0">
        <v>133</v>
      </c>
      <c r="AS3" t="s" s="0">
        <v>134</v>
      </c>
      <c r="AT3" t="s" s="0">
        <v>135</v>
      </c>
      <c r="AU3" t="s" s="0">
        <v>136</v>
      </c>
      <c r="AV3" t="s" s="0">
        <v>79</v>
      </c>
      <c r="AW3" t="s" s="0">
        <v>124</v>
      </c>
      <c r="AX3" t="s" s="0">
        <v>137</v>
      </c>
      <c r="AY3" t="s" s="0">
        <v>138</v>
      </c>
      <c r="AZ3" t="s" s="0">
        <v>139</v>
      </c>
      <c r="BA3" t="s" s="0">
        <v>140</v>
      </c>
      <c r="BB3" t="s" s="0">
        <v>92</v>
      </c>
      <c r="BC3" t="s" s="0">
        <v>79</v>
      </c>
      <c r="BD3" t="s" s="0">
        <v>79</v>
      </c>
      <c r="BE3" t="s" s="0">
        <v>79</v>
      </c>
      <c r="BF3" t="s" s="0">
        <v>79</v>
      </c>
      <c r="BG3" t="s" s="0">
        <v>141</v>
      </c>
      <c r="BH3" t="s" s="0">
        <v>142</v>
      </c>
      <c r="BI3" t="s" s="0">
        <v>79</v>
      </c>
      <c r="BJ3" t="s" s="0">
        <v>143</v>
      </c>
      <c r="BK3" t="s" s="3">
        <f>HYPERLINK("http://dx.doi.org/10.1111/anae.16755","http://dx.doi.org/10.1111/anae.16755")</f>
        <v>144</v>
      </c>
      <c r="BL3" t="s" s="0">
        <v>79</v>
      </c>
      <c r="BM3" t="s" s="0">
        <v>145</v>
      </c>
      <c r="BN3" t="s" s="0">
        <v>146</v>
      </c>
      <c r="BO3" t="s" s="0">
        <v>147</v>
      </c>
      <c r="BP3" t="s" s="0">
        <v>147</v>
      </c>
      <c r="BQ3" t="s" s="0">
        <v>148</v>
      </c>
      <c r="BR3" t="s" s="0">
        <v>149</v>
      </c>
      <c r="BS3" t="s" s="0">
        <v>150</v>
      </c>
      <c r="BT3" t="s" s="4">
        <f>HYPERLINK("https://www.webofscience.com/wos/woscc/full-record/WOS:001574603700001","View Record in Web of Science")</f>
        <v>114</v>
      </c>
      <c r="BU3" t="s" s="0">
        <v>79</v>
      </c>
      <c r="BV3" t="s" s="0">
        <v>79</v>
      </c>
      <c r="BW3" t="s" s="0">
        <v>79</v>
      </c>
      <c r="BX3" t="s" s="0">
        <v>115</v>
      </c>
    </row>
    <row r="4">
      <c r="A4" t="s" s="0">
        <v>77</v>
      </c>
      <c r="B4" t="s" s="0">
        <v>77</v>
      </c>
      <c r="C4" t="s" s="0">
        <v>92</v>
      </c>
      <c r="D4" t="s" s="0">
        <v>77</v>
      </c>
      <c r="E4" t="s" s="0">
        <v>151</v>
      </c>
      <c r="F4" t="s" s="0">
        <v>152</v>
      </c>
      <c r="G4" t="s" s="0">
        <v>153</v>
      </c>
      <c r="H4" t="s" s="0">
        <v>79</v>
      </c>
      <c r="I4" t="s" s="0">
        <v>81</v>
      </c>
      <c r="J4" t="s" s="0">
        <v>154</v>
      </c>
      <c r="K4" t="s" s="0">
        <v>155</v>
      </c>
      <c r="L4" t="s" s="0">
        <v>156</v>
      </c>
      <c r="M4" t="s" s="0">
        <v>156</v>
      </c>
      <c r="N4" t="s" s="0">
        <v>157</v>
      </c>
      <c r="O4" t="s" s="0">
        <v>158</v>
      </c>
      <c r="P4" t="s" s="0">
        <v>159</v>
      </c>
      <c r="Q4" t="s" s="0">
        <v>85</v>
      </c>
      <c r="R4" t="s" s="0">
        <v>79</v>
      </c>
      <c r="S4" t="s" s="0">
        <v>79</v>
      </c>
      <c r="T4" t="s" s="0">
        <v>79</v>
      </c>
      <c r="U4" t="s" s="0">
        <v>79</v>
      </c>
      <c r="V4" t="s" s="0">
        <v>160</v>
      </c>
      <c r="W4" t="s" s="0">
        <v>161</v>
      </c>
      <c r="X4" t="s" s="0">
        <v>79</v>
      </c>
      <c r="Y4" t="s" s="0">
        <v>79</v>
      </c>
      <c r="Z4" t="s" s="0">
        <v>88</v>
      </c>
      <c r="AA4" t="s" s="0">
        <v>89</v>
      </c>
      <c r="AB4" t="s" s="0">
        <v>79</v>
      </c>
      <c r="AC4" t="s" s="0">
        <v>79</v>
      </c>
      <c r="AD4" t="s" s="0">
        <v>79</v>
      </c>
      <c r="AE4" t="s" s="0">
        <v>79</v>
      </c>
      <c r="AF4" t="s" s="0">
        <v>79</v>
      </c>
      <c r="AG4" t="s" s="0">
        <v>162</v>
      </c>
      <c r="AH4" t="s" s="0">
        <v>79</v>
      </c>
      <c r="AI4" t="s" s="0">
        <v>163</v>
      </c>
      <c r="AJ4" t="s" s="0">
        <v>79</v>
      </c>
      <c r="AK4" t="s" s="0">
        <v>79</v>
      </c>
      <c r="AL4" t="s" s="0">
        <v>164</v>
      </c>
      <c r="AM4" t="s" s="0">
        <v>131</v>
      </c>
      <c r="AN4" t="s" s="0">
        <v>165</v>
      </c>
      <c r="AO4" t="s" s="0">
        <v>77</v>
      </c>
      <c r="AP4" t="s" s="0">
        <v>166</v>
      </c>
      <c r="AQ4" t="s" s="0">
        <v>167</v>
      </c>
      <c r="AR4" t="s" s="0">
        <v>168</v>
      </c>
      <c r="AS4" t="s" s="0">
        <v>169</v>
      </c>
      <c r="AT4" t="s" s="0">
        <v>170</v>
      </c>
      <c r="AU4" t="s" s="0">
        <v>79</v>
      </c>
      <c r="AV4" t="s" s="0">
        <v>79</v>
      </c>
      <c r="AW4" t="s" s="0">
        <v>171</v>
      </c>
      <c r="AX4" t="s" s="0">
        <v>172</v>
      </c>
      <c r="AY4" t="s" s="0">
        <v>173</v>
      </c>
      <c r="AZ4" t="s" s="0">
        <v>100</v>
      </c>
      <c r="BA4" t="s" s="0">
        <v>174</v>
      </c>
      <c r="BB4" t="s" s="0">
        <v>92</v>
      </c>
      <c r="BC4" t="s" s="0">
        <v>79</v>
      </c>
      <c r="BD4" t="s" s="0">
        <v>79</v>
      </c>
      <c r="BE4" t="s" s="0">
        <v>79</v>
      </c>
      <c r="BF4" t="s" s="0">
        <v>79</v>
      </c>
      <c r="BG4" t="s" s="0">
        <v>79</v>
      </c>
      <c r="BH4" t="s" s="0">
        <v>79</v>
      </c>
      <c r="BI4" t="s" s="0">
        <v>175</v>
      </c>
      <c r="BJ4" t="s" s="0">
        <v>176</v>
      </c>
      <c r="BK4" t="s" s="5">
        <f>HYPERLINK("http://dx.doi.org/10.1038/s41598-025-20210-7","http://dx.doi.org/10.1038/s41598-025-20210-7")</f>
        <v>177</v>
      </c>
      <c r="BL4" t="s" s="0">
        <v>79</v>
      </c>
      <c r="BM4" t="s" s="0">
        <v>79</v>
      </c>
      <c r="BN4" t="s" s="0">
        <v>130</v>
      </c>
      <c r="BO4" t="s" s="0">
        <v>178</v>
      </c>
      <c r="BP4" t="s" s="0">
        <v>179</v>
      </c>
      <c r="BQ4" t="s" s="0">
        <v>180</v>
      </c>
      <c r="BR4" t="s" s="0">
        <v>181</v>
      </c>
      <c r="BS4" t="s" s="0">
        <v>182</v>
      </c>
      <c r="BT4" t="s" s="6">
        <f>HYPERLINK("https://www.webofscience.com/wos/woscc/full-record/WOS:001597100100038","View Record in Web of Science")</f>
        <v>114</v>
      </c>
      <c r="BU4" t="s" s="0">
        <v>183</v>
      </c>
      <c r="BV4" t="s" s="0">
        <v>79</v>
      </c>
      <c r="BW4" t="s" s="0">
        <v>79</v>
      </c>
      <c r="BX4" t="s" s="0">
        <v>115</v>
      </c>
    </row>
    <row r="5">
      <c r="A5" t="s" s="0">
        <v>77</v>
      </c>
      <c r="B5" t="s" s="0">
        <v>77</v>
      </c>
      <c r="C5" t="s" s="0">
        <v>184</v>
      </c>
      <c r="D5" t="s" s="0">
        <v>77</v>
      </c>
      <c r="E5" t="s" s="0">
        <v>185</v>
      </c>
      <c r="F5" t="s" s="0">
        <v>186</v>
      </c>
      <c r="G5" t="s" s="0">
        <v>187</v>
      </c>
      <c r="H5" t="s" s="0">
        <v>79</v>
      </c>
      <c r="I5" t="s" s="0">
        <v>81</v>
      </c>
      <c r="J5" t="s" s="0">
        <v>188</v>
      </c>
      <c r="K5" t="s" s="0">
        <v>189</v>
      </c>
      <c r="L5" t="s" s="0">
        <v>79</v>
      </c>
      <c r="M5" t="s" s="0">
        <v>79</v>
      </c>
      <c r="N5" t="s" s="0">
        <v>79</v>
      </c>
      <c r="O5" t="s" s="0">
        <v>190</v>
      </c>
      <c r="P5" t="s" s="0">
        <v>191</v>
      </c>
      <c r="Q5" t="s" s="0">
        <v>85</v>
      </c>
      <c r="R5" t="s" s="0">
        <v>79</v>
      </c>
      <c r="S5" t="s" s="0">
        <v>79</v>
      </c>
      <c r="T5" t="s" s="0">
        <v>79</v>
      </c>
      <c r="U5" t="s" s="0">
        <v>79</v>
      </c>
      <c r="V5" t="s" s="0">
        <v>192</v>
      </c>
      <c r="W5" t="s" s="0">
        <v>193</v>
      </c>
      <c r="X5" t="s" s="0">
        <v>79</v>
      </c>
      <c r="Y5" t="s" s="0">
        <v>79</v>
      </c>
      <c r="Z5" t="s" s="0">
        <v>88</v>
      </c>
      <c r="AA5" t="s" s="0">
        <v>89</v>
      </c>
      <c r="AB5" t="s" s="0">
        <v>79</v>
      </c>
      <c r="AC5" t="s" s="0">
        <v>79</v>
      </c>
      <c r="AD5" t="s" s="0">
        <v>79</v>
      </c>
      <c r="AE5" t="s" s="0">
        <v>79</v>
      </c>
      <c r="AF5" t="s" s="0">
        <v>79</v>
      </c>
      <c r="AG5" t="s" s="0">
        <v>194</v>
      </c>
      <c r="AH5" t="s" s="0">
        <v>79</v>
      </c>
      <c r="AI5" t="s" s="0">
        <v>195</v>
      </c>
      <c r="AJ5" t="s" s="0">
        <v>196</v>
      </c>
      <c r="AK5" t="s" s="0">
        <v>79</v>
      </c>
      <c r="AL5" t="s" s="0">
        <v>197</v>
      </c>
      <c r="AM5" t="s" s="0">
        <v>198</v>
      </c>
      <c r="AN5" t="s" s="0">
        <v>199</v>
      </c>
      <c r="AO5" t="s" s="0">
        <v>131</v>
      </c>
      <c r="AP5" t="s" s="0">
        <v>102</v>
      </c>
      <c r="AQ5" t="s" s="0">
        <v>200</v>
      </c>
      <c r="AR5" t="s" s="0">
        <v>201</v>
      </c>
      <c r="AS5" t="s" s="0">
        <v>202</v>
      </c>
      <c r="AT5" t="s" s="0">
        <v>203</v>
      </c>
      <c r="AU5" t="s" s="0">
        <v>204</v>
      </c>
      <c r="AV5" t="s" s="0">
        <v>79</v>
      </c>
      <c r="AW5" t="s" s="0">
        <v>205</v>
      </c>
      <c r="AX5" t="s" s="0">
        <v>206</v>
      </c>
      <c r="AY5" t="s" s="0">
        <v>99</v>
      </c>
      <c r="AZ5" t="s" s="0">
        <v>100</v>
      </c>
      <c r="BA5" t="s" s="0">
        <v>199</v>
      </c>
      <c r="BB5" t="s" s="0">
        <v>108</v>
      </c>
      <c r="BC5" t="s" s="0">
        <v>79</v>
      </c>
      <c r="BD5" t="s" s="0">
        <v>79</v>
      </c>
      <c r="BE5" t="s" s="0">
        <v>79</v>
      </c>
      <c r="BF5" t="s" s="0">
        <v>79</v>
      </c>
      <c r="BG5" t="s" s="0">
        <v>207</v>
      </c>
      <c r="BH5" t="s" s="0">
        <v>208</v>
      </c>
      <c r="BI5" t="s" s="0">
        <v>79</v>
      </c>
      <c r="BJ5" t="s" s="0">
        <v>209</v>
      </c>
      <c r="BK5" t="s" s="7">
        <f>HYPERLINK("http://dx.doi.org/10.1016/j.annonc.2025.09.001","http://dx.doi.org/10.1016/j.annonc.2025.09.001")</f>
        <v>210</v>
      </c>
      <c r="BL5" t="s" s="0">
        <v>79</v>
      </c>
      <c r="BM5" t="s" s="0">
        <v>99</v>
      </c>
      <c r="BN5" t="s" s="0">
        <v>211</v>
      </c>
      <c r="BO5" t="s" s="0">
        <v>212</v>
      </c>
      <c r="BP5" t="s" s="0">
        <v>212</v>
      </c>
      <c r="BQ5" t="s" s="0">
        <v>213</v>
      </c>
      <c r="BR5" t="s" s="0">
        <v>214</v>
      </c>
      <c r="BS5" t="s" s="0">
        <v>215</v>
      </c>
      <c r="BT5" t="s" s="8">
        <f>HYPERLINK("https://www.webofscience.com/wos/woscc/full-record/WOS:001634474900001","View Record in Web of Science")</f>
        <v>114</v>
      </c>
      <c r="BU5" t="s" s="0">
        <v>216</v>
      </c>
      <c r="BV5" t="s" s="0">
        <v>79</v>
      </c>
      <c r="BW5" t="s" s="0">
        <v>79</v>
      </c>
      <c r="BX5" t="s" s="0">
        <v>115</v>
      </c>
    </row>
    <row r="6">
      <c r="A6" t="s" s="0">
        <v>77</v>
      </c>
      <c r="B6" t="s" s="0">
        <v>77</v>
      </c>
      <c r="C6" t="s" s="0">
        <v>92</v>
      </c>
      <c r="D6" t="s" s="0">
        <v>77</v>
      </c>
      <c r="E6" t="s" s="0">
        <v>217</v>
      </c>
      <c r="F6" t="s" s="0">
        <v>218</v>
      </c>
      <c r="G6" t="s" s="0">
        <v>219</v>
      </c>
      <c r="H6" t="s" s="0">
        <v>79</v>
      </c>
      <c r="I6" t="s" s="0">
        <v>81</v>
      </c>
      <c r="J6" t="s" s="0">
        <v>220</v>
      </c>
      <c r="K6" t="s" s="0">
        <v>221</v>
      </c>
      <c r="L6" t="s" s="0">
        <v>79</v>
      </c>
      <c r="M6" t="s" s="0">
        <v>79</v>
      </c>
      <c r="N6" t="s" s="0">
        <v>79</v>
      </c>
      <c r="O6" t="s" s="0">
        <v>222</v>
      </c>
      <c r="P6" t="s" s="0">
        <v>223</v>
      </c>
      <c r="Q6" t="s" s="0">
        <v>85</v>
      </c>
      <c r="R6" t="s" s="0">
        <v>79</v>
      </c>
      <c r="S6" t="s" s="0">
        <v>79</v>
      </c>
      <c r="T6" t="s" s="0">
        <v>79</v>
      </c>
      <c r="U6" t="s" s="0">
        <v>79</v>
      </c>
      <c r="V6" t="s" s="0">
        <v>224</v>
      </c>
      <c r="W6" t="s" s="0">
        <v>225</v>
      </c>
      <c r="X6" t="s" s="0">
        <v>79</v>
      </c>
      <c r="Y6" t="s" s="0">
        <v>79</v>
      </c>
      <c r="Z6" t="s" s="0">
        <v>88</v>
      </c>
      <c r="AA6" t="s" s="0">
        <v>89</v>
      </c>
      <c r="AB6" t="s" s="0">
        <v>79</v>
      </c>
      <c r="AC6" t="s" s="0">
        <v>79</v>
      </c>
      <c r="AD6" t="s" s="0">
        <v>79</v>
      </c>
      <c r="AE6" t="s" s="0">
        <v>79</v>
      </c>
      <c r="AF6" t="s" s="0">
        <v>79</v>
      </c>
      <c r="AG6" t="s" s="0">
        <v>226</v>
      </c>
      <c r="AH6" t="s" s="0">
        <v>227</v>
      </c>
      <c r="AI6" t="s" s="0">
        <v>228</v>
      </c>
      <c r="AJ6" t="s" s="0">
        <v>79</v>
      </c>
      <c r="AK6" t="s" s="0">
        <v>79</v>
      </c>
      <c r="AL6" t="s" s="0">
        <v>229</v>
      </c>
      <c r="AM6" t="s" s="0">
        <v>102</v>
      </c>
      <c r="AN6" t="s" s="0">
        <v>102</v>
      </c>
      <c r="AO6" t="s" s="0">
        <v>230</v>
      </c>
      <c r="AP6" t="s" s="0">
        <v>231</v>
      </c>
      <c r="AQ6" t="s" s="0">
        <v>200</v>
      </c>
      <c r="AR6" t="s" s="0">
        <v>201</v>
      </c>
      <c r="AS6" t="s" s="0">
        <v>202</v>
      </c>
      <c r="AT6" t="s" s="0">
        <v>232</v>
      </c>
      <c r="AU6" t="s" s="0">
        <v>233</v>
      </c>
      <c r="AV6" t="s" s="0">
        <v>79</v>
      </c>
      <c r="AW6" t="s" s="0">
        <v>225</v>
      </c>
      <c r="AX6" t="s" s="0">
        <v>234</v>
      </c>
      <c r="AY6" t="s" s="0">
        <v>235</v>
      </c>
      <c r="AZ6" t="s" s="0">
        <v>139</v>
      </c>
      <c r="BA6" t="s" s="0">
        <v>236</v>
      </c>
      <c r="BB6" t="s" s="0">
        <v>79</v>
      </c>
      <c r="BC6" t="s" s="0">
        <v>79</v>
      </c>
      <c r="BD6" t="s" s="0">
        <v>79</v>
      </c>
      <c r="BE6" t="s" s="0">
        <v>79</v>
      </c>
      <c r="BF6" t="s" s="0">
        <v>79</v>
      </c>
      <c r="BG6" t="s" s="0">
        <v>79</v>
      </c>
      <c r="BH6" t="s" s="0">
        <v>79</v>
      </c>
      <c r="BI6" t="s" s="0">
        <v>237</v>
      </c>
      <c r="BJ6" t="s" s="0">
        <v>238</v>
      </c>
      <c r="BK6" t="s" s="9">
        <f>HYPERLINK("http://dx.doi.org/10.1016/j.neucom.2025.131817","http://dx.doi.org/10.1016/j.neucom.2025.131817")</f>
        <v>239</v>
      </c>
      <c r="BL6" t="s" s="0">
        <v>79</v>
      </c>
      <c r="BM6" t="s" s="0">
        <v>240</v>
      </c>
      <c r="BN6" t="s" s="0">
        <v>241</v>
      </c>
      <c r="BO6" t="s" s="0">
        <v>242</v>
      </c>
      <c r="BP6" t="s" s="0">
        <v>243</v>
      </c>
      <c r="BQ6" t="s" s="0">
        <v>244</v>
      </c>
      <c r="BR6" t="s" s="0">
        <v>79</v>
      </c>
      <c r="BS6" t="s" s="0">
        <v>245</v>
      </c>
      <c r="BT6" t="s" s="10">
        <f>HYPERLINK("https://www.webofscience.com/wos/woscc/full-record/WOS:001608619400012","View Record in Web of Science")</f>
        <v>114</v>
      </c>
      <c r="BU6" t="s" s="0">
        <v>79</v>
      </c>
      <c r="BV6" t="s" s="0">
        <v>79</v>
      </c>
      <c r="BW6" t="s" s="0">
        <v>79</v>
      </c>
      <c r="BX6" t="s" s="0">
        <v>115</v>
      </c>
    </row>
    <row r="7">
      <c r="A7" t="s" s="0">
        <v>92</v>
      </c>
      <c r="B7" t="s" s="0">
        <v>77</v>
      </c>
      <c r="C7" t="s" s="0">
        <v>166</v>
      </c>
      <c r="D7" t="s" s="0">
        <v>77</v>
      </c>
      <c r="E7" t="s" s="0">
        <v>246</v>
      </c>
      <c r="F7" t="s" s="0">
        <v>247</v>
      </c>
      <c r="G7" t="s" s="0">
        <v>248</v>
      </c>
      <c r="H7" t="s" s="0">
        <v>79</v>
      </c>
      <c r="I7" t="s" s="0">
        <v>81</v>
      </c>
      <c r="J7" t="s" s="0">
        <v>249</v>
      </c>
      <c r="K7" t="s" s="0">
        <v>250</v>
      </c>
      <c r="L7" t="s" s="0">
        <v>251</v>
      </c>
      <c r="M7" t="s" s="0">
        <v>251</v>
      </c>
      <c r="N7" t="s" s="0">
        <v>252</v>
      </c>
      <c r="O7" t="s" s="0">
        <v>253</v>
      </c>
      <c r="P7" t="s" s="0">
        <v>254</v>
      </c>
      <c r="Q7" t="s" s="0">
        <v>85</v>
      </c>
      <c r="R7" t="s" s="0">
        <v>79</v>
      </c>
      <c r="S7" t="s" s="0">
        <v>79</v>
      </c>
      <c r="T7" t="s" s="0">
        <v>79</v>
      </c>
      <c r="U7" t="s" s="0">
        <v>79</v>
      </c>
      <c r="V7" t="s" s="0">
        <v>255</v>
      </c>
      <c r="W7" t="s" s="0">
        <v>256</v>
      </c>
      <c r="X7" t="s" s="0">
        <v>79</v>
      </c>
      <c r="Y7" t="s" s="0">
        <v>79</v>
      </c>
      <c r="Z7" t="s" s="0">
        <v>88</v>
      </c>
      <c r="AA7" t="s" s="0">
        <v>89</v>
      </c>
      <c r="AB7" t="s" s="0">
        <v>79</v>
      </c>
      <c r="AC7" t="s" s="0">
        <v>79</v>
      </c>
      <c r="AD7" t="s" s="0">
        <v>79</v>
      </c>
      <c r="AE7" t="s" s="0">
        <v>79</v>
      </c>
      <c r="AF7" t="s" s="0">
        <v>79</v>
      </c>
      <c r="AG7" t="s" s="0">
        <v>257</v>
      </c>
      <c r="AH7" t="s" s="0">
        <v>79</v>
      </c>
      <c r="AI7" t="s" s="0">
        <v>258</v>
      </c>
      <c r="AJ7" t="s" s="0">
        <v>259</v>
      </c>
      <c r="AK7" t="s" s="0">
        <v>79</v>
      </c>
      <c r="AL7" t="s" s="0">
        <v>260</v>
      </c>
      <c r="AM7" t="s" s="0">
        <v>261</v>
      </c>
      <c r="AN7" t="s" s="0">
        <v>262</v>
      </c>
      <c r="AO7" t="s" s="0">
        <v>263</v>
      </c>
      <c r="AP7" t="s" s="0">
        <v>264</v>
      </c>
      <c r="AQ7" t="s" s="0">
        <v>265</v>
      </c>
      <c r="AR7" t="s" s="0">
        <v>266</v>
      </c>
      <c r="AS7" t="s" s="0">
        <v>267</v>
      </c>
      <c r="AT7" t="s" s="0">
        <v>268</v>
      </c>
      <c r="AU7" t="s" s="0">
        <v>269</v>
      </c>
      <c r="AV7" t="s" s="0">
        <v>79</v>
      </c>
      <c r="AW7" t="s" s="0">
        <v>270</v>
      </c>
      <c r="AX7" t="s" s="0">
        <v>271</v>
      </c>
      <c r="AY7" t="s" s="0">
        <v>272</v>
      </c>
      <c r="AZ7" t="s" s="0">
        <v>100</v>
      </c>
      <c r="BA7" t="s" s="0">
        <v>91</v>
      </c>
      <c r="BB7" t="s" s="0">
        <v>79</v>
      </c>
      <c r="BC7" t="s" s="0">
        <v>79</v>
      </c>
      <c r="BD7" t="s" s="0">
        <v>79</v>
      </c>
      <c r="BE7" t="s" s="0">
        <v>79</v>
      </c>
      <c r="BF7" t="s" s="0">
        <v>79</v>
      </c>
      <c r="BG7" t="s" s="0">
        <v>79</v>
      </c>
      <c r="BH7" t="s" s="0">
        <v>79</v>
      </c>
      <c r="BI7" t="s" s="0">
        <v>273</v>
      </c>
      <c r="BJ7" t="s" s="0">
        <v>274</v>
      </c>
      <c r="BK7" t="s" s="11">
        <f>HYPERLINK("http://dx.doi.org/10.2196/72644","http://dx.doi.org/10.2196/72644")</f>
        <v>275</v>
      </c>
      <c r="BL7" t="s" s="0">
        <v>79</v>
      </c>
      <c r="BM7" t="s" s="0">
        <v>79</v>
      </c>
      <c r="BN7" t="s" s="0">
        <v>108</v>
      </c>
      <c r="BO7" t="s" s="0">
        <v>276</v>
      </c>
      <c r="BP7" t="s" s="0">
        <v>276</v>
      </c>
      <c r="BQ7" t="s" s="0">
        <v>277</v>
      </c>
      <c r="BR7" t="s" s="0">
        <v>278</v>
      </c>
      <c r="BS7" t="s" s="0">
        <v>279</v>
      </c>
      <c r="BT7" t="s" s="12">
        <f>HYPERLINK("https://www.webofscience.com/wos/woscc/full-record/WOS:001590310700004","View Record in Web of Science")</f>
        <v>114</v>
      </c>
      <c r="BU7" t="s" s="0">
        <v>280</v>
      </c>
      <c r="BV7" t="s" s="0">
        <v>79</v>
      </c>
      <c r="BW7" t="s" s="0">
        <v>79</v>
      </c>
      <c r="BX7" t="s" s="0">
        <v>115</v>
      </c>
    </row>
    <row r="8">
      <c r="A8" t="s" s="0">
        <v>77</v>
      </c>
      <c r="B8" t="s" s="0">
        <v>77</v>
      </c>
      <c r="C8" t="s" s="0">
        <v>77</v>
      </c>
      <c r="D8" t="s" s="0">
        <v>77</v>
      </c>
      <c r="E8" t="s" s="0">
        <v>281</v>
      </c>
      <c r="F8" t="s" s="0">
        <v>79</v>
      </c>
      <c r="G8" t="s" s="0">
        <v>282</v>
      </c>
      <c r="H8" t="s" s="0">
        <v>79</v>
      </c>
      <c r="I8" t="s" s="0">
        <v>81</v>
      </c>
      <c r="J8" t="s" s="0">
        <v>283</v>
      </c>
      <c r="K8" t="s" s="0">
        <v>284</v>
      </c>
      <c r="L8" t="s" s="0">
        <v>79</v>
      </c>
      <c r="M8" t="s" s="0">
        <v>79</v>
      </c>
      <c r="N8" t="s" s="0">
        <v>79</v>
      </c>
      <c r="O8" t="s" s="0">
        <v>285</v>
      </c>
      <c r="P8" t="s" s="0">
        <v>79</v>
      </c>
      <c r="Q8" t="s" s="0">
        <v>85</v>
      </c>
      <c r="R8" t="s" s="0">
        <v>79</v>
      </c>
      <c r="S8" t="s" s="0">
        <v>79</v>
      </c>
      <c r="T8" t="s" s="0">
        <v>79</v>
      </c>
      <c r="U8" t="s" s="0">
        <v>79</v>
      </c>
      <c r="V8" t="s" s="0">
        <v>286</v>
      </c>
      <c r="W8" t="s" s="0">
        <v>287</v>
      </c>
      <c r="X8" t="s" s="0">
        <v>79</v>
      </c>
      <c r="Y8" t="s" s="0">
        <v>79</v>
      </c>
      <c r="Z8" t="s" s="0">
        <v>88</v>
      </c>
      <c r="AA8" t="s" s="0">
        <v>89</v>
      </c>
      <c r="AB8" t="s" s="0">
        <v>79</v>
      </c>
      <c r="AC8" t="s" s="0">
        <v>79</v>
      </c>
      <c r="AD8" t="s" s="0">
        <v>79</v>
      </c>
      <c r="AE8" t="s" s="0">
        <v>79</v>
      </c>
      <c r="AF8" t="s" s="0">
        <v>79</v>
      </c>
      <c r="AG8" t="s" s="0">
        <v>288</v>
      </c>
      <c r="AH8" t="s" s="0">
        <v>289</v>
      </c>
      <c r="AI8" t="s" s="0">
        <v>79</v>
      </c>
      <c r="AJ8" t="s" s="0">
        <v>79</v>
      </c>
      <c r="AK8" t="s" s="0">
        <v>79</v>
      </c>
      <c r="AL8" t="s" s="0">
        <v>290</v>
      </c>
      <c r="AM8" t="s" s="0">
        <v>77</v>
      </c>
      <c r="AN8" t="s" s="0">
        <v>77</v>
      </c>
      <c r="AO8" t="s" s="0">
        <v>77</v>
      </c>
      <c r="AP8" t="s" s="0">
        <v>77</v>
      </c>
      <c r="AQ8" t="s" s="0">
        <v>93</v>
      </c>
      <c r="AR8" t="s" s="0">
        <v>94</v>
      </c>
      <c r="AS8" t="s" s="0">
        <v>95</v>
      </c>
      <c r="AT8" t="s" s="0">
        <v>291</v>
      </c>
      <c r="AU8" t="s" s="0">
        <v>292</v>
      </c>
      <c r="AV8" t="s" s="0">
        <v>79</v>
      </c>
      <c r="AW8" t="s" s="0">
        <v>293</v>
      </c>
      <c r="AX8" t="s" s="0">
        <v>294</v>
      </c>
      <c r="AY8" t="s" s="0">
        <v>295</v>
      </c>
      <c r="AZ8" t="s" s="0">
        <v>139</v>
      </c>
      <c r="BA8" t="s" s="0">
        <v>296</v>
      </c>
      <c r="BB8" t="s" s="0">
        <v>166</v>
      </c>
      <c r="BC8" t="s" s="0">
        <v>79</v>
      </c>
      <c r="BD8" t="s" s="0">
        <v>79</v>
      </c>
      <c r="BE8" t="s" s="0">
        <v>79</v>
      </c>
      <c r="BF8" t="s" s="0">
        <v>79</v>
      </c>
      <c r="BG8" t="s" s="0">
        <v>297</v>
      </c>
      <c r="BH8" t="s" s="0">
        <v>298</v>
      </c>
      <c r="BI8" t="s" s="0">
        <v>79</v>
      </c>
      <c r="BJ8" t="s" s="0">
        <v>299</v>
      </c>
      <c r="BK8" t="s" s="13">
        <f>HYPERLINK("http://dx.doi.org/10.1016/j.cvsm.2026.03.014","http://dx.doi.org/10.1016/j.cvsm.2026.03.014")</f>
        <v>300</v>
      </c>
      <c r="BL8" t="s" s="0">
        <v>79</v>
      </c>
      <c r="BM8" t="s" s="0">
        <v>79</v>
      </c>
      <c r="BN8" t="s" s="0">
        <v>241</v>
      </c>
      <c r="BO8" t="s" s="0">
        <v>301</v>
      </c>
      <c r="BP8" t="s" s="0">
        <v>301</v>
      </c>
      <c r="BQ8" t="s" s="0">
        <v>302</v>
      </c>
      <c r="BR8" t="s" s="0">
        <v>303</v>
      </c>
      <c r="BS8" t="s" s="0">
        <v>304</v>
      </c>
      <c r="BT8" t="s" s="14">
        <f>HYPERLINK("https://www.webofscience.com/wos/woscc/full-record/WOS:001835255100001","View Record in Web of Science")</f>
        <v>114</v>
      </c>
      <c r="BU8" t="s" s="0">
        <v>79</v>
      </c>
      <c r="BV8" t="s" s="0">
        <v>79</v>
      </c>
      <c r="BW8" t="s" s="0">
        <v>79</v>
      </c>
      <c r="BX8" t="s" s="0">
        <v>115</v>
      </c>
    </row>
    <row r="9">
      <c r="A9" t="s" s="0">
        <v>77</v>
      </c>
      <c r="B9" t="s" s="0">
        <v>77</v>
      </c>
      <c r="C9" t="s" s="0">
        <v>131</v>
      </c>
      <c r="D9" t="s" s="0">
        <v>77</v>
      </c>
      <c r="E9" t="s" s="0">
        <v>305</v>
      </c>
      <c r="F9" t="s" s="0">
        <v>306</v>
      </c>
      <c r="G9" t="s" s="0">
        <v>307</v>
      </c>
      <c r="H9" t="s" s="0">
        <v>79</v>
      </c>
      <c r="I9" t="s" s="0">
        <v>81</v>
      </c>
      <c r="J9" t="s" s="0">
        <v>308</v>
      </c>
      <c r="K9" t="s" s="0">
        <v>309</v>
      </c>
      <c r="L9" t="s" s="0">
        <v>79</v>
      </c>
      <c r="M9" t="s" s="0">
        <v>79</v>
      </c>
      <c r="N9" t="s" s="0">
        <v>79</v>
      </c>
      <c r="O9" t="s" s="0">
        <v>310</v>
      </c>
      <c r="P9" t="s" s="0">
        <v>311</v>
      </c>
      <c r="Q9" t="s" s="0">
        <v>85</v>
      </c>
      <c r="R9" t="s" s="0">
        <v>79</v>
      </c>
      <c r="S9" t="s" s="0">
        <v>79</v>
      </c>
      <c r="T9" t="s" s="0">
        <v>79</v>
      </c>
      <c r="U9" t="s" s="0">
        <v>79</v>
      </c>
      <c r="V9" t="s" s="0">
        <v>312</v>
      </c>
      <c r="W9" t="s" s="0">
        <v>313</v>
      </c>
      <c r="X9" t="s" s="0">
        <v>79</v>
      </c>
      <c r="Y9" t="s" s="0">
        <v>79</v>
      </c>
      <c r="Z9" t="s" s="0">
        <v>88</v>
      </c>
      <c r="AA9" t="s" s="0">
        <v>89</v>
      </c>
      <c r="AB9" t="s" s="0">
        <v>79</v>
      </c>
      <c r="AC9" t="s" s="0">
        <v>79</v>
      </c>
      <c r="AD9" t="s" s="0">
        <v>79</v>
      </c>
      <c r="AE9" t="s" s="0">
        <v>79</v>
      </c>
      <c r="AF9" t="s" s="0">
        <v>79</v>
      </c>
      <c r="AG9" t="s" s="0">
        <v>314</v>
      </c>
      <c r="AH9" t="s" s="0">
        <v>79</v>
      </c>
      <c r="AI9" t="s" s="0">
        <v>315</v>
      </c>
      <c r="AJ9" t="s" s="0">
        <v>316</v>
      </c>
      <c r="AK9" t="s" s="0">
        <v>79</v>
      </c>
      <c r="AL9" t="s" s="0">
        <v>142</v>
      </c>
      <c r="AM9" t="s" s="0">
        <v>317</v>
      </c>
      <c r="AN9" t="s" s="0">
        <v>91</v>
      </c>
      <c r="AO9" t="s" s="0">
        <v>166</v>
      </c>
      <c r="AP9" t="s" s="0">
        <v>174</v>
      </c>
      <c r="AQ9" t="s" s="0">
        <v>318</v>
      </c>
      <c r="AR9" t="s" s="0">
        <v>319</v>
      </c>
      <c r="AS9" t="s" s="0">
        <v>320</v>
      </c>
      <c r="AT9" t="s" s="0">
        <v>79</v>
      </c>
      <c r="AU9" t="s" s="0">
        <v>321</v>
      </c>
      <c r="AV9" t="s" s="0">
        <v>79</v>
      </c>
      <c r="AW9" t="s" s="0">
        <v>322</v>
      </c>
      <c r="AX9" t="s" s="0">
        <v>323</v>
      </c>
      <c r="AY9" t="s" s="0">
        <v>324</v>
      </c>
      <c r="AZ9" t="s" s="0">
        <v>100</v>
      </c>
      <c r="BA9" t="s" s="0">
        <v>325</v>
      </c>
      <c r="BB9" t="s" s="0">
        <v>263</v>
      </c>
      <c r="BC9" t="s" s="0">
        <v>79</v>
      </c>
      <c r="BD9" t="s" s="0">
        <v>79</v>
      </c>
      <c r="BE9" t="s" s="0">
        <v>79</v>
      </c>
      <c r="BF9" t="s" s="0">
        <v>79</v>
      </c>
      <c r="BG9" t="s" s="0">
        <v>79</v>
      </c>
      <c r="BH9" t="s" s="0">
        <v>79</v>
      </c>
      <c r="BI9" t="s" s="0">
        <v>326</v>
      </c>
      <c r="BJ9" t="s" s="0">
        <v>327</v>
      </c>
      <c r="BK9" t="s" s="15">
        <f>HYPERLINK("http://dx.doi.org/10.3390/jcm14176169","http://dx.doi.org/10.3390/jcm14176169")</f>
        <v>328</v>
      </c>
      <c r="BL9" t="s" s="0">
        <v>79</v>
      </c>
      <c r="BM9" t="s" s="0">
        <v>79</v>
      </c>
      <c r="BN9" t="s" s="0">
        <v>263</v>
      </c>
      <c r="BO9" t="s" s="0">
        <v>329</v>
      </c>
      <c r="BP9" t="s" s="0">
        <v>110</v>
      </c>
      <c r="BQ9" t="s" s="0">
        <v>330</v>
      </c>
      <c r="BR9" t="s" s="0">
        <v>331</v>
      </c>
      <c r="BS9" t="s" s="0">
        <v>332</v>
      </c>
      <c r="BT9" t="s" s="16">
        <f>HYPERLINK("https://www.webofscience.com/wos/woscc/full-record/WOS:001571369200001","View Record in Web of Science")</f>
        <v>114</v>
      </c>
      <c r="BU9" t="s" s="0">
        <v>183</v>
      </c>
      <c r="BV9" t="s" s="0">
        <v>79</v>
      </c>
      <c r="BW9" t="s" s="0">
        <v>79</v>
      </c>
      <c r="BX9" t="s" s="0">
        <v>115</v>
      </c>
    </row>
    <row r="10">
      <c r="A10" t="s" s="0">
        <v>77</v>
      </c>
      <c r="B10" t="s" s="0">
        <v>77</v>
      </c>
      <c r="C10" t="s" s="0">
        <v>77</v>
      </c>
      <c r="D10" t="s" s="0">
        <v>77</v>
      </c>
      <c r="E10" t="s" s="0">
        <v>333</v>
      </c>
      <c r="F10" t="s" s="0">
        <v>334</v>
      </c>
      <c r="G10" t="s" s="0">
        <v>335</v>
      </c>
      <c r="H10" t="s" s="0">
        <v>79</v>
      </c>
      <c r="I10" t="s" s="0">
        <v>81</v>
      </c>
      <c r="J10" t="s" s="0">
        <v>336</v>
      </c>
      <c r="K10" t="s" s="0">
        <v>337</v>
      </c>
      <c r="L10" t="s" s="0">
        <v>338</v>
      </c>
      <c r="M10" t="s" s="0">
        <v>339</v>
      </c>
      <c r="N10" t="s" s="0">
        <v>340</v>
      </c>
      <c r="O10" t="s" s="0">
        <v>341</v>
      </c>
      <c r="P10" t="s" s="0">
        <v>342</v>
      </c>
      <c r="Q10" t="s" s="0">
        <v>85</v>
      </c>
      <c r="R10" t="s" s="0">
        <v>79</v>
      </c>
      <c r="S10" t="s" s="0">
        <v>79</v>
      </c>
      <c r="T10" t="s" s="0">
        <v>79</v>
      </c>
      <c r="U10" t="s" s="0">
        <v>79</v>
      </c>
      <c r="V10" t="s" s="0">
        <v>343</v>
      </c>
      <c r="W10" t="s" s="0">
        <v>344</v>
      </c>
      <c r="X10" t="s" s="0">
        <v>79</v>
      </c>
      <c r="Y10" t="s" s="0">
        <v>79</v>
      </c>
      <c r="Z10" t="s" s="0">
        <v>88</v>
      </c>
      <c r="AA10" t="s" s="0">
        <v>89</v>
      </c>
      <c r="AB10" t="s" s="0">
        <v>79</v>
      </c>
      <c r="AC10" t="s" s="0">
        <v>79</v>
      </c>
      <c r="AD10" t="s" s="0">
        <v>79</v>
      </c>
      <c r="AE10" t="s" s="0">
        <v>79</v>
      </c>
      <c r="AF10" t="s" s="0">
        <v>79</v>
      </c>
      <c r="AG10" t="s" s="0">
        <v>345</v>
      </c>
      <c r="AH10" t="s" s="0">
        <v>346</v>
      </c>
      <c r="AI10" t="s" s="0">
        <v>347</v>
      </c>
      <c r="AJ10" t="s" s="0">
        <v>348</v>
      </c>
      <c r="AK10" t="s" s="0">
        <v>79</v>
      </c>
      <c r="AL10" t="s" s="0">
        <v>349</v>
      </c>
      <c r="AM10" t="s" s="0">
        <v>102</v>
      </c>
      <c r="AN10" t="s" s="0">
        <v>102</v>
      </c>
      <c r="AO10" t="s" s="0">
        <v>131</v>
      </c>
      <c r="AP10" t="s" s="0">
        <v>184</v>
      </c>
      <c r="AQ10" t="s" s="0">
        <v>350</v>
      </c>
      <c r="AR10" t="s" s="0">
        <v>351</v>
      </c>
      <c r="AS10" t="s" s="0">
        <v>352</v>
      </c>
      <c r="AT10" t="s" s="0">
        <v>79</v>
      </c>
      <c r="AU10" t="s" s="0">
        <v>353</v>
      </c>
      <c r="AV10" t="s" s="0">
        <v>79</v>
      </c>
      <c r="AW10" t="s" s="0">
        <v>354</v>
      </c>
      <c r="AX10" t="s" s="0">
        <v>355</v>
      </c>
      <c r="AY10" t="s" s="0">
        <v>356</v>
      </c>
      <c r="AZ10" t="s" s="0">
        <v>100</v>
      </c>
      <c r="BA10" t="s" s="0">
        <v>231</v>
      </c>
      <c r="BB10" t="s" s="0">
        <v>79</v>
      </c>
      <c r="BC10" t="s" s="0">
        <v>79</v>
      </c>
      <c r="BD10" t="s" s="0">
        <v>79</v>
      </c>
      <c r="BE10" t="s" s="0">
        <v>79</v>
      </c>
      <c r="BF10" t="s" s="0">
        <v>79</v>
      </c>
      <c r="BG10" t="s" s="0">
        <v>79</v>
      </c>
      <c r="BH10" t="s" s="0">
        <v>79</v>
      </c>
      <c r="BI10" t="s" s="0">
        <v>357</v>
      </c>
      <c r="BJ10" t="s" s="0">
        <v>358</v>
      </c>
      <c r="BK10" t="s" s="17">
        <f>HYPERLINK("http://dx.doi.org/10.3389/fphar.2025.1649041","http://dx.doi.org/10.3389/fphar.2025.1649041")</f>
        <v>359</v>
      </c>
      <c r="BL10" t="s" s="0">
        <v>79</v>
      </c>
      <c r="BM10" t="s" s="0">
        <v>79</v>
      </c>
      <c r="BN10" t="s" s="0">
        <v>108</v>
      </c>
      <c r="BO10" t="s" s="0">
        <v>360</v>
      </c>
      <c r="BP10" t="s" s="0">
        <v>360</v>
      </c>
      <c r="BQ10" t="s" s="0">
        <v>361</v>
      </c>
      <c r="BR10" t="s" s="0">
        <v>362</v>
      </c>
      <c r="BS10" t="s" s="0">
        <v>363</v>
      </c>
      <c r="BT10" t="s" s="18">
        <f>HYPERLINK("https://www.webofscience.com/wos/woscc/full-record/WOS:001546790800001","View Record in Web of Science")</f>
        <v>114</v>
      </c>
      <c r="BU10" t="s" s="0">
        <v>183</v>
      </c>
      <c r="BV10" t="s" s="0">
        <v>79</v>
      </c>
      <c r="BW10" t="s" s="0">
        <v>79</v>
      </c>
      <c r="BX10" t="s" s="0">
        <v>115</v>
      </c>
    </row>
    <row r="11">
      <c r="A11" t="s" s="0">
        <v>77</v>
      </c>
      <c r="B11" t="s" s="0">
        <v>77</v>
      </c>
      <c r="C11" t="s" s="0">
        <v>77</v>
      </c>
      <c r="D11" t="s" s="0">
        <v>77</v>
      </c>
      <c r="E11" t="s" s="0">
        <v>364</v>
      </c>
      <c r="F11" t="s" s="0">
        <v>365</v>
      </c>
      <c r="G11" t="s" s="0">
        <v>366</v>
      </c>
      <c r="H11" t="s" s="0">
        <v>79</v>
      </c>
      <c r="I11" t="s" s="0">
        <v>81</v>
      </c>
      <c r="J11" t="s" s="0">
        <v>367</v>
      </c>
      <c r="K11" t="s" s="0">
        <v>368</v>
      </c>
      <c r="L11" t="s" s="0">
        <v>79</v>
      </c>
      <c r="M11" t="s" s="0">
        <v>79</v>
      </c>
      <c r="N11" t="s" s="0">
        <v>79</v>
      </c>
      <c r="O11" t="s" s="0">
        <v>369</v>
      </c>
      <c r="P11" t="s" s="0">
        <v>370</v>
      </c>
      <c r="Q11" t="s" s="0">
        <v>85</v>
      </c>
      <c r="R11" t="s" s="0">
        <v>79</v>
      </c>
      <c r="S11" t="s" s="0">
        <v>79</v>
      </c>
      <c r="T11" t="s" s="0">
        <v>79</v>
      </c>
      <c r="U11" t="s" s="0">
        <v>79</v>
      </c>
      <c r="V11" t="s" s="0">
        <v>371</v>
      </c>
      <c r="W11" t="s" s="0">
        <v>372</v>
      </c>
      <c r="X11" t="s" s="0">
        <v>79</v>
      </c>
      <c r="Y11" t="s" s="0">
        <v>79</v>
      </c>
      <c r="Z11" t="s" s="0">
        <v>88</v>
      </c>
      <c r="AA11" t="s" s="0">
        <v>89</v>
      </c>
      <c r="AB11" t="s" s="0">
        <v>79</v>
      </c>
      <c r="AC11" t="s" s="0">
        <v>79</v>
      </c>
      <c r="AD11" t="s" s="0">
        <v>79</v>
      </c>
      <c r="AE11" t="s" s="0">
        <v>79</v>
      </c>
      <c r="AF11" t="s" s="0">
        <v>79</v>
      </c>
      <c r="AG11" t="s" s="0">
        <v>373</v>
      </c>
      <c r="AH11" t="s" s="0">
        <v>374</v>
      </c>
      <c r="AI11" t="s" s="0">
        <v>375</v>
      </c>
      <c r="AJ11" t="s" s="0">
        <v>376</v>
      </c>
      <c r="AK11" t="s" s="0">
        <v>79</v>
      </c>
      <c r="AL11" t="s" s="0">
        <v>231</v>
      </c>
      <c r="AM11" t="s" s="0">
        <v>131</v>
      </c>
      <c r="AN11" t="s" s="0">
        <v>131</v>
      </c>
      <c r="AO11" t="s" s="0">
        <v>77</v>
      </c>
      <c r="AP11" t="s" s="0">
        <v>166</v>
      </c>
      <c r="AQ11" t="s" s="0">
        <v>377</v>
      </c>
      <c r="AR11" t="s" s="0">
        <v>378</v>
      </c>
      <c r="AS11" t="s" s="0">
        <v>379</v>
      </c>
      <c r="AT11" t="s" s="0">
        <v>380</v>
      </c>
      <c r="AU11" t="s" s="0">
        <v>381</v>
      </c>
      <c r="AV11" t="s" s="0">
        <v>79</v>
      </c>
      <c r="AW11" t="s" s="0">
        <v>382</v>
      </c>
      <c r="AX11" t="s" s="0">
        <v>383</v>
      </c>
      <c r="AY11" t="s" s="0">
        <v>384</v>
      </c>
      <c r="AZ11" t="s" s="0">
        <v>100</v>
      </c>
      <c r="BA11" t="s" s="0">
        <v>385</v>
      </c>
      <c r="BB11" t="s" s="0">
        <v>79</v>
      </c>
      <c r="BC11" t="s" s="0">
        <v>79</v>
      </c>
      <c r="BD11" t="s" s="0">
        <v>79</v>
      </c>
      <c r="BE11" t="s" s="0">
        <v>79</v>
      </c>
      <c r="BF11" t="s" s="0">
        <v>79</v>
      </c>
      <c r="BG11" t="s" s="0">
        <v>79</v>
      </c>
      <c r="BH11" t="s" s="0">
        <v>79</v>
      </c>
      <c r="BI11" t="s" s="0">
        <v>386</v>
      </c>
      <c r="BJ11" t="s" s="0">
        <v>387</v>
      </c>
      <c r="BK11" t="s" s="19">
        <f>HYPERLINK("http://dx.doi.org/10.1016/j.wneu.2025.123753","http://dx.doi.org/10.1016/j.wneu.2025.123753")</f>
        <v>388</v>
      </c>
      <c r="BL11" t="s" s="0">
        <v>79</v>
      </c>
      <c r="BM11" t="s" s="0">
        <v>389</v>
      </c>
      <c r="BN11" t="s" s="0">
        <v>130</v>
      </c>
      <c r="BO11" t="s" s="0">
        <v>390</v>
      </c>
      <c r="BP11" t="s" s="0">
        <v>391</v>
      </c>
      <c r="BQ11" t="s" s="0">
        <v>392</v>
      </c>
      <c r="BR11" t="s" s="0">
        <v>393</v>
      </c>
      <c r="BS11" t="s" s="0">
        <v>394</v>
      </c>
      <c r="BT11" t="s" s="20">
        <f>HYPERLINK("https://www.webofscience.com/wos/woscc/full-record/WOS:001442125700001","View Record in Web of Science")</f>
        <v>114</v>
      </c>
      <c r="BU11" t="s" s="0">
        <v>216</v>
      </c>
      <c r="BV11" t="s" s="0">
        <v>79</v>
      </c>
      <c r="BW11" t="s" s="0">
        <v>79</v>
      </c>
      <c r="BX11" t="s" s="0">
        <v>115</v>
      </c>
    </row>
    <row r="12">
      <c r="A12" t="s" s="0">
        <v>77</v>
      </c>
      <c r="B12" t="s" s="0">
        <v>77</v>
      </c>
      <c r="C12" t="s" s="0">
        <v>77</v>
      </c>
      <c r="D12" t="s" s="0">
        <v>77</v>
      </c>
      <c r="E12" t="s" s="0">
        <v>395</v>
      </c>
      <c r="F12" t="s" s="0">
        <v>396</v>
      </c>
      <c r="G12" t="s" s="0">
        <v>397</v>
      </c>
      <c r="H12" t="s" s="0">
        <v>79</v>
      </c>
      <c r="I12" t="s" s="0">
        <v>398</v>
      </c>
      <c r="J12" t="s" s="0">
        <v>399</v>
      </c>
      <c r="K12" t="s" s="0">
        <v>400</v>
      </c>
      <c r="L12" t="s" s="0">
        <v>79</v>
      </c>
      <c r="M12" t="s" s="0">
        <v>79</v>
      </c>
      <c r="N12" t="s" s="0">
        <v>79</v>
      </c>
      <c r="O12" t="s" s="0">
        <v>401</v>
      </c>
      <c r="P12" t="s" s="0">
        <v>402</v>
      </c>
      <c r="Q12" t="s" s="0">
        <v>85</v>
      </c>
      <c r="R12" t="s" s="0">
        <v>79</v>
      </c>
      <c r="S12" t="s" s="0">
        <v>79</v>
      </c>
      <c r="T12" t="s" s="0">
        <v>79</v>
      </c>
      <c r="U12" t="s" s="0">
        <v>79</v>
      </c>
      <c r="V12" t="s" s="0">
        <v>403</v>
      </c>
      <c r="W12" t="s" s="0">
        <v>404</v>
      </c>
      <c r="X12" t="s" s="0">
        <v>79</v>
      </c>
      <c r="Y12" t="s" s="0">
        <v>79</v>
      </c>
      <c r="Z12" t="s" s="0">
        <v>88</v>
      </c>
      <c r="AA12" t="s" s="0">
        <v>89</v>
      </c>
      <c r="AB12" t="s" s="0">
        <v>79</v>
      </c>
      <c r="AC12" t="s" s="0">
        <v>79</v>
      </c>
      <c r="AD12" t="s" s="0">
        <v>79</v>
      </c>
      <c r="AE12" t="s" s="0">
        <v>79</v>
      </c>
      <c r="AF12" t="s" s="0">
        <v>79</v>
      </c>
      <c r="AG12" t="s" s="0">
        <v>405</v>
      </c>
      <c r="AH12" t="s" s="0">
        <v>79</v>
      </c>
      <c r="AI12" t="s" s="0">
        <v>406</v>
      </c>
      <c r="AJ12" t="s" s="0">
        <v>79</v>
      </c>
      <c r="AK12" t="s" s="0">
        <v>79</v>
      </c>
      <c r="AL12" t="s" s="0">
        <v>407</v>
      </c>
      <c r="AM12" t="s" s="0">
        <v>92</v>
      </c>
      <c r="AN12" t="s" s="0">
        <v>92</v>
      </c>
      <c r="AO12" t="s" s="0">
        <v>130</v>
      </c>
      <c r="AP12" t="s" s="0">
        <v>130</v>
      </c>
      <c r="AQ12" t="s" s="0">
        <v>200</v>
      </c>
      <c r="AR12" t="s" s="0">
        <v>201</v>
      </c>
      <c r="AS12" t="s" s="0">
        <v>202</v>
      </c>
      <c r="AT12" t="s" s="0">
        <v>79</v>
      </c>
      <c r="AU12" t="s" s="0">
        <v>408</v>
      </c>
      <c r="AV12" t="s" s="0">
        <v>79</v>
      </c>
      <c r="AW12" t="s" s="0">
        <v>409</v>
      </c>
      <c r="AX12" t="s" s="0">
        <v>410</v>
      </c>
      <c r="AY12" t="s" s="0">
        <v>411</v>
      </c>
      <c r="AZ12" t="s" s="0">
        <v>139</v>
      </c>
      <c r="BA12" t="s" s="0">
        <v>412</v>
      </c>
      <c r="BB12" t="s" s="0">
        <v>79</v>
      </c>
      <c r="BC12" t="s" s="0">
        <v>79</v>
      </c>
      <c r="BD12" t="s" s="0">
        <v>79</v>
      </c>
      <c r="BE12" t="s" s="0">
        <v>79</v>
      </c>
      <c r="BF12" t="s" s="0">
        <v>79</v>
      </c>
      <c r="BG12" t="s" s="0">
        <v>79</v>
      </c>
      <c r="BH12" t="s" s="0">
        <v>79</v>
      </c>
      <c r="BI12" t="s" s="0">
        <v>413</v>
      </c>
      <c r="BJ12" t="s" s="0">
        <v>414</v>
      </c>
      <c r="BK12" t="s" s="21">
        <f>HYPERLINK("http://dx.doi.org/10.1016/j.sasc.2026.200475","http://dx.doi.org/10.1016/j.sasc.2026.200475")</f>
        <v>415</v>
      </c>
      <c r="BL12" t="s" s="0">
        <v>79</v>
      </c>
      <c r="BM12" t="s" s="0">
        <v>79</v>
      </c>
      <c r="BN12" t="s" s="0">
        <v>241</v>
      </c>
      <c r="BO12" t="s" s="0">
        <v>416</v>
      </c>
      <c r="BP12" t="s" s="0">
        <v>243</v>
      </c>
      <c r="BQ12" t="s" s="0">
        <v>417</v>
      </c>
      <c r="BR12" t="s" s="0">
        <v>79</v>
      </c>
      <c r="BS12" t="s" s="0">
        <v>418</v>
      </c>
      <c r="BT12" t="s" s="22">
        <f>HYPERLINK("https://www.webofscience.com/wos/woscc/full-record/WOS:001711067000001","View Record in Web of Science")</f>
        <v>114</v>
      </c>
      <c r="BU12" t="s" s="0">
        <v>419</v>
      </c>
      <c r="BV12" t="s" s="0">
        <v>79</v>
      </c>
      <c r="BW12" t="s" s="0">
        <v>79</v>
      </c>
      <c r="BX12" t="s" s="0">
        <v>115</v>
      </c>
    </row>
    <row r="13">
      <c r="A13" t="s" s="0">
        <v>77</v>
      </c>
      <c r="B13" t="s" s="0">
        <v>77</v>
      </c>
      <c r="C13" t="s" s="0">
        <v>77</v>
      </c>
      <c r="D13" t="s" s="0">
        <v>77</v>
      </c>
      <c r="E13" t="s" s="0">
        <v>420</v>
      </c>
      <c r="F13" t="s" s="0">
        <v>421</v>
      </c>
      <c r="G13" t="s" s="0">
        <v>422</v>
      </c>
      <c r="H13" t="s" s="0">
        <v>79</v>
      </c>
      <c r="I13" t="s" s="0">
        <v>398</v>
      </c>
      <c r="J13" t="s" s="0">
        <v>423</v>
      </c>
      <c r="K13" t="s" s="0">
        <v>424</v>
      </c>
      <c r="L13" t="s" s="0">
        <v>79</v>
      </c>
      <c r="M13" t="s" s="0">
        <v>79</v>
      </c>
      <c r="N13" t="s" s="0">
        <v>79</v>
      </c>
      <c r="O13" t="s" s="0">
        <v>425</v>
      </c>
      <c r="P13" t="s" s="0">
        <v>426</v>
      </c>
      <c r="Q13" t="s" s="0">
        <v>85</v>
      </c>
      <c r="R13" t="s" s="0">
        <v>79</v>
      </c>
      <c r="S13" t="s" s="0">
        <v>79</v>
      </c>
      <c r="T13" t="s" s="0">
        <v>79</v>
      </c>
      <c r="U13" t="s" s="0">
        <v>79</v>
      </c>
      <c r="V13" t="s" s="0">
        <v>427</v>
      </c>
      <c r="W13" t="s" s="0">
        <v>428</v>
      </c>
      <c r="X13" t="s" s="0">
        <v>79</v>
      </c>
      <c r="Y13" t="s" s="0">
        <v>79</v>
      </c>
      <c r="Z13" t="s" s="0">
        <v>88</v>
      </c>
      <c r="AA13" t="s" s="0">
        <v>89</v>
      </c>
      <c r="AB13" t="s" s="0">
        <v>79</v>
      </c>
      <c r="AC13" t="s" s="0">
        <v>79</v>
      </c>
      <c r="AD13" t="s" s="0">
        <v>79</v>
      </c>
      <c r="AE13" t="s" s="0">
        <v>79</v>
      </c>
      <c r="AF13" t="s" s="0">
        <v>79</v>
      </c>
      <c r="AG13" t="s" s="0">
        <v>429</v>
      </c>
      <c r="AH13" t="s" s="0">
        <v>79</v>
      </c>
      <c r="AI13" t="s" s="0">
        <v>79</v>
      </c>
      <c r="AJ13" t="s" s="0">
        <v>79</v>
      </c>
      <c r="AK13" t="s" s="0">
        <v>79</v>
      </c>
      <c r="AL13" t="s" s="0">
        <v>108</v>
      </c>
      <c r="AM13" t="s" s="0">
        <v>77</v>
      </c>
      <c r="AN13" t="s" s="0">
        <v>77</v>
      </c>
      <c r="AO13" t="s" s="0">
        <v>77</v>
      </c>
      <c r="AP13" t="s" s="0">
        <v>77</v>
      </c>
      <c r="AQ13" t="s" s="0">
        <v>430</v>
      </c>
      <c r="AR13" t="s" s="0">
        <v>94</v>
      </c>
      <c r="AS13" t="s" s="0">
        <v>431</v>
      </c>
      <c r="AT13" t="s" s="0">
        <v>79</v>
      </c>
      <c r="AU13" t="s" s="0">
        <v>432</v>
      </c>
      <c r="AV13" t="s" s="0">
        <v>79</v>
      </c>
      <c r="AW13" t="s" s="0">
        <v>433</v>
      </c>
      <c r="AX13" t="s" s="0">
        <v>434</v>
      </c>
      <c r="AY13" t="s" s="0">
        <v>435</v>
      </c>
      <c r="AZ13" t="s" s="0">
        <v>139</v>
      </c>
      <c r="BA13" t="s" s="0">
        <v>412</v>
      </c>
      <c r="BB13" t="s" s="0">
        <v>166</v>
      </c>
      <c r="BC13" t="s" s="0">
        <v>79</v>
      </c>
      <c r="BD13" t="s" s="0">
        <v>79</v>
      </c>
      <c r="BE13" t="s" s="0">
        <v>79</v>
      </c>
      <c r="BF13" t="s" s="0">
        <v>79</v>
      </c>
      <c r="BG13" t="s" s="0">
        <v>79</v>
      </c>
      <c r="BH13" t="s" s="0">
        <v>79</v>
      </c>
      <c r="BI13" t="s" s="0">
        <v>436</v>
      </c>
      <c r="BJ13" t="s" s="0">
        <v>437</v>
      </c>
      <c r="BK13" t="s" s="23">
        <f>HYPERLINK("http://dx.doi.org/10.1097/CCE.0000000000001409","http://dx.doi.org/10.1097/CCE.0000000000001409")</f>
        <v>438</v>
      </c>
      <c r="BL13" t="s" s="0">
        <v>79</v>
      </c>
      <c r="BM13" t="s" s="0">
        <v>79</v>
      </c>
      <c r="BN13" t="s" s="0">
        <v>166</v>
      </c>
      <c r="BO13" t="s" s="0">
        <v>439</v>
      </c>
      <c r="BP13" t="s" s="0">
        <v>110</v>
      </c>
      <c r="BQ13" t="s" s="0">
        <v>440</v>
      </c>
      <c r="BR13" t="s" s="0">
        <v>441</v>
      </c>
      <c r="BS13" t="s" s="0">
        <v>442</v>
      </c>
      <c r="BT13" t="s" s="24">
        <f>HYPERLINK("https://www.webofscience.com/wos/woscc/full-record/WOS:001749165000001","View Record in Web of Science")</f>
        <v>114</v>
      </c>
      <c r="BU13" t="s" s="0">
        <v>183</v>
      </c>
      <c r="BV13" t="s" s="0">
        <v>79</v>
      </c>
      <c r="BW13" t="s" s="0">
        <v>79</v>
      </c>
      <c r="BX13" t="s" s="0">
        <v>115</v>
      </c>
    </row>
    <row r="14">
      <c r="A14" t="s" s="0">
        <v>77</v>
      </c>
      <c r="B14" t="s" s="0">
        <v>77</v>
      </c>
      <c r="C14" t="s" s="0">
        <v>77</v>
      </c>
      <c r="D14" t="s" s="0">
        <v>77</v>
      </c>
      <c r="E14" t="s" s="0">
        <v>443</v>
      </c>
      <c r="F14" t="s" s="0">
        <v>444</v>
      </c>
      <c r="G14" t="s" s="0">
        <v>445</v>
      </c>
      <c r="H14" t="s" s="0">
        <v>79</v>
      </c>
      <c r="I14" t="s" s="0">
        <v>398</v>
      </c>
      <c r="J14" t="s" s="0">
        <v>446</v>
      </c>
      <c r="K14" t="s" s="0">
        <v>447</v>
      </c>
      <c r="L14" t="s" s="0">
        <v>79</v>
      </c>
      <c r="M14" t="s" s="0">
        <v>79</v>
      </c>
      <c r="N14" t="s" s="0">
        <v>79</v>
      </c>
      <c r="O14" t="s" s="0">
        <v>448</v>
      </c>
      <c r="P14" t="s" s="0">
        <v>449</v>
      </c>
      <c r="Q14" t="s" s="0">
        <v>85</v>
      </c>
      <c r="R14" t="s" s="0">
        <v>79</v>
      </c>
      <c r="S14" t="s" s="0">
        <v>79</v>
      </c>
      <c r="T14" t="s" s="0">
        <v>79</v>
      </c>
      <c r="U14" t="s" s="0">
        <v>79</v>
      </c>
      <c r="V14" t="s" s="0">
        <v>450</v>
      </c>
      <c r="W14" t="s" s="0">
        <v>451</v>
      </c>
      <c r="X14" t="s" s="0">
        <v>79</v>
      </c>
      <c r="Y14" t="s" s="0">
        <v>79</v>
      </c>
      <c r="Z14" t="s" s="0">
        <v>88</v>
      </c>
      <c r="AA14" t="s" s="0">
        <v>89</v>
      </c>
      <c r="AB14" t="s" s="0">
        <v>79</v>
      </c>
      <c r="AC14" t="s" s="0">
        <v>79</v>
      </c>
      <c r="AD14" t="s" s="0">
        <v>79</v>
      </c>
      <c r="AE14" t="s" s="0">
        <v>79</v>
      </c>
      <c r="AF14" t="s" s="0">
        <v>79</v>
      </c>
      <c r="AG14" t="s" s="0">
        <v>452</v>
      </c>
      <c r="AH14" t="s" s="0">
        <v>79</v>
      </c>
      <c r="AI14" t="s" s="0">
        <v>79</v>
      </c>
      <c r="AJ14" t="s" s="0">
        <v>79</v>
      </c>
      <c r="AK14" t="s" s="0">
        <v>79</v>
      </c>
      <c r="AL14" t="s" s="0">
        <v>453</v>
      </c>
      <c r="AM14" t="s" s="0">
        <v>102</v>
      </c>
      <c r="AN14" t="s" s="0">
        <v>102</v>
      </c>
      <c r="AO14" t="s" s="0">
        <v>131</v>
      </c>
      <c r="AP14" t="s" s="0">
        <v>211</v>
      </c>
      <c r="AQ14" t="s" s="0">
        <v>454</v>
      </c>
      <c r="AR14" t="s" s="0">
        <v>455</v>
      </c>
      <c r="AS14" t="s" s="0">
        <v>456</v>
      </c>
      <c r="AT14" t="s" s="0">
        <v>457</v>
      </c>
      <c r="AU14" t="s" s="0">
        <v>458</v>
      </c>
      <c r="AV14" t="s" s="0">
        <v>79</v>
      </c>
      <c r="AW14" t="s" s="0">
        <v>459</v>
      </c>
      <c r="AX14" t="s" s="0">
        <v>460</v>
      </c>
      <c r="AY14" t="s" s="0">
        <v>461</v>
      </c>
      <c r="AZ14" t="s" s="0">
        <v>462</v>
      </c>
      <c r="BA14" t="s" s="0">
        <v>463</v>
      </c>
      <c r="BB14" t="s" s="0">
        <v>79</v>
      </c>
      <c r="BC14" t="s" s="0">
        <v>79</v>
      </c>
      <c r="BD14" t="s" s="0">
        <v>79</v>
      </c>
      <c r="BE14" t="s" s="0">
        <v>79</v>
      </c>
      <c r="BF14" t="s" s="0">
        <v>79</v>
      </c>
      <c r="BG14" t="s" s="0">
        <v>79</v>
      </c>
      <c r="BH14" t="s" s="0">
        <v>79</v>
      </c>
      <c r="BI14" t="s" s="0">
        <v>79</v>
      </c>
      <c r="BJ14" t="s" s="0">
        <v>79</v>
      </c>
      <c r="BK14" t="s" s="0">
        <v>79</v>
      </c>
      <c r="BL14" t="s" s="0">
        <v>79</v>
      </c>
      <c r="BM14" t="s" s="0">
        <v>79</v>
      </c>
      <c r="BN14" t="s" s="0">
        <v>464</v>
      </c>
      <c r="BO14" t="s" s="0">
        <v>465</v>
      </c>
      <c r="BP14" t="s" s="0">
        <v>243</v>
      </c>
      <c r="BQ14" t="s" s="0">
        <v>466</v>
      </c>
      <c r="BR14" t="s" s="0">
        <v>79</v>
      </c>
      <c r="BS14" t="s" s="0">
        <v>467</v>
      </c>
      <c r="BT14" t="s" s="25">
        <f>HYPERLINK("https://www.webofscience.com/wos/woscc/full-record/WOS:001470482100028","View Record in Web of Science")</f>
        <v>114</v>
      </c>
      <c r="BU14" t="s" s="0">
        <v>79</v>
      </c>
      <c r="BV14" t="s" s="0">
        <v>79</v>
      </c>
      <c r="BW14" t="s" s="0">
        <v>79</v>
      </c>
      <c r="BX14" t="s" s="0">
        <v>115</v>
      </c>
    </row>
    <row r="15">
      <c r="A15" t="s" s="0">
        <v>77</v>
      </c>
      <c r="B15" t="s" s="0">
        <v>77</v>
      </c>
      <c r="C15" t="s" s="0">
        <v>77</v>
      </c>
      <c r="D15" t="s" s="0">
        <v>77</v>
      </c>
      <c r="E15" t="s" s="0">
        <v>468</v>
      </c>
      <c r="F15" t="s" s="0">
        <v>469</v>
      </c>
      <c r="G15" t="s" s="0">
        <v>470</v>
      </c>
      <c r="H15" t="s" s="0">
        <v>79</v>
      </c>
      <c r="I15" t="s" s="0">
        <v>81</v>
      </c>
      <c r="J15" t="s" s="0">
        <v>471</v>
      </c>
      <c r="K15" t="s" s="0">
        <v>472</v>
      </c>
      <c r="L15" t="s" s="0">
        <v>473</v>
      </c>
      <c r="M15" t="s" s="0">
        <v>474</v>
      </c>
      <c r="N15" t="s" s="0">
        <v>475</v>
      </c>
      <c r="O15" t="s" s="0">
        <v>476</v>
      </c>
      <c r="P15" t="s" s="0">
        <v>477</v>
      </c>
      <c r="Q15" t="s" s="0">
        <v>85</v>
      </c>
      <c r="R15" t="s" s="0">
        <v>79</v>
      </c>
      <c r="S15" t="s" s="0">
        <v>79</v>
      </c>
      <c r="T15" t="s" s="0">
        <v>79</v>
      </c>
      <c r="U15" t="s" s="0">
        <v>79</v>
      </c>
      <c r="V15" t="s" s="0">
        <v>478</v>
      </c>
      <c r="W15" t="s" s="0">
        <v>479</v>
      </c>
      <c r="X15" t="s" s="0">
        <v>79</v>
      </c>
      <c r="Y15" t="s" s="0">
        <v>79</v>
      </c>
      <c r="Z15" t="s" s="0">
        <v>88</v>
      </c>
      <c r="AA15" t="s" s="0">
        <v>89</v>
      </c>
      <c r="AB15" t="s" s="0">
        <v>79</v>
      </c>
      <c r="AC15" t="s" s="0">
        <v>79</v>
      </c>
      <c r="AD15" t="s" s="0">
        <v>79</v>
      </c>
      <c r="AE15" t="s" s="0">
        <v>79</v>
      </c>
      <c r="AF15" t="s" s="0">
        <v>79</v>
      </c>
      <c r="AG15" t="s" s="0">
        <v>480</v>
      </c>
      <c r="AH15" t="s" s="0">
        <v>481</v>
      </c>
      <c r="AI15" t="s" s="0">
        <v>79</v>
      </c>
      <c r="AJ15" t="s" s="0">
        <v>79</v>
      </c>
      <c r="AK15" t="s" s="0">
        <v>79</v>
      </c>
      <c r="AL15" t="s" s="0">
        <v>482</v>
      </c>
      <c r="AM15" t="s" s="0">
        <v>77</v>
      </c>
      <c r="AN15" t="s" s="0">
        <v>77</v>
      </c>
      <c r="AO15" t="s" s="0">
        <v>131</v>
      </c>
      <c r="AP15" t="s" s="0">
        <v>131</v>
      </c>
      <c r="AQ15" t="s" s="0">
        <v>350</v>
      </c>
      <c r="AR15" t="s" s="0">
        <v>351</v>
      </c>
      <c r="AS15" t="s" s="0">
        <v>352</v>
      </c>
      <c r="AT15" t="s" s="0">
        <v>483</v>
      </c>
      <c r="AU15" t="s" s="0">
        <v>79</v>
      </c>
      <c r="AV15" t="s" s="0">
        <v>79</v>
      </c>
      <c r="AW15" t="s" s="0">
        <v>484</v>
      </c>
      <c r="AX15" t="s" s="0">
        <v>485</v>
      </c>
      <c r="AY15" t="s" s="0">
        <v>486</v>
      </c>
      <c r="AZ15" t="s" s="0">
        <v>100</v>
      </c>
      <c r="BA15" t="s" s="0">
        <v>164</v>
      </c>
      <c r="BB15" t="s" s="0">
        <v>79</v>
      </c>
      <c r="BC15" t="s" s="0">
        <v>79</v>
      </c>
      <c r="BD15" t="s" s="0">
        <v>79</v>
      </c>
      <c r="BE15" t="s" s="0">
        <v>79</v>
      </c>
      <c r="BF15" t="s" s="0">
        <v>79</v>
      </c>
      <c r="BG15" t="s" s="0">
        <v>79</v>
      </c>
      <c r="BH15" t="s" s="0">
        <v>79</v>
      </c>
      <c r="BI15" t="s" s="0">
        <v>487</v>
      </c>
      <c r="BJ15" t="s" s="0">
        <v>488</v>
      </c>
      <c r="BK15" t="s" s="26">
        <f>HYPERLINK("http://dx.doi.org/10.3389/fcell.2025.1704762","http://dx.doi.org/10.3389/fcell.2025.1704762")</f>
        <v>489</v>
      </c>
      <c r="BL15" t="s" s="0">
        <v>79</v>
      </c>
      <c r="BM15" t="s" s="0">
        <v>79</v>
      </c>
      <c r="BN15" t="s" s="0">
        <v>231</v>
      </c>
      <c r="BO15" t="s" s="0">
        <v>490</v>
      </c>
      <c r="BP15" t="s" s="0">
        <v>490</v>
      </c>
      <c r="BQ15" t="s" s="0">
        <v>491</v>
      </c>
      <c r="BR15" t="s" s="0">
        <v>492</v>
      </c>
      <c r="BS15" t="s" s="0">
        <v>493</v>
      </c>
      <c r="BT15" t="s" s="27">
        <f>HYPERLINK("https://www.webofscience.com/wos/woscc/full-record/WOS:001639177000001","View Record in Web of Science")</f>
        <v>114</v>
      </c>
      <c r="BU15" t="s" s="0">
        <v>183</v>
      </c>
      <c r="BV15" t="s" s="0">
        <v>79</v>
      </c>
      <c r="BW15" t="s" s="0">
        <v>79</v>
      </c>
      <c r="BX15" t="s" s="0">
        <v>115</v>
      </c>
    </row>
    <row r="16">
      <c r="A16" t="s" s="0">
        <v>77</v>
      </c>
      <c r="B16" t="s" s="0">
        <v>77</v>
      </c>
      <c r="C16" t="s" s="0">
        <v>77</v>
      </c>
      <c r="D16" t="s" s="0">
        <v>77</v>
      </c>
      <c r="E16" t="s" s="0">
        <v>494</v>
      </c>
      <c r="F16" t="s" s="0">
        <v>495</v>
      </c>
      <c r="G16" t="s" s="0">
        <v>496</v>
      </c>
      <c r="H16" t="s" s="0">
        <v>79</v>
      </c>
      <c r="I16" t="s" s="0">
        <v>398</v>
      </c>
      <c r="J16" t="s" s="0">
        <v>497</v>
      </c>
      <c r="K16" t="s" s="0">
        <v>498</v>
      </c>
      <c r="L16" t="s" s="0">
        <v>79</v>
      </c>
      <c r="M16" t="s" s="0">
        <v>79</v>
      </c>
      <c r="N16" t="s" s="0">
        <v>79</v>
      </c>
      <c r="O16" t="s" s="0">
        <v>499</v>
      </c>
      <c r="P16" t="s" s="0">
        <v>500</v>
      </c>
      <c r="Q16" t="s" s="0">
        <v>85</v>
      </c>
      <c r="R16" t="s" s="0">
        <v>79</v>
      </c>
      <c r="S16" t="s" s="0">
        <v>79</v>
      </c>
      <c r="T16" t="s" s="0">
        <v>79</v>
      </c>
      <c r="U16" t="s" s="0">
        <v>79</v>
      </c>
      <c r="V16" t="s" s="0">
        <v>501</v>
      </c>
      <c r="W16" t="s" s="0">
        <v>502</v>
      </c>
      <c r="X16" t="s" s="0">
        <v>79</v>
      </c>
      <c r="Y16" t="s" s="0">
        <v>79</v>
      </c>
      <c r="Z16" t="s" s="0">
        <v>88</v>
      </c>
      <c r="AA16" t="s" s="0">
        <v>89</v>
      </c>
      <c r="AB16" t="s" s="0">
        <v>79</v>
      </c>
      <c r="AC16" t="s" s="0">
        <v>79</v>
      </c>
      <c r="AD16" t="s" s="0">
        <v>79</v>
      </c>
      <c r="AE16" t="s" s="0">
        <v>79</v>
      </c>
      <c r="AF16" t="s" s="0">
        <v>79</v>
      </c>
      <c r="AG16" t="s" s="0">
        <v>503</v>
      </c>
      <c r="AH16" t="s" s="0">
        <v>504</v>
      </c>
      <c r="AI16" t="s" s="0">
        <v>505</v>
      </c>
      <c r="AJ16" t="s" s="0">
        <v>506</v>
      </c>
      <c r="AK16" t="s" s="0">
        <v>79</v>
      </c>
      <c r="AL16" t="s" s="0">
        <v>507</v>
      </c>
      <c r="AM16" t="s" s="0">
        <v>77</v>
      </c>
      <c r="AN16" t="s" s="0">
        <v>77</v>
      </c>
      <c r="AO16" t="s" s="0">
        <v>92</v>
      </c>
      <c r="AP16" t="s" s="0">
        <v>102</v>
      </c>
      <c r="AQ16" t="s" s="0">
        <v>508</v>
      </c>
      <c r="AR16" t="s" s="0">
        <v>455</v>
      </c>
      <c r="AS16" t="s" s="0">
        <v>509</v>
      </c>
      <c r="AT16" t="s" s="0">
        <v>510</v>
      </c>
      <c r="AU16" t="s" s="0">
        <v>511</v>
      </c>
      <c r="AV16" t="s" s="0">
        <v>79</v>
      </c>
      <c r="AW16" t="s" s="0">
        <v>512</v>
      </c>
      <c r="AX16" t="s" s="0">
        <v>513</v>
      </c>
      <c r="AY16" t="s" s="0">
        <v>138</v>
      </c>
      <c r="AZ16" t="s" s="0">
        <v>139</v>
      </c>
      <c r="BA16" t="s" s="0">
        <v>514</v>
      </c>
      <c r="BB16" t="s" s="0">
        <v>92</v>
      </c>
      <c r="BC16" t="s" s="0">
        <v>79</v>
      </c>
      <c r="BD16" t="s" s="0">
        <v>79</v>
      </c>
      <c r="BE16" t="s" s="0">
        <v>79</v>
      </c>
      <c r="BF16" t="s" s="0">
        <v>79</v>
      </c>
      <c r="BG16" t="s" s="0">
        <v>198</v>
      </c>
      <c r="BH16" t="s" s="0">
        <v>515</v>
      </c>
      <c r="BI16" t="s" s="0">
        <v>79</v>
      </c>
      <c r="BJ16" t="s" s="0">
        <v>516</v>
      </c>
      <c r="BK16" t="s" s="28">
        <f>HYPERLINK("http://dx.doi.org/10.1016/j.cpet.2025.09.009","http://dx.doi.org/10.1016/j.cpet.2025.09.009")</f>
        <v>517</v>
      </c>
      <c r="BL16" t="s" s="0">
        <v>79</v>
      </c>
      <c r="BM16" t="s" s="0">
        <v>518</v>
      </c>
      <c r="BN16" t="s" s="0">
        <v>146</v>
      </c>
      <c r="BO16" t="s" s="0">
        <v>519</v>
      </c>
      <c r="BP16" t="s" s="0">
        <v>519</v>
      </c>
      <c r="BQ16" t="s" s="0">
        <v>520</v>
      </c>
      <c r="BR16" t="s" s="0">
        <v>521</v>
      </c>
      <c r="BS16" t="s" s="0">
        <v>522</v>
      </c>
      <c r="BT16" t="s" s="29">
        <f>HYPERLINK("https://www.webofscience.com/wos/woscc/full-record/WOS:001627002900004","View Record in Web of Science")</f>
        <v>114</v>
      </c>
      <c r="BU16" t="s" s="0">
        <v>79</v>
      </c>
      <c r="BV16" t="s" s="0">
        <v>79</v>
      </c>
      <c r="BW16" t="s" s="0">
        <v>79</v>
      </c>
      <c r="BX16" t="s" s="0">
        <v>115</v>
      </c>
    </row>
    <row r="17">
      <c r="A17" t="s" s="0">
        <v>77</v>
      </c>
      <c r="B17" t="s" s="0">
        <v>77</v>
      </c>
      <c r="C17" t="s" s="0">
        <v>77</v>
      </c>
      <c r="D17" t="s" s="0">
        <v>77</v>
      </c>
      <c r="E17" t="s" s="0">
        <v>523</v>
      </c>
      <c r="F17" t="s" s="0">
        <v>524</v>
      </c>
      <c r="G17" t="s" s="0">
        <v>525</v>
      </c>
      <c r="H17" t="s" s="0">
        <v>79</v>
      </c>
      <c r="I17" t="s" s="0">
        <v>81</v>
      </c>
      <c r="J17" t="s" s="0">
        <v>526</v>
      </c>
      <c r="K17" t="s" s="0">
        <v>527</v>
      </c>
      <c r="L17" t="s" s="0">
        <v>528</v>
      </c>
      <c r="M17" t="s" s="0">
        <v>529</v>
      </c>
      <c r="N17" t="s" s="0">
        <v>530</v>
      </c>
      <c r="O17" t="s" s="0">
        <v>531</v>
      </c>
      <c r="P17" t="s" s="0">
        <v>532</v>
      </c>
      <c r="Q17" t="s" s="0">
        <v>85</v>
      </c>
      <c r="R17" t="s" s="0">
        <v>79</v>
      </c>
      <c r="S17" t="s" s="0">
        <v>79</v>
      </c>
      <c r="T17" t="s" s="0">
        <v>79</v>
      </c>
      <c r="U17" t="s" s="0">
        <v>79</v>
      </c>
      <c r="V17" t="s" s="0">
        <v>533</v>
      </c>
      <c r="W17" t="s" s="0">
        <v>534</v>
      </c>
      <c r="X17" t="s" s="0">
        <v>79</v>
      </c>
      <c r="Y17" t="s" s="0">
        <v>79</v>
      </c>
      <c r="Z17" t="s" s="0">
        <v>88</v>
      </c>
      <c r="AA17" t="s" s="0">
        <v>89</v>
      </c>
      <c r="AB17" t="s" s="0">
        <v>79</v>
      </c>
      <c r="AC17" t="s" s="0">
        <v>79</v>
      </c>
      <c r="AD17" t="s" s="0">
        <v>79</v>
      </c>
      <c r="AE17" t="s" s="0">
        <v>79</v>
      </c>
      <c r="AF17" t="s" s="0">
        <v>79</v>
      </c>
      <c r="AG17" t="s" s="0">
        <v>535</v>
      </c>
      <c r="AH17" t="s" s="0">
        <v>79</v>
      </c>
      <c r="AI17" t="s" s="0">
        <v>79</v>
      </c>
      <c r="AJ17" t="s" s="0">
        <v>536</v>
      </c>
      <c r="AK17" t="s" s="0">
        <v>79</v>
      </c>
      <c r="AL17" t="s" s="0">
        <v>537</v>
      </c>
      <c r="AM17" t="s" s="0">
        <v>77</v>
      </c>
      <c r="AN17" t="s" s="0">
        <v>77</v>
      </c>
      <c r="AO17" t="s" s="0">
        <v>102</v>
      </c>
      <c r="AP17" t="s" s="0">
        <v>102</v>
      </c>
      <c r="AQ17" t="s" s="0">
        <v>538</v>
      </c>
      <c r="AR17" t="s" s="0">
        <v>378</v>
      </c>
      <c r="AS17" t="s" s="0">
        <v>539</v>
      </c>
      <c r="AT17" t="s" s="0">
        <v>540</v>
      </c>
      <c r="AU17" t="s" s="0">
        <v>541</v>
      </c>
      <c r="AV17" t="s" s="0">
        <v>79</v>
      </c>
      <c r="AW17" t="s" s="0">
        <v>542</v>
      </c>
      <c r="AX17" t="s" s="0">
        <v>543</v>
      </c>
      <c r="AY17" t="s" s="0">
        <v>544</v>
      </c>
      <c r="AZ17" t="s" s="0">
        <v>139</v>
      </c>
      <c r="BA17" t="s" s="0">
        <v>545</v>
      </c>
      <c r="BB17" t="s" s="0">
        <v>92</v>
      </c>
      <c r="BC17" t="s" s="0">
        <v>79</v>
      </c>
      <c r="BD17" t="s" s="0">
        <v>79</v>
      </c>
      <c r="BE17" t="s" s="0">
        <v>79</v>
      </c>
      <c r="BF17" t="s" s="0">
        <v>79</v>
      </c>
      <c r="BG17" t="s" s="0">
        <v>79</v>
      </c>
      <c r="BH17" t="s" s="0">
        <v>79</v>
      </c>
      <c r="BI17" t="s" s="0">
        <v>546</v>
      </c>
      <c r="BJ17" t="s" s="0">
        <v>547</v>
      </c>
      <c r="BK17" t="s" s="30">
        <f>HYPERLINK("http://dx.doi.org/10.1007/s10916-026-02390-5","http://dx.doi.org/10.1007/s10916-026-02390-5")</f>
        <v>548</v>
      </c>
      <c r="BL17" t="s" s="0">
        <v>79</v>
      </c>
      <c r="BM17" t="s" s="0">
        <v>435</v>
      </c>
      <c r="BN17" t="s" s="0">
        <v>231</v>
      </c>
      <c r="BO17" t="s" s="0">
        <v>276</v>
      </c>
      <c r="BP17" t="s" s="0">
        <v>276</v>
      </c>
      <c r="BQ17" t="s" s="0">
        <v>549</v>
      </c>
      <c r="BR17" t="s" s="0">
        <v>550</v>
      </c>
      <c r="BS17" t="s" s="0">
        <v>551</v>
      </c>
      <c r="BT17" t="s" s="31">
        <f>HYPERLINK("https://www.webofscience.com/wos/woscc/full-record/WOS:001754771600002","View Record in Web of Science")</f>
        <v>114</v>
      </c>
      <c r="BU17" t="s" s="0">
        <v>79</v>
      </c>
      <c r="BV17" t="s" s="0">
        <v>79</v>
      </c>
      <c r="BW17" t="s" s="0">
        <v>79</v>
      </c>
      <c r="BX17" t="s" s="0">
        <v>115</v>
      </c>
    </row>
    <row r="18">
      <c r="A18" t="s" s="0">
        <v>92</v>
      </c>
      <c r="B18" t="s" s="0">
        <v>77</v>
      </c>
      <c r="C18" t="s" s="0">
        <v>92</v>
      </c>
      <c r="D18" t="s" s="0">
        <v>77</v>
      </c>
      <c r="E18" t="s" s="0">
        <v>552</v>
      </c>
      <c r="F18" t="s" s="0">
        <v>553</v>
      </c>
      <c r="G18" t="s" s="0">
        <v>554</v>
      </c>
      <c r="H18" t="s" s="0">
        <v>79</v>
      </c>
      <c r="I18" t="s" s="0">
        <v>81</v>
      </c>
      <c r="J18" t="s" s="0">
        <v>555</v>
      </c>
      <c r="K18" t="s" s="0">
        <v>556</v>
      </c>
      <c r="L18" t="s" s="0">
        <v>79</v>
      </c>
      <c r="M18" t="s" s="0">
        <v>79</v>
      </c>
      <c r="N18" t="s" s="0">
        <v>79</v>
      </c>
      <c r="O18" t="s" s="0">
        <v>557</v>
      </c>
      <c r="P18" t="s" s="0">
        <v>558</v>
      </c>
      <c r="Q18" t="s" s="0">
        <v>85</v>
      </c>
      <c r="R18" t="s" s="0">
        <v>79</v>
      </c>
      <c r="S18" t="s" s="0">
        <v>79</v>
      </c>
      <c r="T18" t="s" s="0">
        <v>79</v>
      </c>
      <c r="U18" t="s" s="0">
        <v>79</v>
      </c>
      <c r="V18" t="s" s="0">
        <v>559</v>
      </c>
      <c r="W18" t="s" s="0">
        <v>560</v>
      </c>
      <c r="X18" t="s" s="0">
        <v>79</v>
      </c>
      <c r="Y18" t="s" s="0">
        <v>79</v>
      </c>
      <c r="Z18" t="s" s="0">
        <v>88</v>
      </c>
      <c r="AA18" t="s" s="0">
        <v>89</v>
      </c>
      <c r="AB18" t="s" s="0">
        <v>79</v>
      </c>
      <c r="AC18" t="s" s="0">
        <v>79</v>
      </c>
      <c r="AD18" t="s" s="0">
        <v>79</v>
      </c>
      <c r="AE18" t="s" s="0">
        <v>79</v>
      </c>
      <c r="AF18" t="s" s="0">
        <v>79</v>
      </c>
      <c r="AG18" t="s" s="0">
        <v>561</v>
      </c>
      <c r="AH18" t="s" s="0">
        <v>79</v>
      </c>
      <c r="AI18" t="s" s="0">
        <v>562</v>
      </c>
      <c r="AJ18" t="s" s="0">
        <v>563</v>
      </c>
      <c r="AK18" t="s" s="0">
        <v>79</v>
      </c>
      <c r="AL18" t="s" s="0">
        <v>199</v>
      </c>
      <c r="AM18" t="s" s="0">
        <v>165</v>
      </c>
      <c r="AN18" t="s" s="0">
        <v>102</v>
      </c>
      <c r="AO18" t="s" s="0">
        <v>92</v>
      </c>
      <c r="AP18" t="s" s="0">
        <v>412</v>
      </c>
      <c r="AQ18" t="s" s="0">
        <v>538</v>
      </c>
      <c r="AR18" t="s" s="0">
        <v>378</v>
      </c>
      <c r="AS18" t="s" s="0">
        <v>539</v>
      </c>
      <c r="AT18" t="s" s="0">
        <v>564</v>
      </c>
      <c r="AU18" t="s" s="0">
        <v>565</v>
      </c>
      <c r="AV18" t="s" s="0">
        <v>79</v>
      </c>
      <c r="AW18" t="s" s="0">
        <v>566</v>
      </c>
      <c r="AX18" t="s" s="0">
        <v>567</v>
      </c>
      <c r="AY18" t="s" s="0">
        <v>568</v>
      </c>
      <c r="AZ18" t="s" s="0">
        <v>100</v>
      </c>
      <c r="BA18" t="s" s="0">
        <v>262</v>
      </c>
      <c r="BB18" t="s" s="0">
        <v>230</v>
      </c>
      <c r="BC18" t="s" s="0">
        <v>79</v>
      </c>
      <c r="BD18" t="s" s="0">
        <v>79</v>
      </c>
      <c r="BE18" t="s" s="0">
        <v>79</v>
      </c>
      <c r="BF18" t="s" s="0">
        <v>79</v>
      </c>
      <c r="BG18" t="s" s="0">
        <v>569</v>
      </c>
      <c r="BH18" t="s" s="0">
        <v>570</v>
      </c>
      <c r="BI18" t="s" s="0">
        <v>79</v>
      </c>
      <c r="BJ18" t="s" s="0">
        <v>571</v>
      </c>
      <c r="BK18" t="s" s="32">
        <f>HYPERLINK("http://dx.doi.org/10.1007/s00464-025-11723-3","http://dx.doi.org/10.1007/s00464-025-11723-3")</f>
        <v>572</v>
      </c>
      <c r="BL18" t="s" s="0">
        <v>79</v>
      </c>
      <c r="BM18" t="s" s="0">
        <v>384</v>
      </c>
      <c r="BN18" t="s" s="0">
        <v>164</v>
      </c>
      <c r="BO18" t="s" s="0">
        <v>573</v>
      </c>
      <c r="BP18" t="s" s="0">
        <v>573</v>
      </c>
      <c r="BQ18" t="s" s="0">
        <v>574</v>
      </c>
      <c r="BR18" t="s" s="0">
        <v>575</v>
      </c>
      <c r="BS18" t="s" s="0">
        <v>576</v>
      </c>
      <c r="BT18" t="s" s="33">
        <f>HYPERLINK("https://www.webofscience.com/wos/woscc/full-record/WOS:001469637400001","View Record in Web of Science")</f>
        <v>114</v>
      </c>
      <c r="BU18" t="s" s="0">
        <v>79</v>
      </c>
      <c r="BV18" t="s" s="0">
        <v>79</v>
      </c>
      <c r="BW18" t="s" s="0">
        <v>79</v>
      </c>
      <c r="BX18" t="s" s="0">
        <v>115</v>
      </c>
    </row>
    <row r="19">
      <c r="A19" t="s" s="0">
        <v>77</v>
      </c>
      <c r="B19" t="s" s="0">
        <v>77</v>
      </c>
      <c r="C19" t="s" s="0">
        <v>77</v>
      </c>
      <c r="D19" t="s" s="0">
        <v>77</v>
      </c>
      <c r="E19" t="s" s="0">
        <v>577</v>
      </c>
      <c r="F19" t="s" s="0">
        <v>578</v>
      </c>
      <c r="G19" t="s" s="0">
        <v>579</v>
      </c>
      <c r="H19" t="s" s="0">
        <v>79</v>
      </c>
      <c r="I19" t="s" s="0">
        <v>398</v>
      </c>
      <c r="J19" t="s" s="0">
        <v>580</v>
      </c>
      <c r="K19" t="s" s="0">
        <v>581</v>
      </c>
      <c r="L19" t="s" s="0">
        <v>79</v>
      </c>
      <c r="M19" t="s" s="0">
        <v>79</v>
      </c>
      <c r="N19" t="s" s="0">
        <v>79</v>
      </c>
      <c r="O19" t="s" s="0">
        <v>582</v>
      </c>
      <c r="P19" t="s" s="0">
        <v>583</v>
      </c>
      <c r="Q19" t="s" s="0">
        <v>85</v>
      </c>
      <c r="R19" t="s" s="0">
        <v>79</v>
      </c>
      <c r="S19" t="s" s="0">
        <v>79</v>
      </c>
      <c r="T19" t="s" s="0">
        <v>79</v>
      </c>
      <c r="U19" t="s" s="0">
        <v>79</v>
      </c>
      <c r="V19" t="s" s="0">
        <v>584</v>
      </c>
      <c r="W19" t="s" s="0">
        <v>585</v>
      </c>
      <c r="X19" t="s" s="0">
        <v>79</v>
      </c>
      <c r="Y19" t="s" s="0">
        <v>79</v>
      </c>
      <c r="Z19" t="s" s="0">
        <v>88</v>
      </c>
      <c r="AA19" t="s" s="0">
        <v>89</v>
      </c>
      <c r="AB19" t="s" s="0">
        <v>79</v>
      </c>
      <c r="AC19" t="s" s="0">
        <v>79</v>
      </c>
      <c r="AD19" t="s" s="0">
        <v>79</v>
      </c>
      <c r="AE19" t="s" s="0">
        <v>79</v>
      </c>
      <c r="AF19" t="s" s="0">
        <v>79</v>
      </c>
      <c r="AG19" t="s" s="0">
        <v>586</v>
      </c>
      <c r="AH19" t="s" s="0">
        <v>587</v>
      </c>
      <c r="AI19" t="s" s="0">
        <v>79</v>
      </c>
      <c r="AJ19" t="s" s="0">
        <v>79</v>
      </c>
      <c r="AK19" t="s" s="0">
        <v>79</v>
      </c>
      <c r="AL19" t="s" s="0">
        <v>588</v>
      </c>
      <c r="AM19" t="s" s="0">
        <v>77</v>
      </c>
      <c r="AN19" t="s" s="0">
        <v>77</v>
      </c>
      <c r="AO19" t="s" s="0">
        <v>77</v>
      </c>
      <c r="AP19" t="s" s="0">
        <v>77</v>
      </c>
      <c r="AQ19" t="s" s="0">
        <v>589</v>
      </c>
      <c r="AR19" t="s" s="0">
        <v>590</v>
      </c>
      <c r="AS19" t="s" s="0">
        <v>591</v>
      </c>
      <c r="AT19" t="s" s="0">
        <v>79</v>
      </c>
      <c r="AU19" t="s" s="0">
        <v>592</v>
      </c>
      <c r="AV19" t="s" s="0">
        <v>79</v>
      </c>
      <c r="AW19" t="s" s="0">
        <v>593</v>
      </c>
      <c r="AX19" t="s" s="0">
        <v>594</v>
      </c>
      <c r="AY19" t="s" s="0">
        <v>595</v>
      </c>
      <c r="AZ19" t="s" s="0">
        <v>139</v>
      </c>
      <c r="BA19" t="s" s="0">
        <v>198</v>
      </c>
      <c r="BB19" t="s" s="0">
        <v>92</v>
      </c>
      <c r="BC19" t="s" s="0">
        <v>79</v>
      </c>
      <c r="BD19" t="s" s="0">
        <v>79</v>
      </c>
      <c r="BE19" t="s" s="0">
        <v>79</v>
      </c>
      <c r="BF19" t="s" s="0">
        <v>79</v>
      </c>
      <c r="BG19" t="s" s="0">
        <v>79</v>
      </c>
      <c r="BH19" t="s" s="0">
        <v>79</v>
      </c>
      <c r="BI19" t="s" s="0">
        <v>596</v>
      </c>
      <c r="BJ19" t="s" s="0">
        <v>597</v>
      </c>
      <c r="BK19" t="s" s="34">
        <f>HYPERLINK("http://dx.doi.org/10.1136/bmjhci-2026-102207","http://dx.doi.org/10.1136/bmjhci-2026-102207")</f>
        <v>598</v>
      </c>
      <c r="BL19" t="s" s="0">
        <v>79</v>
      </c>
      <c r="BM19" t="s" s="0">
        <v>79</v>
      </c>
      <c r="BN19" t="s" s="0">
        <v>184</v>
      </c>
      <c r="BO19" t="s" s="0">
        <v>276</v>
      </c>
      <c r="BP19" t="s" s="0">
        <v>276</v>
      </c>
      <c r="BQ19" t="s" s="0">
        <v>599</v>
      </c>
      <c r="BR19" t="s" s="0">
        <v>600</v>
      </c>
      <c r="BS19" t="s" s="0">
        <v>601</v>
      </c>
      <c r="BT19" t="s" s="35">
        <f>HYPERLINK("https://www.webofscience.com/wos/woscc/full-record/WOS:001846457400001","View Record in Web of Science")</f>
        <v>114</v>
      </c>
      <c r="BU19" t="s" s="0">
        <v>602</v>
      </c>
      <c r="BV19" t="s" s="0">
        <v>79</v>
      </c>
      <c r="BW19" t="s" s="0">
        <v>79</v>
      </c>
      <c r="BX19" t="s" s="0">
        <v>115</v>
      </c>
    </row>
    <row r="20">
      <c r="A20" t="s" s="0">
        <v>77</v>
      </c>
      <c r="B20" t="s" s="0">
        <v>77</v>
      </c>
      <c r="C20" t="s" s="0">
        <v>77</v>
      </c>
      <c r="D20" t="s" s="0">
        <v>77</v>
      </c>
      <c r="E20" t="s" s="0">
        <v>603</v>
      </c>
      <c r="F20" t="s" s="0">
        <v>604</v>
      </c>
      <c r="G20" t="s" s="0">
        <v>605</v>
      </c>
      <c r="H20" t="s" s="0">
        <v>79</v>
      </c>
      <c r="I20" t="s" s="0">
        <v>81</v>
      </c>
      <c r="J20" t="s" s="0">
        <v>606</v>
      </c>
      <c r="K20" t="s" s="0">
        <v>607</v>
      </c>
      <c r="L20" t="s" s="0">
        <v>608</v>
      </c>
      <c r="M20" t="s" s="0">
        <v>609</v>
      </c>
      <c r="N20" t="s" s="0">
        <v>610</v>
      </c>
      <c r="O20" t="s" s="0">
        <v>611</v>
      </c>
      <c r="P20" t="s" s="0">
        <v>612</v>
      </c>
      <c r="Q20" t="s" s="0">
        <v>85</v>
      </c>
      <c r="R20" t="s" s="0">
        <v>79</v>
      </c>
      <c r="S20" t="s" s="0">
        <v>79</v>
      </c>
      <c r="T20" t="s" s="0">
        <v>79</v>
      </c>
      <c r="U20" t="s" s="0">
        <v>79</v>
      </c>
      <c r="V20" t="s" s="0">
        <v>613</v>
      </c>
      <c r="W20" t="s" s="0">
        <v>614</v>
      </c>
      <c r="X20" t="s" s="0">
        <v>79</v>
      </c>
      <c r="Y20" t="s" s="0">
        <v>79</v>
      </c>
      <c r="Z20" t="s" s="0">
        <v>88</v>
      </c>
      <c r="AA20" t="s" s="0">
        <v>615</v>
      </c>
      <c r="AB20" t="s" s="0">
        <v>79</v>
      </c>
      <c r="AC20" t="s" s="0">
        <v>79</v>
      </c>
      <c r="AD20" t="s" s="0">
        <v>79</v>
      </c>
      <c r="AE20" t="s" s="0">
        <v>79</v>
      </c>
      <c r="AF20" t="s" s="0">
        <v>79</v>
      </c>
      <c r="AG20" t="s" s="0">
        <v>79</v>
      </c>
      <c r="AH20" t="s" s="0">
        <v>79</v>
      </c>
      <c r="AI20" t="s" s="0">
        <v>616</v>
      </c>
      <c r="AJ20" t="s" s="0">
        <v>79</v>
      </c>
      <c r="AK20" t="s" s="0">
        <v>79</v>
      </c>
      <c r="AL20" t="s" s="0">
        <v>617</v>
      </c>
      <c r="AM20" t="s" s="0">
        <v>92</v>
      </c>
      <c r="AN20" t="s" s="0">
        <v>92</v>
      </c>
      <c r="AO20" t="s" s="0">
        <v>131</v>
      </c>
      <c r="AP20" t="s" s="0">
        <v>131</v>
      </c>
      <c r="AQ20" t="s" s="0">
        <v>167</v>
      </c>
      <c r="AR20" t="s" s="0">
        <v>168</v>
      </c>
      <c r="AS20" t="s" s="0">
        <v>169</v>
      </c>
      <c r="AT20" t="s" s="0">
        <v>618</v>
      </c>
      <c r="AU20" t="s" s="0">
        <v>79</v>
      </c>
      <c r="AV20" t="s" s="0">
        <v>79</v>
      </c>
      <c r="AW20" t="s" s="0">
        <v>619</v>
      </c>
      <c r="AX20" t="s" s="0">
        <v>620</v>
      </c>
      <c r="AY20" t="s" s="0">
        <v>79</v>
      </c>
      <c r="AZ20" t="s" s="0">
        <v>139</v>
      </c>
      <c r="BA20" t="s" s="0">
        <v>79</v>
      </c>
      <c r="BB20" t="s" s="0">
        <v>79</v>
      </c>
      <c r="BC20" t="s" s="0">
        <v>79</v>
      </c>
      <c r="BD20" t="s" s="0">
        <v>79</v>
      </c>
      <c r="BE20" t="s" s="0">
        <v>79</v>
      </c>
      <c r="BF20" t="s" s="0">
        <v>79</v>
      </c>
      <c r="BG20" t="s" s="0">
        <v>79</v>
      </c>
      <c r="BH20" t="s" s="0">
        <v>79</v>
      </c>
      <c r="BI20" t="s" s="0">
        <v>79</v>
      </c>
      <c r="BJ20" t="s" s="0">
        <v>621</v>
      </c>
      <c r="BK20" t="s" s="36">
        <f>HYPERLINK("http://dx.doi.org/10.1038/s41551-026-01719-2","http://dx.doi.org/10.1038/s41551-026-01719-2")</f>
        <v>622</v>
      </c>
      <c r="BL20" t="s" s="0">
        <v>79</v>
      </c>
      <c r="BM20" t="s" s="0">
        <v>411</v>
      </c>
      <c r="BN20" t="s" s="0">
        <v>623</v>
      </c>
      <c r="BO20" t="s" s="0">
        <v>624</v>
      </c>
      <c r="BP20" t="s" s="0">
        <v>625</v>
      </c>
      <c r="BQ20" t="s" s="0">
        <v>626</v>
      </c>
      <c r="BR20" t="s" s="0">
        <v>627</v>
      </c>
      <c r="BS20" t="s" s="0">
        <v>628</v>
      </c>
      <c r="BT20" t="s" s="37">
        <f>HYPERLINK("https://www.webofscience.com/wos/woscc/full-record/WOS:001795332000001","View Record in Web of Science")</f>
        <v>114</v>
      </c>
      <c r="BU20" t="s" s="0">
        <v>79</v>
      </c>
      <c r="BV20" t="s" s="0">
        <v>79</v>
      </c>
      <c r="BW20" t="s" s="0">
        <v>79</v>
      </c>
      <c r="BX20" t="s" s="0">
        <v>115</v>
      </c>
    </row>
    <row r="21">
      <c r="A21" t="s" s="0">
        <v>77</v>
      </c>
      <c r="B21" t="s" s="0">
        <v>77</v>
      </c>
      <c r="C21" t="s" s="0">
        <v>77</v>
      </c>
      <c r="D21" t="s" s="0">
        <v>77</v>
      </c>
      <c r="E21" t="s" s="0">
        <v>629</v>
      </c>
      <c r="F21" t="s" s="0">
        <v>630</v>
      </c>
      <c r="G21" t="s" s="0">
        <v>631</v>
      </c>
      <c r="H21" t="s" s="0">
        <v>79</v>
      </c>
      <c r="I21" t="s" s="0">
        <v>81</v>
      </c>
      <c r="J21" t="s" s="0">
        <v>632</v>
      </c>
      <c r="K21" t="s" s="0">
        <v>633</v>
      </c>
      <c r="L21" t="s" s="0">
        <v>79</v>
      </c>
      <c r="M21" t="s" s="0">
        <v>79</v>
      </c>
      <c r="N21" t="s" s="0">
        <v>79</v>
      </c>
      <c r="O21" t="s" s="0">
        <v>634</v>
      </c>
      <c r="P21" t="s" s="0">
        <v>635</v>
      </c>
      <c r="Q21" t="s" s="0">
        <v>85</v>
      </c>
      <c r="R21" t="s" s="0">
        <v>79</v>
      </c>
      <c r="S21" t="s" s="0">
        <v>79</v>
      </c>
      <c r="T21" t="s" s="0">
        <v>79</v>
      </c>
      <c r="U21" t="s" s="0">
        <v>79</v>
      </c>
      <c r="V21" t="s" s="0">
        <v>636</v>
      </c>
      <c r="W21" t="s" s="0">
        <v>637</v>
      </c>
      <c r="X21" t="s" s="0">
        <v>79</v>
      </c>
      <c r="Y21" t="s" s="0">
        <v>79</v>
      </c>
      <c r="Z21" t="s" s="0">
        <v>88</v>
      </c>
      <c r="AA21" t="s" s="0">
        <v>89</v>
      </c>
      <c r="AB21" t="s" s="0">
        <v>79</v>
      </c>
      <c r="AC21" t="s" s="0">
        <v>79</v>
      </c>
      <c r="AD21" t="s" s="0">
        <v>79</v>
      </c>
      <c r="AE21" t="s" s="0">
        <v>79</v>
      </c>
      <c r="AF21" t="s" s="0">
        <v>79</v>
      </c>
      <c r="AG21" t="s" s="0">
        <v>638</v>
      </c>
      <c r="AH21" t="s" s="0">
        <v>79</v>
      </c>
      <c r="AI21" t="s" s="0">
        <v>639</v>
      </c>
      <c r="AJ21" t="s" s="0">
        <v>640</v>
      </c>
      <c r="AK21" t="s" s="0">
        <v>79</v>
      </c>
      <c r="AL21" t="s" s="0">
        <v>507</v>
      </c>
      <c r="AM21" t="s" s="0">
        <v>230</v>
      </c>
      <c r="AN21" t="s" s="0">
        <v>130</v>
      </c>
      <c r="AO21" t="s" s="0">
        <v>230</v>
      </c>
      <c r="AP21" t="s" s="0">
        <v>325</v>
      </c>
      <c r="AQ21" t="s" s="0">
        <v>641</v>
      </c>
      <c r="AR21" t="s" s="0">
        <v>642</v>
      </c>
      <c r="AS21" t="s" s="0">
        <v>643</v>
      </c>
      <c r="AT21" t="s" s="0">
        <v>644</v>
      </c>
      <c r="AU21" t="s" s="0">
        <v>645</v>
      </c>
      <c r="AV21" t="s" s="0">
        <v>79</v>
      </c>
      <c r="AW21" t="s" s="0">
        <v>646</v>
      </c>
      <c r="AX21" t="s" s="0">
        <v>647</v>
      </c>
      <c r="AY21" t="s" s="0">
        <v>138</v>
      </c>
      <c r="AZ21" t="s" s="0">
        <v>139</v>
      </c>
      <c r="BA21" t="s" s="0">
        <v>648</v>
      </c>
      <c r="BB21" t="s" s="0">
        <v>79</v>
      </c>
      <c r="BC21" t="s" s="0">
        <v>79</v>
      </c>
      <c r="BD21" t="s" s="0">
        <v>79</v>
      </c>
      <c r="BE21" t="s" s="0">
        <v>79</v>
      </c>
      <c r="BF21" t="s" s="0">
        <v>79</v>
      </c>
      <c r="BG21" t="s" s="0">
        <v>79</v>
      </c>
      <c r="BH21" t="s" s="0">
        <v>79</v>
      </c>
      <c r="BI21" t="s" s="0">
        <v>649</v>
      </c>
      <c r="BJ21" t="s" s="0">
        <v>650</v>
      </c>
      <c r="BK21" t="s" s="38">
        <f>HYPERLINK("http://dx.doi.org/10.1016/j.jdent.2025.106187","http://dx.doi.org/10.1016/j.jdent.2025.106187")</f>
        <v>651</v>
      </c>
      <c r="BL21" t="s" s="0">
        <v>79</v>
      </c>
      <c r="BM21" t="s" s="0">
        <v>518</v>
      </c>
      <c r="BN21" t="s" s="0">
        <v>230</v>
      </c>
      <c r="BO21" t="s" s="0">
        <v>652</v>
      </c>
      <c r="BP21" t="s" s="0">
        <v>652</v>
      </c>
      <c r="BQ21" t="s" s="0">
        <v>653</v>
      </c>
      <c r="BR21" t="s" s="0">
        <v>654</v>
      </c>
      <c r="BS21" t="s" s="0">
        <v>655</v>
      </c>
      <c r="BT21" t="s" s="39">
        <f>HYPERLINK("https://www.webofscience.com/wos/woscc/full-record/WOS:001614667300001","View Record in Web of Science")</f>
        <v>114</v>
      </c>
      <c r="BU21" t="s" s="0">
        <v>79</v>
      </c>
      <c r="BV21" t="s" s="0">
        <v>79</v>
      </c>
      <c r="BW21" t="s" s="0">
        <v>79</v>
      </c>
      <c r="BX21" t="s" s="0">
        <v>115</v>
      </c>
    </row>
    <row r="22">
      <c r="A22" t="s" s="0">
        <v>77</v>
      </c>
      <c r="B22" t="s" s="0">
        <v>77</v>
      </c>
      <c r="C22" t="s" s="0">
        <v>77</v>
      </c>
      <c r="D22" t="s" s="0">
        <v>77</v>
      </c>
      <c r="E22" t="s" s="0">
        <v>656</v>
      </c>
      <c r="F22" t="s" s="0">
        <v>657</v>
      </c>
      <c r="G22" t="s" s="0">
        <v>658</v>
      </c>
      <c r="H22" t="s" s="0">
        <v>79</v>
      </c>
      <c r="I22" t="s" s="0">
        <v>81</v>
      </c>
      <c r="J22" t="s" s="0">
        <v>659</v>
      </c>
      <c r="K22" t="s" s="0">
        <v>660</v>
      </c>
      <c r="L22" t="s" s="0">
        <v>661</v>
      </c>
      <c r="M22" t="s" s="0">
        <v>662</v>
      </c>
      <c r="N22" t="s" s="0">
        <v>663</v>
      </c>
      <c r="O22" t="s" s="0">
        <v>664</v>
      </c>
      <c r="P22" t="s" s="0">
        <v>665</v>
      </c>
      <c r="Q22" t="s" s="0">
        <v>85</v>
      </c>
      <c r="R22" t="s" s="0">
        <v>79</v>
      </c>
      <c r="S22" t="s" s="0">
        <v>79</v>
      </c>
      <c r="T22" t="s" s="0">
        <v>79</v>
      </c>
      <c r="U22" t="s" s="0">
        <v>79</v>
      </c>
      <c r="V22" t="s" s="0">
        <v>666</v>
      </c>
      <c r="W22" t="s" s="0">
        <v>667</v>
      </c>
      <c r="X22" t="s" s="0">
        <v>79</v>
      </c>
      <c r="Y22" t="s" s="0">
        <v>79</v>
      </c>
      <c r="Z22" t="s" s="0">
        <v>88</v>
      </c>
      <c r="AA22" t="s" s="0">
        <v>89</v>
      </c>
      <c r="AB22" t="s" s="0">
        <v>79</v>
      </c>
      <c r="AC22" t="s" s="0">
        <v>79</v>
      </c>
      <c r="AD22" t="s" s="0">
        <v>79</v>
      </c>
      <c r="AE22" t="s" s="0">
        <v>79</v>
      </c>
      <c r="AF22" t="s" s="0">
        <v>79</v>
      </c>
      <c r="AG22" t="s" s="0">
        <v>668</v>
      </c>
      <c r="AH22" t="s" s="0">
        <v>669</v>
      </c>
      <c r="AI22" t="s" s="0">
        <v>670</v>
      </c>
      <c r="AJ22" t="s" s="0">
        <v>79</v>
      </c>
      <c r="AK22" t="s" s="0">
        <v>79</v>
      </c>
      <c r="AL22" t="s" s="0">
        <v>671</v>
      </c>
      <c r="AM22" t="s" s="0">
        <v>92</v>
      </c>
      <c r="AN22" t="s" s="0">
        <v>92</v>
      </c>
      <c r="AO22" t="s" s="0">
        <v>166</v>
      </c>
      <c r="AP22" t="s" s="0">
        <v>166</v>
      </c>
      <c r="AQ22" t="s" s="0">
        <v>132</v>
      </c>
      <c r="AR22" t="s" s="0">
        <v>133</v>
      </c>
      <c r="AS22" t="s" s="0">
        <v>134</v>
      </c>
      <c r="AT22" t="s" s="0">
        <v>672</v>
      </c>
      <c r="AU22" t="s" s="0">
        <v>673</v>
      </c>
      <c r="AV22" t="s" s="0">
        <v>79</v>
      </c>
      <c r="AW22" t="s" s="0">
        <v>674</v>
      </c>
      <c r="AX22" t="s" s="0">
        <v>675</v>
      </c>
      <c r="AY22" t="s" s="0">
        <v>676</v>
      </c>
      <c r="AZ22" t="s" s="0">
        <v>139</v>
      </c>
      <c r="BA22" t="s" s="0">
        <v>198</v>
      </c>
      <c r="BB22" t="s" s="0">
        <v>92</v>
      </c>
      <c r="BC22" t="s" s="0">
        <v>79</v>
      </c>
      <c r="BD22" t="s" s="0">
        <v>79</v>
      </c>
      <c r="BE22" t="s" s="0">
        <v>79</v>
      </c>
      <c r="BF22" t="s" s="0">
        <v>79</v>
      </c>
      <c r="BG22" t="s" s="0">
        <v>79</v>
      </c>
      <c r="BH22" t="s" s="0">
        <v>79</v>
      </c>
      <c r="BI22" t="s" s="0">
        <v>677</v>
      </c>
      <c r="BJ22" t="s" s="0">
        <v>678</v>
      </c>
      <c r="BK22" t="s" s="40">
        <f>HYPERLINK("http://dx.doi.org/10.1002/hkj2.70085","http://dx.doi.org/10.1002/hkj2.70085")</f>
        <v>679</v>
      </c>
      <c r="BL22" t="s" s="0">
        <v>79</v>
      </c>
      <c r="BM22" t="s" s="0">
        <v>79</v>
      </c>
      <c r="BN22" t="s" s="0">
        <v>164</v>
      </c>
      <c r="BO22" t="s" s="0">
        <v>680</v>
      </c>
      <c r="BP22" t="s" s="0">
        <v>680</v>
      </c>
      <c r="BQ22" t="s" s="0">
        <v>681</v>
      </c>
      <c r="BR22" t="s" s="0">
        <v>79</v>
      </c>
      <c r="BS22" t="s" s="0">
        <v>682</v>
      </c>
      <c r="BT22" t="s" s="41">
        <f>HYPERLINK("https://www.webofscience.com/wos/woscc/full-record/WOS:001702893900002","View Record in Web of Science")</f>
        <v>114</v>
      </c>
      <c r="BU22" t="s" s="0">
        <v>602</v>
      </c>
      <c r="BV22" t="s" s="0">
        <v>79</v>
      </c>
      <c r="BW22" t="s" s="0">
        <v>79</v>
      </c>
      <c r="BX22" t="s" s="0">
        <v>115</v>
      </c>
    </row>
    <row r="23">
      <c r="A23" t="s" s="0">
        <v>164</v>
      </c>
      <c r="B23" t="s" s="0">
        <v>77</v>
      </c>
      <c r="C23" t="s" s="0">
        <v>683</v>
      </c>
      <c r="D23" t="s" s="0">
        <v>92</v>
      </c>
      <c r="E23" t="s" s="0">
        <v>684</v>
      </c>
      <c r="F23" t="s" s="0">
        <v>685</v>
      </c>
      <c r="G23" t="s" s="0">
        <v>686</v>
      </c>
      <c r="H23" t="s" s="0">
        <v>79</v>
      </c>
      <c r="I23" t="s" s="0">
        <v>81</v>
      </c>
      <c r="J23" t="s" s="0">
        <v>687</v>
      </c>
      <c r="K23" t="s" s="0">
        <v>250</v>
      </c>
      <c r="L23" t="s" s="0">
        <v>79</v>
      </c>
      <c r="M23" t="s" s="0">
        <v>79</v>
      </c>
      <c r="N23" t="s" s="0">
        <v>79</v>
      </c>
      <c r="O23" t="s" s="0">
        <v>688</v>
      </c>
      <c r="P23" t="s" s="0">
        <v>689</v>
      </c>
      <c r="Q23" t="s" s="0">
        <v>85</v>
      </c>
      <c r="R23" t="s" s="0">
        <v>79</v>
      </c>
      <c r="S23" t="s" s="0">
        <v>79</v>
      </c>
      <c r="T23" t="s" s="0">
        <v>79</v>
      </c>
      <c r="U23" t="s" s="0">
        <v>79</v>
      </c>
      <c r="V23" t="s" s="0">
        <v>690</v>
      </c>
      <c r="W23" t="s" s="0">
        <v>256</v>
      </c>
      <c r="X23" t="s" s="0">
        <v>79</v>
      </c>
      <c r="Y23" t="s" s="0">
        <v>79</v>
      </c>
      <c r="Z23" t="s" s="0">
        <v>88</v>
      </c>
      <c r="AA23" t="s" s="0">
        <v>89</v>
      </c>
      <c r="AB23" t="s" s="0">
        <v>79</v>
      </c>
      <c r="AC23" t="s" s="0">
        <v>79</v>
      </c>
      <c r="AD23" t="s" s="0">
        <v>79</v>
      </c>
      <c r="AE23" t="s" s="0">
        <v>79</v>
      </c>
      <c r="AF23" t="s" s="0">
        <v>79</v>
      </c>
      <c r="AG23" t="s" s="0">
        <v>691</v>
      </c>
      <c r="AH23" t="s" s="0">
        <v>79</v>
      </c>
      <c r="AI23" t="s" s="0">
        <v>692</v>
      </c>
      <c r="AJ23" t="s" s="0">
        <v>693</v>
      </c>
      <c r="AK23" t="s" s="0">
        <v>79</v>
      </c>
      <c r="AL23" t="s" s="0">
        <v>694</v>
      </c>
      <c r="AM23" t="s" s="0">
        <v>695</v>
      </c>
      <c r="AN23" t="s" s="0">
        <v>696</v>
      </c>
      <c r="AO23" t="s" s="0">
        <v>108</v>
      </c>
      <c r="AP23" t="s" s="0">
        <v>697</v>
      </c>
      <c r="AQ23" t="s" s="0">
        <v>265</v>
      </c>
      <c r="AR23" t="s" s="0">
        <v>266</v>
      </c>
      <c r="AS23" t="s" s="0">
        <v>267</v>
      </c>
      <c r="AT23" t="s" s="0">
        <v>269</v>
      </c>
      <c r="AU23" t="s" s="0">
        <v>79</v>
      </c>
      <c r="AV23" t="s" s="0">
        <v>79</v>
      </c>
      <c r="AW23" t="s" s="0">
        <v>270</v>
      </c>
      <c r="AX23" t="s" s="0">
        <v>271</v>
      </c>
      <c r="AY23" t="s" s="0">
        <v>698</v>
      </c>
      <c r="AZ23" t="s" s="0">
        <v>699</v>
      </c>
      <c r="BA23" t="s" s="0">
        <v>694</v>
      </c>
      <c r="BB23" t="s" s="0">
        <v>79</v>
      </c>
      <c r="BC23" t="s" s="0">
        <v>79</v>
      </c>
      <c r="BD23" t="s" s="0">
        <v>79</v>
      </c>
      <c r="BE23" t="s" s="0">
        <v>79</v>
      </c>
      <c r="BF23" t="s" s="0">
        <v>79</v>
      </c>
      <c r="BG23" t="s" s="0">
        <v>79</v>
      </c>
      <c r="BH23" t="s" s="0">
        <v>79</v>
      </c>
      <c r="BI23" t="s" s="0">
        <v>700</v>
      </c>
      <c r="BJ23" t="s" s="0">
        <v>701</v>
      </c>
      <c r="BK23" t="s" s="42">
        <f>HYPERLINK("http://dx.doi.org/10.2196/48568","http://dx.doi.org/10.2196/48568")</f>
        <v>702</v>
      </c>
      <c r="BL23" t="s" s="0">
        <v>79</v>
      </c>
      <c r="BM23" t="s" s="0">
        <v>79</v>
      </c>
      <c r="BN23" t="s" s="0">
        <v>130</v>
      </c>
      <c r="BO23" t="s" s="0">
        <v>276</v>
      </c>
      <c r="BP23" t="s" s="0">
        <v>276</v>
      </c>
      <c r="BQ23" t="s" s="0">
        <v>703</v>
      </c>
      <c r="BR23" t="s" s="0">
        <v>704</v>
      </c>
      <c r="BS23" t="s" s="0">
        <v>705</v>
      </c>
      <c r="BT23" t="s" s="43">
        <f>HYPERLINK("https://www.webofscience.com/wos/woscc/full-record/WOS:001045687800005","View Record in Web of Science")</f>
        <v>114</v>
      </c>
      <c r="BU23" t="s" s="0">
        <v>183</v>
      </c>
      <c r="BV23" t="s" s="0">
        <v>706</v>
      </c>
      <c r="BW23" t="s" s="0">
        <v>707</v>
      </c>
      <c r="BX23" t="s" s="0">
        <v>115</v>
      </c>
    </row>
    <row r="24">
      <c r="A24" t="s" s="0">
        <v>77</v>
      </c>
      <c r="B24" t="s" s="0">
        <v>77</v>
      </c>
      <c r="C24" t="s" s="0">
        <v>77</v>
      </c>
      <c r="D24" t="s" s="0">
        <v>77</v>
      </c>
      <c r="E24" t="s" s="0">
        <v>708</v>
      </c>
      <c r="F24" t="s" s="0">
        <v>709</v>
      </c>
      <c r="G24" t="s" s="0">
        <v>710</v>
      </c>
      <c r="H24" t="s" s="0">
        <v>79</v>
      </c>
      <c r="I24" t="s" s="0">
        <v>81</v>
      </c>
      <c r="J24" t="s" s="0">
        <v>711</v>
      </c>
      <c r="K24" t="s" s="0">
        <v>712</v>
      </c>
      <c r="L24" t="s" s="0">
        <v>713</v>
      </c>
      <c r="M24" t="s" s="0">
        <v>714</v>
      </c>
      <c r="N24" t="s" s="0">
        <v>715</v>
      </c>
      <c r="O24" t="s" s="0">
        <v>716</v>
      </c>
      <c r="P24" t="s" s="0">
        <v>717</v>
      </c>
      <c r="Q24" t="s" s="0">
        <v>85</v>
      </c>
      <c r="R24" t="s" s="0">
        <v>79</v>
      </c>
      <c r="S24" t="s" s="0">
        <v>79</v>
      </c>
      <c r="T24" t="s" s="0">
        <v>79</v>
      </c>
      <c r="U24" t="s" s="0">
        <v>79</v>
      </c>
      <c r="V24" t="s" s="0">
        <v>718</v>
      </c>
      <c r="W24" t="s" s="0">
        <v>719</v>
      </c>
      <c r="X24" t="s" s="0">
        <v>79</v>
      </c>
      <c r="Y24" t="s" s="0">
        <v>79</v>
      </c>
      <c r="Z24" t="s" s="0">
        <v>88</v>
      </c>
      <c r="AA24" t="s" s="0">
        <v>89</v>
      </c>
      <c r="AB24" t="s" s="0">
        <v>79</v>
      </c>
      <c r="AC24" t="s" s="0">
        <v>79</v>
      </c>
      <c r="AD24" t="s" s="0">
        <v>79</v>
      </c>
      <c r="AE24" t="s" s="0">
        <v>79</v>
      </c>
      <c r="AF24" t="s" s="0">
        <v>79</v>
      </c>
      <c r="AG24" t="s" s="0">
        <v>79</v>
      </c>
      <c r="AH24" t="s" s="0">
        <v>720</v>
      </c>
      <c r="AI24" t="s" s="0">
        <v>79</v>
      </c>
      <c r="AJ24" t="s" s="0">
        <v>721</v>
      </c>
      <c r="AK24" t="s" s="0">
        <v>79</v>
      </c>
      <c r="AL24" t="s" s="0">
        <v>722</v>
      </c>
      <c r="AM24" t="s" s="0">
        <v>77</v>
      </c>
      <c r="AN24" t="s" s="0">
        <v>77</v>
      </c>
      <c r="AO24" t="s" s="0">
        <v>77</v>
      </c>
      <c r="AP24" t="s" s="0">
        <v>77</v>
      </c>
      <c r="AQ24" t="s" s="0">
        <v>723</v>
      </c>
      <c r="AR24" t="s" s="0">
        <v>724</v>
      </c>
      <c r="AS24" t="s" s="0">
        <v>725</v>
      </c>
      <c r="AT24" t="s" s="0">
        <v>79</v>
      </c>
      <c r="AU24" t="s" s="0">
        <v>726</v>
      </c>
      <c r="AV24" t="s" s="0">
        <v>79</v>
      </c>
      <c r="AW24" t="s" s="0">
        <v>719</v>
      </c>
      <c r="AX24" t="s" s="0">
        <v>727</v>
      </c>
      <c r="AY24" t="s" s="0">
        <v>728</v>
      </c>
      <c r="AZ24" t="s" s="0">
        <v>139</v>
      </c>
      <c r="BA24" t="s" s="0">
        <v>514</v>
      </c>
      <c r="BB24" t="s" s="0">
        <v>412</v>
      </c>
      <c r="BC24" t="s" s="0">
        <v>79</v>
      </c>
      <c r="BD24" t="s" s="0">
        <v>79</v>
      </c>
      <c r="BE24" t="s" s="0">
        <v>79</v>
      </c>
      <c r="BF24" t="s" s="0">
        <v>79</v>
      </c>
      <c r="BG24" t="s" s="0">
        <v>79</v>
      </c>
      <c r="BH24" t="s" s="0">
        <v>79</v>
      </c>
      <c r="BI24" t="s" s="0">
        <v>729</v>
      </c>
      <c r="BJ24" t="s" s="0">
        <v>730</v>
      </c>
      <c r="BK24" t="s" s="44">
        <f>HYPERLINK("http://dx.doi.org/10.1371/journal.pone.0355491","http://dx.doi.org/10.1371/journal.pone.0355491")</f>
        <v>731</v>
      </c>
      <c r="BL24" t="s" s="0">
        <v>79</v>
      </c>
      <c r="BM24" t="s" s="0">
        <v>79</v>
      </c>
      <c r="BN24" t="s" s="0">
        <v>211</v>
      </c>
      <c r="BO24" t="s" s="0">
        <v>178</v>
      </c>
      <c r="BP24" t="s" s="0">
        <v>179</v>
      </c>
      <c r="BQ24" t="s" s="0">
        <v>732</v>
      </c>
      <c r="BR24" t="s" s="0">
        <v>733</v>
      </c>
      <c r="BS24" t="s" s="0">
        <v>734</v>
      </c>
      <c r="BT24" t="s" s="45">
        <f>HYPERLINK("https://www.webofscience.com/wos/woscc/full-record/WOS:001843822600010","View Record in Web of Science")</f>
        <v>114</v>
      </c>
      <c r="BU24" t="s" s="0">
        <v>183</v>
      </c>
      <c r="BV24" t="s" s="0">
        <v>79</v>
      </c>
      <c r="BW24" t="s" s="0">
        <v>79</v>
      </c>
      <c r="BX24" t="s" s="0">
        <v>115</v>
      </c>
    </row>
    <row r="25">
      <c r="A25" t="s" s="0">
        <v>77</v>
      </c>
      <c r="B25" t="s" s="0">
        <v>77</v>
      </c>
      <c r="C25" t="s" s="0">
        <v>77</v>
      </c>
      <c r="D25" t="s" s="0">
        <v>77</v>
      </c>
      <c r="E25" t="s" s="0">
        <v>735</v>
      </c>
      <c r="F25" t="s" s="0">
        <v>736</v>
      </c>
      <c r="G25" t="s" s="0">
        <v>737</v>
      </c>
      <c r="H25" t="s" s="0">
        <v>79</v>
      </c>
      <c r="I25" t="s" s="0">
        <v>81</v>
      </c>
      <c r="J25" t="s" s="0">
        <v>738</v>
      </c>
      <c r="K25" t="s" s="0">
        <v>739</v>
      </c>
      <c r="L25" t="s" s="0">
        <v>740</v>
      </c>
      <c r="M25" t="s" s="0">
        <v>741</v>
      </c>
      <c r="N25" t="s" s="0">
        <v>742</v>
      </c>
      <c r="O25" t="s" s="0">
        <v>743</v>
      </c>
      <c r="P25" t="s" s="0">
        <v>744</v>
      </c>
      <c r="Q25" t="s" s="0">
        <v>85</v>
      </c>
      <c r="R25" t="s" s="0">
        <v>79</v>
      </c>
      <c r="S25" t="s" s="0">
        <v>79</v>
      </c>
      <c r="T25" t="s" s="0">
        <v>79</v>
      </c>
      <c r="U25" t="s" s="0">
        <v>79</v>
      </c>
      <c r="V25" t="s" s="0">
        <v>745</v>
      </c>
      <c r="W25" t="s" s="0">
        <v>746</v>
      </c>
      <c r="X25" t="s" s="0">
        <v>79</v>
      </c>
      <c r="Y25" t="s" s="0">
        <v>79</v>
      </c>
      <c r="Z25" t="s" s="0">
        <v>88</v>
      </c>
      <c r="AA25" t="s" s="0">
        <v>89</v>
      </c>
      <c r="AB25" t="s" s="0">
        <v>79</v>
      </c>
      <c r="AC25" t="s" s="0">
        <v>79</v>
      </c>
      <c r="AD25" t="s" s="0">
        <v>79</v>
      </c>
      <c r="AE25" t="s" s="0">
        <v>79</v>
      </c>
      <c r="AF25" t="s" s="0">
        <v>79</v>
      </c>
      <c r="AG25" t="s" s="0">
        <v>747</v>
      </c>
      <c r="AH25" t="s" s="0">
        <v>79</v>
      </c>
      <c r="AI25" t="s" s="0">
        <v>79</v>
      </c>
      <c r="AJ25" t="s" s="0">
        <v>79</v>
      </c>
      <c r="AK25" t="s" s="0">
        <v>79</v>
      </c>
      <c r="AL25" t="s" s="0">
        <v>507</v>
      </c>
      <c r="AM25" t="s" s="0">
        <v>77</v>
      </c>
      <c r="AN25" t="s" s="0">
        <v>77</v>
      </c>
      <c r="AO25" t="s" s="0">
        <v>77</v>
      </c>
      <c r="AP25" t="s" s="0">
        <v>77</v>
      </c>
      <c r="AQ25" t="s" s="0">
        <v>748</v>
      </c>
      <c r="AR25" t="s" s="0">
        <v>749</v>
      </c>
      <c r="AS25" t="s" s="0">
        <v>750</v>
      </c>
      <c r="AT25" t="s" s="0">
        <v>751</v>
      </c>
      <c r="AU25" t="s" s="0">
        <v>79</v>
      </c>
      <c r="AV25" t="s" s="0">
        <v>79</v>
      </c>
      <c r="AW25" t="s" s="0">
        <v>752</v>
      </c>
      <c r="AX25" t="s" s="0">
        <v>753</v>
      </c>
      <c r="AY25" t="s" s="0">
        <v>139</v>
      </c>
      <c r="AZ25" t="s" s="0">
        <v>139</v>
      </c>
      <c r="BA25" t="s" s="0">
        <v>623</v>
      </c>
      <c r="BB25" t="s" s="0">
        <v>79</v>
      </c>
      <c r="BC25" t="s" s="0">
        <v>79</v>
      </c>
      <c r="BD25" t="s" s="0">
        <v>79</v>
      </c>
      <c r="BE25" t="s" s="0">
        <v>79</v>
      </c>
      <c r="BF25" t="s" s="0">
        <v>79</v>
      </c>
      <c r="BG25" t="s" s="0">
        <v>79</v>
      </c>
      <c r="BH25" t="s" s="0">
        <v>79</v>
      </c>
      <c r="BI25" t="s" s="0">
        <v>754</v>
      </c>
      <c r="BJ25" t="s" s="0">
        <v>755</v>
      </c>
      <c r="BK25" t="s" s="46">
        <f>HYPERLINK("http://dx.doi.org/10.2147/IDR.S593763","http://dx.doi.org/10.2147/IDR.S593763")</f>
        <v>756</v>
      </c>
      <c r="BL25" t="s" s="0">
        <v>79</v>
      </c>
      <c r="BM25" t="s" s="0">
        <v>79</v>
      </c>
      <c r="BN25" t="s" s="0">
        <v>108</v>
      </c>
      <c r="BO25" t="s" s="0">
        <v>757</v>
      </c>
      <c r="BP25" t="s" s="0">
        <v>757</v>
      </c>
      <c r="BQ25" t="s" s="0">
        <v>758</v>
      </c>
      <c r="BR25" t="s" s="0">
        <v>759</v>
      </c>
      <c r="BS25" t="s" s="0">
        <v>760</v>
      </c>
      <c r="BT25" t="s" s="47">
        <f>HYPERLINK("https://www.webofscience.com/wos/woscc/full-record/WOS:001793831700001","View Record in Web of Science")</f>
        <v>114</v>
      </c>
      <c r="BU25" t="s" s="0">
        <v>183</v>
      </c>
      <c r="BV25" t="s" s="0">
        <v>79</v>
      </c>
      <c r="BW25" t="s" s="0">
        <v>79</v>
      </c>
      <c r="BX25" t="s" s="0">
        <v>115</v>
      </c>
    </row>
    <row r="26">
      <c r="A26" t="s" s="0">
        <v>77</v>
      </c>
      <c r="B26" t="s" s="0">
        <v>77</v>
      </c>
      <c r="C26" t="s" s="0">
        <v>102</v>
      </c>
      <c r="D26" t="s" s="0">
        <v>77</v>
      </c>
      <c r="E26" t="s" s="0">
        <v>761</v>
      </c>
      <c r="F26" t="s" s="0">
        <v>762</v>
      </c>
      <c r="G26" t="s" s="0">
        <v>763</v>
      </c>
      <c r="H26" t="s" s="0">
        <v>79</v>
      </c>
      <c r="I26" t="s" s="0">
        <v>81</v>
      </c>
      <c r="J26" t="s" s="0">
        <v>764</v>
      </c>
      <c r="K26" t="s" s="0">
        <v>765</v>
      </c>
      <c r="L26" t="s" s="0">
        <v>766</v>
      </c>
      <c r="M26" t="s" s="0">
        <v>766</v>
      </c>
      <c r="N26" t="s" s="0">
        <v>767</v>
      </c>
      <c r="O26" t="s" s="0">
        <v>768</v>
      </c>
      <c r="P26" t="s" s="0">
        <v>769</v>
      </c>
      <c r="Q26" t="s" s="0">
        <v>85</v>
      </c>
      <c r="R26" t="s" s="0">
        <v>79</v>
      </c>
      <c r="S26" t="s" s="0">
        <v>79</v>
      </c>
      <c r="T26" t="s" s="0">
        <v>79</v>
      </c>
      <c r="U26" t="s" s="0">
        <v>79</v>
      </c>
      <c r="V26" t="s" s="0">
        <v>770</v>
      </c>
      <c r="W26" t="s" s="0">
        <v>771</v>
      </c>
      <c r="X26" t="s" s="0">
        <v>79</v>
      </c>
      <c r="Y26" t="s" s="0">
        <v>79</v>
      </c>
      <c r="Z26" t="s" s="0">
        <v>88</v>
      </c>
      <c r="AA26" t="s" s="0">
        <v>89</v>
      </c>
      <c r="AB26" t="s" s="0">
        <v>79</v>
      </c>
      <c r="AC26" t="s" s="0">
        <v>79</v>
      </c>
      <c r="AD26" t="s" s="0">
        <v>79</v>
      </c>
      <c r="AE26" t="s" s="0">
        <v>79</v>
      </c>
      <c r="AF26" t="s" s="0">
        <v>79</v>
      </c>
      <c r="AG26" t="s" s="0">
        <v>79</v>
      </c>
      <c r="AH26" t="s" s="0">
        <v>669</v>
      </c>
      <c r="AI26" t="s" s="0">
        <v>79</v>
      </c>
      <c r="AJ26" t="s" s="0">
        <v>772</v>
      </c>
      <c r="AK26" t="s" s="0">
        <v>79</v>
      </c>
      <c r="AL26" t="s" s="0">
        <v>262</v>
      </c>
      <c r="AM26" t="s" s="0">
        <v>623</v>
      </c>
      <c r="AN26" t="s" s="0">
        <v>463</v>
      </c>
      <c r="AO26" t="s" s="0">
        <v>92</v>
      </c>
      <c r="AP26" t="s" s="0">
        <v>146</v>
      </c>
      <c r="AQ26" t="s" s="0">
        <v>132</v>
      </c>
      <c r="AR26" t="s" s="0">
        <v>133</v>
      </c>
      <c r="AS26" t="s" s="0">
        <v>134</v>
      </c>
      <c r="AT26" t="s" s="0">
        <v>773</v>
      </c>
      <c r="AU26" t="s" s="0">
        <v>774</v>
      </c>
      <c r="AV26" t="s" s="0">
        <v>79</v>
      </c>
      <c r="AW26" t="s" s="0">
        <v>775</v>
      </c>
      <c r="AX26" t="s" s="0">
        <v>776</v>
      </c>
      <c r="AY26" t="s" s="0">
        <v>777</v>
      </c>
      <c r="AZ26" t="s" s="0">
        <v>462</v>
      </c>
      <c r="BA26" t="s" s="0">
        <v>778</v>
      </c>
      <c r="BB26" t="s" s="0">
        <v>92</v>
      </c>
      <c r="BC26" t="s" s="0">
        <v>79</v>
      </c>
      <c r="BD26" t="s" s="0">
        <v>79</v>
      </c>
      <c r="BE26" t="s" s="0">
        <v>79</v>
      </c>
      <c r="BF26" t="s" s="0">
        <v>79</v>
      </c>
      <c r="BG26" t="s" s="0">
        <v>79</v>
      </c>
      <c r="BH26" t="s" s="0">
        <v>79</v>
      </c>
      <c r="BI26" t="s" s="0">
        <v>779</v>
      </c>
      <c r="BJ26" t="s" s="0">
        <v>780</v>
      </c>
      <c r="BK26" t="s" s="48">
        <f>HYPERLINK("http://dx.doi.org/10.1111/jep.14250","http://dx.doi.org/10.1111/jep.14250")</f>
        <v>781</v>
      </c>
      <c r="BL26" t="s" s="0">
        <v>79</v>
      </c>
      <c r="BM26" t="s" s="0">
        <v>79</v>
      </c>
      <c r="BN26" t="s" s="0">
        <v>230</v>
      </c>
      <c r="BO26" t="s" s="0">
        <v>782</v>
      </c>
      <c r="BP26" t="s" s="0">
        <v>783</v>
      </c>
      <c r="BQ26" t="s" s="0">
        <v>784</v>
      </c>
      <c r="BR26" t="s" s="0">
        <v>785</v>
      </c>
      <c r="BS26" t="s" s="0">
        <v>786</v>
      </c>
      <c r="BT26" t="s" s="49">
        <f>HYPERLINK("https://www.webofscience.com/wos/woscc/full-record/WOS:001377177500001","View Record in Web of Science")</f>
        <v>114</v>
      </c>
      <c r="BU26" t="s" s="0">
        <v>216</v>
      </c>
      <c r="BV26" t="s" s="0">
        <v>79</v>
      </c>
      <c r="BW26" t="s" s="0">
        <v>79</v>
      </c>
      <c r="BX26" t="s" s="0">
        <v>115</v>
      </c>
    </row>
    <row r="27">
      <c r="A27" t="s" s="0">
        <v>77</v>
      </c>
      <c r="B27" t="s" s="0">
        <v>77</v>
      </c>
      <c r="C27" t="s" s="0">
        <v>77</v>
      </c>
      <c r="D27" t="s" s="0">
        <v>77</v>
      </c>
      <c r="E27" t="s" s="0">
        <v>787</v>
      </c>
      <c r="F27" t="s" s="0">
        <v>788</v>
      </c>
      <c r="G27" t="s" s="0">
        <v>789</v>
      </c>
      <c r="H27" t="s" s="0">
        <v>79</v>
      </c>
      <c r="I27" t="s" s="0">
        <v>81</v>
      </c>
      <c r="J27" t="s" s="0">
        <v>790</v>
      </c>
      <c r="K27" t="s" s="0">
        <v>791</v>
      </c>
      <c r="L27" t="s" s="0">
        <v>792</v>
      </c>
      <c r="M27" t="s" s="0">
        <v>793</v>
      </c>
      <c r="N27" t="s" s="0">
        <v>794</v>
      </c>
      <c r="O27" t="s" s="0">
        <v>795</v>
      </c>
      <c r="P27" t="s" s="0">
        <v>796</v>
      </c>
      <c r="Q27" t="s" s="0">
        <v>85</v>
      </c>
      <c r="R27" t="s" s="0">
        <v>79</v>
      </c>
      <c r="S27" t="s" s="0">
        <v>79</v>
      </c>
      <c r="T27" t="s" s="0">
        <v>79</v>
      </c>
      <c r="U27" t="s" s="0">
        <v>79</v>
      </c>
      <c r="V27" t="s" s="0">
        <v>797</v>
      </c>
      <c r="W27" t="s" s="0">
        <v>798</v>
      </c>
      <c r="X27" t="s" s="0">
        <v>79</v>
      </c>
      <c r="Y27" t="s" s="0">
        <v>79</v>
      </c>
      <c r="Z27" t="s" s="0">
        <v>88</v>
      </c>
      <c r="AA27" t="s" s="0">
        <v>89</v>
      </c>
      <c r="AB27" t="s" s="0">
        <v>79</v>
      </c>
      <c r="AC27" t="s" s="0">
        <v>79</v>
      </c>
      <c r="AD27" t="s" s="0">
        <v>79</v>
      </c>
      <c r="AE27" t="s" s="0">
        <v>79</v>
      </c>
      <c r="AF27" t="s" s="0">
        <v>79</v>
      </c>
      <c r="AG27" t="s" s="0">
        <v>79</v>
      </c>
      <c r="AH27" t="s" s="0">
        <v>799</v>
      </c>
      <c r="AI27" t="s" s="0">
        <v>800</v>
      </c>
      <c r="AJ27" t="s" s="0">
        <v>79</v>
      </c>
      <c r="AK27" t="s" s="0">
        <v>79</v>
      </c>
      <c r="AL27" t="s" s="0">
        <v>482</v>
      </c>
      <c r="AM27" t="s" s="0">
        <v>92</v>
      </c>
      <c r="AN27" t="s" s="0">
        <v>92</v>
      </c>
      <c r="AO27" t="s" s="0">
        <v>325</v>
      </c>
      <c r="AP27" t="s" s="0">
        <v>325</v>
      </c>
      <c r="AQ27" t="s" s="0">
        <v>167</v>
      </c>
      <c r="AR27" t="s" s="0">
        <v>168</v>
      </c>
      <c r="AS27" t="s" s="0">
        <v>169</v>
      </c>
      <c r="AT27" t="s" s="0">
        <v>79</v>
      </c>
      <c r="AU27" t="s" s="0">
        <v>801</v>
      </c>
      <c r="AV27" t="s" s="0">
        <v>79</v>
      </c>
      <c r="AW27" t="s" s="0">
        <v>802</v>
      </c>
      <c r="AX27" t="s" s="0">
        <v>803</v>
      </c>
      <c r="AY27" t="s" s="0">
        <v>435</v>
      </c>
      <c r="AZ27" t="s" s="0">
        <v>139</v>
      </c>
      <c r="BA27" t="s" s="0">
        <v>412</v>
      </c>
      <c r="BB27" t="s" s="0">
        <v>166</v>
      </c>
      <c r="BC27" t="s" s="0">
        <v>79</v>
      </c>
      <c r="BD27" t="s" s="0">
        <v>79</v>
      </c>
      <c r="BE27" t="s" s="0">
        <v>79</v>
      </c>
      <c r="BF27" t="s" s="0">
        <v>79</v>
      </c>
      <c r="BG27" t="s" s="0">
        <v>79</v>
      </c>
      <c r="BH27" t="s" s="0">
        <v>79</v>
      </c>
      <c r="BI27" t="s" s="0">
        <v>79</v>
      </c>
      <c r="BJ27" t="s" s="0">
        <v>804</v>
      </c>
      <c r="BK27" t="s" s="50">
        <f>HYPERLINK("http://dx.doi.org/10.1038/s42256-026-01224-w","http://dx.doi.org/10.1038/s42256-026-01224-w")</f>
        <v>805</v>
      </c>
      <c r="BL27" t="s" s="0">
        <v>79</v>
      </c>
      <c r="BM27" t="s" s="0">
        <v>806</v>
      </c>
      <c r="BN27" t="s" s="0">
        <v>778</v>
      </c>
      <c r="BO27" t="s" s="0">
        <v>416</v>
      </c>
      <c r="BP27" t="s" s="0">
        <v>243</v>
      </c>
      <c r="BQ27" t="s" s="0">
        <v>807</v>
      </c>
      <c r="BR27" t="s" s="0">
        <v>79</v>
      </c>
      <c r="BS27" t="s" s="0">
        <v>808</v>
      </c>
      <c r="BT27" t="s" s="51">
        <f>HYPERLINK("https://www.webofscience.com/wos/woscc/full-record/WOS:001751925700001","View Record in Web of Science")</f>
        <v>114</v>
      </c>
      <c r="BU27" t="s" s="0">
        <v>79</v>
      </c>
      <c r="BV27" t="s" s="0">
        <v>79</v>
      </c>
      <c r="BW27" t="s" s="0">
        <v>79</v>
      </c>
      <c r="BX27" t="s" s="0">
        <v>115</v>
      </c>
    </row>
    <row r="28">
      <c r="A28" t="s" s="0">
        <v>131</v>
      </c>
      <c r="B28" t="s" s="0">
        <v>77</v>
      </c>
      <c r="C28" t="s" s="0">
        <v>92</v>
      </c>
      <c r="D28" t="s" s="0">
        <v>77</v>
      </c>
      <c r="E28" t="s" s="0">
        <v>809</v>
      </c>
      <c r="F28" t="s" s="0">
        <v>810</v>
      </c>
      <c r="G28" t="s" s="0">
        <v>811</v>
      </c>
      <c r="H28" t="s" s="0">
        <v>79</v>
      </c>
      <c r="I28" t="s" s="0">
        <v>81</v>
      </c>
      <c r="J28" t="s" s="0">
        <v>812</v>
      </c>
      <c r="K28" t="s" s="0">
        <v>813</v>
      </c>
      <c r="L28" t="s" s="0">
        <v>814</v>
      </c>
      <c r="M28" t="s" s="0">
        <v>814</v>
      </c>
      <c r="N28" t="s" s="0">
        <v>815</v>
      </c>
      <c r="O28" t="s" s="0">
        <v>816</v>
      </c>
      <c r="P28" t="s" s="0">
        <v>817</v>
      </c>
      <c r="Q28" t="s" s="0">
        <v>85</v>
      </c>
      <c r="R28" t="s" s="0">
        <v>79</v>
      </c>
      <c r="S28" t="s" s="0">
        <v>79</v>
      </c>
      <c r="T28" t="s" s="0">
        <v>79</v>
      </c>
      <c r="U28" t="s" s="0">
        <v>79</v>
      </c>
      <c r="V28" t="s" s="0">
        <v>818</v>
      </c>
      <c r="W28" t="s" s="0">
        <v>819</v>
      </c>
      <c r="X28" t="s" s="0">
        <v>79</v>
      </c>
      <c r="Y28" t="s" s="0">
        <v>79</v>
      </c>
      <c r="Z28" t="s" s="0">
        <v>88</v>
      </c>
      <c r="AA28" t="s" s="0">
        <v>89</v>
      </c>
      <c r="AB28" t="s" s="0">
        <v>79</v>
      </c>
      <c r="AC28" t="s" s="0">
        <v>79</v>
      </c>
      <c r="AD28" t="s" s="0">
        <v>79</v>
      </c>
      <c r="AE28" t="s" s="0">
        <v>79</v>
      </c>
      <c r="AF28" t="s" s="0">
        <v>79</v>
      </c>
      <c r="AG28" t="s" s="0">
        <v>820</v>
      </c>
      <c r="AH28" t="s" s="0">
        <v>79</v>
      </c>
      <c r="AI28" t="s" s="0">
        <v>821</v>
      </c>
      <c r="AJ28" t="s" s="0">
        <v>822</v>
      </c>
      <c r="AK28" t="s" s="0">
        <v>79</v>
      </c>
      <c r="AL28" t="s" s="0">
        <v>823</v>
      </c>
      <c r="AM28" t="s" s="0">
        <v>102</v>
      </c>
      <c r="AN28" t="s" s="0">
        <v>130</v>
      </c>
      <c r="AO28" t="s" s="0">
        <v>262</v>
      </c>
      <c r="AP28" t="s" s="0">
        <v>824</v>
      </c>
      <c r="AQ28" t="s" s="0">
        <v>200</v>
      </c>
      <c r="AR28" t="s" s="0">
        <v>201</v>
      </c>
      <c r="AS28" t="s" s="0">
        <v>202</v>
      </c>
      <c r="AT28" t="s" s="0">
        <v>825</v>
      </c>
      <c r="AU28" t="s" s="0">
        <v>826</v>
      </c>
      <c r="AV28" t="s" s="0">
        <v>79</v>
      </c>
      <c r="AW28" t="s" s="0">
        <v>827</v>
      </c>
      <c r="AX28" t="s" s="0">
        <v>828</v>
      </c>
      <c r="AY28" t="s" s="0">
        <v>676</v>
      </c>
      <c r="AZ28" t="s" s="0">
        <v>139</v>
      </c>
      <c r="BA28" t="s" s="0">
        <v>829</v>
      </c>
      <c r="BB28" t="s" s="0">
        <v>79</v>
      </c>
      <c r="BC28" t="s" s="0">
        <v>79</v>
      </c>
      <c r="BD28" t="s" s="0">
        <v>830</v>
      </c>
      <c r="BE28" t="s" s="0">
        <v>79</v>
      </c>
      <c r="BF28" t="s" s="0">
        <v>79</v>
      </c>
      <c r="BG28" t="s" s="0">
        <v>79</v>
      </c>
      <c r="BH28" t="s" s="0">
        <v>79</v>
      </c>
      <c r="BI28" t="s" s="0">
        <v>831</v>
      </c>
      <c r="BJ28" t="s" s="0">
        <v>832</v>
      </c>
      <c r="BK28" t="s" s="52">
        <f>HYPERLINK("http://dx.doi.org/10.1016/j.inffus.2025.103663","http://dx.doi.org/10.1016/j.inffus.2025.103663")</f>
        <v>833</v>
      </c>
      <c r="BL28" t="s" s="0">
        <v>79</v>
      </c>
      <c r="BM28" t="s" s="0">
        <v>145</v>
      </c>
      <c r="BN28" t="s" s="0">
        <v>174</v>
      </c>
      <c r="BO28" t="s" s="0">
        <v>834</v>
      </c>
      <c r="BP28" t="s" s="0">
        <v>243</v>
      </c>
      <c r="BQ28" t="s" s="0">
        <v>835</v>
      </c>
      <c r="BR28" t="s" s="0">
        <v>79</v>
      </c>
      <c r="BS28" t="s" s="0">
        <v>836</v>
      </c>
      <c r="BT28" t="s" s="53">
        <f>HYPERLINK("https://www.webofscience.com/wos/woscc/full-record/WOS:001566949400001","View Record in Web of Science")</f>
        <v>114</v>
      </c>
      <c r="BU28" t="s" s="0">
        <v>79</v>
      </c>
      <c r="BV28" t="s" s="0">
        <v>79</v>
      </c>
      <c r="BW28" t="s" s="0">
        <v>79</v>
      </c>
      <c r="BX28" t="s" s="0">
        <v>115</v>
      </c>
    </row>
    <row r="29">
      <c r="A29" t="s" s="0">
        <v>77</v>
      </c>
      <c r="B29" t="s" s="0">
        <v>77</v>
      </c>
      <c r="C29" t="s" s="0">
        <v>77</v>
      </c>
      <c r="D29" t="s" s="0">
        <v>77</v>
      </c>
      <c r="E29" t="s" s="0">
        <v>837</v>
      </c>
      <c r="F29" t="s" s="0">
        <v>838</v>
      </c>
      <c r="G29" t="s" s="0">
        <v>839</v>
      </c>
      <c r="H29" t="s" s="0">
        <v>79</v>
      </c>
      <c r="I29" t="s" s="0">
        <v>840</v>
      </c>
      <c r="J29" t="s" s="0">
        <v>841</v>
      </c>
      <c r="K29" t="s" s="0">
        <v>842</v>
      </c>
      <c r="L29" t="s" s="0">
        <v>843</v>
      </c>
      <c r="M29" t="s" s="0">
        <v>844</v>
      </c>
      <c r="N29" t="s" s="0">
        <v>845</v>
      </c>
      <c r="O29" t="s" s="0">
        <v>846</v>
      </c>
      <c r="P29" t="s" s="0">
        <v>847</v>
      </c>
      <c r="Q29" t="s" s="0">
        <v>85</v>
      </c>
      <c r="R29" t="s" s="0">
        <v>79</v>
      </c>
      <c r="S29" t="s" s="0">
        <v>79</v>
      </c>
      <c r="T29" t="s" s="0">
        <v>79</v>
      </c>
      <c r="U29" t="s" s="0">
        <v>79</v>
      </c>
      <c r="V29" t="s" s="0">
        <v>848</v>
      </c>
      <c r="W29" t="s" s="0">
        <v>849</v>
      </c>
      <c r="X29" t="s" s="0">
        <v>79</v>
      </c>
      <c r="Y29" t="s" s="0">
        <v>79</v>
      </c>
      <c r="Z29" t="s" s="0">
        <v>88</v>
      </c>
      <c r="AA29" t="s" s="0">
        <v>89</v>
      </c>
      <c r="AB29" t="s" s="0">
        <v>79</v>
      </c>
      <c r="AC29" t="s" s="0">
        <v>79</v>
      </c>
      <c r="AD29" t="s" s="0">
        <v>79</v>
      </c>
      <c r="AE29" t="s" s="0">
        <v>79</v>
      </c>
      <c r="AF29" t="s" s="0">
        <v>79</v>
      </c>
      <c r="AG29" t="s" s="0">
        <v>850</v>
      </c>
      <c r="AH29" t="s" s="0">
        <v>79</v>
      </c>
      <c r="AI29" t="s" s="0">
        <v>851</v>
      </c>
      <c r="AJ29" t="s" s="0">
        <v>852</v>
      </c>
      <c r="AK29" t="s" s="0">
        <v>79</v>
      </c>
      <c r="AL29" t="s" s="0">
        <v>778</v>
      </c>
      <c r="AM29" t="s" s="0">
        <v>211</v>
      </c>
      <c r="AN29" t="s" s="0">
        <v>211</v>
      </c>
      <c r="AO29" t="s" s="0">
        <v>130</v>
      </c>
      <c r="AP29" t="s" s="0">
        <v>211</v>
      </c>
      <c r="AQ29" t="s" s="0">
        <v>853</v>
      </c>
      <c r="AR29" t="s" s="0">
        <v>590</v>
      </c>
      <c r="AS29" t="s" s="0">
        <v>854</v>
      </c>
      <c r="AT29" t="s" s="0">
        <v>855</v>
      </c>
      <c r="AU29" t="s" s="0">
        <v>79</v>
      </c>
      <c r="AV29" t="s" s="0">
        <v>79</v>
      </c>
      <c r="AW29" t="s" s="0">
        <v>856</v>
      </c>
      <c r="AX29" t="s" s="0">
        <v>857</v>
      </c>
      <c r="AY29" t="s" s="0">
        <v>100</v>
      </c>
      <c r="AZ29" t="s" s="0">
        <v>100</v>
      </c>
      <c r="BA29" t="s" s="0">
        <v>211</v>
      </c>
      <c r="BB29" t="s" s="0">
        <v>79</v>
      </c>
      <c r="BC29" t="s" s="0">
        <v>79</v>
      </c>
      <c r="BD29" t="s" s="0">
        <v>79</v>
      </c>
      <c r="BE29" t="s" s="0">
        <v>79</v>
      </c>
      <c r="BF29" t="s" s="0">
        <v>79</v>
      </c>
      <c r="BG29" t="s" s="0">
        <v>79</v>
      </c>
      <c r="BH29" t="s" s="0">
        <v>79</v>
      </c>
      <c r="BI29" t="s" s="0">
        <v>858</v>
      </c>
      <c r="BJ29" t="s" s="0">
        <v>859</v>
      </c>
      <c r="BK29" t="s" s="54">
        <f>HYPERLINK("http://dx.doi.org/10.1177/20552076251394287","http://dx.doi.org/10.1177/20552076251394287")</f>
        <v>860</v>
      </c>
      <c r="BL29" t="s" s="0">
        <v>79</v>
      </c>
      <c r="BM29" t="s" s="0">
        <v>79</v>
      </c>
      <c r="BN29" t="s" s="0">
        <v>184</v>
      </c>
      <c r="BO29" t="s" s="0">
        <v>861</v>
      </c>
      <c r="BP29" t="s" s="0">
        <v>862</v>
      </c>
      <c r="BQ29" t="s" s="0">
        <v>863</v>
      </c>
      <c r="BR29" t="s" s="0">
        <v>864</v>
      </c>
      <c r="BS29" t="s" s="0">
        <v>865</v>
      </c>
      <c r="BT29" t="s" s="55">
        <f>HYPERLINK("https://www.webofscience.com/wos/woscc/full-record/WOS:001622615600001","View Record in Web of Science")</f>
        <v>114</v>
      </c>
      <c r="BU29" t="s" s="0">
        <v>183</v>
      </c>
      <c r="BV29" t="s" s="0">
        <v>79</v>
      </c>
      <c r="BW29" t="s" s="0">
        <v>79</v>
      </c>
      <c r="BX29" t="s" s="0">
        <v>115</v>
      </c>
    </row>
    <row r="30">
      <c r="A30" t="s" s="0">
        <v>77</v>
      </c>
      <c r="B30" t="s" s="0">
        <v>77</v>
      </c>
      <c r="C30" t="s" s="0">
        <v>77</v>
      </c>
      <c r="D30" t="s" s="0">
        <v>77</v>
      </c>
      <c r="E30" t="s" s="0">
        <v>866</v>
      </c>
      <c r="F30" t="s" s="0">
        <v>867</v>
      </c>
      <c r="G30" t="s" s="0">
        <v>868</v>
      </c>
      <c r="H30" t="s" s="0">
        <v>79</v>
      </c>
      <c r="I30" t="s" s="0">
        <v>81</v>
      </c>
      <c r="J30" t="s" s="0">
        <v>869</v>
      </c>
      <c r="K30" t="s" s="0">
        <v>870</v>
      </c>
      <c r="L30" t="s" s="0">
        <v>871</v>
      </c>
      <c r="M30" t="s" s="0">
        <v>872</v>
      </c>
      <c r="N30" t="s" s="0">
        <v>873</v>
      </c>
      <c r="O30" t="s" s="0">
        <v>874</v>
      </c>
      <c r="P30" t="s" s="0">
        <v>875</v>
      </c>
      <c r="Q30" t="s" s="0">
        <v>85</v>
      </c>
      <c r="R30" t="s" s="0">
        <v>79</v>
      </c>
      <c r="S30" t="s" s="0">
        <v>79</v>
      </c>
      <c r="T30" t="s" s="0">
        <v>79</v>
      </c>
      <c r="U30" t="s" s="0">
        <v>79</v>
      </c>
      <c r="V30" t="s" s="0">
        <v>876</v>
      </c>
      <c r="W30" t="s" s="0">
        <v>877</v>
      </c>
      <c r="X30" t="s" s="0">
        <v>79</v>
      </c>
      <c r="Y30" t="s" s="0">
        <v>79</v>
      </c>
      <c r="Z30" t="s" s="0">
        <v>88</v>
      </c>
      <c r="AA30" t="s" s="0">
        <v>89</v>
      </c>
      <c r="AB30" t="s" s="0">
        <v>79</v>
      </c>
      <c r="AC30" t="s" s="0">
        <v>79</v>
      </c>
      <c r="AD30" t="s" s="0">
        <v>79</v>
      </c>
      <c r="AE30" t="s" s="0">
        <v>79</v>
      </c>
      <c r="AF30" t="s" s="0">
        <v>79</v>
      </c>
      <c r="AG30" t="s" s="0">
        <v>878</v>
      </c>
      <c r="AH30" t="s" s="0">
        <v>879</v>
      </c>
      <c r="AI30" t="s" s="0">
        <v>79</v>
      </c>
      <c r="AJ30" t="s" s="0">
        <v>79</v>
      </c>
      <c r="AK30" t="s" s="0">
        <v>79</v>
      </c>
      <c r="AL30" t="s" s="0">
        <v>231</v>
      </c>
      <c r="AM30" t="s" s="0">
        <v>77</v>
      </c>
      <c r="AN30" t="s" s="0">
        <v>77</v>
      </c>
      <c r="AO30" t="s" s="0">
        <v>131</v>
      </c>
      <c r="AP30" t="s" s="0">
        <v>131</v>
      </c>
      <c r="AQ30" t="s" s="0">
        <v>880</v>
      </c>
      <c r="AR30" t="s" s="0">
        <v>378</v>
      </c>
      <c r="AS30" t="s" s="0">
        <v>881</v>
      </c>
      <c r="AT30" t="s" s="0">
        <v>882</v>
      </c>
      <c r="AU30" t="s" s="0">
        <v>883</v>
      </c>
      <c r="AV30" t="s" s="0">
        <v>79</v>
      </c>
      <c r="AW30" t="s" s="0">
        <v>884</v>
      </c>
      <c r="AX30" t="s" s="0">
        <v>885</v>
      </c>
      <c r="AY30" t="s" s="0">
        <v>886</v>
      </c>
      <c r="AZ30" t="s" s="0">
        <v>139</v>
      </c>
      <c r="BA30" t="s" s="0">
        <v>722</v>
      </c>
      <c r="BB30" t="s" s="0">
        <v>92</v>
      </c>
      <c r="BC30" t="s" s="0">
        <v>79</v>
      </c>
      <c r="BD30" t="s" s="0">
        <v>79</v>
      </c>
      <c r="BE30" t="s" s="0">
        <v>79</v>
      </c>
      <c r="BF30" t="s" s="0">
        <v>79</v>
      </c>
      <c r="BG30" t="s" s="0">
        <v>79</v>
      </c>
      <c r="BH30" t="s" s="0">
        <v>79</v>
      </c>
      <c r="BI30" t="s" s="0">
        <v>887</v>
      </c>
      <c r="BJ30" t="s" s="0">
        <v>888</v>
      </c>
      <c r="BK30" t="s" s="56">
        <f>HYPERLINK("http://dx.doi.org/10.1007/s10875-026-02006-0","http://dx.doi.org/10.1007/s10875-026-02006-0")</f>
        <v>889</v>
      </c>
      <c r="BL30" t="s" s="0">
        <v>79</v>
      </c>
      <c r="BM30" t="s" s="0">
        <v>79</v>
      </c>
      <c r="BN30" t="s" s="0">
        <v>325</v>
      </c>
      <c r="BO30" t="s" s="0">
        <v>890</v>
      </c>
      <c r="BP30" t="s" s="0">
        <v>890</v>
      </c>
      <c r="BQ30" t="s" s="0">
        <v>891</v>
      </c>
      <c r="BR30" t="s" s="0">
        <v>892</v>
      </c>
      <c r="BS30" t="s" s="0">
        <v>893</v>
      </c>
      <c r="BT30" t="s" s="57">
        <f>HYPERLINK("https://www.webofscience.com/wos/woscc/full-record/WOS:001733669200001","View Record in Web of Science")</f>
        <v>114</v>
      </c>
      <c r="BU30" t="s" s="0">
        <v>216</v>
      </c>
      <c r="BV30" t="s" s="0">
        <v>79</v>
      </c>
      <c r="BW30" t="s" s="0">
        <v>79</v>
      </c>
      <c r="BX30" t="s" s="0">
        <v>115</v>
      </c>
    </row>
    <row r="31">
      <c r="A31" t="s" s="0">
        <v>77</v>
      </c>
      <c r="B31" t="s" s="0">
        <v>77</v>
      </c>
      <c r="C31" t="s" s="0">
        <v>77</v>
      </c>
      <c r="D31" t="s" s="0">
        <v>77</v>
      </c>
      <c r="E31" t="s" s="0">
        <v>894</v>
      </c>
      <c r="F31" t="s" s="0">
        <v>895</v>
      </c>
      <c r="G31" t="s" s="0">
        <v>896</v>
      </c>
      <c r="H31" t="s" s="0">
        <v>79</v>
      </c>
      <c r="I31" t="s" s="0">
        <v>398</v>
      </c>
      <c r="J31" t="s" s="0">
        <v>897</v>
      </c>
      <c r="K31" t="s" s="0">
        <v>898</v>
      </c>
      <c r="L31" t="s" s="0">
        <v>79</v>
      </c>
      <c r="M31" t="s" s="0">
        <v>79</v>
      </c>
      <c r="N31" t="s" s="0">
        <v>79</v>
      </c>
      <c r="O31" t="s" s="0">
        <v>899</v>
      </c>
      <c r="P31" t="s" s="0">
        <v>900</v>
      </c>
      <c r="Q31" t="s" s="0">
        <v>85</v>
      </c>
      <c r="R31" t="s" s="0">
        <v>79</v>
      </c>
      <c r="S31" t="s" s="0">
        <v>79</v>
      </c>
      <c r="T31" t="s" s="0">
        <v>79</v>
      </c>
      <c r="U31" t="s" s="0">
        <v>79</v>
      </c>
      <c r="V31" t="s" s="0">
        <v>901</v>
      </c>
      <c r="W31" t="s" s="0">
        <v>902</v>
      </c>
      <c r="X31" t="s" s="0">
        <v>79</v>
      </c>
      <c r="Y31" t="s" s="0">
        <v>79</v>
      </c>
      <c r="Z31" t="s" s="0">
        <v>88</v>
      </c>
      <c r="AA31" t="s" s="0">
        <v>89</v>
      </c>
      <c r="AB31" t="s" s="0">
        <v>79</v>
      </c>
      <c r="AC31" t="s" s="0">
        <v>79</v>
      </c>
      <c r="AD31" t="s" s="0">
        <v>79</v>
      </c>
      <c r="AE31" t="s" s="0">
        <v>79</v>
      </c>
      <c r="AF31" t="s" s="0">
        <v>79</v>
      </c>
      <c r="AG31" t="s" s="0">
        <v>903</v>
      </c>
      <c r="AH31" t="s" s="0">
        <v>79</v>
      </c>
      <c r="AI31" t="s" s="0">
        <v>904</v>
      </c>
      <c r="AJ31" t="s" s="0">
        <v>79</v>
      </c>
      <c r="AK31" t="s" s="0">
        <v>79</v>
      </c>
      <c r="AL31" t="s" s="0">
        <v>514</v>
      </c>
      <c r="AM31" t="s" s="0">
        <v>77</v>
      </c>
      <c r="AN31" t="s" s="0">
        <v>77</v>
      </c>
      <c r="AO31" t="s" s="0">
        <v>77</v>
      </c>
      <c r="AP31" t="s" s="0">
        <v>77</v>
      </c>
      <c r="AQ31" t="s" s="0">
        <v>200</v>
      </c>
      <c r="AR31" t="s" s="0">
        <v>201</v>
      </c>
      <c r="AS31" t="s" s="0">
        <v>202</v>
      </c>
      <c r="AT31" t="s" s="0">
        <v>905</v>
      </c>
      <c r="AU31" t="s" s="0">
        <v>79</v>
      </c>
      <c r="AV31" t="s" s="0">
        <v>79</v>
      </c>
      <c r="AW31" t="s" s="0">
        <v>906</v>
      </c>
      <c r="AX31" t="s" s="0">
        <v>907</v>
      </c>
      <c r="AY31" t="s" s="0">
        <v>411</v>
      </c>
      <c r="AZ31" t="s" s="0">
        <v>139</v>
      </c>
      <c r="BA31" t="s" s="0">
        <v>230</v>
      </c>
      <c r="BB31" t="s" s="0">
        <v>165</v>
      </c>
      <c r="BC31" t="s" s="0">
        <v>79</v>
      </c>
      <c r="BD31" t="s" s="0">
        <v>79</v>
      </c>
      <c r="BE31" t="s" s="0">
        <v>79</v>
      </c>
      <c r="BF31" t="s" s="0">
        <v>79</v>
      </c>
      <c r="BG31" t="s" s="0">
        <v>908</v>
      </c>
      <c r="BH31" t="s" s="0">
        <v>909</v>
      </c>
      <c r="BI31" t="s" s="0">
        <v>79</v>
      </c>
      <c r="BJ31" t="s" s="0">
        <v>910</v>
      </c>
      <c r="BK31" t="s" s="58">
        <f>HYPERLINK("http://dx.doi.org/10.1016/j.imed.2026.03.003","http://dx.doi.org/10.1016/j.imed.2026.03.003")</f>
        <v>911</v>
      </c>
      <c r="BL31" t="s" s="0">
        <v>79</v>
      </c>
      <c r="BM31" t="s" s="0">
        <v>79</v>
      </c>
      <c r="BN31" t="s" s="0">
        <v>102</v>
      </c>
      <c r="BO31" t="s" s="0">
        <v>912</v>
      </c>
      <c r="BP31" t="s" s="0">
        <v>913</v>
      </c>
      <c r="BQ31" t="s" s="0">
        <v>914</v>
      </c>
      <c r="BR31" t="s" s="0">
        <v>79</v>
      </c>
      <c r="BS31" t="s" s="0">
        <v>915</v>
      </c>
      <c r="BT31" t="s" s="59">
        <f>HYPERLINK("https://www.webofscience.com/wos/woscc/full-record/WOS:001811834000001","View Record in Web of Science")</f>
        <v>114</v>
      </c>
      <c r="BU31" t="s" s="0">
        <v>602</v>
      </c>
      <c r="BV31" t="s" s="0">
        <v>79</v>
      </c>
      <c r="BW31" t="s" s="0">
        <v>79</v>
      </c>
      <c r="BX31" t="s" s="0">
        <v>115</v>
      </c>
    </row>
    <row r="32">
      <c r="A32" t="s" s="0">
        <v>77</v>
      </c>
      <c r="B32" t="s" s="0">
        <v>77</v>
      </c>
      <c r="C32" t="s" s="0">
        <v>131</v>
      </c>
      <c r="D32" t="s" s="0">
        <v>77</v>
      </c>
      <c r="E32" t="s" s="0">
        <v>916</v>
      </c>
      <c r="F32" t="s" s="0">
        <v>917</v>
      </c>
      <c r="G32" t="s" s="0">
        <v>918</v>
      </c>
      <c r="H32" t="s" s="0">
        <v>79</v>
      </c>
      <c r="I32" t="s" s="0">
        <v>81</v>
      </c>
      <c r="J32" t="s" s="0">
        <v>919</v>
      </c>
      <c r="K32" t="s" s="0">
        <v>920</v>
      </c>
      <c r="L32" t="s" s="0">
        <v>79</v>
      </c>
      <c r="M32" t="s" s="0">
        <v>79</v>
      </c>
      <c r="N32" t="s" s="0">
        <v>79</v>
      </c>
      <c r="O32" t="s" s="0">
        <v>921</v>
      </c>
      <c r="P32" t="s" s="0">
        <v>922</v>
      </c>
      <c r="Q32" t="s" s="0">
        <v>85</v>
      </c>
      <c r="R32" t="s" s="0">
        <v>79</v>
      </c>
      <c r="S32" t="s" s="0">
        <v>79</v>
      </c>
      <c r="T32" t="s" s="0">
        <v>79</v>
      </c>
      <c r="U32" t="s" s="0">
        <v>79</v>
      </c>
      <c r="V32" t="s" s="0">
        <v>923</v>
      </c>
      <c r="W32" t="s" s="0">
        <v>924</v>
      </c>
      <c r="X32" t="s" s="0">
        <v>79</v>
      </c>
      <c r="Y32" t="s" s="0">
        <v>79</v>
      </c>
      <c r="Z32" t="s" s="0">
        <v>88</v>
      </c>
      <c r="AA32" t="s" s="0">
        <v>89</v>
      </c>
      <c r="AB32" t="s" s="0">
        <v>79</v>
      </c>
      <c r="AC32" t="s" s="0">
        <v>79</v>
      </c>
      <c r="AD32" t="s" s="0">
        <v>79</v>
      </c>
      <c r="AE32" t="s" s="0">
        <v>79</v>
      </c>
      <c r="AF32" t="s" s="0">
        <v>79</v>
      </c>
      <c r="AG32" t="s" s="0">
        <v>925</v>
      </c>
      <c r="AH32" t="s" s="0">
        <v>126</v>
      </c>
      <c r="AI32" t="s" s="0">
        <v>926</v>
      </c>
      <c r="AJ32" t="s" s="0">
        <v>927</v>
      </c>
      <c r="AK32" t="s" s="0">
        <v>79</v>
      </c>
      <c r="AL32" t="s" s="0">
        <v>507</v>
      </c>
      <c r="AM32" t="s" s="0">
        <v>623</v>
      </c>
      <c r="AN32" t="s" s="0">
        <v>694</v>
      </c>
      <c r="AO32" t="s" s="0">
        <v>92</v>
      </c>
      <c r="AP32" t="s" s="0">
        <v>198</v>
      </c>
      <c r="AQ32" t="s" s="0">
        <v>200</v>
      </c>
      <c r="AR32" t="s" s="0">
        <v>201</v>
      </c>
      <c r="AS32" t="s" s="0">
        <v>202</v>
      </c>
      <c r="AT32" t="s" s="0">
        <v>928</v>
      </c>
      <c r="AU32" t="s" s="0">
        <v>929</v>
      </c>
      <c r="AV32" t="s" s="0">
        <v>79</v>
      </c>
      <c r="AW32" t="s" s="0">
        <v>930</v>
      </c>
      <c r="AX32" t="s" s="0">
        <v>931</v>
      </c>
      <c r="AY32" t="s" s="0">
        <v>107</v>
      </c>
      <c r="AZ32" t="s" s="0">
        <v>100</v>
      </c>
      <c r="BA32" t="s" s="0">
        <v>932</v>
      </c>
      <c r="BB32" t="s" s="0">
        <v>79</v>
      </c>
      <c r="BC32" t="s" s="0">
        <v>79</v>
      </c>
      <c r="BD32" t="s" s="0">
        <v>79</v>
      </c>
      <c r="BE32" t="s" s="0">
        <v>79</v>
      </c>
      <c r="BF32" t="s" s="0">
        <v>79</v>
      </c>
      <c r="BG32" t="s" s="0">
        <v>933</v>
      </c>
      <c r="BH32" t="s" s="0">
        <v>934</v>
      </c>
      <c r="BI32" t="s" s="0">
        <v>79</v>
      </c>
      <c r="BJ32" t="s" s="0">
        <v>935</v>
      </c>
      <c r="BK32" t="s" s="60">
        <f>HYPERLINK("http://dx.doi.org/10.1016/j.ejim.2024.09.017","http://dx.doi.org/10.1016/j.ejim.2024.09.017")</f>
        <v>936</v>
      </c>
      <c r="BL32" t="s" s="0">
        <v>79</v>
      </c>
      <c r="BM32" t="s" s="0">
        <v>107</v>
      </c>
      <c r="BN32" t="s" s="0">
        <v>412</v>
      </c>
      <c r="BO32" t="s" s="0">
        <v>329</v>
      </c>
      <c r="BP32" t="s" s="0">
        <v>110</v>
      </c>
      <c r="BQ32" t="s" s="0">
        <v>937</v>
      </c>
      <c r="BR32" t="s" s="0">
        <v>938</v>
      </c>
      <c r="BS32" t="s" s="0">
        <v>939</v>
      </c>
      <c r="BT32" t="s" s="61">
        <f>HYPERLINK("https://www.webofscience.com/wos/woscc/full-record/WOS:001400116800001","View Record in Web of Science")</f>
        <v>114</v>
      </c>
      <c r="BU32" t="s" s="0">
        <v>940</v>
      </c>
      <c r="BV32" t="s" s="0">
        <v>79</v>
      </c>
      <c r="BW32" t="s" s="0">
        <v>79</v>
      </c>
      <c r="BX32" t="s" s="0">
        <v>115</v>
      </c>
    </row>
    <row r="33">
      <c r="A33" t="s" s="0">
        <v>77</v>
      </c>
      <c r="B33" t="s" s="0">
        <v>77</v>
      </c>
      <c r="C33" t="s" s="0">
        <v>77</v>
      </c>
      <c r="D33" t="s" s="0">
        <v>77</v>
      </c>
      <c r="E33" t="s" s="0">
        <v>941</v>
      </c>
      <c r="F33" t="s" s="0">
        <v>942</v>
      </c>
      <c r="G33" t="s" s="0">
        <v>943</v>
      </c>
      <c r="H33" t="s" s="0">
        <v>79</v>
      </c>
      <c r="I33" t="s" s="0">
        <v>81</v>
      </c>
      <c r="J33" t="s" s="0">
        <v>944</v>
      </c>
      <c r="K33" t="s" s="0">
        <v>945</v>
      </c>
      <c r="L33" t="s" s="0">
        <v>946</v>
      </c>
      <c r="M33" t="s" s="0">
        <v>947</v>
      </c>
      <c r="N33" t="s" s="0">
        <v>948</v>
      </c>
      <c r="O33" t="s" s="0">
        <v>949</v>
      </c>
      <c r="P33" t="s" s="0">
        <v>950</v>
      </c>
      <c r="Q33" t="s" s="0">
        <v>85</v>
      </c>
      <c r="R33" t="s" s="0">
        <v>79</v>
      </c>
      <c r="S33" t="s" s="0">
        <v>79</v>
      </c>
      <c r="T33" t="s" s="0">
        <v>79</v>
      </c>
      <c r="U33" t="s" s="0">
        <v>79</v>
      </c>
      <c r="V33" t="s" s="0">
        <v>951</v>
      </c>
      <c r="W33" t="s" s="0">
        <v>952</v>
      </c>
      <c r="X33" t="s" s="0">
        <v>79</v>
      </c>
      <c r="Y33" t="s" s="0">
        <v>79</v>
      </c>
      <c r="Z33" t="s" s="0">
        <v>88</v>
      </c>
      <c r="AA33" t="s" s="0">
        <v>89</v>
      </c>
      <c r="AB33" t="s" s="0">
        <v>79</v>
      </c>
      <c r="AC33" t="s" s="0">
        <v>79</v>
      </c>
      <c r="AD33" t="s" s="0">
        <v>79</v>
      </c>
      <c r="AE33" t="s" s="0">
        <v>79</v>
      </c>
      <c r="AF33" t="s" s="0">
        <v>79</v>
      </c>
      <c r="AG33" t="s" s="0">
        <v>79</v>
      </c>
      <c r="AH33" t="s" s="0">
        <v>953</v>
      </c>
      <c r="AI33" t="s" s="0">
        <v>79</v>
      </c>
      <c r="AJ33" t="s" s="0">
        <v>79</v>
      </c>
      <c r="AK33" t="s" s="0">
        <v>79</v>
      </c>
      <c r="AL33" t="s" s="0">
        <v>954</v>
      </c>
      <c r="AM33" t="s" s="0">
        <v>77</v>
      </c>
      <c r="AN33" t="s" s="0">
        <v>77</v>
      </c>
      <c r="AO33" t="s" s="0">
        <v>77</v>
      </c>
      <c r="AP33" t="s" s="0">
        <v>77</v>
      </c>
      <c r="AQ33" t="s" s="0">
        <v>955</v>
      </c>
      <c r="AR33" t="s" s="0">
        <v>956</v>
      </c>
      <c r="AS33" t="s" s="0">
        <v>957</v>
      </c>
      <c r="AT33" t="s" s="0">
        <v>958</v>
      </c>
      <c r="AU33" t="s" s="0">
        <v>79</v>
      </c>
      <c r="AV33" t="s" s="0">
        <v>79</v>
      </c>
      <c r="AW33" t="s" s="0">
        <v>959</v>
      </c>
      <c r="AX33" t="s" s="0">
        <v>960</v>
      </c>
      <c r="AY33" t="s" s="0">
        <v>961</v>
      </c>
      <c r="AZ33" t="s" s="0">
        <v>139</v>
      </c>
      <c r="BA33" t="s" s="0">
        <v>79</v>
      </c>
      <c r="BB33" t="s" s="0">
        <v>962</v>
      </c>
      <c r="BC33" t="s" s="0">
        <v>79</v>
      </c>
      <c r="BD33" t="s" s="0">
        <v>79</v>
      </c>
      <c r="BE33" t="s" s="0">
        <v>79</v>
      </c>
      <c r="BF33" t="s" s="0">
        <v>79</v>
      </c>
      <c r="BG33" t="s" s="0">
        <v>79</v>
      </c>
      <c r="BH33" t="s" s="0">
        <v>79</v>
      </c>
      <c r="BI33" t="s" s="0">
        <v>963</v>
      </c>
      <c r="BJ33" t="s" s="0">
        <v>964</v>
      </c>
      <c r="BK33" t="s" s="62">
        <f>HYPERLINK("http://dx.doi.org/10.3791/71099","http://dx.doi.org/10.3791/71099")</f>
        <v>965</v>
      </c>
      <c r="BL33" t="s" s="0">
        <v>79</v>
      </c>
      <c r="BM33" t="s" s="0">
        <v>79</v>
      </c>
      <c r="BN33" t="s" s="0">
        <v>211</v>
      </c>
      <c r="BO33" t="s" s="0">
        <v>178</v>
      </c>
      <c r="BP33" t="s" s="0">
        <v>179</v>
      </c>
      <c r="BQ33" t="s" s="0">
        <v>966</v>
      </c>
      <c r="BR33" t="s" s="0">
        <v>967</v>
      </c>
      <c r="BS33" t="s" s="0">
        <v>968</v>
      </c>
      <c r="BT33" t="s" s="63">
        <f>HYPERLINK("https://www.webofscience.com/wos/woscc/full-record/WOS:001853101600021","View Record in Web of Science")</f>
        <v>114</v>
      </c>
      <c r="BU33" t="s" s="0">
        <v>79</v>
      </c>
      <c r="BV33" t="s" s="0">
        <v>79</v>
      </c>
      <c r="BW33" t="s" s="0">
        <v>79</v>
      </c>
      <c r="BX33" t="s" s="0">
        <v>115</v>
      </c>
    </row>
    <row r="34">
      <c r="A34" t="s" s="0">
        <v>77</v>
      </c>
      <c r="B34" t="s" s="0">
        <v>77</v>
      </c>
      <c r="C34" t="s" s="0">
        <v>77</v>
      </c>
      <c r="D34" t="s" s="0">
        <v>77</v>
      </c>
      <c r="E34" t="s" s="0">
        <v>969</v>
      </c>
      <c r="F34" t="s" s="0">
        <v>970</v>
      </c>
      <c r="G34" t="s" s="0">
        <v>971</v>
      </c>
      <c r="H34" t="s" s="0">
        <v>79</v>
      </c>
      <c r="I34" t="s" s="0">
        <v>398</v>
      </c>
      <c r="J34" t="s" s="0">
        <v>972</v>
      </c>
      <c r="K34" t="s" s="0">
        <v>973</v>
      </c>
      <c r="L34" t="s" s="0">
        <v>974</v>
      </c>
      <c r="M34" t="s" s="0">
        <v>974</v>
      </c>
      <c r="N34" t="s" s="0">
        <v>975</v>
      </c>
      <c r="O34" t="s" s="0">
        <v>976</v>
      </c>
      <c r="P34" t="s" s="0">
        <v>977</v>
      </c>
      <c r="Q34" t="s" s="0">
        <v>85</v>
      </c>
      <c r="R34" t="s" s="0">
        <v>79</v>
      </c>
      <c r="S34" t="s" s="0">
        <v>79</v>
      </c>
      <c r="T34" t="s" s="0">
        <v>79</v>
      </c>
      <c r="U34" t="s" s="0">
        <v>79</v>
      </c>
      <c r="V34" t="s" s="0">
        <v>978</v>
      </c>
      <c r="W34" t="s" s="0">
        <v>585</v>
      </c>
      <c r="X34" t="s" s="0">
        <v>79</v>
      </c>
      <c r="Y34" t="s" s="0">
        <v>79</v>
      </c>
      <c r="Z34" t="s" s="0">
        <v>88</v>
      </c>
      <c r="AA34" t="s" s="0">
        <v>89</v>
      </c>
      <c r="AB34" t="s" s="0">
        <v>79</v>
      </c>
      <c r="AC34" t="s" s="0">
        <v>79</v>
      </c>
      <c r="AD34" t="s" s="0">
        <v>79</v>
      </c>
      <c r="AE34" t="s" s="0">
        <v>79</v>
      </c>
      <c r="AF34" t="s" s="0">
        <v>79</v>
      </c>
      <c r="AG34" t="s" s="0">
        <v>979</v>
      </c>
      <c r="AH34" t="s" s="0">
        <v>79</v>
      </c>
      <c r="AI34" t="s" s="0">
        <v>980</v>
      </c>
      <c r="AJ34" t="s" s="0">
        <v>981</v>
      </c>
      <c r="AK34" t="s" s="0">
        <v>79</v>
      </c>
      <c r="AL34" t="s" s="0">
        <v>778</v>
      </c>
      <c r="AM34" t="s" s="0">
        <v>166</v>
      </c>
      <c r="AN34" t="s" s="0">
        <v>166</v>
      </c>
      <c r="AO34" t="s" s="0">
        <v>77</v>
      </c>
      <c r="AP34" t="s" s="0">
        <v>131</v>
      </c>
      <c r="AQ34" t="s" s="0">
        <v>589</v>
      </c>
      <c r="AR34" t="s" s="0">
        <v>590</v>
      </c>
      <c r="AS34" t="s" s="0">
        <v>591</v>
      </c>
      <c r="AT34" t="s" s="0">
        <v>79</v>
      </c>
      <c r="AU34" t="s" s="0">
        <v>592</v>
      </c>
      <c r="AV34" t="s" s="0">
        <v>79</v>
      </c>
      <c r="AW34" t="s" s="0">
        <v>593</v>
      </c>
      <c r="AX34" t="s" s="0">
        <v>594</v>
      </c>
      <c r="AY34" t="s" s="0">
        <v>982</v>
      </c>
      <c r="AZ34" t="s" s="0">
        <v>100</v>
      </c>
      <c r="BA34" t="s" s="0">
        <v>983</v>
      </c>
      <c r="BB34" t="s" s="0">
        <v>92</v>
      </c>
      <c r="BC34" t="s" s="0">
        <v>79</v>
      </c>
      <c r="BD34" t="s" s="0">
        <v>79</v>
      </c>
      <c r="BE34" t="s" s="0">
        <v>79</v>
      </c>
      <c r="BF34" t="s" s="0">
        <v>79</v>
      </c>
      <c r="BG34" t="s" s="0">
        <v>79</v>
      </c>
      <c r="BH34" t="s" s="0">
        <v>79</v>
      </c>
      <c r="BI34" t="s" s="0">
        <v>984</v>
      </c>
      <c r="BJ34" t="s" s="0">
        <v>985</v>
      </c>
      <c r="BK34" t="s" s="64">
        <f>HYPERLINK("http://dx.doi.org/10.1136/bmjhci-2025-101470","http://dx.doi.org/10.1136/bmjhci-2025-101470")</f>
        <v>986</v>
      </c>
      <c r="BL34" t="s" s="0">
        <v>79</v>
      </c>
      <c r="BM34" t="s" s="0">
        <v>79</v>
      </c>
      <c r="BN34" t="s" s="0">
        <v>146</v>
      </c>
      <c r="BO34" t="s" s="0">
        <v>276</v>
      </c>
      <c r="BP34" t="s" s="0">
        <v>276</v>
      </c>
      <c r="BQ34" t="s" s="0">
        <v>987</v>
      </c>
      <c r="BR34" t="s" s="0">
        <v>988</v>
      </c>
      <c r="BS34" t="s" s="0">
        <v>989</v>
      </c>
      <c r="BT34" t="s" s="65">
        <f>HYPERLINK("https://www.webofscience.com/wos/woscc/full-record/WOS:001575526000001","View Record in Web of Science")</f>
        <v>114</v>
      </c>
      <c r="BU34" t="s" s="0">
        <v>183</v>
      </c>
      <c r="BV34" t="s" s="0">
        <v>79</v>
      </c>
      <c r="BW34" t="s" s="0">
        <v>79</v>
      </c>
      <c r="BX34" t="s" s="0">
        <v>115</v>
      </c>
    </row>
    <row r="35">
      <c r="A35" t="s" s="0">
        <v>77</v>
      </c>
      <c r="B35" t="s" s="0">
        <v>77</v>
      </c>
      <c r="C35" t="s" s="0">
        <v>77</v>
      </c>
      <c r="D35" t="s" s="0">
        <v>77</v>
      </c>
      <c r="E35" t="s" s="0">
        <v>990</v>
      </c>
      <c r="F35" t="s" s="0">
        <v>991</v>
      </c>
      <c r="G35" t="s" s="0">
        <v>992</v>
      </c>
      <c r="H35" t="s" s="0">
        <v>79</v>
      </c>
      <c r="I35" t="s" s="0">
        <v>398</v>
      </c>
      <c r="J35" t="s" s="0">
        <v>993</v>
      </c>
      <c r="K35" t="s" s="0">
        <v>994</v>
      </c>
      <c r="L35" t="s" s="0">
        <v>995</v>
      </c>
      <c r="M35" t="s" s="0">
        <v>996</v>
      </c>
      <c r="N35" t="s" s="0">
        <v>997</v>
      </c>
      <c r="O35" t="s" s="0">
        <v>998</v>
      </c>
      <c r="P35" t="s" s="0">
        <v>999</v>
      </c>
      <c r="Q35" t="s" s="0">
        <v>85</v>
      </c>
      <c r="R35" t="s" s="0">
        <v>79</v>
      </c>
      <c r="S35" t="s" s="0">
        <v>79</v>
      </c>
      <c r="T35" t="s" s="0">
        <v>79</v>
      </c>
      <c r="U35" t="s" s="0">
        <v>79</v>
      </c>
      <c r="V35" t="s" s="0">
        <v>1000</v>
      </c>
      <c r="W35" t="s" s="0">
        <v>1001</v>
      </c>
      <c r="X35" t="s" s="0">
        <v>79</v>
      </c>
      <c r="Y35" t="s" s="0">
        <v>79</v>
      </c>
      <c r="Z35" t="s" s="0">
        <v>88</v>
      </c>
      <c r="AA35" t="s" s="0">
        <v>89</v>
      </c>
      <c r="AB35" t="s" s="0">
        <v>79</v>
      </c>
      <c r="AC35" t="s" s="0">
        <v>79</v>
      </c>
      <c r="AD35" t="s" s="0">
        <v>79</v>
      </c>
      <c r="AE35" t="s" s="0">
        <v>79</v>
      </c>
      <c r="AF35" t="s" s="0">
        <v>79</v>
      </c>
      <c r="AG35" t="s" s="0">
        <v>1002</v>
      </c>
      <c r="AH35" t="s" s="0">
        <v>79</v>
      </c>
      <c r="AI35" t="s" s="0">
        <v>79</v>
      </c>
      <c r="AJ35" t="s" s="0">
        <v>1003</v>
      </c>
      <c r="AK35" t="s" s="0">
        <v>79</v>
      </c>
      <c r="AL35" t="s" s="0">
        <v>507</v>
      </c>
      <c r="AM35" t="s" s="0">
        <v>77</v>
      </c>
      <c r="AN35" t="s" s="0">
        <v>77</v>
      </c>
      <c r="AO35" t="s" s="0">
        <v>77</v>
      </c>
      <c r="AP35" t="s" s="0">
        <v>77</v>
      </c>
      <c r="AQ35" t="s" s="0">
        <v>265</v>
      </c>
      <c r="AR35" t="s" s="0">
        <v>266</v>
      </c>
      <c r="AS35" t="s" s="0">
        <v>267</v>
      </c>
      <c r="AT35" t="s" s="0">
        <v>79</v>
      </c>
      <c r="AU35" t="s" s="0">
        <v>1004</v>
      </c>
      <c r="AV35" t="s" s="0">
        <v>79</v>
      </c>
      <c r="AW35" t="s" s="0">
        <v>1001</v>
      </c>
      <c r="AX35" t="s" s="0">
        <v>1001</v>
      </c>
      <c r="AY35" t="s" s="0">
        <v>139</v>
      </c>
      <c r="AZ35" t="s" s="0">
        <v>139</v>
      </c>
      <c r="BA35" t="s" s="0">
        <v>166</v>
      </c>
      <c r="BB35" t="s" s="0">
        <v>79</v>
      </c>
      <c r="BC35" t="s" s="0">
        <v>79</v>
      </c>
      <c r="BD35" t="s" s="0">
        <v>79</v>
      </c>
      <c r="BE35" t="s" s="0">
        <v>79</v>
      </c>
      <c r="BF35" t="s" s="0">
        <v>79</v>
      </c>
      <c r="BG35" t="s" s="0">
        <v>79</v>
      </c>
      <c r="BH35" t="s" s="0">
        <v>79</v>
      </c>
      <c r="BI35" t="s" s="0">
        <v>1005</v>
      </c>
      <c r="BJ35" t="s" s="0">
        <v>1006</v>
      </c>
      <c r="BK35" t="s" s="66">
        <f>HYPERLINK("http://dx.doi.org/10.2196/88816","http://dx.doi.org/10.2196/88816")</f>
        <v>1007</v>
      </c>
      <c r="BL35" t="s" s="0">
        <v>79</v>
      </c>
      <c r="BM35" t="s" s="0">
        <v>79</v>
      </c>
      <c r="BN35" t="s" s="0">
        <v>164</v>
      </c>
      <c r="BO35" t="s" s="0">
        <v>276</v>
      </c>
      <c r="BP35" t="s" s="0">
        <v>276</v>
      </c>
      <c r="BQ35" t="s" s="0">
        <v>1008</v>
      </c>
      <c r="BR35" t="s" s="0">
        <v>1009</v>
      </c>
      <c r="BS35" t="s" s="0">
        <v>1010</v>
      </c>
      <c r="BT35" t="s" s="67">
        <f>HYPERLINK("https://www.webofscience.com/wos/woscc/full-record/WOS:001820330900001","View Record in Web of Science")</f>
        <v>114</v>
      </c>
      <c r="BU35" t="s" s="0">
        <v>183</v>
      </c>
      <c r="BV35" t="s" s="0">
        <v>79</v>
      </c>
      <c r="BW35" t="s" s="0">
        <v>79</v>
      </c>
      <c r="BX35" t="s" s="0">
        <v>115</v>
      </c>
    </row>
    <row r="36">
      <c r="A36" t="s" s="0">
        <v>412</v>
      </c>
      <c r="B36" t="s" s="0">
        <v>77</v>
      </c>
      <c r="C36" t="s" s="0">
        <v>778</v>
      </c>
      <c r="D36" t="s" s="0">
        <v>77</v>
      </c>
      <c r="E36" t="s" s="0">
        <v>1011</v>
      </c>
      <c r="F36" t="s" s="0">
        <v>1012</v>
      </c>
      <c r="G36" t="s" s="0">
        <v>1013</v>
      </c>
      <c r="H36" t="s" s="0">
        <v>79</v>
      </c>
      <c r="I36" t="s" s="0">
        <v>81</v>
      </c>
      <c r="J36" t="s" s="0">
        <v>1014</v>
      </c>
      <c r="K36" t="s" s="0">
        <v>1015</v>
      </c>
      <c r="L36" t="s" s="0">
        <v>1016</v>
      </c>
      <c r="M36" t="s" s="0">
        <v>1017</v>
      </c>
      <c r="N36" t="s" s="0">
        <v>1018</v>
      </c>
      <c r="O36" t="s" s="0">
        <v>1019</v>
      </c>
      <c r="P36" t="s" s="0">
        <v>1020</v>
      </c>
      <c r="Q36" t="s" s="0">
        <v>85</v>
      </c>
      <c r="R36" t="s" s="0">
        <v>79</v>
      </c>
      <c r="S36" t="s" s="0">
        <v>79</v>
      </c>
      <c r="T36" t="s" s="0">
        <v>79</v>
      </c>
      <c r="U36" t="s" s="0">
        <v>79</v>
      </c>
      <c r="V36" t="s" s="0">
        <v>1021</v>
      </c>
      <c r="W36" t="s" s="0">
        <v>256</v>
      </c>
      <c r="X36" t="s" s="0">
        <v>79</v>
      </c>
      <c r="Y36" t="s" s="0">
        <v>79</v>
      </c>
      <c r="Z36" t="s" s="0">
        <v>88</v>
      </c>
      <c r="AA36" t="s" s="0">
        <v>89</v>
      </c>
      <c r="AB36" t="s" s="0">
        <v>79</v>
      </c>
      <c r="AC36" t="s" s="0">
        <v>79</v>
      </c>
      <c r="AD36" t="s" s="0">
        <v>79</v>
      </c>
      <c r="AE36" t="s" s="0">
        <v>79</v>
      </c>
      <c r="AF36" t="s" s="0">
        <v>79</v>
      </c>
      <c r="AG36" t="s" s="0">
        <v>1022</v>
      </c>
      <c r="AH36" t="s" s="0">
        <v>1023</v>
      </c>
      <c r="AI36" t="s" s="0">
        <v>1024</v>
      </c>
      <c r="AJ36" t="s" s="0">
        <v>1025</v>
      </c>
      <c r="AK36" t="s" s="0">
        <v>79</v>
      </c>
      <c r="AL36" t="s" s="0">
        <v>1026</v>
      </c>
      <c r="AM36" t="s" s="0">
        <v>908</v>
      </c>
      <c r="AN36" t="s" s="0">
        <v>1027</v>
      </c>
      <c r="AO36" t="s" s="0">
        <v>164</v>
      </c>
      <c r="AP36" t="s" s="0">
        <v>1028</v>
      </c>
      <c r="AQ36" t="s" s="0">
        <v>265</v>
      </c>
      <c r="AR36" t="s" s="0">
        <v>266</v>
      </c>
      <c r="AS36" t="s" s="0">
        <v>267</v>
      </c>
      <c r="AT36" t="s" s="0">
        <v>269</v>
      </c>
      <c r="AU36" t="s" s="0">
        <v>79</v>
      </c>
      <c r="AV36" t="s" s="0">
        <v>79</v>
      </c>
      <c r="AW36" t="s" s="0">
        <v>270</v>
      </c>
      <c r="AX36" t="s" s="0">
        <v>271</v>
      </c>
      <c r="AY36" t="s" s="0">
        <v>1029</v>
      </c>
      <c r="AZ36" t="s" s="0">
        <v>699</v>
      </c>
      <c r="BA36" t="s" s="0">
        <v>694</v>
      </c>
      <c r="BB36" t="s" s="0">
        <v>79</v>
      </c>
      <c r="BC36" t="s" s="0">
        <v>79</v>
      </c>
      <c r="BD36" t="s" s="0">
        <v>79</v>
      </c>
      <c r="BE36" t="s" s="0">
        <v>79</v>
      </c>
      <c r="BF36" t="s" s="0">
        <v>79</v>
      </c>
      <c r="BG36" t="s" s="0">
        <v>79</v>
      </c>
      <c r="BH36" t="s" s="0">
        <v>79</v>
      </c>
      <c r="BI36" t="s" s="0">
        <v>1030</v>
      </c>
      <c r="BJ36" t="s" s="0">
        <v>1031</v>
      </c>
      <c r="BK36" t="s" s="68">
        <f>HYPERLINK("http://dx.doi.org/10.2196/48659","http://dx.doi.org/10.2196/48659")</f>
        <v>1032</v>
      </c>
      <c r="BL36" t="s" s="0">
        <v>79</v>
      </c>
      <c r="BM36" t="s" s="0">
        <v>79</v>
      </c>
      <c r="BN36" t="s" s="0">
        <v>184</v>
      </c>
      <c r="BO36" t="s" s="0">
        <v>276</v>
      </c>
      <c r="BP36" t="s" s="0">
        <v>276</v>
      </c>
      <c r="BQ36" t="s" s="0">
        <v>1033</v>
      </c>
      <c r="BR36" t="s" s="0">
        <v>1034</v>
      </c>
      <c r="BS36" t="s" s="0">
        <v>1035</v>
      </c>
      <c r="BT36" t="s" s="69">
        <f>HYPERLINK("https://www.webofscience.com/wos/woscc/full-record/WOS:001160247000005","View Record in Web of Science")</f>
        <v>114</v>
      </c>
      <c r="BU36" t="s" s="0">
        <v>183</v>
      </c>
      <c r="BV36" t="s" s="0">
        <v>706</v>
      </c>
      <c r="BW36" t="s" s="0">
        <v>707</v>
      </c>
      <c r="BX36" t="s" s="0">
        <v>115</v>
      </c>
    </row>
    <row r="37">
      <c r="A37" t="s" s="0">
        <v>77</v>
      </c>
      <c r="B37" t="s" s="0">
        <v>77</v>
      </c>
      <c r="C37" t="s" s="0">
        <v>77</v>
      </c>
      <c r="D37" t="s" s="0">
        <v>77</v>
      </c>
      <c r="E37" t="s" s="0">
        <v>1036</v>
      </c>
      <c r="F37" t="s" s="0">
        <v>1037</v>
      </c>
      <c r="G37" t="s" s="0">
        <v>1038</v>
      </c>
      <c r="H37" t="s" s="0">
        <v>79</v>
      </c>
      <c r="I37" t="s" s="0">
        <v>398</v>
      </c>
      <c r="J37" t="s" s="0">
        <v>1039</v>
      </c>
      <c r="K37" t="s" s="0">
        <v>1040</v>
      </c>
      <c r="L37" t="s" s="0">
        <v>79</v>
      </c>
      <c r="M37" t="s" s="0">
        <v>79</v>
      </c>
      <c r="N37" t="s" s="0">
        <v>79</v>
      </c>
      <c r="O37" t="s" s="0">
        <v>1041</v>
      </c>
      <c r="P37" t="s" s="0">
        <v>1042</v>
      </c>
      <c r="Q37" t="s" s="0">
        <v>85</v>
      </c>
      <c r="R37" t="s" s="0">
        <v>79</v>
      </c>
      <c r="S37" t="s" s="0">
        <v>79</v>
      </c>
      <c r="T37" t="s" s="0">
        <v>79</v>
      </c>
      <c r="U37" t="s" s="0">
        <v>79</v>
      </c>
      <c r="V37" t="s" s="0">
        <v>1043</v>
      </c>
      <c r="W37" t="s" s="0">
        <v>1044</v>
      </c>
      <c r="X37" t="s" s="0">
        <v>79</v>
      </c>
      <c r="Y37" t="s" s="0">
        <v>79</v>
      </c>
      <c r="Z37" t="s" s="0">
        <v>88</v>
      </c>
      <c r="AA37" t="s" s="0">
        <v>89</v>
      </c>
      <c r="AB37" t="s" s="0">
        <v>79</v>
      </c>
      <c r="AC37" t="s" s="0">
        <v>79</v>
      </c>
      <c r="AD37" t="s" s="0">
        <v>79</v>
      </c>
      <c r="AE37" t="s" s="0">
        <v>79</v>
      </c>
      <c r="AF37" t="s" s="0">
        <v>79</v>
      </c>
      <c r="AG37" t="s" s="0">
        <v>1045</v>
      </c>
      <c r="AH37" t="s" s="0">
        <v>79</v>
      </c>
      <c r="AI37" t="s" s="0">
        <v>1046</v>
      </c>
      <c r="AJ37" t="s" s="0">
        <v>1047</v>
      </c>
      <c r="AK37" t="s" s="0">
        <v>79</v>
      </c>
      <c r="AL37" t="s" s="0">
        <v>166</v>
      </c>
      <c r="AM37" t="s" s="0">
        <v>166</v>
      </c>
      <c r="AN37" t="s" s="0">
        <v>230</v>
      </c>
      <c r="AO37" t="s" s="0">
        <v>131</v>
      </c>
      <c r="AP37" t="s" s="0">
        <v>146</v>
      </c>
      <c r="AQ37" t="s" s="0">
        <v>200</v>
      </c>
      <c r="AR37" t="s" s="0">
        <v>201</v>
      </c>
      <c r="AS37" t="s" s="0">
        <v>202</v>
      </c>
      <c r="AT37" t="s" s="0">
        <v>1048</v>
      </c>
      <c r="AU37" t="s" s="0">
        <v>79</v>
      </c>
      <c r="AV37" t="s" s="0">
        <v>79</v>
      </c>
      <c r="AW37" t="s" s="0">
        <v>1044</v>
      </c>
      <c r="AX37" t="s" s="0">
        <v>1049</v>
      </c>
      <c r="AY37" t="s" s="0">
        <v>1050</v>
      </c>
      <c r="AZ37" t="s" s="0">
        <v>462</v>
      </c>
      <c r="BA37" t="s" s="0">
        <v>1051</v>
      </c>
      <c r="BB37" t="s" s="0">
        <v>79</v>
      </c>
      <c r="BC37" t="s" s="0">
        <v>79</v>
      </c>
      <c r="BD37" t="s" s="0">
        <v>79</v>
      </c>
      <c r="BE37" t="s" s="0">
        <v>79</v>
      </c>
      <c r="BF37" t="s" s="0">
        <v>79</v>
      </c>
      <c r="BG37" t="s" s="0">
        <v>1052</v>
      </c>
      <c r="BH37" t="s" s="0">
        <v>1053</v>
      </c>
      <c r="BI37" t="s" s="0">
        <v>79</v>
      </c>
      <c r="BJ37" t="s" s="0">
        <v>1054</v>
      </c>
      <c r="BK37" t="s" s="70">
        <f>HYPERLINK("http://dx.doi.org/10.1016/j.jpra.2024.07.008","http://dx.doi.org/10.1016/j.jpra.2024.07.008")</f>
        <v>1055</v>
      </c>
      <c r="BL37" t="s" s="0">
        <v>79</v>
      </c>
      <c r="BM37" t="s" s="0">
        <v>1056</v>
      </c>
      <c r="BN37" t="s" s="0">
        <v>102</v>
      </c>
      <c r="BO37" t="s" s="0">
        <v>573</v>
      </c>
      <c r="BP37" t="s" s="0">
        <v>573</v>
      </c>
      <c r="BQ37" t="s" s="0">
        <v>1057</v>
      </c>
      <c r="BR37" t="s" s="0">
        <v>1058</v>
      </c>
      <c r="BS37" t="s" s="0">
        <v>1059</v>
      </c>
      <c r="BT37" t="s" s="71">
        <f>HYPERLINK("https://www.webofscience.com/wos/woscc/full-record/WOS:001295460700001","View Record in Web of Science")</f>
        <v>114</v>
      </c>
      <c r="BU37" t="s" s="0">
        <v>183</v>
      </c>
      <c r="BV37" t="s" s="0">
        <v>79</v>
      </c>
      <c r="BW37" t="s" s="0">
        <v>79</v>
      </c>
      <c r="BX37" t="s" s="0">
        <v>115</v>
      </c>
    </row>
    <row r="38">
      <c r="A38" t="s" s="0">
        <v>77</v>
      </c>
      <c r="B38" t="s" s="0">
        <v>77</v>
      </c>
      <c r="C38" t="s" s="0">
        <v>77</v>
      </c>
      <c r="D38" t="s" s="0">
        <v>77</v>
      </c>
      <c r="E38" t="s" s="0">
        <v>1060</v>
      </c>
      <c r="F38" t="s" s="0">
        <v>1061</v>
      </c>
      <c r="G38" t="s" s="0">
        <v>1062</v>
      </c>
      <c r="H38" t="s" s="0">
        <v>79</v>
      </c>
      <c r="I38" t="s" s="0">
        <v>81</v>
      </c>
      <c r="J38" t="s" s="0">
        <v>1063</v>
      </c>
      <c r="K38" t="s" s="0">
        <v>1064</v>
      </c>
      <c r="L38" t="s" s="0">
        <v>79</v>
      </c>
      <c r="M38" t="s" s="0">
        <v>79</v>
      </c>
      <c r="N38" t="s" s="0">
        <v>79</v>
      </c>
      <c r="O38" t="s" s="0">
        <v>1065</v>
      </c>
      <c r="P38" t="s" s="0">
        <v>1066</v>
      </c>
      <c r="Q38" t="s" s="0">
        <v>85</v>
      </c>
      <c r="R38" t="s" s="0">
        <v>79</v>
      </c>
      <c r="S38" t="s" s="0">
        <v>79</v>
      </c>
      <c r="T38" t="s" s="0">
        <v>79</v>
      </c>
      <c r="U38" t="s" s="0">
        <v>79</v>
      </c>
      <c r="V38" t="s" s="0">
        <v>1067</v>
      </c>
      <c r="W38" t="s" s="0">
        <v>1068</v>
      </c>
      <c r="X38" t="s" s="0">
        <v>79</v>
      </c>
      <c r="Y38" t="s" s="0">
        <v>79</v>
      </c>
      <c r="Z38" t="s" s="0">
        <v>88</v>
      </c>
      <c r="AA38" t="s" s="0">
        <v>89</v>
      </c>
      <c r="AB38" t="s" s="0">
        <v>79</v>
      </c>
      <c r="AC38" t="s" s="0">
        <v>79</v>
      </c>
      <c r="AD38" t="s" s="0">
        <v>79</v>
      </c>
      <c r="AE38" t="s" s="0">
        <v>79</v>
      </c>
      <c r="AF38" t="s" s="0">
        <v>79</v>
      </c>
      <c r="AG38" t="s" s="0">
        <v>1069</v>
      </c>
      <c r="AH38" t="s" s="0">
        <v>79</v>
      </c>
      <c r="AI38" t="s" s="0">
        <v>1070</v>
      </c>
      <c r="AJ38" t="s" s="0">
        <v>79</v>
      </c>
      <c r="AK38" t="s" s="0">
        <v>79</v>
      </c>
      <c r="AL38" t="s" s="0">
        <v>164</v>
      </c>
      <c r="AM38" t="s" s="0">
        <v>77</v>
      </c>
      <c r="AN38" t="s" s="0">
        <v>77</v>
      </c>
      <c r="AO38" t="s" s="0">
        <v>77</v>
      </c>
      <c r="AP38" t="s" s="0">
        <v>77</v>
      </c>
      <c r="AQ38" t="s" s="0">
        <v>132</v>
      </c>
      <c r="AR38" t="s" s="0">
        <v>133</v>
      </c>
      <c r="AS38" t="s" s="0">
        <v>134</v>
      </c>
      <c r="AT38" t="s" s="0">
        <v>1071</v>
      </c>
      <c r="AU38" t="s" s="0">
        <v>1072</v>
      </c>
      <c r="AV38" t="s" s="0">
        <v>79</v>
      </c>
      <c r="AW38" t="s" s="0">
        <v>1073</v>
      </c>
      <c r="AX38" t="s" s="0">
        <v>1074</v>
      </c>
      <c r="AY38" t="s" s="0">
        <v>961</v>
      </c>
      <c r="AZ38" t="s" s="0">
        <v>139</v>
      </c>
      <c r="BA38" t="s" s="0">
        <v>1075</v>
      </c>
      <c r="BB38" t="s" s="0">
        <v>130</v>
      </c>
      <c r="BC38" t="s" s="0">
        <v>79</v>
      </c>
      <c r="BD38" t="s" s="0">
        <v>79</v>
      </c>
      <c r="BE38" t="s" s="0">
        <v>79</v>
      </c>
      <c r="BF38" t="s" s="0">
        <v>79</v>
      </c>
      <c r="BG38" t="s" s="0">
        <v>1076</v>
      </c>
      <c r="BH38" t="s" s="0">
        <v>1077</v>
      </c>
      <c r="BI38" t="s" s="0">
        <v>79</v>
      </c>
      <c r="BJ38" t="s" s="0">
        <v>1078</v>
      </c>
      <c r="BK38" t="s" s="72">
        <f>HYPERLINK("http://dx.doi.org/10.1111/jop.70140","http://dx.doi.org/10.1111/jop.70140")</f>
        <v>1079</v>
      </c>
      <c r="BL38" t="s" s="0">
        <v>79</v>
      </c>
      <c r="BM38" t="s" s="0">
        <v>806</v>
      </c>
      <c r="BN38" t="s" s="0">
        <v>166</v>
      </c>
      <c r="BO38" t="s" s="0">
        <v>1080</v>
      </c>
      <c r="BP38" t="s" s="0">
        <v>1080</v>
      </c>
      <c r="BQ38" t="s" s="0">
        <v>1081</v>
      </c>
      <c r="BR38" t="s" s="0">
        <v>1082</v>
      </c>
      <c r="BS38" t="s" s="0">
        <v>1083</v>
      </c>
      <c r="BT38" t="s" s="73">
        <f>HYPERLINK("https://www.webofscience.com/wos/woscc/full-record/WOS:001738126300001","View Record in Web of Science")</f>
        <v>114</v>
      </c>
      <c r="BU38" t="s" s="0">
        <v>1084</v>
      </c>
      <c r="BV38" t="s" s="0">
        <v>79</v>
      </c>
      <c r="BW38" t="s" s="0">
        <v>79</v>
      </c>
      <c r="BX38" t="s" s="0">
        <v>115</v>
      </c>
    </row>
    <row r="39">
      <c r="A39" t="s" s="0">
        <v>77</v>
      </c>
      <c r="B39" t="s" s="0">
        <v>77</v>
      </c>
      <c r="C39" t="s" s="0">
        <v>92</v>
      </c>
      <c r="D39" t="s" s="0">
        <v>77</v>
      </c>
      <c r="E39" t="s" s="0">
        <v>1085</v>
      </c>
      <c r="F39" t="s" s="0">
        <v>1086</v>
      </c>
      <c r="G39" t="s" s="0">
        <v>1087</v>
      </c>
      <c r="H39" t="s" s="0">
        <v>79</v>
      </c>
      <c r="I39" t="s" s="0">
        <v>81</v>
      </c>
      <c r="J39" t="s" s="0">
        <v>1088</v>
      </c>
      <c r="K39" t="s" s="0">
        <v>1089</v>
      </c>
      <c r="L39" t="s" s="0">
        <v>79</v>
      </c>
      <c r="M39" t="s" s="0">
        <v>79</v>
      </c>
      <c r="N39" t="s" s="0">
        <v>79</v>
      </c>
      <c r="O39" t="s" s="0">
        <v>1090</v>
      </c>
      <c r="P39" t="s" s="0">
        <v>1091</v>
      </c>
      <c r="Q39" t="s" s="0">
        <v>85</v>
      </c>
      <c r="R39" t="s" s="0">
        <v>79</v>
      </c>
      <c r="S39" t="s" s="0">
        <v>79</v>
      </c>
      <c r="T39" t="s" s="0">
        <v>79</v>
      </c>
      <c r="U39" t="s" s="0">
        <v>79</v>
      </c>
      <c r="V39" t="s" s="0">
        <v>1092</v>
      </c>
      <c r="W39" t="s" s="0">
        <v>1093</v>
      </c>
      <c r="X39" t="s" s="0">
        <v>79</v>
      </c>
      <c r="Y39" t="s" s="0">
        <v>79</v>
      </c>
      <c r="Z39" t="s" s="0">
        <v>88</v>
      </c>
      <c r="AA39" t="s" s="0">
        <v>89</v>
      </c>
      <c r="AB39" t="s" s="0">
        <v>79</v>
      </c>
      <c r="AC39" t="s" s="0">
        <v>79</v>
      </c>
      <c r="AD39" t="s" s="0">
        <v>79</v>
      </c>
      <c r="AE39" t="s" s="0">
        <v>79</v>
      </c>
      <c r="AF39" t="s" s="0">
        <v>79</v>
      </c>
      <c r="AG39" t="s" s="0">
        <v>79</v>
      </c>
      <c r="AH39" t="s" s="0">
        <v>79</v>
      </c>
      <c r="AI39" t="s" s="0">
        <v>1094</v>
      </c>
      <c r="AJ39" t="s" s="0">
        <v>1095</v>
      </c>
      <c r="AK39" t="s" s="0">
        <v>79</v>
      </c>
      <c r="AL39" t="s" s="0">
        <v>231</v>
      </c>
      <c r="AM39" t="s" s="0">
        <v>102</v>
      </c>
      <c r="AN39" t="s" s="0">
        <v>102</v>
      </c>
      <c r="AO39" t="s" s="0">
        <v>77</v>
      </c>
      <c r="AP39" t="s" s="0">
        <v>92</v>
      </c>
      <c r="AQ39" t="s" s="0">
        <v>377</v>
      </c>
      <c r="AR39" t="s" s="0">
        <v>378</v>
      </c>
      <c r="AS39" t="s" s="0">
        <v>379</v>
      </c>
      <c r="AT39" t="s" s="0">
        <v>1096</v>
      </c>
      <c r="AU39" t="s" s="0">
        <v>1097</v>
      </c>
      <c r="AV39" t="s" s="0">
        <v>79</v>
      </c>
      <c r="AW39" t="s" s="0">
        <v>1098</v>
      </c>
      <c r="AX39" t="s" s="0">
        <v>1099</v>
      </c>
      <c r="AY39" t="s" s="0">
        <v>1100</v>
      </c>
      <c r="AZ39" t="s" s="0">
        <v>100</v>
      </c>
      <c r="BA39" t="s" s="0">
        <v>1051</v>
      </c>
      <c r="BB39" t="s" s="0">
        <v>412</v>
      </c>
      <c r="BC39" t="s" s="0">
        <v>79</v>
      </c>
      <c r="BD39" t="s" s="0">
        <v>79</v>
      </c>
      <c r="BE39" t="s" s="0">
        <v>79</v>
      </c>
      <c r="BF39" t="s" s="0">
        <v>79</v>
      </c>
      <c r="BG39" t="s" s="0">
        <v>1101</v>
      </c>
      <c r="BH39" t="s" s="0">
        <v>1102</v>
      </c>
      <c r="BI39" t="s" s="0">
        <v>79</v>
      </c>
      <c r="BJ39" t="s" s="0">
        <v>1103</v>
      </c>
      <c r="BK39" t="s" s="74">
        <f>HYPERLINK("http://dx.doi.org/10.1016/j.cjca.2025.04.008","http://dx.doi.org/10.1016/j.cjca.2025.04.008")</f>
        <v>1104</v>
      </c>
      <c r="BL39" t="s" s="0">
        <v>79</v>
      </c>
      <c r="BM39" t="s" s="0">
        <v>1100</v>
      </c>
      <c r="BN39" t="s" s="0">
        <v>412</v>
      </c>
      <c r="BO39" t="s" s="0">
        <v>1105</v>
      </c>
      <c r="BP39" t="s" s="0">
        <v>1106</v>
      </c>
      <c r="BQ39" t="s" s="0">
        <v>1107</v>
      </c>
      <c r="BR39" t="s" s="0">
        <v>1108</v>
      </c>
      <c r="BS39" t="s" s="0">
        <v>1109</v>
      </c>
      <c r="BT39" t="s" s="75">
        <f>HYPERLINK("https://www.webofscience.com/wos/woscc/full-record/WOS:001555708500021","View Record in Web of Science")</f>
        <v>114</v>
      </c>
      <c r="BU39" t="s" s="0">
        <v>79</v>
      </c>
      <c r="BV39" t="s" s="0">
        <v>79</v>
      </c>
      <c r="BW39" t="s" s="0">
        <v>79</v>
      </c>
      <c r="BX39" t="s" s="0">
        <v>115</v>
      </c>
    </row>
    <row r="40">
      <c r="A40" t="s" s="0">
        <v>77</v>
      </c>
      <c r="B40" t="s" s="0">
        <v>77</v>
      </c>
      <c r="C40" t="s" s="0">
        <v>77</v>
      </c>
      <c r="D40" t="s" s="0">
        <v>77</v>
      </c>
      <c r="E40" t="s" s="0">
        <v>1110</v>
      </c>
      <c r="F40" t="s" s="0">
        <v>1111</v>
      </c>
      <c r="G40" t="s" s="0">
        <v>1112</v>
      </c>
      <c r="H40" t="s" s="0">
        <v>79</v>
      </c>
      <c r="I40" t="s" s="0">
        <v>398</v>
      </c>
      <c r="J40" t="s" s="0">
        <v>1113</v>
      </c>
      <c r="K40" t="s" s="0">
        <v>1114</v>
      </c>
      <c r="L40" t="s" s="0">
        <v>79</v>
      </c>
      <c r="M40" t="s" s="0">
        <v>79</v>
      </c>
      <c r="N40" t="s" s="0">
        <v>79</v>
      </c>
      <c r="O40" t="s" s="0">
        <v>1115</v>
      </c>
      <c r="P40" t="s" s="0">
        <v>1116</v>
      </c>
      <c r="Q40" t="s" s="0">
        <v>85</v>
      </c>
      <c r="R40" t="s" s="0">
        <v>79</v>
      </c>
      <c r="S40" t="s" s="0">
        <v>79</v>
      </c>
      <c r="T40" t="s" s="0">
        <v>79</v>
      </c>
      <c r="U40" t="s" s="0">
        <v>79</v>
      </c>
      <c r="V40" t="s" s="0">
        <v>1117</v>
      </c>
      <c r="W40" t="s" s="0">
        <v>1118</v>
      </c>
      <c r="X40" t="s" s="0">
        <v>79</v>
      </c>
      <c r="Y40" t="s" s="0">
        <v>79</v>
      </c>
      <c r="Z40" t="s" s="0">
        <v>88</v>
      </c>
      <c r="AA40" t="s" s="0">
        <v>89</v>
      </c>
      <c r="AB40" t="s" s="0">
        <v>79</v>
      </c>
      <c r="AC40" t="s" s="0">
        <v>79</v>
      </c>
      <c r="AD40" t="s" s="0">
        <v>79</v>
      </c>
      <c r="AE40" t="s" s="0">
        <v>79</v>
      </c>
      <c r="AF40" t="s" s="0">
        <v>79</v>
      </c>
      <c r="AG40" t="s" s="0">
        <v>1119</v>
      </c>
      <c r="AH40" t="s" s="0">
        <v>79</v>
      </c>
      <c r="AI40" t="s" s="0">
        <v>1120</v>
      </c>
      <c r="AJ40" t="s" s="0">
        <v>79</v>
      </c>
      <c r="AK40" t="s" s="0">
        <v>79</v>
      </c>
      <c r="AL40" t="s" s="0">
        <v>453</v>
      </c>
      <c r="AM40" t="s" s="0">
        <v>77</v>
      </c>
      <c r="AN40" t="s" s="0">
        <v>77</v>
      </c>
      <c r="AO40" t="s" s="0">
        <v>77</v>
      </c>
      <c r="AP40" t="s" s="0">
        <v>77</v>
      </c>
      <c r="AQ40" t="s" s="0">
        <v>200</v>
      </c>
      <c r="AR40" t="s" s="0">
        <v>201</v>
      </c>
      <c r="AS40" t="s" s="0">
        <v>202</v>
      </c>
      <c r="AT40" t="s" s="0">
        <v>1121</v>
      </c>
      <c r="AU40" t="s" s="0">
        <v>1122</v>
      </c>
      <c r="AV40" t="s" s="0">
        <v>79</v>
      </c>
      <c r="AW40" t="s" s="0">
        <v>1123</v>
      </c>
      <c r="AX40" t="s" s="0">
        <v>1124</v>
      </c>
      <c r="AY40" t="s" s="0">
        <v>961</v>
      </c>
      <c r="AZ40" t="s" s="0">
        <v>139</v>
      </c>
      <c r="BA40" t="s" s="0">
        <v>623</v>
      </c>
      <c r="BB40" t="s" s="0">
        <v>79</v>
      </c>
      <c r="BC40" t="s" s="0">
        <v>79</v>
      </c>
      <c r="BD40" t="s" s="0">
        <v>79</v>
      </c>
      <c r="BE40" t="s" s="0">
        <v>79</v>
      </c>
      <c r="BF40" t="s" s="0">
        <v>79</v>
      </c>
      <c r="BG40" t="s" s="0">
        <v>79</v>
      </c>
      <c r="BH40" t="s" s="0">
        <v>79</v>
      </c>
      <c r="BI40" t="s" s="0">
        <v>1125</v>
      </c>
      <c r="BJ40" t="s" s="0">
        <v>1126</v>
      </c>
      <c r="BK40" t="s" s="76">
        <f>HYPERLINK("http://dx.doi.org/10.1016/j.jisako.2026.101160","http://dx.doi.org/10.1016/j.jisako.2026.101160")</f>
        <v>1127</v>
      </c>
      <c r="BL40" t="s" s="0">
        <v>79</v>
      </c>
      <c r="BM40" t="s" s="0">
        <v>411</v>
      </c>
      <c r="BN40" t="s" s="0">
        <v>230</v>
      </c>
      <c r="BO40" t="s" s="0">
        <v>1128</v>
      </c>
      <c r="BP40" t="s" s="0">
        <v>1128</v>
      </c>
      <c r="BQ40" t="s" s="0">
        <v>1129</v>
      </c>
      <c r="BR40" t="s" s="0">
        <v>1130</v>
      </c>
      <c r="BS40" t="s" s="0">
        <v>1131</v>
      </c>
      <c r="BT40" t="s" s="77">
        <f>HYPERLINK("https://www.webofscience.com/wos/woscc/full-record/WOS:001812229800001","View Record in Web of Science")</f>
        <v>114</v>
      </c>
      <c r="BU40" t="s" s="0">
        <v>602</v>
      </c>
      <c r="BV40" t="s" s="0">
        <v>79</v>
      </c>
      <c r="BW40" t="s" s="0">
        <v>79</v>
      </c>
      <c r="BX40" t="s" s="0">
        <v>115</v>
      </c>
    </row>
    <row r="41">
      <c r="A41" t="s" s="0">
        <v>77</v>
      </c>
      <c r="B41" t="s" s="0">
        <v>77</v>
      </c>
      <c r="C41" t="s" s="0">
        <v>77</v>
      </c>
      <c r="D41" t="s" s="0">
        <v>77</v>
      </c>
      <c r="E41" t="s" s="0">
        <v>1132</v>
      </c>
      <c r="F41" t="s" s="0">
        <v>1133</v>
      </c>
      <c r="G41" t="s" s="0">
        <v>1134</v>
      </c>
      <c r="H41" t="s" s="0">
        <v>79</v>
      </c>
      <c r="I41" t="s" s="0">
        <v>81</v>
      </c>
      <c r="J41" t="s" s="0">
        <v>1135</v>
      </c>
      <c r="K41" t="s" s="0">
        <v>1136</v>
      </c>
      <c r="L41" t="s" s="0">
        <v>79</v>
      </c>
      <c r="M41" t="s" s="0">
        <v>79</v>
      </c>
      <c r="N41" t="s" s="0">
        <v>79</v>
      </c>
      <c r="O41" t="s" s="0">
        <v>1137</v>
      </c>
      <c r="P41" t="s" s="0">
        <v>1138</v>
      </c>
      <c r="Q41" t="s" s="0">
        <v>85</v>
      </c>
      <c r="R41" t="s" s="0">
        <v>79</v>
      </c>
      <c r="S41" t="s" s="0">
        <v>79</v>
      </c>
      <c r="T41" t="s" s="0">
        <v>79</v>
      </c>
      <c r="U41" t="s" s="0">
        <v>79</v>
      </c>
      <c r="V41" t="s" s="0">
        <v>1139</v>
      </c>
      <c r="W41" t="s" s="0">
        <v>1140</v>
      </c>
      <c r="X41" t="s" s="0">
        <v>79</v>
      </c>
      <c r="Y41" t="s" s="0">
        <v>79</v>
      </c>
      <c r="Z41" t="s" s="0">
        <v>88</v>
      </c>
      <c r="AA41" t="s" s="0">
        <v>615</v>
      </c>
      <c r="AB41" t="s" s="0">
        <v>79</v>
      </c>
      <c r="AC41" t="s" s="0">
        <v>79</v>
      </c>
      <c r="AD41" t="s" s="0">
        <v>79</v>
      </c>
      <c r="AE41" t="s" s="0">
        <v>79</v>
      </c>
      <c r="AF41" t="s" s="0">
        <v>79</v>
      </c>
      <c r="AG41" t="s" s="0">
        <v>1141</v>
      </c>
      <c r="AH41" t="s" s="0">
        <v>1142</v>
      </c>
      <c r="AI41" t="s" s="0">
        <v>1143</v>
      </c>
      <c r="AJ41" t="s" s="0">
        <v>1144</v>
      </c>
      <c r="AK41" t="s" s="0">
        <v>79</v>
      </c>
      <c r="AL41" t="s" s="0">
        <v>515</v>
      </c>
      <c r="AM41" t="s" s="0">
        <v>92</v>
      </c>
      <c r="AN41" t="s" s="0">
        <v>92</v>
      </c>
      <c r="AO41" t="s" s="0">
        <v>131</v>
      </c>
      <c r="AP41" t="s" s="0">
        <v>165</v>
      </c>
      <c r="AQ41" t="s" s="0">
        <v>132</v>
      </c>
      <c r="AR41" t="s" s="0">
        <v>133</v>
      </c>
      <c r="AS41" t="s" s="0">
        <v>134</v>
      </c>
      <c r="AT41" t="s" s="0">
        <v>79</v>
      </c>
      <c r="AU41" t="s" s="0">
        <v>1145</v>
      </c>
      <c r="AV41" t="s" s="0">
        <v>79</v>
      </c>
      <c r="AW41" t="s" s="0">
        <v>1140</v>
      </c>
      <c r="AX41" t="s" s="0">
        <v>1146</v>
      </c>
      <c r="AY41" t="s" s="0">
        <v>79</v>
      </c>
      <c r="AZ41" t="s" s="0">
        <v>100</v>
      </c>
      <c r="BA41" t="s" s="0">
        <v>79</v>
      </c>
      <c r="BB41" t="s" s="0">
        <v>79</v>
      </c>
      <c r="BC41" t="s" s="0">
        <v>79</v>
      </c>
      <c r="BD41" t="s" s="0">
        <v>79</v>
      </c>
      <c r="BE41" t="s" s="0">
        <v>79</v>
      </c>
      <c r="BF41" t="s" s="0">
        <v>79</v>
      </c>
      <c r="BG41" t="s" s="0">
        <v>79</v>
      </c>
      <c r="BH41" t="s" s="0">
        <v>79</v>
      </c>
      <c r="BI41" t="s" s="0">
        <v>79</v>
      </c>
      <c r="BJ41" t="s" s="0">
        <v>1147</v>
      </c>
      <c r="BK41" t="s" s="78">
        <f>HYPERLINK("http://dx.doi.org/10.1002/epi4.70066","http://dx.doi.org/10.1002/epi4.70066")</f>
        <v>1148</v>
      </c>
      <c r="BL41" t="s" s="0">
        <v>79</v>
      </c>
      <c r="BM41" t="s" s="0">
        <v>1149</v>
      </c>
      <c r="BN41" t="s" s="0">
        <v>146</v>
      </c>
      <c r="BO41" t="s" s="0">
        <v>1150</v>
      </c>
      <c r="BP41" t="s" s="0">
        <v>1151</v>
      </c>
      <c r="BQ41" t="s" s="0">
        <v>1152</v>
      </c>
      <c r="BR41" t="s" s="0">
        <v>1153</v>
      </c>
      <c r="BS41" t="s" s="0">
        <v>1154</v>
      </c>
      <c r="BT41" t="s" s="79">
        <f>HYPERLINK("https://www.webofscience.com/wos/woscc/full-record/WOS:001492540400001","View Record in Web of Science")</f>
        <v>114</v>
      </c>
      <c r="BU41" t="s" s="0">
        <v>183</v>
      </c>
      <c r="BV41" t="s" s="0">
        <v>79</v>
      </c>
      <c r="BW41" t="s" s="0">
        <v>79</v>
      </c>
      <c r="BX41" t="s" s="0">
        <v>115</v>
      </c>
    </row>
    <row r="42">
      <c r="A42" t="s" s="0">
        <v>77</v>
      </c>
      <c r="B42" t="s" s="0">
        <v>77</v>
      </c>
      <c r="C42" t="s" s="0">
        <v>92</v>
      </c>
      <c r="D42" t="s" s="0">
        <v>77</v>
      </c>
      <c r="E42" t="s" s="0">
        <v>1155</v>
      </c>
      <c r="F42" t="s" s="0">
        <v>1156</v>
      </c>
      <c r="G42" t="s" s="0">
        <v>1157</v>
      </c>
      <c r="H42" t="s" s="0">
        <v>79</v>
      </c>
      <c r="I42" t="s" s="0">
        <v>81</v>
      </c>
      <c r="J42" t="s" s="0">
        <v>1158</v>
      </c>
      <c r="K42" t="s" s="0">
        <v>1159</v>
      </c>
      <c r="L42" t="s" s="0">
        <v>79</v>
      </c>
      <c r="M42" t="s" s="0">
        <v>79</v>
      </c>
      <c r="N42" t="s" s="0">
        <v>79</v>
      </c>
      <c r="O42" t="s" s="0">
        <v>1160</v>
      </c>
      <c r="P42" t="s" s="0">
        <v>1161</v>
      </c>
      <c r="Q42" t="s" s="0">
        <v>85</v>
      </c>
      <c r="R42" t="s" s="0">
        <v>79</v>
      </c>
      <c r="S42" t="s" s="0">
        <v>79</v>
      </c>
      <c r="T42" t="s" s="0">
        <v>79</v>
      </c>
      <c r="U42" t="s" s="0">
        <v>79</v>
      </c>
      <c r="V42" t="s" s="0">
        <v>1162</v>
      </c>
      <c r="W42" t="s" s="0">
        <v>1163</v>
      </c>
      <c r="X42" t="s" s="0">
        <v>79</v>
      </c>
      <c r="Y42" t="s" s="0">
        <v>79</v>
      </c>
      <c r="Z42" t="s" s="0">
        <v>88</v>
      </c>
      <c r="AA42" t="s" s="0">
        <v>89</v>
      </c>
      <c r="AB42" t="s" s="0">
        <v>79</v>
      </c>
      <c r="AC42" t="s" s="0">
        <v>79</v>
      </c>
      <c r="AD42" t="s" s="0">
        <v>79</v>
      </c>
      <c r="AE42" t="s" s="0">
        <v>79</v>
      </c>
      <c r="AF42" t="s" s="0">
        <v>79</v>
      </c>
      <c r="AG42" t="s" s="0">
        <v>79</v>
      </c>
      <c r="AH42" t="s" s="0">
        <v>79</v>
      </c>
      <c r="AI42" t="s" s="0">
        <v>1164</v>
      </c>
      <c r="AJ42" t="s" s="0">
        <v>1165</v>
      </c>
      <c r="AK42" t="s" s="0">
        <v>79</v>
      </c>
      <c r="AL42" t="s" s="0">
        <v>91</v>
      </c>
      <c r="AM42" t="s" s="0">
        <v>325</v>
      </c>
      <c r="AN42" t="s" s="0">
        <v>241</v>
      </c>
      <c r="AO42" t="s" s="0">
        <v>92</v>
      </c>
      <c r="AP42" t="s" s="0">
        <v>165</v>
      </c>
      <c r="AQ42" t="s" s="0">
        <v>132</v>
      </c>
      <c r="AR42" t="s" s="0">
        <v>133</v>
      </c>
      <c r="AS42" t="s" s="0">
        <v>134</v>
      </c>
      <c r="AT42" t="s" s="0">
        <v>1166</v>
      </c>
      <c r="AU42" t="s" s="0">
        <v>1167</v>
      </c>
      <c r="AV42" t="s" s="0">
        <v>79</v>
      </c>
      <c r="AW42" t="s" s="0">
        <v>1168</v>
      </c>
      <c r="AX42" t="s" s="0">
        <v>1169</v>
      </c>
      <c r="AY42" t="s" s="0">
        <v>568</v>
      </c>
      <c r="AZ42" t="s" s="0">
        <v>100</v>
      </c>
      <c r="BA42" t="s" s="0">
        <v>1051</v>
      </c>
      <c r="BB42" t="s" s="0">
        <v>230</v>
      </c>
      <c r="BC42" t="s" s="0">
        <v>79</v>
      </c>
      <c r="BD42" t="s" s="0">
        <v>79</v>
      </c>
      <c r="BE42" t="s" s="0">
        <v>79</v>
      </c>
      <c r="BF42" t="s" s="0">
        <v>79</v>
      </c>
      <c r="BG42" t="s" s="0">
        <v>1170</v>
      </c>
      <c r="BH42" t="s" s="0">
        <v>1171</v>
      </c>
      <c r="BI42" t="s" s="0">
        <v>79</v>
      </c>
      <c r="BJ42" t="s" s="0">
        <v>1172</v>
      </c>
      <c r="BK42" t="s" s="80">
        <f>HYPERLINK("http://dx.doi.org/10.1016/j.arthro.2024.09.020","http://dx.doi.org/10.1016/j.arthro.2024.09.020")</f>
        <v>1173</v>
      </c>
      <c r="BL42" t="s" s="0">
        <v>79</v>
      </c>
      <c r="BM42" t="s" s="0">
        <v>1149</v>
      </c>
      <c r="BN42" t="s" s="0">
        <v>130</v>
      </c>
      <c r="BO42" t="s" s="0">
        <v>1174</v>
      </c>
      <c r="BP42" t="s" s="0">
        <v>1174</v>
      </c>
      <c r="BQ42" t="s" s="0">
        <v>1175</v>
      </c>
      <c r="BR42" t="s" s="0">
        <v>1176</v>
      </c>
      <c r="BS42" t="s" s="0">
        <v>1177</v>
      </c>
      <c r="BT42" t="s" s="81">
        <f>HYPERLINK("https://www.webofscience.com/wos/woscc/full-record/WOS:001505151400026","View Record in Web of Science")</f>
        <v>114</v>
      </c>
      <c r="BU42" t="s" s="0">
        <v>79</v>
      </c>
      <c r="BV42" t="s" s="0">
        <v>79</v>
      </c>
      <c r="BW42" t="s" s="0">
        <v>79</v>
      </c>
      <c r="BX42" t="s" s="0">
        <v>115</v>
      </c>
    </row>
    <row r="43">
      <c r="A43" t="s" s="0">
        <v>77</v>
      </c>
      <c r="B43" t="s" s="0">
        <v>77</v>
      </c>
      <c r="C43" t="s" s="0">
        <v>166</v>
      </c>
      <c r="D43" t="s" s="0">
        <v>77</v>
      </c>
      <c r="E43" t="s" s="0">
        <v>1178</v>
      </c>
      <c r="F43" t="s" s="0">
        <v>1179</v>
      </c>
      <c r="G43" t="s" s="0">
        <v>1180</v>
      </c>
      <c r="H43" t="s" s="0">
        <v>79</v>
      </c>
      <c r="I43" t="s" s="0">
        <v>81</v>
      </c>
      <c r="J43" t="s" s="0">
        <v>1181</v>
      </c>
      <c r="K43" t="s" s="0">
        <v>1182</v>
      </c>
      <c r="L43" t="s" s="0">
        <v>79</v>
      </c>
      <c r="M43" t="s" s="0">
        <v>79</v>
      </c>
      <c r="N43" t="s" s="0">
        <v>79</v>
      </c>
      <c r="O43" t="s" s="0">
        <v>1183</v>
      </c>
      <c r="P43" t="s" s="0">
        <v>79</v>
      </c>
      <c r="Q43" t="s" s="0">
        <v>85</v>
      </c>
      <c r="R43" t="s" s="0">
        <v>79</v>
      </c>
      <c r="S43" t="s" s="0">
        <v>79</v>
      </c>
      <c r="T43" t="s" s="0">
        <v>79</v>
      </c>
      <c r="U43" t="s" s="0">
        <v>79</v>
      </c>
      <c r="V43" t="s" s="0">
        <v>1184</v>
      </c>
      <c r="W43" t="s" s="0">
        <v>1163</v>
      </c>
      <c r="X43" t="s" s="0">
        <v>79</v>
      </c>
      <c r="Y43" t="s" s="0">
        <v>79</v>
      </c>
      <c r="Z43" t="s" s="0">
        <v>88</v>
      </c>
      <c r="AA43" t="s" s="0">
        <v>89</v>
      </c>
      <c r="AB43" t="s" s="0">
        <v>79</v>
      </c>
      <c r="AC43" t="s" s="0">
        <v>79</v>
      </c>
      <c r="AD43" t="s" s="0">
        <v>79</v>
      </c>
      <c r="AE43" t="s" s="0">
        <v>79</v>
      </c>
      <c r="AF43" t="s" s="0">
        <v>79</v>
      </c>
      <c r="AG43" t="s" s="0">
        <v>79</v>
      </c>
      <c r="AH43" t="s" s="0">
        <v>1185</v>
      </c>
      <c r="AI43" t="s" s="0">
        <v>1186</v>
      </c>
      <c r="AJ43" t="s" s="0">
        <v>1187</v>
      </c>
      <c r="AK43" t="s" s="0">
        <v>79</v>
      </c>
      <c r="AL43" t="s" s="0">
        <v>199</v>
      </c>
      <c r="AM43" t="s" s="0">
        <v>198</v>
      </c>
      <c r="AN43" t="s" s="0">
        <v>507</v>
      </c>
      <c r="AO43" t="s" s="0">
        <v>77</v>
      </c>
      <c r="AP43" t="s" s="0">
        <v>164</v>
      </c>
      <c r="AQ43" t="s" s="0">
        <v>132</v>
      </c>
      <c r="AR43" t="s" s="0">
        <v>133</v>
      </c>
      <c r="AS43" t="s" s="0">
        <v>134</v>
      </c>
      <c r="AT43" t="s" s="0">
        <v>1166</v>
      </c>
      <c r="AU43" t="s" s="0">
        <v>1167</v>
      </c>
      <c r="AV43" t="s" s="0">
        <v>79</v>
      </c>
      <c r="AW43" t="s" s="0">
        <v>1168</v>
      </c>
      <c r="AX43" t="s" s="0">
        <v>1169</v>
      </c>
      <c r="AY43" t="s" s="0">
        <v>1188</v>
      </c>
      <c r="AZ43" t="s" s="0">
        <v>100</v>
      </c>
      <c r="BA43" t="s" s="0">
        <v>1051</v>
      </c>
      <c r="BB43" t="s" s="0">
        <v>131</v>
      </c>
      <c r="BC43" t="s" s="0">
        <v>79</v>
      </c>
      <c r="BD43" t="s" s="0">
        <v>79</v>
      </c>
      <c r="BE43" t="s" s="0">
        <v>79</v>
      </c>
      <c r="BF43" t="s" s="0">
        <v>79</v>
      </c>
      <c r="BG43" t="s" s="0">
        <v>79</v>
      </c>
      <c r="BH43" t="s" s="0">
        <v>79</v>
      </c>
      <c r="BI43" t="s" s="0">
        <v>79</v>
      </c>
      <c r="BJ43" t="s" s="0">
        <v>1189</v>
      </c>
      <c r="BK43" t="s" s="82">
        <f>HYPERLINK("http://dx.doi.org/10.1016/j.arthro.2024.07.040","http://dx.doi.org/10.1016/j.arthro.2024.07.040")</f>
        <v>1190</v>
      </c>
      <c r="BL43" t="s" s="0">
        <v>79</v>
      </c>
      <c r="BM43" t="s" s="0">
        <v>107</v>
      </c>
      <c r="BN43" t="s" s="0">
        <v>623</v>
      </c>
      <c r="BO43" t="s" s="0">
        <v>1174</v>
      </c>
      <c r="BP43" t="s" s="0">
        <v>1174</v>
      </c>
      <c r="BQ43" t="s" s="0">
        <v>1191</v>
      </c>
      <c r="BR43" t="s" s="0">
        <v>1192</v>
      </c>
      <c r="BS43" t="s" s="0">
        <v>1193</v>
      </c>
      <c r="BT43" t="s" s="83">
        <f>HYPERLINK("https://www.webofscience.com/wos/woscc/full-record/WOS:001407460300001","View Record in Web of Science")</f>
        <v>114</v>
      </c>
      <c r="BU43" t="s" s="0">
        <v>1194</v>
      </c>
      <c r="BV43" t="s" s="0">
        <v>706</v>
      </c>
      <c r="BW43" t="s" s="0">
        <v>707</v>
      </c>
      <c r="BX43" t="s" s="0">
        <v>115</v>
      </c>
    </row>
    <row r="44">
      <c r="A44" t="s" s="0">
        <v>77</v>
      </c>
      <c r="B44" t="s" s="0">
        <v>77</v>
      </c>
      <c r="C44" t="s" s="0">
        <v>77</v>
      </c>
      <c r="D44" t="s" s="0">
        <v>77</v>
      </c>
      <c r="E44" t="s" s="0">
        <v>1195</v>
      </c>
      <c r="F44" t="s" s="0">
        <v>1196</v>
      </c>
      <c r="G44" t="s" s="0">
        <v>1197</v>
      </c>
      <c r="H44" t="s" s="0">
        <v>79</v>
      </c>
      <c r="I44" t="s" s="0">
        <v>398</v>
      </c>
      <c r="J44" t="s" s="0">
        <v>1198</v>
      </c>
      <c r="K44" t="s" s="0">
        <v>1199</v>
      </c>
      <c r="L44" t="s" s="0">
        <v>1200</v>
      </c>
      <c r="M44" t="s" s="0">
        <v>1201</v>
      </c>
      <c r="N44" t="s" s="0">
        <v>1202</v>
      </c>
      <c r="O44" t="s" s="0">
        <v>1203</v>
      </c>
      <c r="P44" t="s" s="0">
        <v>1204</v>
      </c>
      <c r="Q44" t="s" s="0">
        <v>85</v>
      </c>
      <c r="R44" t="s" s="0">
        <v>79</v>
      </c>
      <c r="S44" t="s" s="0">
        <v>79</v>
      </c>
      <c r="T44" t="s" s="0">
        <v>79</v>
      </c>
      <c r="U44" t="s" s="0">
        <v>79</v>
      </c>
      <c r="V44" t="s" s="0">
        <v>1205</v>
      </c>
      <c r="W44" t="s" s="0">
        <v>1206</v>
      </c>
      <c r="X44" t="s" s="0">
        <v>79</v>
      </c>
      <c r="Y44" t="s" s="0">
        <v>79</v>
      </c>
      <c r="Z44" t="s" s="0">
        <v>88</v>
      </c>
      <c r="AA44" t="s" s="0">
        <v>89</v>
      </c>
      <c r="AB44" t="s" s="0">
        <v>79</v>
      </c>
      <c r="AC44" t="s" s="0">
        <v>79</v>
      </c>
      <c r="AD44" t="s" s="0">
        <v>79</v>
      </c>
      <c r="AE44" t="s" s="0">
        <v>79</v>
      </c>
      <c r="AF44" t="s" s="0">
        <v>79</v>
      </c>
      <c r="AG44" t="s" s="0">
        <v>1207</v>
      </c>
      <c r="AH44" t="s" s="0">
        <v>79</v>
      </c>
      <c r="AI44" t="s" s="0">
        <v>1208</v>
      </c>
      <c r="AJ44" t="s" s="0">
        <v>1209</v>
      </c>
      <c r="AK44" t="s" s="0">
        <v>79</v>
      </c>
      <c r="AL44" t="s" s="0">
        <v>1210</v>
      </c>
      <c r="AM44" t="s" s="0">
        <v>165</v>
      </c>
      <c r="AN44" t="s" s="0">
        <v>165</v>
      </c>
      <c r="AO44" t="s" s="0">
        <v>165</v>
      </c>
      <c r="AP44" t="s" s="0">
        <v>102</v>
      </c>
      <c r="AQ44" t="s" s="0">
        <v>350</v>
      </c>
      <c r="AR44" t="s" s="0">
        <v>351</v>
      </c>
      <c r="AS44" t="s" s="0">
        <v>352</v>
      </c>
      <c r="AT44" t="s" s="0">
        <v>79</v>
      </c>
      <c r="AU44" t="s" s="0">
        <v>1211</v>
      </c>
      <c r="AV44" t="s" s="0">
        <v>79</v>
      </c>
      <c r="AW44" t="s" s="0">
        <v>1212</v>
      </c>
      <c r="AX44" t="s" s="0">
        <v>1213</v>
      </c>
      <c r="AY44" t="s" s="0">
        <v>1214</v>
      </c>
      <c r="AZ44" t="s" s="0">
        <v>100</v>
      </c>
      <c r="BA44" t="s" s="0">
        <v>130</v>
      </c>
      <c r="BB44" t="s" s="0">
        <v>79</v>
      </c>
      <c r="BC44" t="s" s="0">
        <v>79</v>
      </c>
      <c r="BD44" t="s" s="0">
        <v>79</v>
      </c>
      <c r="BE44" t="s" s="0">
        <v>79</v>
      </c>
      <c r="BF44" t="s" s="0">
        <v>79</v>
      </c>
      <c r="BG44" t="s" s="0">
        <v>79</v>
      </c>
      <c r="BH44" t="s" s="0">
        <v>79</v>
      </c>
      <c r="BI44" t="s" s="0">
        <v>1215</v>
      </c>
      <c r="BJ44" t="s" s="0">
        <v>1216</v>
      </c>
      <c r="BK44" t="s" s="84">
        <f>HYPERLINK("http://dx.doi.org/10.3389/fdgth.2025.1623922","http://dx.doi.org/10.3389/fdgth.2025.1623922")</f>
        <v>1217</v>
      </c>
      <c r="BL44" t="s" s="0">
        <v>79</v>
      </c>
      <c r="BM44" t="s" s="0">
        <v>79</v>
      </c>
      <c r="BN44" t="s" s="0">
        <v>211</v>
      </c>
      <c r="BO44" t="s" s="0">
        <v>276</v>
      </c>
      <c r="BP44" t="s" s="0">
        <v>276</v>
      </c>
      <c r="BQ44" t="s" s="0">
        <v>1218</v>
      </c>
      <c r="BR44" t="s" s="0">
        <v>1219</v>
      </c>
      <c r="BS44" t="s" s="0">
        <v>1220</v>
      </c>
      <c r="BT44" t="s" s="85">
        <f>HYPERLINK("https://www.webofscience.com/wos/woscc/full-record/WOS:001634254900001","View Record in Web of Science")</f>
        <v>114</v>
      </c>
      <c r="BU44" t="s" s="0">
        <v>183</v>
      </c>
      <c r="BV44" t="s" s="0">
        <v>79</v>
      </c>
      <c r="BW44" t="s" s="0">
        <v>79</v>
      </c>
      <c r="BX44" t="s" s="0">
        <v>115</v>
      </c>
    </row>
    <row r="45">
      <c r="A45" t="s" s="0">
        <v>77</v>
      </c>
      <c r="B45" t="s" s="0">
        <v>77</v>
      </c>
      <c r="C45" t="s" s="0">
        <v>77</v>
      </c>
      <c r="D45" t="s" s="0">
        <v>77</v>
      </c>
      <c r="E45" t="s" s="0">
        <v>1221</v>
      </c>
      <c r="F45" t="s" s="0">
        <v>1222</v>
      </c>
      <c r="G45" t="s" s="0">
        <v>1223</v>
      </c>
      <c r="H45" t="s" s="0">
        <v>79</v>
      </c>
      <c r="I45" t="s" s="0">
        <v>81</v>
      </c>
      <c r="J45" t="s" s="0">
        <v>1224</v>
      </c>
      <c r="K45" t="s" s="0">
        <v>1225</v>
      </c>
      <c r="L45" t="s" s="0">
        <v>1226</v>
      </c>
      <c r="M45" t="s" s="0">
        <v>1227</v>
      </c>
      <c r="N45" t="s" s="0">
        <v>1228</v>
      </c>
      <c r="O45" t="s" s="0">
        <v>1229</v>
      </c>
      <c r="P45" t="s" s="0">
        <v>1230</v>
      </c>
      <c r="Q45" t="s" s="0">
        <v>85</v>
      </c>
      <c r="R45" t="s" s="0">
        <v>79</v>
      </c>
      <c r="S45" t="s" s="0">
        <v>79</v>
      </c>
      <c r="T45" t="s" s="0">
        <v>79</v>
      </c>
      <c r="U45" t="s" s="0">
        <v>79</v>
      </c>
      <c r="V45" t="s" s="0">
        <v>1231</v>
      </c>
      <c r="W45" t="s" s="0">
        <v>1232</v>
      </c>
      <c r="X45" t="s" s="0">
        <v>79</v>
      </c>
      <c r="Y45" t="s" s="0">
        <v>79</v>
      </c>
      <c r="Z45" t="s" s="0">
        <v>88</v>
      </c>
      <c r="AA45" t="s" s="0">
        <v>89</v>
      </c>
      <c r="AB45" t="s" s="0">
        <v>79</v>
      </c>
      <c r="AC45" t="s" s="0">
        <v>79</v>
      </c>
      <c r="AD45" t="s" s="0">
        <v>79</v>
      </c>
      <c r="AE45" t="s" s="0">
        <v>79</v>
      </c>
      <c r="AF45" t="s" s="0">
        <v>79</v>
      </c>
      <c r="AG45" t="s" s="0">
        <v>1233</v>
      </c>
      <c r="AH45" t="s" s="0">
        <v>79</v>
      </c>
      <c r="AI45" t="s" s="0">
        <v>79</v>
      </c>
      <c r="AJ45" t="s" s="0">
        <v>1234</v>
      </c>
      <c r="AK45" t="s" s="0">
        <v>79</v>
      </c>
      <c r="AL45" t="s" s="0">
        <v>264</v>
      </c>
      <c r="AM45" t="s" s="0">
        <v>165</v>
      </c>
      <c r="AN45" t="s" s="0">
        <v>165</v>
      </c>
      <c r="AO45" t="s" s="0">
        <v>131</v>
      </c>
      <c r="AP45" t="s" s="0">
        <v>165</v>
      </c>
      <c r="AQ45" t="s" s="0">
        <v>265</v>
      </c>
      <c r="AR45" t="s" s="0">
        <v>266</v>
      </c>
      <c r="AS45" t="s" s="0">
        <v>267</v>
      </c>
      <c r="AT45" t="s" s="0">
        <v>1235</v>
      </c>
      <c r="AU45" t="s" s="0">
        <v>79</v>
      </c>
      <c r="AV45" t="s" s="0">
        <v>79</v>
      </c>
      <c r="AW45" t="s" s="0">
        <v>1236</v>
      </c>
      <c r="AX45" t="s" s="0">
        <v>1237</v>
      </c>
      <c r="AY45" t="s" s="0">
        <v>100</v>
      </c>
      <c r="AZ45" t="s" s="0">
        <v>100</v>
      </c>
      <c r="BA45" t="s" s="0">
        <v>211</v>
      </c>
      <c r="BB45" t="s" s="0">
        <v>79</v>
      </c>
      <c r="BC45" t="s" s="0">
        <v>79</v>
      </c>
      <c r="BD45" t="s" s="0">
        <v>79</v>
      </c>
      <c r="BE45" t="s" s="0">
        <v>79</v>
      </c>
      <c r="BF45" t="s" s="0">
        <v>79</v>
      </c>
      <c r="BG45" t="s" s="0">
        <v>79</v>
      </c>
      <c r="BH45" t="s" s="0">
        <v>79</v>
      </c>
      <c r="BI45" t="s" s="0">
        <v>1238</v>
      </c>
      <c r="BJ45" t="s" s="0">
        <v>1239</v>
      </c>
      <c r="BK45" t="s" s="86">
        <f>HYPERLINK("http://dx.doi.org/10.2196/68697","http://dx.doi.org/10.2196/68697")</f>
        <v>1240</v>
      </c>
      <c r="BL45" t="s" s="0">
        <v>79</v>
      </c>
      <c r="BM45" t="s" s="0">
        <v>79</v>
      </c>
      <c r="BN45" t="s" s="0">
        <v>108</v>
      </c>
      <c r="BO45" t="s" s="0">
        <v>1241</v>
      </c>
      <c r="BP45" t="s" s="0">
        <v>1242</v>
      </c>
      <c r="BQ45" t="s" s="0">
        <v>1243</v>
      </c>
      <c r="BR45" t="s" s="0">
        <v>1244</v>
      </c>
      <c r="BS45" t="s" s="0">
        <v>1245</v>
      </c>
      <c r="BT45" t="s" s="87">
        <f>HYPERLINK("https://www.webofscience.com/wos/woscc/full-record/WOS:001600515500001","View Record in Web of Science")</f>
        <v>114</v>
      </c>
      <c r="BU45" t="s" s="0">
        <v>1246</v>
      </c>
      <c r="BV45" t="s" s="0">
        <v>79</v>
      </c>
      <c r="BW45" t="s" s="0">
        <v>79</v>
      </c>
      <c r="BX45" t="s" s="0">
        <v>115</v>
      </c>
    </row>
    <row r="46">
      <c r="A46" t="s" s="0">
        <v>77</v>
      </c>
      <c r="B46" t="s" s="0">
        <v>77</v>
      </c>
      <c r="C46" t="s" s="0">
        <v>166</v>
      </c>
      <c r="D46" t="s" s="0">
        <v>77</v>
      </c>
      <c r="E46" t="s" s="0">
        <v>1247</v>
      </c>
      <c r="F46" t="s" s="0">
        <v>1248</v>
      </c>
      <c r="G46" t="s" s="0">
        <v>1249</v>
      </c>
      <c r="H46" t="s" s="0">
        <v>79</v>
      </c>
      <c r="I46" t="s" s="0">
        <v>398</v>
      </c>
      <c r="J46" t="s" s="0">
        <v>1250</v>
      </c>
      <c r="K46" t="s" s="0">
        <v>1251</v>
      </c>
      <c r="L46" t="s" s="0">
        <v>1252</v>
      </c>
      <c r="M46" t="s" s="0">
        <v>1253</v>
      </c>
      <c r="N46" t="s" s="0">
        <v>1254</v>
      </c>
      <c r="O46" t="s" s="0">
        <v>1255</v>
      </c>
      <c r="P46" t="s" s="0">
        <v>1256</v>
      </c>
      <c r="Q46" t="s" s="0">
        <v>85</v>
      </c>
      <c r="R46" t="s" s="0">
        <v>79</v>
      </c>
      <c r="S46" t="s" s="0">
        <v>79</v>
      </c>
      <c r="T46" t="s" s="0">
        <v>79</v>
      </c>
      <c r="U46" t="s" s="0">
        <v>79</v>
      </c>
      <c r="V46" t="s" s="0">
        <v>1257</v>
      </c>
      <c r="W46" t="s" s="0">
        <v>1258</v>
      </c>
      <c r="X46" t="s" s="0">
        <v>79</v>
      </c>
      <c r="Y46" t="s" s="0">
        <v>79</v>
      </c>
      <c r="Z46" t="s" s="0">
        <v>88</v>
      </c>
      <c r="AA46" t="s" s="0">
        <v>89</v>
      </c>
      <c r="AB46" t="s" s="0">
        <v>79</v>
      </c>
      <c r="AC46" t="s" s="0">
        <v>79</v>
      </c>
      <c r="AD46" t="s" s="0">
        <v>79</v>
      </c>
      <c r="AE46" t="s" s="0">
        <v>79</v>
      </c>
      <c r="AF46" t="s" s="0">
        <v>79</v>
      </c>
      <c r="AG46" t="s" s="0">
        <v>1259</v>
      </c>
      <c r="AH46" t="s" s="0">
        <v>79</v>
      </c>
      <c r="AI46" t="s" s="0">
        <v>1260</v>
      </c>
      <c r="AJ46" t="s" s="0">
        <v>1261</v>
      </c>
      <c r="AK46" t="s" s="0">
        <v>79</v>
      </c>
      <c r="AL46" t="s" s="0">
        <v>694</v>
      </c>
      <c r="AM46" t="s" s="0">
        <v>146</v>
      </c>
      <c r="AN46" t="s" s="0">
        <v>211</v>
      </c>
      <c r="AO46" t="s" s="0">
        <v>102</v>
      </c>
      <c r="AP46" t="s" s="0">
        <v>164</v>
      </c>
      <c r="AQ46" t="s" s="0">
        <v>200</v>
      </c>
      <c r="AR46" t="s" s="0">
        <v>201</v>
      </c>
      <c r="AS46" t="s" s="0">
        <v>202</v>
      </c>
      <c r="AT46" t="s" s="0">
        <v>1262</v>
      </c>
      <c r="AU46" t="s" s="0">
        <v>1263</v>
      </c>
      <c r="AV46" t="s" s="0">
        <v>79</v>
      </c>
      <c r="AW46" t="s" s="0">
        <v>1264</v>
      </c>
      <c r="AX46" t="s" s="0">
        <v>1265</v>
      </c>
      <c r="AY46" t="s" s="0">
        <v>1266</v>
      </c>
      <c r="AZ46" t="s" s="0">
        <v>100</v>
      </c>
      <c r="BA46" t="s" s="0">
        <v>412</v>
      </c>
      <c r="BB46" t="s" s="0">
        <v>131</v>
      </c>
      <c r="BC46" t="s" s="0">
        <v>79</v>
      </c>
      <c r="BD46" t="s" s="0">
        <v>79</v>
      </c>
      <c r="BE46" t="s" s="0">
        <v>79</v>
      </c>
      <c r="BF46" t="s" s="0">
        <v>79</v>
      </c>
      <c r="BG46" t="s" s="0">
        <v>1267</v>
      </c>
      <c r="BH46" t="s" s="0">
        <v>1268</v>
      </c>
      <c r="BI46" t="s" s="0">
        <v>79</v>
      </c>
      <c r="BJ46" t="s" s="0">
        <v>1269</v>
      </c>
      <c r="BK46" t="s" s="88">
        <f>HYPERLINK("http://dx.doi.org/10.1016/j.ogla.2024.10.005","http://dx.doi.org/10.1016/j.ogla.2024.10.005")</f>
        <v>1270</v>
      </c>
      <c r="BL46" t="s" s="0">
        <v>79</v>
      </c>
      <c r="BM46" t="s" s="0">
        <v>389</v>
      </c>
      <c r="BN46" t="s" s="0">
        <v>146</v>
      </c>
      <c r="BO46" t="s" s="0">
        <v>1271</v>
      </c>
      <c r="BP46" t="s" s="0">
        <v>1271</v>
      </c>
      <c r="BQ46" t="s" s="0">
        <v>1272</v>
      </c>
      <c r="BR46" t="s" s="0">
        <v>1273</v>
      </c>
      <c r="BS46" t="s" s="0">
        <v>1274</v>
      </c>
      <c r="BT46" t="s" s="89">
        <f>HYPERLINK("https://www.webofscience.com/wos/woscc/full-record/WOS:001469201600001","View Record in Web of Science")</f>
        <v>114</v>
      </c>
      <c r="BU46" t="s" s="0">
        <v>79</v>
      </c>
      <c r="BV46" t="s" s="0">
        <v>79</v>
      </c>
      <c r="BW46" t="s" s="0">
        <v>79</v>
      </c>
      <c r="BX46" t="s" s="0">
        <v>115</v>
      </c>
    </row>
    <row r="47">
      <c r="A47" t="s" s="0">
        <v>131</v>
      </c>
      <c r="B47" t="s" s="0">
        <v>77</v>
      </c>
      <c r="C47" t="s" s="0">
        <v>412</v>
      </c>
      <c r="D47" t="s" s="0">
        <v>77</v>
      </c>
      <c r="E47" t="s" s="0">
        <v>1275</v>
      </c>
      <c r="F47" t="s" s="0">
        <v>1276</v>
      </c>
      <c r="G47" t="s" s="0">
        <v>1277</v>
      </c>
      <c r="H47" t="s" s="0">
        <v>79</v>
      </c>
      <c r="I47" t="s" s="0">
        <v>840</v>
      </c>
      <c r="J47" t="s" s="0">
        <v>1278</v>
      </c>
      <c r="K47" t="s" s="0">
        <v>1279</v>
      </c>
      <c r="L47" t="s" s="0">
        <v>1280</v>
      </c>
      <c r="M47" t="s" s="0">
        <v>1281</v>
      </c>
      <c r="N47" t="s" s="0">
        <v>1282</v>
      </c>
      <c r="O47" t="s" s="0">
        <v>1283</v>
      </c>
      <c r="P47" t="s" s="0">
        <v>1284</v>
      </c>
      <c r="Q47" t="s" s="0">
        <v>85</v>
      </c>
      <c r="R47" t="s" s="0">
        <v>79</v>
      </c>
      <c r="S47" t="s" s="0">
        <v>79</v>
      </c>
      <c r="T47" t="s" s="0">
        <v>79</v>
      </c>
      <c r="U47" t="s" s="0">
        <v>79</v>
      </c>
      <c r="V47" t="s" s="0">
        <v>1285</v>
      </c>
      <c r="W47" t="s" s="0">
        <v>1286</v>
      </c>
      <c r="X47" t="s" s="0">
        <v>79</v>
      </c>
      <c r="Y47" t="s" s="0">
        <v>79</v>
      </c>
      <c r="Z47" t="s" s="0">
        <v>88</v>
      </c>
      <c r="AA47" t="s" s="0">
        <v>89</v>
      </c>
      <c r="AB47" t="s" s="0">
        <v>79</v>
      </c>
      <c r="AC47" t="s" s="0">
        <v>79</v>
      </c>
      <c r="AD47" t="s" s="0">
        <v>79</v>
      </c>
      <c r="AE47" t="s" s="0">
        <v>79</v>
      </c>
      <c r="AF47" t="s" s="0">
        <v>79</v>
      </c>
      <c r="AG47" t="s" s="0">
        <v>1287</v>
      </c>
      <c r="AH47" t="s" s="0">
        <v>1288</v>
      </c>
      <c r="AI47" t="s" s="0">
        <v>1289</v>
      </c>
      <c r="AJ47" t="s" s="0">
        <v>1290</v>
      </c>
      <c r="AK47" t="s" s="0">
        <v>79</v>
      </c>
      <c r="AL47" t="s" s="0">
        <v>1291</v>
      </c>
      <c r="AM47" t="s" s="0">
        <v>887</v>
      </c>
      <c r="AN47" t="s" s="0">
        <v>588</v>
      </c>
      <c r="AO47" t="s" s="0">
        <v>131</v>
      </c>
      <c r="AP47" t="s" s="0">
        <v>174</v>
      </c>
      <c r="AQ47" t="s" s="0">
        <v>200</v>
      </c>
      <c r="AR47" t="s" s="0">
        <v>201</v>
      </c>
      <c r="AS47" t="s" s="0">
        <v>202</v>
      </c>
      <c r="AT47" t="s" s="0">
        <v>1292</v>
      </c>
      <c r="AU47" t="s" s="0">
        <v>79</v>
      </c>
      <c r="AV47" t="s" s="0">
        <v>79</v>
      </c>
      <c r="AW47" t="s" s="0">
        <v>1293</v>
      </c>
      <c r="AX47" t="s" s="0">
        <v>1294</v>
      </c>
      <c r="AY47" t="s" s="0">
        <v>1295</v>
      </c>
      <c r="AZ47" t="s" s="0">
        <v>462</v>
      </c>
      <c r="BA47" t="s" s="0">
        <v>722</v>
      </c>
      <c r="BB47" t="s" s="0">
        <v>79</v>
      </c>
      <c r="BC47" t="s" s="0">
        <v>79</v>
      </c>
      <c r="BD47" t="s" s="0">
        <v>79</v>
      </c>
      <c r="BE47" t="s" s="0">
        <v>79</v>
      </c>
      <c r="BF47" t="s" s="0">
        <v>79</v>
      </c>
      <c r="BG47" t="s" s="0">
        <v>79</v>
      </c>
      <c r="BH47" t="s" s="0">
        <v>79</v>
      </c>
      <c r="BI47" t="s" s="0">
        <v>1296</v>
      </c>
      <c r="BJ47" t="s" s="0">
        <v>1297</v>
      </c>
      <c r="BK47" t="s" s="90">
        <f>HYPERLINK("http://dx.doi.org/10.1016/j.lanepe.2024.101064","http://dx.doi.org/10.1016/j.lanepe.2024.101064")</f>
        <v>1298</v>
      </c>
      <c r="BL47" t="s" s="0">
        <v>79</v>
      </c>
      <c r="BM47" t="s" s="0">
        <v>1050</v>
      </c>
      <c r="BN47" t="s" s="0">
        <v>108</v>
      </c>
      <c r="BO47" t="s" s="0">
        <v>1299</v>
      </c>
      <c r="BP47" t="s" s="0">
        <v>1299</v>
      </c>
      <c r="BQ47" t="s" s="0">
        <v>1300</v>
      </c>
      <c r="BR47" t="s" s="0">
        <v>1301</v>
      </c>
      <c r="BS47" t="s" s="0">
        <v>1302</v>
      </c>
      <c r="BT47" t="s" s="91">
        <f>HYPERLINK("https://www.webofscience.com/wos/woscc/full-record/WOS:001310845000001","View Record in Web of Science")</f>
        <v>114</v>
      </c>
      <c r="BU47" t="s" s="0">
        <v>183</v>
      </c>
      <c r="BV47" t="s" s="0">
        <v>79</v>
      </c>
      <c r="BW47" t="s" s="0">
        <v>79</v>
      </c>
      <c r="BX47" t="s" s="0">
        <v>115</v>
      </c>
    </row>
    <row r="48">
      <c r="A48" t="s" s="0">
        <v>77</v>
      </c>
      <c r="B48" t="s" s="0">
        <v>77</v>
      </c>
      <c r="C48" t="s" s="0">
        <v>77</v>
      </c>
      <c r="D48" t="s" s="0">
        <v>77</v>
      </c>
      <c r="E48" t="s" s="0">
        <v>1303</v>
      </c>
      <c r="F48" t="s" s="0">
        <v>1304</v>
      </c>
      <c r="G48" t="s" s="0">
        <v>1305</v>
      </c>
      <c r="H48" t="s" s="0">
        <v>79</v>
      </c>
      <c r="I48" t="s" s="0">
        <v>81</v>
      </c>
      <c r="J48" t="s" s="0">
        <v>1306</v>
      </c>
      <c r="K48" t="s" s="0">
        <v>1307</v>
      </c>
      <c r="L48" t="s" s="0">
        <v>79</v>
      </c>
      <c r="M48" t="s" s="0">
        <v>79</v>
      </c>
      <c r="N48" t="s" s="0">
        <v>1308</v>
      </c>
      <c r="O48" t="s" s="0">
        <v>1309</v>
      </c>
      <c r="P48" t="s" s="0">
        <v>1310</v>
      </c>
      <c r="Q48" t="s" s="0">
        <v>85</v>
      </c>
      <c r="R48" t="s" s="0">
        <v>79</v>
      </c>
      <c r="S48" t="s" s="0">
        <v>79</v>
      </c>
      <c r="T48" t="s" s="0">
        <v>79</v>
      </c>
      <c r="U48" t="s" s="0">
        <v>79</v>
      </c>
      <c r="V48" t="s" s="0">
        <v>1311</v>
      </c>
      <c r="W48" t="s" s="0">
        <v>1312</v>
      </c>
      <c r="X48" t="s" s="0">
        <v>79</v>
      </c>
      <c r="Y48" t="s" s="0">
        <v>79</v>
      </c>
      <c r="Z48" t="s" s="0">
        <v>88</v>
      </c>
      <c r="AA48" t="s" s="0">
        <v>89</v>
      </c>
      <c r="AB48" t="s" s="0">
        <v>79</v>
      </c>
      <c r="AC48" t="s" s="0">
        <v>79</v>
      </c>
      <c r="AD48" t="s" s="0">
        <v>79</v>
      </c>
      <c r="AE48" t="s" s="0">
        <v>79</v>
      </c>
      <c r="AF48" t="s" s="0">
        <v>79</v>
      </c>
      <c r="AG48" t="s" s="0">
        <v>1313</v>
      </c>
      <c r="AH48" t="s" s="0">
        <v>79</v>
      </c>
      <c r="AI48" t="s" s="0">
        <v>1314</v>
      </c>
      <c r="AJ48" t="s" s="0">
        <v>79</v>
      </c>
      <c r="AK48" t="s" s="0">
        <v>79</v>
      </c>
      <c r="AL48" t="s" s="0">
        <v>1315</v>
      </c>
      <c r="AM48" t="s" s="0">
        <v>77</v>
      </c>
      <c r="AN48" t="s" s="0">
        <v>77</v>
      </c>
      <c r="AO48" t="s" s="0">
        <v>77</v>
      </c>
      <c r="AP48" t="s" s="0">
        <v>77</v>
      </c>
      <c r="AQ48" t="s" s="0">
        <v>318</v>
      </c>
      <c r="AR48" t="s" s="0">
        <v>319</v>
      </c>
      <c r="AS48" t="s" s="0">
        <v>320</v>
      </c>
      <c r="AT48" t="s" s="0">
        <v>79</v>
      </c>
      <c r="AU48" t="s" s="0">
        <v>1316</v>
      </c>
      <c r="AV48" t="s" s="0">
        <v>79</v>
      </c>
      <c r="AW48" t="s" s="0">
        <v>1317</v>
      </c>
      <c r="AX48" t="s" s="0">
        <v>1318</v>
      </c>
      <c r="AY48" t="s" s="0">
        <v>1319</v>
      </c>
      <c r="AZ48" t="s" s="0">
        <v>139</v>
      </c>
      <c r="BA48" t="s" s="0">
        <v>231</v>
      </c>
      <c r="BB48" t="s" s="0">
        <v>164</v>
      </c>
      <c r="BC48" t="s" s="0">
        <v>79</v>
      </c>
      <c r="BD48" t="s" s="0">
        <v>79</v>
      </c>
      <c r="BE48" t="s" s="0">
        <v>79</v>
      </c>
      <c r="BF48" t="s" s="0">
        <v>79</v>
      </c>
      <c r="BG48" t="s" s="0">
        <v>79</v>
      </c>
      <c r="BH48" t="s" s="0">
        <v>79</v>
      </c>
      <c r="BI48" t="s" s="0">
        <v>1320</v>
      </c>
      <c r="BJ48" t="s" s="0">
        <v>1321</v>
      </c>
      <c r="BK48" t="s" s="92">
        <f>HYPERLINK("http://dx.doi.org/10.3390/app16136630","http://dx.doi.org/10.3390/app16136630")</f>
        <v>1322</v>
      </c>
      <c r="BL48" t="s" s="0">
        <v>79</v>
      </c>
      <c r="BM48" t="s" s="0">
        <v>79</v>
      </c>
      <c r="BN48" t="s" s="0">
        <v>91</v>
      </c>
      <c r="BO48" t="s" s="0">
        <v>1323</v>
      </c>
      <c r="BP48" t="s" s="0">
        <v>1324</v>
      </c>
      <c r="BQ48" t="s" s="0">
        <v>1325</v>
      </c>
      <c r="BR48" t="s" s="0">
        <v>79</v>
      </c>
      <c r="BS48" t="s" s="0">
        <v>1326</v>
      </c>
      <c r="BT48" t="s" s="93">
        <f>HYPERLINK("https://www.webofscience.com/wos/woscc/full-record/WOS:001818102200001","View Record in Web of Science")</f>
        <v>114</v>
      </c>
      <c r="BU48" t="s" s="0">
        <v>602</v>
      </c>
      <c r="BV48" t="s" s="0">
        <v>79</v>
      </c>
      <c r="BW48" t="s" s="0">
        <v>79</v>
      </c>
      <c r="BX48" t="s" s="0">
        <v>115</v>
      </c>
    </row>
    <row r="49">
      <c r="A49" t="s" s="0">
        <v>77</v>
      </c>
      <c r="B49" t="s" s="0">
        <v>77</v>
      </c>
      <c r="C49" t="s" s="0">
        <v>92</v>
      </c>
      <c r="D49" t="s" s="0">
        <v>77</v>
      </c>
      <c r="E49" t="s" s="0">
        <v>1327</v>
      </c>
      <c r="F49" t="s" s="0">
        <v>1328</v>
      </c>
      <c r="G49" t="s" s="0">
        <v>1329</v>
      </c>
      <c r="H49" t="s" s="0">
        <v>79</v>
      </c>
      <c r="I49" t="s" s="0">
        <v>840</v>
      </c>
      <c r="J49" t="s" s="0">
        <v>1330</v>
      </c>
      <c r="K49" t="s" s="0">
        <v>1331</v>
      </c>
      <c r="L49" t="s" s="0">
        <v>79</v>
      </c>
      <c r="M49" t="s" s="0">
        <v>79</v>
      </c>
      <c r="N49" t="s" s="0">
        <v>1332</v>
      </c>
      <c r="O49" t="s" s="0">
        <v>1333</v>
      </c>
      <c r="P49" t="s" s="0">
        <v>1334</v>
      </c>
      <c r="Q49" t="s" s="0">
        <v>85</v>
      </c>
      <c r="R49" t="s" s="0">
        <v>79</v>
      </c>
      <c r="S49" t="s" s="0">
        <v>79</v>
      </c>
      <c r="T49" t="s" s="0">
        <v>79</v>
      </c>
      <c r="U49" t="s" s="0">
        <v>79</v>
      </c>
      <c r="V49" t="s" s="0">
        <v>1335</v>
      </c>
      <c r="W49" t="s" s="0">
        <v>1336</v>
      </c>
      <c r="X49" t="s" s="0">
        <v>79</v>
      </c>
      <c r="Y49" t="s" s="0">
        <v>79</v>
      </c>
      <c r="Z49" t="s" s="0">
        <v>88</v>
      </c>
      <c r="AA49" t="s" s="0">
        <v>89</v>
      </c>
      <c r="AB49" t="s" s="0">
        <v>79</v>
      </c>
      <c r="AC49" t="s" s="0">
        <v>79</v>
      </c>
      <c r="AD49" t="s" s="0">
        <v>79</v>
      </c>
      <c r="AE49" t="s" s="0">
        <v>79</v>
      </c>
      <c r="AF49" t="s" s="0">
        <v>79</v>
      </c>
      <c r="AG49" t="s" s="0">
        <v>1337</v>
      </c>
      <c r="AH49" t="s" s="0">
        <v>79</v>
      </c>
      <c r="AI49" t="s" s="0">
        <v>1338</v>
      </c>
      <c r="AJ49" t="s" s="0">
        <v>79</v>
      </c>
      <c r="AK49" t="s" s="0">
        <v>79</v>
      </c>
      <c r="AL49" t="s" s="0">
        <v>241</v>
      </c>
      <c r="AM49" t="s" s="0">
        <v>165</v>
      </c>
      <c r="AN49" t="s" s="0">
        <v>102</v>
      </c>
      <c r="AO49" t="s" s="0">
        <v>77</v>
      </c>
      <c r="AP49" t="s" s="0">
        <v>165</v>
      </c>
      <c r="AQ49" t="s" s="0">
        <v>350</v>
      </c>
      <c r="AR49" t="s" s="0">
        <v>351</v>
      </c>
      <c r="AS49" t="s" s="0">
        <v>352</v>
      </c>
      <c r="AT49" t="s" s="0">
        <v>79</v>
      </c>
      <c r="AU49" t="s" s="0">
        <v>1339</v>
      </c>
      <c r="AV49" t="s" s="0">
        <v>79</v>
      </c>
      <c r="AW49" t="s" s="0">
        <v>1340</v>
      </c>
      <c r="AX49" t="s" s="0">
        <v>1341</v>
      </c>
      <c r="AY49" t="s" s="0">
        <v>1342</v>
      </c>
      <c r="AZ49" t="s" s="0">
        <v>100</v>
      </c>
      <c r="BA49" t="s" s="0">
        <v>164</v>
      </c>
      <c r="BB49" t="s" s="0">
        <v>79</v>
      </c>
      <c r="BC49" t="s" s="0">
        <v>79</v>
      </c>
      <c r="BD49" t="s" s="0">
        <v>79</v>
      </c>
      <c r="BE49" t="s" s="0">
        <v>79</v>
      </c>
      <c r="BF49" t="s" s="0">
        <v>79</v>
      </c>
      <c r="BG49" t="s" s="0">
        <v>79</v>
      </c>
      <c r="BH49" t="s" s="0">
        <v>79</v>
      </c>
      <c r="BI49" t="s" s="0">
        <v>1343</v>
      </c>
      <c r="BJ49" t="s" s="0">
        <v>1344</v>
      </c>
      <c r="BK49" t="s" s="94">
        <f>HYPERLINK("http://dx.doi.org/10.3389/fpubh.2025.1634638","http://dx.doi.org/10.3389/fpubh.2025.1634638")</f>
        <v>1345</v>
      </c>
      <c r="BL49" t="s" s="0">
        <v>79</v>
      </c>
      <c r="BM49" t="s" s="0">
        <v>79</v>
      </c>
      <c r="BN49" t="s" s="0">
        <v>211</v>
      </c>
      <c r="BO49" t="s" s="0">
        <v>1346</v>
      </c>
      <c r="BP49" t="s" s="0">
        <v>1346</v>
      </c>
      <c r="BQ49" t="s" s="0">
        <v>1347</v>
      </c>
      <c r="BR49" t="s" s="0">
        <v>1348</v>
      </c>
      <c r="BS49" t="s" s="0">
        <v>1349</v>
      </c>
      <c r="BT49" t="s" s="95">
        <f>HYPERLINK("https://www.webofscience.com/wos/woscc/full-record/WOS:001548402500001","View Record in Web of Science")</f>
        <v>114</v>
      </c>
      <c r="BU49" t="s" s="0">
        <v>183</v>
      </c>
      <c r="BV49" t="s" s="0">
        <v>79</v>
      </c>
      <c r="BW49" t="s" s="0">
        <v>79</v>
      </c>
      <c r="BX49" t="s" s="0">
        <v>115</v>
      </c>
    </row>
    <row r="50">
      <c r="A50" t="s" s="0">
        <v>77</v>
      </c>
      <c r="B50" t="s" s="0">
        <v>77</v>
      </c>
      <c r="C50" t="s" s="0">
        <v>77</v>
      </c>
      <c r="D50" t="s" s="0">
        <v>77</v>
      </c>
      <c r="E50" t="s" s="0">
        <v>1350</v>
      </c>
      <c r="F50" t="s" s="0">
        <v>1351</v>
      </c>
      <c r="G50" t="s" s="0">
        <v>1352</v>
      </c>
      <c r="H50" t="s" s="0">
        <v>79</v>
      </c>
      <c r="I50" t="s" s="0">
        <v>398</v>
      </c>
      <c r="J50" t="s" s="0">
        <v>1353</v>
      </c>
      <c r="K50" t="s" s="0">
        <v>1354</v>
      </c>
      <c r="L50" t="s" s="0">
        <v>1355</v>
      </c>
      <c r="M50" t="s" s="0">
        <v>1355</v>
      </c>
      <c r="N50" t="s" s="0">
        <v>1356</v>
      </c>
      <c r="O50" t="s" s="0">
        <v>1357</v>
      </c>
      <c r="P50" t="s" s="0">
        <v>1358</v>
      </c>
      <c r="Q50" t="s" s="0">
        <v>85</v>
      </c>
      <c r="R50" t="s" s="0">
        <v>79</v>
      </c>
      <c r="S50" t="s" s="0">
        <v>79</v>
      </c>
      <c r="T50" t="s" s="0">
        <v>79</v>
      </c>
      <c r="U50" t="s" s="0">
        <v>79</v>
      </c>
      <c r="V50" t="s" s="0">
        <v>1359</v>
      </c>
      <c r="W50" t="s" s="0">
        <v>1360</v>
      </c>
      <c r="X50" t="s" s="0">
        <v>79</v>
      </c>
      <c r="Y50" t="s" s="0">
        <v>79</v>
      </c>
      <c r="Z50" t="s" s="0">
        <v>88</v>
      </c>
      <c r="AA50" t="s" s="0">
        <v>615</v>
      </c>
      <c r="AB50" t="s" s="0">
        <v>79</v>
      </c>
      <c r="AC50" t="s" s="0">
        <v>79</v>
      </c>
      <c r="AD50" t="s" s="0">
        <v>79</v>
      </c>
      <c r="AE50" t="s" s="0">
        <v>79</v>
      </c>
      <c r="AF50" t="s" s="0">
        <v>79</v>
      </c>
      <c r="AG50" t="s" s="0">
        <v>1361</v>
      </c>
      <c r="AH50" t="s" s="0">
        <v>1362</v>
      </c>
      <c r="AI50" t="s" s="0">
        <v>79</v>
      </c>
      <c r="AJ50" t="s" s="0">
        <v>79</v>
      </c>
      <c r="AK50" t="s" s="0">
        <v>79</v>
      </c>
      <c r="AL50" t="s" s="0">
        <v>453</v>
      </c>
      <c r="AM50" t="s" s="0">
        <v>77</v>
      </c>
      <c r="AN50" t="s" s="0">
        <v>77</v>
      </c>
      <c r="AO50" t="s" s="0">
        <v>77</v>
      </c>
      <c r="AP50" t="s" s="0">
        <v>77</v>
      </c>
      <c r="AQ50" t="s" s="0">
        <v>1363</v>
      </c>
      <c r="AR50" t="s" s="0">
        <v>1364</v>
      </c>
      <c r="AS50" t="s" s="0">
        <v>1365</v>
      </c>
      <c r="AT50" t="s" s="0">
        <v>1366</v>
      </c>
      <c r="AU50" t="s" s="0">
        <v>1367</v>
      </c>
      <c r="AV50" t="s" s="0">
        <v>79</v>
      </c>
      <c r="AW50" t="s" s="0">
        <v>1368</v>
      </c>
      <c r="AX50" t="s" s="0">
        <v>1369</v>
      </c>
      <c r="AY50" t="s" s="0">
        <v>79</v>
      </c>
      <c r="AZ50" t="s" s="0">
        <v>139</v>
      </c>
      <c r="BA50" t="s" s="0">
        <v>79</v>
      </c>
      <c r="BB50" t="s" s="0">
        <v>79</v>
      </c>
      <c r="BC50" t="s" s="0">
        <v>79</v>
      </c>
      <c r="BD50" t="s" s="0">
        <v>79</v>
      </c>
      <c r="BE50" t="s" s="0">
        <v>79</v>
      </c>
      <c r="BF50" t="s" s="0">
        <v>79</v>
      </c>
      <c r="BG50" t="s" s="0">
        <v>79</v>
      </c>
      <c r="BH50" t="s" s="0">
        <v>79</v>
      </c>
      <c r="BI50" t="s" s="0">
        <v>79</v>
      </c>
      <c r="BJ50" t="s" s="0">
        <v>1370</v>
      </c>
      <c r="BK50" t="s" s="96">
        <f>HYPERLINK("http://dx.doi.org/10.1007/s13139-026-01029-0","http://dx.doi.org/10.1007/s13139-026-01029-0")</f>
        <v>1371</v>
      </c>
      <c r="BL50" t="s" s="0">
        <v>79</v>
      </c>
      <c r="BM50" t="s" s="0">
        <v>435</v>
      </c>
      <c r="BN50" t="s" s="0">
        <v>412</v>
      </c>
      <c r="BO50" t="s" s="0">
        <v>519</v>
      </c>
      <c r="BP50" t="s" s="0">
        <v>519</v>
      </c>
      <c r="BQ50" t="s" s="0">
        <v>1372</v>
      </c>
      <c r="BR50" t="s" s="0">
        <v>79</v>
      </c>
      <c r="BS50" t="s" s="0">
        <v>1373</v>
      </c>
      <c r="BT50" t="s" s="97">
        <f>HYPERLINK("https://www.webofscience.com/wos/woscc/full-record/WOS:001771817500001","View Record in Web of Science")</f>
        <v>114</v>
      </c>
      <c r="BU50" t="s" s="0">
        <v>79</v>
      </c>
      <c r="BV50" t="s" s="0">
        <v>79</v>
      </c>
      <c r="BW50" t="s" s="0">
        <v>79</v>
      </c>
      <c r="BX50" t="s" s="0">
        <v>115</v>
      </c>
    </row>
    <row r="51">
      <c r="A51" t="s" s="0">
        <v>77</v>
      </c>
      <c r="B51" t="s" s="0">
        <v>77</v>
      </c>
      <c r="C51" t="s" s="0">
        <v>77</v>
      </c>
      <c r="D51" t="s" s="0">
        <v>77</v>
      </c>
      <c r="E51" t="s" s="0">
        <v>1374</v>
      </c>
      <c r="F51" t="s" s="0">
        <v>1375</v>
      </c>
      <c r="G51" t="s" s="0">
        <v>1376</v>
      </c>
      <c r="H51" t="s" s="0">
        <v>79</v>
      </c>
      <c r="I51" t="s" s="0">
        <v>81</v>
      </c>
      <c r="J51" t="s" s="0">
        <v>1377</v>
      </c>
      <c r="K51" t="s" s="0">
        <v>1378</v>
      </c>
      <c r="L51" t="s" s="0">
        <v>79</v>
      </c>
      <c r="M51" t="s" s="0">
        <v>79</v>
      </c>
      <c r="N51" t="s" s="0">
        <v>79</v>
      </c>
      <c r="O51" t="s" s="0">
        <v>1379</v>
      </c>
      <c r="P51" t="s" s="0">
        <v>1380</v>
      </c>
      <c r="Q51" t="s" s="0">
        <v>85</v>
      </c>
      <c r="R51" t="s" s="0">
        <v>79</v>
      </c>
      <c r="S51" t="s" s="0">
        <v>79</v>
      </c>
      <c r="T51" t="s" s="0">
        <v>79</v>
      </c>
      <c r="U51" t="s" s="0">
        <v>79</v>
      </c>
      <c r="V51" t="s" s="0">
        <v>1381</v>
      </c>
      <c r="W51" t="s" s="0">
        <v>1163</v>
      </c>
      <c r="X51" t="s" s="0">
        <v>79</v>
      </c>
      <c r="Y51" t="s" s="0">
        <v>79</v>
      </c>
      <c r="Z51" t="s" s="0">
        <v>88</v>
      </c>
      <c r="AA51" t="s" s="0">
        <v>89</v>
      </c>
      <c r="AB51" t="s" s="0">
        <v>79</v>
      </c>
      <c r="AC51" t="s" s="0">
        <v>79</v>
      </c>
      <c r="AD51" t="s" s="0">
        <v>79</v>
      </c>
      <c r="AE51" t="s" s="0">
        <v>79</v>
      </c>
      <c r="AF51" t="s" s="0">
        <v>79</v>
      </c>
      <c r="AG51" t="s" s="0">
        <v>79</v>
      </c>
      <c r="AH51" t="s" s="0">
        <v>79</v>
      </c>
      <c r="AI51" t="s" s="0">
        <v>79</v>
      </c>
      <c r="AJ51" t="s" s="0">
        <v>1382</v>
      </c>
      <c r="AK51" t="s" s="0">
        <v>79</v>
      </c>
      <c r="AL51" t="s" s="0">
        <v>623</v>
      </c>
      <c r="AM51" t="s" s="0">
        <v>130</v>
      </c>
      <c r="AN51" t="s" s="0">
        <v>412</v>
      </c>
      <c r="AO51" t="s" s="0">
        <v>92</v>
      </c>
      <c r="AP51" t="s" s="0">
        <v>92</v>
      </c>
      <c r="AQ51" t="s" s="0">
        <v>93</v>
      </c>
      <c r="AR51" t="s" s="0">
        <v>94</v>
      </c>
      <c r="AS51" t="s" s="0">
        <v>95</v>
      </c>
      <c r="AT51" t="s" s="0">
        <v>1166</v>
      </c>
      <c r="AU51" t="s" s="0">
        <v>1167</v>
      </c>
      <c r="AV51" t="s" s="0">
        <v>79</v>
      </c>
      <c r="AW51" t="s" s="0">
        <v>1168</v>
      </c>
      <c r="AX51" t="s" s="0">
        <v>1169</v>
      </c>
      <c r="AY51" t="s" s="0">
        <v>1100</v>
      </c>
      <c r="AZ51" t="s" s="0">
        <v>100</v>
      </c>
      <c r="BA51" t="s" s="0">
        <v>1051</v>
      </c>
      <c r="BB51" t="s" s="0">
        <v>412</v>
      </c>
      <c r="BC51" t="s" s="0">
        <v>79</v>
      </c>
      <c r="BD51" t="s" s="0">
        <v>79</v>
      </c>
      <c r="BE51" t="s" s="0">
        <v>79</v>
      </c>
      <c r="BF51" t="s" s="0">
        <v>79</v>
      </c>
      <c r="BG51" t="s" s="0">
        <v>1383</v>
      </c>
      <c r="BH51" t="s" s="0">
        <v>1384</v>
      </c>
      <c r="BI51" t="s" s="0">
        <v>79</v>
      </c>
      <c r="BJ51" t="s" s="0">
        <v>1385</v>
      </c>
      <c r="BK51" t="s" s="98">
        <f>HYPERLINK("http://dx.doi.org/10.1016/j.arthro.2025.01.039","http://dx.doi.org/10.1016/j.arthro.2025.01.039")</f>
        <v>1386</v>
      </c>
      <c r="BL51" t="s" s="0">
        <v>79</v>
      </c>
      <c r="BM51" t="s" s="0">
        <v>107</v>
      </c>
      <c r="BN51" t="s" s="0">
        <v>166</v>
      </c>
      <c r="BO51" t="s" s="0">
        <v>1174</v>
      </c>
      <c r="BP51" t="s" s="0">
        <v>1174</v>
      </c>
      <c r="BQ51" t="s" s="0">
        <v>1387</v>
      </c>
      <c r="BR51" t="s" s="0">
        <v>1388</v>
      </c>
      <c r="BS51" t="s" s="0">
        <v>1389</v>
      </c>
      <c r="BT51" t="s" s="99">
        <f>HYPERLINK("https://www.webofscience.com/wos/woscc/full-record/WOS:001544844700008","View Record in Web of Science")</f>
        <v>114</v>
      </c>
      <c r="BU51" t="s" s="0">
        <v>79</v>
      </c>
      <c r="BV51" t="s" s="0">
        <v>79</v>
      </c>
      <c r="BW51" t="s" s="0">
        <v>79</v>
      </c>
      <c r="BX51" t="s" s="0">
        <v>115</v>
      </c>
    </row>
    <row r="52">
      <c r="A52" t="s" s="0">
        <v>77</v>
      </c>
      <c r="B52" t="s" s="0">
        <v>77</v>
      </c>
      <c r="C52" t="s" s="0">
        <v>92</v>
      </c>
      <c r="D52" t="s" s="0">
        <v>77</v>
      </c>
      <c r="E52" t="s" s="0">
        <v>1390</v>
      </c>
      <c r="F52" t="s" s="0">
        <v>1391</v>
      </c>
      <c r="G52" t="s" s="0">
        <v>1392</v>
      </c>
      <c r="H52" t="s" s="0">
        <v>79</v>
      </c>
      <c r="I52" t="s" s="0">
        <v>840</v>
      </c>
      <c r="J52" t="s" s="0">
        <v>1393</v>
      </c>
      <c r="K52" t="s" s="0">
        <v>1394</v>
      </c>
      <c r="L52" t="s" s="0">
        <v>1395</v>
      </c>
      <c r="M52" t="s" s="0">
        <v>1396</v>
      </c>
      <c r="N52" t="s" s="0">
        <v>1397</v>
      </c>
      <c r="O52" t="s" s="0">
        <v>1398</v>
      </c>
      <c r="P52" t="s" s="0">
        <v>1399</v>
      </c>
      <c r="Q52" t="s" s="0">
        <v>85</v>
      </c>
      <c r="R52" t="s" s="0">
        <v>79</v>
      </c>
      <c r="S52" t="s" s="0">
        <v>79</v>
      </c>
      <c r="T52" t="s" s="0">
        <v>79</v>
      </c>
      <c r="U52" t="s" s="0">
        <v>79</v>
      </c>
      <c r="V52" t="s" s="0">
        <v>1400</v>
      </c>
      <c r="W52" t="s" s="0">
        <v>1401</v>
      </c>
      <c r="X52" t="s" s="0">
        <v>79</v>
      </c>
      <c r="Y52" t="s" s="0">
        <v>79</v>
      </c>
      <c r="Z52" t="s" s="0">
        <v>88</v>
      </c>
      <c r="AA52" t="s" s="0">
        <v>89</v>
      </c>
      <c r="AB52" t="s" s="0">
        <v>79</v>
      </c>
      <c r="AC52" t="s" s="0">
        <v>79</v>
      </c>
      <c r="AD52" t="s" s="0">
        <v>79</v>
      </c>
      <c r="AE52" t="s" s="0">
        <v>79</v>
      </c>
      <c r="AF52" t="s" s="0">
        <v>79</v>
      </c>
      <c r="AG52" t="s" s="0">
        <v>1402</v>
      </c>
      <c r="AH52" t="s" s="0">
        <v>1403</v>
      </c>
      <c r="AI52" t="s" s="0">
        <v>79</v>
      </c>
      <c r="AJ52" t="s" s="0">
        <v>1404</v>
      </c>
      <c r="AK52" t="s" s="0">
        <v>79</v>
      </c>
      <c r="AL52" t="s" s="0">
        <v>1405</v>
      </c>
      <c r="AM52" t="s" s="0">
        <v>146</v>
      </c>
      <c r="AN52" t="s" s="0">
        <v>146</v>
      </c>
      <c r="AO52" t="s" s="0">
        <v>174</v>
      </c>
      <c r="AP52" t="s" s="0">
        <v>722</v>
      </c>
      <c r="AQ52" t="s" s="0">
        <v>1406</v>
      </c>
      <c r="AR52" t="s" s="0">
        <v>1407</v>
      </c>
      <c r="AS52" t="s" s="0">
        <v>1408</v>
      </c>
      <c r="AT52" t="s" s="0">
        <v>1409</v>
      </c>
      <c r="AU52" t="s" s="0">
        <v>1410</v>
      </c>
      <c r="AV52" t="s" s="0">
        <v>79</v>
      </c>
      <c r="AW52" t="s" s="0">
        <v>1411</v>
      </c>
      <c r="AX52" t="s" s="0">
        <v>1412</v>
      </c>
      <c r="AY52" t="s" s="0">
        <v>518</v>
      </c>
      <c r="AZ52" t="s" s="0">
        <v>100</v>
      </c>
      <c r="BA52" t="s" s="0">
        <v>1413</v>
      </c>
      <c r="BB52" t="s" s="0">
        <v>79</v>
      </c>
      <c r="BC52" t="s" s="0">
        <v>79</v>
      </c>
      <c r="BD52" t="s" s="0">
        <v>79</v>
      </c>
      <c r="BE52" t="s" s="0">
        <v>79</v>
      </c>
      <c r="BF52" t="s" s="0">
        <v>79</v>
      </c>
      <c r="BG52" t="s" s="0">
        <v>79</v>
      </c>
      <c r="BH52" t="s" s="0">
        <v>79</v>
      </c>
      <c r="BI52" t="s" s="0">
        <v>1414</v>
      </c>
      <c r="BJ52" t="s" s="0">
        <v>1415</v>
      </c>
      <c r="BK52" t="s" s="100">
        <f>HYPERLINK("http://dx.doi.org/10.1016/j.compedu.2025.105388","http://dx.doi.org/10.1016/j.compedu.2025.105388")</f>
        <v>1416</v>
      </c>
      <c r="BL52" t="s" s="0">
        <v>79</v>
      </c>
      <c r="BM52" t="s" s="0">
        <v>107</v>
      </c>
      <c r="BN52" t="s" s="0">
        <v>325</v>
      </c>
      <c r="BO52" t="s" s="0">
        <v>1417</v>
      </c>
      <c r="BP52" t="s" s="0">
        <v>1418</v>
      </c>
      <c r="BQ52" t="s" s="0">
        <v>1419</v>
      </c>
      <c r="BR52" t="s" s="0">
        <v>79</v>
      </c>
      <c r="BS52" t="s" s="0">
        <v>1420</v>
      </c>
      <c r="BT52" t="s" s="101">
        <f>HYPERLINK("https://www.webofscience.com/wos/woscc/full-record/WOS:001528910800001","View Record in Web of Science")</f>
        <v>114</v>
      </c>
      <c r="BU52" t="s" s="0">
        <v>79</v>
      </c>
      <c r="BV52" t="s" s="0">
        <v>79</v>
      </c>
      <c r="BW52" t="s" s="0">
        <v>79</v>
      </c>
      <c r="BX52" t="s" s="0">
        <v>115</v>
      </c>
    </row>
    <row r="53">
      <c r="A53" t="s" s="0">
        <v>77</v>
      </c>
      <c r="B53" t="s" s="0">
        <v>77</v>
      </c>
      <c r="C53" t="s" s="0">
        <v>77</v>
      </c>
      <c r="D53" t="s" s="0">
        <v>77</v>
      </c>
      <c r="E53" t="s" s="0">
        <v>1421</v>
      </c>
      <c r="F53" t="s" s="0">
        <v>1422</v>
      </c>
      <c r="G53" t="s" s="0">
        <v>1423</v>
      </c>
      <c r="H53" t="s" s="0">
        <v>79</v>
      </c>
      <c r="I53" t="s" s="0">
        <v>81</v>
      </c>
      <c r="J53" t="s" s="0">
        <v>1424</v>
      </c>
      <c r="K53" t="s" s="0">
        <v>1425</v>
      </c>
      <c r="L53" t="s" s="0">
        <v>79</v>
      </c>
      <c r="M53" t="s" s="0">
        <v>79</v>
      </c>
      <c r="N53" t="s" s="0">
        <v>79</v>
      </c>
      <c r="O53" t="s" s="0">
        <v>1426</v>
      </c>
      <c r="P53" t="s" s="0">
        <v>1427</v>
      </c>
      <c r="Q53" t="s" s="0">
        <v>85</v>
      </c>
      <c r="R53" t="s" s="0">
        <v>79</v>
      </c>
      <c r="S53" t="s" s="0">
        <v>79</v>
      </c>
      <c r="T53" t="s" s="0">
        <v>79</v>
      </c>
      <c r="U53" t="s" s="0">
        <v>79</v>
      </c>
      <c r="V53" t="s" s="0">
        <v>1428</v>
      </c>
      <c r="W53" t="s" s="0">
        <v>313</v>
      </c>
      <c r="X53" t="s" s="0">
        <v>79</v>
      </c>
      <c r="Y53" t="s" s="0">
        <v>79</v>
      </c>
      <c r="Z53" t="s" s="0">
        <v>88</v>
      </c>
      <c r="AA53" t="s" s="0">
        <v>89</v>
      </c>
      <c r="AB53" t="s" s="0">
        <v>79</v>
      </c>
      <c r="AC53" t="s" s="0">
        <v>79</v>
      </c>
      <c r="AD53" t="s" s="0">
        <v>79</v>
      </c>
      <c r="AE53" t="s" s="0">
        <v>79</v>
      </c>
      <c r="AF53" t="s" s="0">
        <v>79</v>
      </c>
      <c r="AG53" t="s" s="0">
        <v>1429</v>
      </c>
      <c r="AH53" t="s" s="0">
        <v>1430</v>
      </c>
      <c r="AI53" t="s" s="0">
        <v>79</v>
      </c>
      <c r="AJ53" t="s" s="0">
        <v>79</v>
      </c>
      <c r="AK53" t="s" s="0">
        <v>79</v>
      </c>
      <c r="AL53" t="s" s="0">
        <v>983</v>
      </c>
      <c r="AM53" t="s" s="0">
        <v>131</v>
      </c>
      <c r="AN53" t="s" s="0">
        <v>131</v>
      </c>
      <c r="AO53" t="s" s="0">
        <v>165</v>
      </c>
      <c r="AP53" t="s" s="0">
        <v>165</v>
      </c>
      <c r="AQ53" t="s" s="0">
        <v>318</v>
      </c>
      <c r="AR53" t="s" s="0">
        <v>319</v>
      </c>
      <c r="AS53" t="s" s="0">
        <v>320</v>
      </c>
      <c r="AT53" t="s" s="0">
        <v>79</v>
      </c>
      <c r="AU53" t="s" s="0">
        <v>321</v>
      </c>
      <c r="AV53" t="s" s="0">
        <v>79</v>
      </c>
      <c r="AW53" t="s" s="0">
        <v>322</v>
      </c>
      <c r="AX53" t="s" s="0">
        <v>323</v>
      </c>
      <c r="AY53" t="s" s="0">
        <v>1431</v>
      </c>
      <c r="AZ53" t="s" s="0">
        <v>139</v>
      </c>
      <c r="BA53" t="s" s="0">
        <v>174</v>
      </c>
      <c r="BB53" t="s" s="0">
        <v>230</v>
      </c>
      <c r="BC53" t="s" s="0">
        <v>79</v>
      </c>
      <c r="BD53" t="s" s="0">
        <v>79</v>
      </c>
      <c r="BE53" t="s" s="0">
        <v>79</v>
      </c>
      <c r="BF53" t="s" s="0">
        <v>79</v>
      </c>
      <c r="BG53" t="s" s="0">
        <v>79</v>
      </c>
      <c r="BH53" t="s" s="0">
        <v>79</v>
      </c>
      <c r="BI53" t="s" s="0">
        <v>1432</v>
      </c>
      <c r="BJ53" t="s" s="0">
        <v>1433</v>
      </c>
      <c r="BK53" t="s" s="102">
        <f>HYPERLINK("http://dx.doi.org/10.3390/jcm15062130","http://dx.doi.org/10.3390/jcm15062130")</f>
        <v>1434</v>
      </c>
      <c r="BL53" t="s" s="0">
        <v>79</v>
      </c>
      <c r="BM53" t="s" s="0">
        <v>79</v>
      </c>
      <c r="BN53" t="s" s="0">
        <v>211</v>
      </c>
      <c r="BO53" t="s" s="0">
        <v>329</v>
      </c>
      <c r="BP53" t="s" s="0">
        <v>110</v>
      </c>
      <c r="BQ53" t="s" s="0">
        <v>1435</v>
      </c>
      <c r="BR53" t="s" s="0">
        <v>1436</v>
      </c>
      <c r="BS53" t="s" s="0">
        <v>1437</v>
      </c>
      <c r="BT53" t="s" s="103">
        <f>HYPERLINK("https://www.webofscience.com/wos/woscc/full-record/WOS:001725704000001","View Record in Web of Science")</f>
        <v>114</v>
      </c>
      <c r="BU53" t="s" s="0">
        <v>183</v>
      </c>
      <c r="BV53" t="s" s="0">
        <v>79</v>
      </c>
      <c r="BW53" t="s" s="0">
        <v>79</v>
      </c>
      <c r="BX53" t="s" s="0">
        <v>115</v>
      </c>
    </row>
    <row r="54">
      <c r="A54" t="s" s="0">
        <v>77</v>
      </c>
      <c r="B54" t="s" s="0">
        <v>77</v>
      </c>
      <c r="C54" t="s" s="0">
        <v>77</v>
      </c>
      <c r="D54" t="s" s="0">
        <v>77</v>
      </c>
      <c r="E54" t="s" s="0">
        <v>1438</v>
      </c>
      <c r="F54" t="s" s="0">
        <v>1439</v>
      </c>
      <c r="G54" t="s" s="0">
        <v>1440</v>
      </c>
      <c r="H54" t="s" s="0">
        <v>79</v>
      </c>
      <c r="I54" t="s" s="0">
        <v>81</v>
      </c>
      <c r="J54" t="s" s="0">
        <v>1441</v>
      </c>
      <c r="K54" t="s" s="0">
        <v>1442</v>
      </c>
      <c r="L54" t="s" s="0">
        <v>79</v>
      </c>
      <c r="M54" t="s" s="0">
        <v>79</v>
      </c>
      <c r="N54" t="s" s="0">
        <v>79</v>
      </c>
      <c r="O54" t="s" s="0">
        <v>1443</v>
      </c>
      <c r="P54" t="s" s="0">
        <v>1444</v>
      </c>
      <c r="Q54" t="s" s="0">
        <v>85</v>
      </c>
      <c r="R54" t="s" s="0">
        <v>79</v>
      </c>
      <c r="S54" t="s" s="0">
        <v>79</v>
      </c>
      <c r="T54" t="s" s="0">
        <v>79</v>
      </c>
      <c r="U54" t="s" s="0">
        <v>79</v>
      </c>
      <c r="V54" t="s" s="0">
        <v>1445</v>
      </c>
      <c r="W54" t="s" s="0">
        <v>1446</v>
      </c>
      <c r="X54" t="s" s="0">
        <v>79</v>
      </c>
      <c r="Y54" t="s" s="0">
        <v>79</v>
      </c>
      <c r="Z54" t="s" s="0">
        <v>88</v>
      </c>
      <c r="AA54" t="s" s="0">
        <v>89</v>
      </c>
      <c r="AB54" t="s" s="0">
        <v>79</v>
      </c>
      <c r="AC54" t="s" s="0">
        <v>79</v>
      </c>
      <c r="AD54" t="s" s="0">
        <v>79</v>
      </c>
      <c r="AE54" t="s" s="0">
        <v>79</v>
      </c>
      <c r="AF54" t="s" s="0">
        <v>79</v>
      </c>
      <c r="AG54" t="s" s="0">
        <v>1447</v>
      </c>
      <c r="AH54" t="s" s="0">
        <v>1448</v>
      </c>
      <c r="AI54" t="s" s="0">
        <v>1449</v>
      </c>
      <c r="AJ54" t="s" s="0">
        <v>1450</v>
      </c>
      <c r="AK54" t="s" s="0">
        <v>79</v>
      </c>
      <c r="AL54" t="s" s="0">
        <v>1451</v>
      </c>
      <c r="AM54" t="s" s="0">
        <v>230</v>
      </c>
      <c r="AN54" t="s" s="0">
        <v>412</v>
      </c>
      <c r="AO54" t="s" s="0">
        <v>77</v>
      </c>
      <c r="AP54" t="s" s="0">
        <v>131</v>
      </c>
      <c r="AQ54" t="s" s="0">
        <v>1452</v>
      </c>
      <c r="AR54" t="s" s="0">
        <v>590</v>
      </c>
      <c r="AS54" t="s" s="0">
        <v>1453</v>
      </c>
      <c r="AT54" t="s" s="0">
        <v>1454</v>
      </c>
      <c r="AU54" t="s" s="0">
        <v>79</v>
      </c>
      <c r="AV54" t="s" s="0">
        <v>79</v>
      </c>
      <c r="AW54" t="s" s="0">
        <v>1455</v>
      </c>
      <c r="AX54" t="s" s="0">
        <v>1456</v>
      </c>
      <c r="AY54" t="s" s="0">
        <v>1457</v>
      </c>
      <c r="AZ54" t="s" s="0">
        <v>100</v>
      </c>
      <c r="BA54" t="s" s="0">
        <v>264</v>
      </c>
      <c r="BB54" t="s" s="0">
        <v>92</v>
      </c>
      <c r="BC54" t="s" s="0">
        <v>79</v>
      </c>
      <c r="BD54" t="s" s="0">
        <v>79</v>
      </c>
      <c r="BE54" t="s" s="0">
        <v>79</v>
      </c>
      <c r="BF54" t="s" s="0">
        <v>79</v>
      </c>
      <c r="BG54" t="s" s="0">
        <v>79</v>
      </c>
      <c r="BH54" t="s" s="0">
        <v>79</v>
      </c>
      <c r="BI54" t="s" s="0">
        <v>1458</v>
      </c>
      <c r="BJ54" t="s" s="0">
        <v>1459</v>
      </c>
      <c r="BK54" t="s" s="104">
        <f>HYPERLINK("http://dx.doi.org/10.1186/s13018-025-05831-y","http://dx.doi.org/10.1186/s13018-025-05831-y")</f>
        <v>1460</v>
      </c>
      <c r="BL54" t="s" s="0">
        <v>79</v>
      </c>
      <c r="BM54" t="s" s="0">
        <v>79</v>
      </c>
      <c r="BN54" t="s" s="0">
        <v>130</v>
      </c>
      <c r="BO54" t="s" s="0">
        <v>1461</v>
      </c>
      <c r="BP54" t="s" s="0">
        <v>1461</v>
      </c>
      <c r="BQ54" t="s" s="0">
        <v>1462</v>
      </c>
      <c r="BR54" t="s" s="0">
        <v>1463</v>
      </c>
      <c r="BS54" t="s" s="0">
        <v>1464</v>
      </c>
      <c r="BT54" t="s" s="105">
        <f>HYPERLINK("https://www.webofscience.com/wos/woscc/full-record/WOS:001479680400002","View Record in Web of Science")</f>
        <v>114</v>
      </c>
      <c r="BU54" t="s" s="0">
        <v>183</v>
      </c>
      <c r="BV54" t="s" s="0">
        <v>79</v>
      </c>
      <c r="BW54" t="s" s="0">
        <v>79</v>
      </c>
      <c r="BX54" t="s" s="0">
        <v>115</v>
      </c>
    </row>
    <row r="55">
      <c r="A55" t="s" s="0">
        <v>77</v>
      </c>
      <c r="B55" t="s" s="0">
        <v>77</v>
      </c>
      <c r="C55" t="s" s="0">
        <v>77</v>
      </c>
      <c r="D55" t="s" s="0">
        <v>77</v>
      </c>
      <c r="E55" t="s" s="0">
        <v>1465</v>
      </c>
      <c r="F55" t="s" s="0">
        <v>1466</v>
      </c>
      <c r="G55" t="s" s="0">
        <v>1467</v>
      </c>
      <c r="H55" t="s" s="0">
        <v>79</v>
      </c>
      <c r="I55" t="s" s="0">
        <v>81</v>
      </c>
      <c r="J55" t="s" s="0">
        <v>1468</v>
      </c>
      <c r="K55" t="s" s="0">
        <v>1469</v>
      </c>
      <c r="L55" t="s" s="0">
        <v>1470</v>
      </c>
      <c r="M55" t="s" s="0">
        <v>1471</v>
      </c>
      <c r="N55" t="s" s="0">
        <v>1472</v>
      </c>
      <c r="O55" t="s" s="0">
        <v>1473</v>
      </c>
      <c r="P55" t="s" s="0">
        <v>1474</v>
      </c>
      <c r="Q55" t="s" s="0">
        <v>85</v>
      </c>
      <c r="R55" t="s" s="0">
        <v>79</v>
      </c>
      <c r="S55" t="s" s="0">
        <v>79</v>
      </c>
      <c r="T55" t="s" s="0">
        <v>79</v>
      </c>
      <c r="U55" t="s" s="0">
        <v>79</v>
      </c>
      <c r="V55" t="s" s="0">
        <v>1475</v>
      </c>
      <c r="W55" t="s" s="0">
        <v>1476</v>
      </c>
      <c r="X55" t="s" s="0">
        <v>79</v>
      </c>
      <c r="Y55" t="s" s="0">
        <v>79</v>
      </c>
      <c r="Z55" t="s" s="0">
        <v>88</v>
      </c>
      <c r="AA55" t="s" s="0">
        <v>89</v>
      </c>
      <c r="AB55" t="s" s="0">
        <v>79</v>
      </c>
      <c r="AC55" t="s" s="0">
        <v>79</v>
      </c>
      <c r="AD55" t="s" s="0">
        <v>79</v>
      </c>
      <c r="AE55" t="s" s="0">
        <v>79</v>
      </c>
      <c r="AF55" t="s" s="0">
        <v>79</v>
      </c>
      <c r="AG55" t="s" s="0">
        <v>79</v>
      </c>
      <c r="AH55" t="s" s="0">
        <v>1477</v>
      </c>
      <c r="AI55" t="s" s="0">
        <v>1478</v>
      </c>
      <c r="AJ55" t="s" s="0">
        <v>79</v>
      </c>
      <c r="AK55" t="s" s="0">
        <v>79</v>
      </c>
      <c r="AL55" t="s" s="0">
        <v>1210</v>
      </c>
      <c r="AM55" t="s" s="0">
        <v>77</v>
      </c>
      <c r="AN55" t="s" s="0">
        <v>77</v>
      </c>
      <c r="AO55" t="s" s="0">
        <v>77</v>
      </c>
      <c r="AP55" t="s" s="0">
        <v>77</v>
      </c>
      <c r="AQ55" t="s" s="0">
        <v>377</v>
      </c>
      <c r="AR55" t="s" s="0">
        <v>378</v>
      </c>
      <c r="AS55" t="s" s="0">
        <v>1479</v>
      </c>
      <c r="AT55" t="s" s="0">
        <v>1480</v>
      </c>
      <c r="AU55" t="s" s="0">
        <v>1481</v>
      </c>
      <c r="AV55" t="s" s="0">
        <v>79</v>
      </c>
      <c r="AW55" t="s" s="0">
        <v>1482</v>
      </c>
      <c r="AX55" t="s" s="0">
        <v>1483</v>
      </c>
      <c r="AY55" t="s" s="0">
        <v>1319</v>
      </c>
      <c r="AZ55" t="s" s="0">
        <v>139</v>
      </c>
      <c r="BA55" t="s" s="0">
        <v>1484</v>
      </c>
      <c r="BB55" t="s" s="0">
        <v>79</v>
      </c>
      <c r="BC55" t="s" s="0">
        <v>79</v>
      </c>
      <c r="BD55" t="s" s="0">
        <v>79</v>
      </c>
      <c r="BE55" t="s" s="0">
        <v>79</v>
      </c>
      <c r="BF55" t="s" s="0">
        <v>79</v>
      </c>
      <c r="BG55" t="s" s="0">
        <v>1485</v>
      </c>
      <c r="BH55" t="s" s="0">
        <v>1486</v>
      </c>
      <c r="BI55" t="s" s="0">
        <v>79</v>
      </c>
      <c r="BJ55" t="s" s="0">
        <v>1487</v>
      </c>
      <c r="BK55" t="s" s="106">
        <f>HYPERLINK("http://dx.doi.org/10.1016/j.avsg.2026.03.020","http://dx.doi.org/10.1016/j.avsg.2026.03.020")</f>
        <v>1488</v>
      </c>
      <c r="BL55" t="s" s="0">
        <v>79</v>
      </c>
      <c r="BM55" t="s" s="0">
        <v>806</v>
      </c>
      <c r="BN55" t="s" s="0">
        <v>211</v>
      </c>
      <c r="BO55" t="s" s="0">
        <v>1489</v>
      </c>
      <c r="BP55" t="s" s="0">
        <v>1490</v>
      </c>
      <c r="BQ55" t="s" s="0">
        <v>1491</v>
      </c>
      <c r="BR55" t="s" s="0">
        <v>1492</v>
      </c>
      <c r="BS55" t="s" s="0">
        <v>1493</v>
      </c>
      <c r="BT55" t="s" s="107">
        <f>HYPERLINK("https://www.webofscience.com/wos/woscc/full-record/WOS:001745675700001","View Record in Web of Science")</f>
        <v>114</v>
      </c>
      <c r="BU55" t="s" s="0">
        <v>79</v>
      </c>
      <c r="BV55" t="s" s="0">
        <v>79</v>
      </c>
      <c r="BW55" t="s" s="0">
        <v>79</v>
      </c>
      <c r="BX55" t="s" s="0">
        <v>115</v>
      </c>
    </row>
    <row r="56">
      <c r="A56" t="s" s="0">
        <v>77</v>
      </c>
      <c r="B56" t="s" s="0">
        <v>77</v>
      </c>
      <c r="C56" t="s" s="0">
        <v>77</v>
      </c>
      <c r="D56" t="s" s="0">
        <v>77</v>
      </c>
      <c r="E56" t="s" s="0">
        <v>1494</v>
      </c>
      <c r="F56" t="s" s="0">
        <v>1495</v>
      </c>
      <c r="G56" t="s" s="0">
        <v>1496</v>
      </c>
      <c r="H56" t="s" s="0">
        <v>79</v>
      </c>
      <c r="I56" t="s" s="0">
        <v>81</v>
      </c>
      <c r="J56" t="s" s="0">
        <v>1497</v>
      </c>
      <c r="K56" t="s" s="0">
        <v>1498</v>
      </c>
      <c r="L56" t="s" s="0">
        <v>1499</v>
      </c>
      <c r="M56" t="s" s="0">
        <v>474</v>
      </c>
      <c r="N56" t="s" s="0">
        <v>1500</v>
      </c>
      <c r="O56" t="s" s="0">
        <v>1501</v>
      </c>
      <c r="P56" t="s" s="0">
        <v>1502</v>
      </c>
      <c r="Q56" t="s" s="0">
        <v>85</v>
      </c>
      <c r="R56" t="s" s="0">
        <v>79</v>
      </c>
      <c r="S56" t="s" s="0">
        <v>79</v>
      </c>
      <c r="T56" t="s" s="0">
        <v>79</v>
      </c>
      <c r="U56" t="s" s="0">
        <v>79</v>
      </c>
      <c r="V56" t="s" s="0">
        <v>1503</v>
      </c>
      <c r="W56" t="s" s="0">
        <v>1504</v>
      </c>
      <c r="X56" t="s" s="0">
        <v>79</v>
      </c>
      <c r="Y56" t="s" s="0">
        <v>79</v>
      </c>
      <c r="Z56" t="s" s="0">
        <v>88</v>
      </c>
      <c r="AA56" t="s" s="0">
        <v>89</v>
      </c>
      <c r="AB56" t="s" s="0">
        <v>79</v>
      </c>
      <c r="AC56" t="s" s="0">
        <v>79</v>
      </c>
      <c r="AD56" t="s" s="0">
        <v>79</v>
      </c>
      <c r="AE56" t="s" s="0">
        <v>79</v>
      </c>
      <c r="AF56" t="s" s="0">
        <v>79</v>
      </c>
      <c r="AG56" t="s" s="0">
        <v>1505</v>
      </c>
      <c r="AH56" t="s" s="0">
        <v>1023</v>
      </c>
      <c r="AI56" t="s" s="0">
        <v>79</v>
      </c>
      <c r="AJ56" t="s" s="0">
        <v>79</v>
      </c>
      <c r="AK56" t="s" s="0">
        <v>79</v>
      </c>
      <c r="AL56" t="s" s="0">
        <v>463</v>
      </c>
      <c r="AM56" t="s" s="0">
        <v>77</v>
      </c>
      <c r="AN56" t="s" s="0">
        <v>77</v>
      </c>
      <c r="AO56" t="s" s="0">
        <v>165</v>
      </c>
      <c r="AP56" t="s" s="0">
        <v>165</v>
      </c>
      <c r="AQ56" t="s" s="0">
        <v>350</v>
      </c>
      <c r="AR56" t="s" s="0">
        <v>351</v>
      </c>
      <c r="AS56" t="s" s="0">
        <v>352</v>
      </c>
      <c r="AT56" t="s" s="0">
        <v>1506</v>
      </c>
      <c r="AU56" t="s" s="0">
        <v>79</v>
      </c>
      <c r="AV56" t="s" s="0">
        <v>79</v>
      </c>
      <c r="AW56" t="s" s="0">
        <v>1507</v>
      </c>
      <c r="AX56" t="s" s="0">
        <v>1508</v>
      </c>
      <c r="AY56" t="s" s="0">
        <v>1509</v>
      </c>
      <c r="AZ56" t="s" s="0">
        <v>139</v>
      </c>
      <c r="BA56" t="s" s="0">
        <v>174</v>
      </c>
      <c r="BB56" t="s" s="0">
        <v>79</v>
      </c>
      <c r="BC56" t="s" s="0">
        <v>79</v>
      </c>
      <c r="BD56" t="s" s="0">
        <v>79</v>
      </c>
      <c r="BE56" t="s" s="0">
        <v>79</v>
      </c>
      <c r="BF56" t="s" s="0">
        <v>79</v>
      </c>
      <c r="BG56" t="s" s="0">
        <v>79</v>
      </c>
      <c r="BH56" t="s" s="0">
        <v>79</v>
      </c>
      <c r="BI56" t="s" s="0">
        <v>1510</v>
      </c>
      <c r="BJ56" t="s" s="0">
        <v>1511</v>
      </c>
      <c r="BK56" t="s" s="108">
        <f>HYPERLINK("http://dx.doi.org/10.3389/fonc.2025.1642880","http://dx.doi.org/10.3389/fonc.2025.1642880")</f>
        <v>1512</v>
      </c>
      <c r="BL56" t="s" s="0">
        <v>79</v>
      </c>
      <c r="BM56" t="s" s="0">
        <v>79</v>
      </c>
      <c r="BN56" t="s" s="0">
        <v>412</v>
      </c>
      <c r="BO56" t="s" s="0">
        <v>212</v>
      </c>
      <c r="BP56" t="s" s="0">
        <v>212</v>
      </c>
      <c r="BQ56" t="s" s="0">
        <v>1513</v>
      </c>
      <c r="BR56" t="s" s="0">
        <v>1514</v>
      </c>
      <c r="BS56" t="s" s="0">
        <v>1515</v>
      </c>
      <c r="BT56" t="s" s="109">
        <f>HYPERLINK("https://www.webofscience.com/wos/woscc/full-record/WOS:001667966200001","View Record in Web of Science")</f>
        <v>114</v>
      </c>
      <c r="BU56" t="s" s="0">
        <v>183</v>
      </c>
      <c r="BV56" t="s" s="0">
        <v>79</v>
      </c>
      <c r="BW56" t="s" s="0">
        <v>79</v>
      </c>
      <c r="BX56" t="s" s="0">
        <v>115</v>
      </c>
    </row>
    <row r="57">
      <c r="A57" t="s" s="0">
        <v>92</v>
      </c>
      <c r="B57" t="s" s="0">
        <v>77</v>
      </c>
      <c r="C57" t="s" s="0">
        <v>184</v>
      </c>
      <c r="D57" t="s" s="0">
        <v>77</v>
      </c>
      <c r="E57" t="s" s="0">
        <v>1516</v>
      </c>
      <c r="F57" t="s" s="0">
        <v>1517</v>
      </c>
      <c r="G57" t="s" s="0">
        <v>1518</v>
      </c>
      <c r="H57" t="s" s="0">
        <v>79</v>
      </c>
      <c r="I57" t="s" s="0">
        <v>81</v>
      </c>
      <c r="J57" t="s" s="0">
        <v>1519</v>
      </c>
      <c r="K57" t="s" s="0">
        <v>1520</v>
      </c>
      <c r="L57" t="s" s="0">
        <v>79</v>
      </c>
      <c r="M57" t="s" s="0">
        <v>79</v>
      </c>
      <c r="N57" t="s" s="0">
        <v>79</v>
      </c>
      <c r="O57" t="s" s="0">
        <v>1521</v>
      </c>
      <c r="P57" t="s" s="0">
        <v>1522</v>
      </c>
      <c r="Q57" t="s" s="0">
        <v>85</v>
      </c>
      <c r="R57" t="s" s="0">
        <v>79</v>
      </c>
      <c r="S57" t="s" s="0">
        <v>79</v>
      </c>
      <c r="T57" t="s" s="0">
        <v>79</v>
      </c>
      <c r="U57" t="s" s="0">
        <v>79</v>
      </c>
      <c r="V57" t="s" s="0">
        <v>1523</v>
      </c>
      <c r="W57" t="s" s="0">
        <v>1232</v>
      </c>
      <c r="X57" t="s" s="0">
        <v>79</v>
      </c>
      <c r="Y57" t="s" s="0">
        <v>79</v>
      </c>
      <c r="Z57" t="s" s="0">
        <v>88</v>
      </c>
      <c r="AA57" t="s" s="0">
        <v>89</v>
      </c>
      <c r="AB57" t="s" s="0">
        <v>79</v>
      </c>
      <c r="AC57" t="s" s="0">
        <v>79</v>
      </c>
      <c r="AD57" t="s" s="0">
        <v>79</v>
      </c>
      <c r="AE57" t="s" s="0">
        <v>79</v>
      </c>
      <c r="AF57" t="s" s="0">
        <v>79</v>
      </c>
      <c r="AG57" t="s" s="0">
        <v>1524</v>
      </c>
      <c r="AH57" t="s" s="0">
        <v>79</v>
      </c>
      <c r="AI57" t="s" s="0">
        <v>1525</v>
      </c>
      <c r="AJ57" t="s" s="0">
        <v>1526</v>
      </c>
      <c r="AK57" t="s" s="0">
        <v>79</v>
      </c>
      <c r="AL57" t="s" s="0">
        <v>1527</v>
      </c>
      <c r="AM57" t="s" s="0">
        <v>1528</v>
      </c>
      <c r="AN57" t="s" s="0">
        <v>1529</v>
      </c>
      <c r="AO57" t="s" s="0">
        <v>102</v>
      </c>
      <c r="AP57" t="s" s="0">
        <v>546</v>
      </c>
      <c r="AQ57" t="s" s="0">
        <v>265</v>
      </c>
      <c r="AR57" t="s" s="0">
        <v>266</v>
      </c>
      <c r="AS57" t="s" s="0">
        <v>267</v>
      </c>
      <c r="AT57" t="s" s="0">
        <v>1235</v>
      </c>
      <c r="AU57" t="s" s="0">
        <v>79</v>
      </c>
      <c r="AV57" t="s" s="0">
        <v>79</v>
      </c>
      <c r="AW57" t="s" s="0">
        <v>1236</v>
      </c>
      <c r="AX57" t="s" s="0">
        <v>1237</v>
      </c>
      <c r="AY57" t="s" s="0">
        <v>699</v>
      </c>
      <c r="AZ57" t="s" s="0">
        <v>699</v>
      </c>
      <c r="BA57" t="s" s="0">
        <v>184</v>
      </c>
      <c r="BB57" t="s" s="0">
        <v>79</v>
      </c>
      <c r="BC57" t="s" s="0">
        <v>79</v>
      </c>
      <c r="BD57" t="s" s="0">
        <v>79</v>
      </c>
      <c r="BE57" t="s" s="0">
        <v>79</v>
      </c>
      <c r="BF57" t="s" s="0">
        <v>79</v>
      </c>
      <c r="BG57" t="s" s="0">
        <v>79</v>
      </c>
      <c r="BH57" t="s" s="0">
        <v>79</v>
      </c>
      <c r="BI57" t="s" s="0">
        <v>1530</v>
      </c>
      <c r="BJ57" t="s" s="0">
        <v>1531</v>
      </c>
      <c r="BK57" t="s" s="110">
        <f>HYPERLINK("http://dx.doi.org/10.2196/50658","http://dx.doi.org/10.2196/50658")</f>
        <v>1532</v>
      </c>
      <c r="BL57" t="s" s="0">
        <v>79</v>
      </c>
      <c r="BM57" t="s" s="0">
        <v>79</v>
      </c>
      <c r="BN57" t="s" s="0">
        <v>412</v>
      </c>
      <c r="BO57" t="s" s="0">
        <v>1241</v>
      </c>
      <c r="BP57" t="s" s="0">
        <v>1242</v>
      </c>
      <c r="BQ57" t="s" s="0">
        <v>1533</v>
      </c>
      <c r="BR57" t="s" s="0">
        <v>1534</v>
      </c>
      <c r="BS57" t="s" s="0">
        <v>1535</v>
      </c>
      <c r="BT57" t="s" s="111">
        <f>HYPERLINK("https://www.webofscience.com/wos/woscc/full-record/WOS:001146166500001","View Record in Web of Science")</f>
        <v>114</v>
      </c>
      <c r="BU57" t="s" s="0">
        <v>183</v>
      </c>
      <c r="BV57" t="s" s="0">
        <v>79</v>
      </c>
      <c r="BW57" t="s" s="0">
        <v>79</v>
      </c>
      <c r="BX57" t="s" s="0">
        <v>115</v>
      </c>
    </row>
    <row r="58">
      <c r="A58" t="s" s="0">
        <v>77</v>
      </c>
      <c r="B58" t="s" s="0">
        <v>77</v>
      </c>
      <c r="C58" t="s" s="0">
        <v>77</v>
      </c>
      <c r="D58" t="s" s="0">
        <v>77</v>
      </c>
      <c r="E58" t="s" s="0">
        <v>1536</v>
      </c>
      <c r="F58" t="s" s="0">
        <v>1537</v>
      </c>
      <c r="G58" t="s" s="0">
        <v>1538</v>
      </c>
      <c r="H58" t="s" s="0">
        <v>79</v>
      </c>
      <c r="I58" t="s" s="0">
        <v>398</v>
      </c>
      <c r="J58" t="s" s="0">
        <v>1539</v>
      </c>
      <c r="K58" t="s" s="0">
        <v>1540</v>
      </c>
      <c r="L58" t="s" s="0">
        <v>79</v>
      </c>
      <c r="M58" t="s" s="0">
        <v>79</v>
      </c>
      <c r="N58" t="s" s="0">
        <v>79</v>
      </c>
      <c r="O58" t="s" s="0">
        <v>1541</v>
      </c>
      <c r="P58" t="s" s="0">
        <v>1542</v>
      </c>
      <c r="Q58" t="s" s="0">
        <v>85</v>
      </c>
      <c r="R58" t="s" s="0">
        <v>79</v>
      </c>
      <c r="S58" t="s" s="0">
        <v>79</v>
      </c>
      <c r="T58" t="s" s="0">
        <v>79</v>
      </c>
      <c r="U58" t="s" s="0">
        <v>79</v>
      </c>
      <c r="V58" t="s" s="0">
        <v>1543</v>
      </c>
      <c r="W58" t="s" s="0">
        <v>1544</v>
      </c>
      <c r="X58" t="s" s="0">
        <v>79</v>
      </c>
      <c r="Y58" t="s" s="0">
        <v>79</v>
      </c>
      <c r="Z58" t="s" s="0">
        <v>88</v>
      </c>
      <c r="AA58" t="s" s="0">
        <v>89</v>
      </c>
      <c r="AB58" t="s" s="0">
        <v>79</v>
      </c>
      <c r="AC58" t="s" s="0">
        <v>79</v>
      </c>
      <c r="AD58" t="s" s="0">
        <v>79</v>
      </c>
      <c r="AE58" t="s" s="0">
        <v>79</v>
      </c>
      <c r="AF58" t="s" s="0">
        <v>79</v>
      </c>
      <c r="AG58" t="s" s="0">
        <v>79</v>
      </c>
      <c r="AH58" t="s" s="0">
        <v>79</v>
      </c>
      <c r="AI58" t="s" s="0">
        <v>79</v>
      </c>
      <c r="AJ58" t="s" s="0">
        <v>1545</v>
      </c>
      <c r="AK58" t="s" s="0">
        <v>79</v>
      </c>
      <c r="AL58" t="s" s="0">
        <v>264</v>
      </c>
      <c r="AM58" t="s" s="0">
        <v>77</v>
      </c>
      <c r="AN58" t="s" s="0">
        <v>77</v>
      </c>
      <c r="AO58" t="s" s="0">
        <v>92</v>
      </c>
      <c r="AP58" t="s" s="0">
        <v>92</v>
      </c>
      <c r="AQ58" t="s" s="0">
        <v>430</v>
      </c>
      <c r="AR58" t="s" s="0">
        <v>94</v>
      </c>
      <c r="AS58" t="s" s="0">
        <v>431</v>
      </c>
      <c r="AT58" t="s" s="0">
        <v>79</v>
      </c>
      <c r="AU58" t="s" s="0">
        <v>1546</v>
      </c>
      <c r="AV58" t="s" s="0">
        <v>79</v>
      </c>
      <c r="AW58" t="s" s="0">
        <v>1544</v>
      </c>
      <c r="AX58" t="s" s="0">
        <v>1547</v>
      </c>
      <c r="AY58" t="s" s="0">
        <v>1548</v>
      </c>
      <c r="AZ58" t="s" s="0">
        <v>139</v>
      </c>
      <c r="BA58" t="s" s="0">
        <v>211</v>
      </c>
      <c r="BB58" t="s" s="0">
        <v>92</v>
      </c>
      <c r="BC58" t="s" s="0">
        <v>79</v>
      </c>
      <c r="BD58" t="s" s="0">
        <v>79</v>
      </c>
      <c r="BE58" t="s" s="0">
        <v>79</v>
      </c>
      <c r="BF58" t="s" s="0">
        <v>79</v>
      </c>
      <c r="BG58" t="s" s="0">
        <v>79</v>
      </c>
      <c r="BH58" t="s" s="0">
        <v>79</v>
      </c>
      <c r="BI58" t="s" s="0">
        <v>1549</v>
      </c>
      <c r="BJ58" t="s" s="0">
        <v>1550</v>
      </c>
      <c r="BK58" t="s" s="112">
        <f>HYPERLINK("http://dx.doi.org/10.2106/JBJS.OA.25.00225","http://dx.doi.org/10.2106/JBJS.OA.25.00225")</f>
        <v>1551</v>
      </c>
      <c r="BL58" t="s" s="0">
        <v>79</v>
      </c>
      <c r="BM58" t="s" s="0">
        <v>79</v>
      </c>
      <c r="BN58" t="s" s="0">
        <v>166</v>
      </c>
      <c r="BO58" t="s" s="0">
        <v>1552</v>
      </c>
      <c r="BP58" t="s" s="0">
        <v>1552</v>
      </c>
      <c r="BQ58" t="s" s="0">
        <v>1553</v>
      </c>
      <c r="BR58" t="s" s="0">
        <v>1554</v>
      </c>
      <c r="BS58" t="s" s="0">
        <v>1555</v>
      </c>
      <c r="BT58" t="s" s="113">
        <f>HYPERLINK("https://www.webofscience.com/wos/woscc/full-record/WOS:001679054100001","View Record in Web of Science")</f>
        <v>114</v>
      </c>
      <c r="BU58" t="s" s="0">
        <v>183</v>
      </c>
      <c r="BV58" t="s" s="0">
        <v>79</v>
      </c>
      <c r="BW58" t="s" s="0">
        <v>79</v>
      </c>
      <c r="BX58" t="s" s="0">
        <v>115</v>
      </c>
    </row>
    <row r="59">
      <c r="A59" t="s" s="0">
        <v>77</v>
      </c>
      <c r="B59" t="s" s="0">
        <v>77</v>
      </c>
      <c r="C59" t="s" s="0">
        <v>166</v>
      </c>
      <c r="D59" t="s" s="0">
        <v>77</v>
      </c>
      <c r="E59" t="s" s="0">
        <v>1556</v>
      </c>
      <c r="F59" t="s" s="0">
        <v>1557</v>
      </c>
      <c r="G59" t="s" s="0">
        <v>1558</v>
      </c>
      <c r="H59" t="s" s="0">
        <v>79</v>
      </c>
      <c r="I59" t="s" s="0">
        <v>81</v>
      </c>
      <c r="J59" t="s" s="0">
        <v>1559</v>
      </c>
      <c r="K59" t="s" s="0">
        <v>1560</v>
      </c>
      <c r="L59" t="s" s="0">
        <v>1561</v>
      </c>
      <c r="M59" t="s" s="0">
        <v>1561</v>
      </c>
      <c r="N59" t="s" s="0">
        <v>1562</v>
      </c>
      <c r="O59" t="s" s="0">
        <v>1563</v>
      </c>
      <c r="P59" t="s" s="0">
        <v>1564</v>
      </c>
      <c r="Q59" t="s" s="0">
        <v>85</v>
      </c>
      <c r="R59" t="s" s="0">
        <v>79</v>
      </c>
      <c r="S59" t="s" s="0">
        <v>79</v>
      </c>
      <c r="T59" t="s" s="0">
        <v>79</v>
      </c>
      <c r="U59" t="s" s="0">
        <v>79</v>
      </c>
      <c r="V59" t="s" s="0">
        <v>1565</v>
      </c>
      <c r="W59" t="s" s="0">
        <v>1566</v>
      </c>
      <c r="X59" t="s" s="0">
        <v>79</v>
      </c>
      <c r="Y59" t="s" s="0">
        <v>79</v>
      </c>
      <c r="Z59" t="s" s="0">
        <v>88</v>
      </c>
      <c r="AA59" t="s" s="0">
        <v>89</v>
      </c>
      <c r="AB59" t="s" s="0">
        <v>79</v>
      </c>
      <c r="AC59" t="s" s="0">
        <v>79</v>
      </c>
      <c r="AD59" t="s" s="0">
        <v>79</v>
      </c>
      <c r="AE59" t="s" s="0">
        <v>79</v>
      </c>
      <c r="AF59" t="s" s="0">
        <v>79</v>
      </c>
      <c r="AG59" t="s" s="0">
        <v>1567</v>
      </c>
      <c r="AH59" t="s" s="0">
        <v>1568</v>
      </c>
      <c r="AI59" t="s" s="0">
        <v>1569</v>
      </c>
      <c r="AJ59" t="s" s="0">
        <v>1570</v>
      </c>
      <c r="AK59" t="s" s="0">
        <v>79</v>
      </c>
      <c r="AL59" t="s" s="0">
        <v>317</v>
      </c>
      <c r="AM59" t="s" s="0">
        <v>261</v>
      </c>
      <c r="AN59" t="s" s="0">
        <v>507</v>
      </c>
      <c r="AO59" t="s" s="0">
        <v>131</v>
      </c>
      <c r="AP59" t="s" s="0">
        <v>1527</v>
      </c>
      <c r="AQ59" t="s" s="0">
        <v>538</v>
      </c>
      <c r="AR59" t="s" s="0">
        <v>378</v>
      </c>
      <c r="AS59" t="s" s="0">
        <v>539</v>
      </c>
      <c r="AT59" t="s" s="0">
        <v>1571</v>
      </c>
      <c r="AU59" t="s" s="0">
        <v>1572</v>
      </c>
      <c r="AV59" t="s" s="0">
        <v>79</v>
      </c>
      <c r="AW59" t="s" s="0">
        <v>1573</v>
      </c>
      <c r="AX59" t="s" s="0">
        <v>1574</v>
      </c>
      <c r="AY59" t="s" s="0">
        <v>1575</v>
      </c>
      <c r="AZ59" t="s" s="0">
        <v>699</v>
      </c>
      <c r="BA59" t="s" s="0">
        <v>317</v>
      </c>
      <c r="BB59" t="s" s="0">
        <v>92</v>
      </c>
      <c r="BC59" t="s" s="0">
        <v>79</v>
      </c>
      <c r="BD59" t="s" s="0">
        <v>79</v>
      </c>
      <c r="BE59" t="s" s="0">
        <v>79</v>
      </c>
      <c r="BF59" t="s" s="0">
        <v>79</v>
      </c>
      <c r="BG59" t="s" s="0">
        <v>79</v>
      </c>
      <c r="BH59" t="s" s="0">
        <v>79</v>
      </c>
      <c r="BI59" t="s" s="0">
        <v>1576</v>
      </c>
      <c r="BJ59" t="s" s="0">
        <v>1577</v>
      </c>
      <c r="BK59" t="s" s="114">
        <f>HYPERLINK("http://dx.doi.org/10.1186/s10195-023-00740-4","http://dx.doi.org/10.1186/s10195-023-00740-4")</f>
        <v>1578</v>
      </c>
      <c r="BL59" t="s" s="0">
        <v>79</v>
      </c>
      <c r="BM59" t="s" s="0">
        <v>79</v>
      </c>
      <c r="BN59" t="s" s="0">
        <v>211</v>
      </c>
      <c r="BO59" t="s" s="0">
        <v>1461</v>
      </c>
      <c r="BP59" t="s" s="0">
        <v>1461</v>
      </c>
      <c r="BQ59" t="s" s="0">
        <v>1579</v>
      </c>
      <c r="BR59" t="s" s="0">
        <v>1580</v>
      </c>
      <c r="BS59" t="s" s="0">
        <v>1581</v>
      </c>
      <c r="BT59" t="s" s="115">
        <f>HYPERLINK("https://www.webofscience.com/wos/woscc/full-record/WOS:001110492100001","View Record in Web of Science")</f>
        <v>114</v>
      </c>
      <c r="BU59" t="s" s="0">
        <v>1582</v>
      </c>
      <c r="BV59" t="s" s="0">
        <v>79</v>
      </c>
      <c r="BW59" t="s" s="0">
        <v>79</v>
      </c>
      <c r="BX59" t="s" s="0">
        <v>115</v>
      </c>
    </row>
    <row r="60">
      <c r="A60" t="s" s="0">
        <v>131</v>
      </c>
      <c r="B60" t="s" s="0">
        <v>77</v>
      </c>
      <c r="C60" t="s" s="0">
        <v>412</v>
      </c>
      <c r="D60" t="s" s="0">
        <v>77</v>
      </c>
      <c r="E60" t="s" s="0">
        <v>1583</v>
      </c>
      <c r="F60" t="s" s="0">
        <v>1584</v>
      </c>
      <c r="G60" t="s" s="0">
        <v>1585</v>
      </c>
      <c r="H60" t="s" s="0">
        <v>79</v>
      </c>
      <c r="I60" t="s" s="0">
        <v>81</v>
      </c>
      <c r="J60" t="s" s="0">
        <v>1586</v>
      </c>
      <c r="K60" t="s" s="0">
        <v>1587</v>
      </c>
      <c r="L60" t="s" s="0">
        <v>79</v>
      </c>
      <c r="M60" t="s" s="0">
        <v>79</v>
      </c>
      <c r="N60" t="s" s="0">
        <v>79</v>
      </c>
      <c r="O60" t="s" s="0">
        <v>1588</v>
      </c>
      <c r="P60" t="s" s="0">
        <v>1589</v>
      </c>
      <c r="Q60" t="s" s="0">
        <v>85</v>
      </c>
      <c r="R60" t="s" s="0">
        <v>79</v>
      </c>
      <c r="S60" t="s" s="0">
        <v>79</v>
      </c>
      <c r="T60" t="s" s="0">
        <v>79</v>
      </c>
      <c r="U60" t="s" s="0">
        <v>79</v>
      </c>
      <c r="V60" t="s" s="0">
        <v>1590</v>
      </c>
      <c r="W60" t="s" s="0">
        <v>1591</v>
      </c>
      <c r="X60" t="s" s="0">
        <v>79</v>
      </c>
      <c r="Y60" t="s" s="0">
        <v>79</v>
      </c>
      <c r="Z60" t="s" s="0">
        <v>88</v>
      </c>
      <c r="AA60" t="s" s="0">
        <v>89</v>
      </c>
      <c r="AB60" t="s" s="0">
        <v>79</v>
      </c>
      <c r="AC60" t="s" s="0">
        <v>79</v>
      </c>
      <c r="AD60" t="s" s="0">
        <v>79</v>
      </c>
      <c r="AE60" t="s" s="0">
        <v>79</v>
      </c>
      <c r="AF60" t="s" s="0">
        <v>79</v>
      </c>
      <c r="AG60" t="s" s="0">
        <v>1592</v>
      </c>
      <c r="AH60" t="s" s="0">
        <v>79</v>
      </c>
      <c r="AI60" t="s" s="0">
        <v>1593</v>
      </c>
      <c r="AJ60" t="s" s="0">
        <v>1594</v>
      </c>
      <c r="AK60" t="s" s="0">
        <v>79</v>
      </c>
      <c r="AL60" t="s" s="0">
        <v>101</v>
      </c>
      <c r="AM60" t="s" s="0">
        <v>722</v>
      </c>
      <c r="AN60" t="s" s="0">
        <v>545</v>
      </c>
      <c r="AO60" t="s" s="0">
        <v>92</v>
      </c>
      <c r="AP60" t="s" s="0">
        <v>887</v>
      </c>
      <c r="AQ60" t="s" s="0">
        <v>350</v>
      </c>
      <c r="AR60" t="s" s="0">
        <v>351</v>
      </c>
      <c r="AS60" t="s" s="0">
        <v>352</v>
      </c>
      <c r="AT60" t="s" s="0">
        <v>79</v>
      </c>
      <c r="AU60" t="s" s="0">
        <v>1595</v>
      </c>
      <c r="AV60" t="s" s="0">
        <v>79</v>
      </c>
      <c r="AW60" t="s" s="0">
        <v>1596</v>
      </c>
      <c r="AX60" t="s" s="0">
        <v>1597</v>
      </c>
      <c r="AY60" t="s" s="0">
        <v>1598</v>
      </c>
      <c r="AZ60" t="s" s="0">
        <v>699</v>
      </c>
      <c r="BA60" t="s" s="0">
        <v>146</v>
      </c>
      <c r="BB60" t="s" s="0">
        <v>79</v>
      </c>
      <c r="BC60" t="s" s="0">
        <v>79</v>
      </c>
      <c r="BD60" t="s" s="0">
        <v>79</v>
      </c>
      <c r="BE60" t="s" s="0">
        <v>79</v>
      </c>
      <c r="BF60" t="s" s="0">
        <v>79</v>
      </c>
      <c r="BG60" t="s" s="0">
        <v>79</v>
      </c>
      <c r="BH60" t="s" s="0">
        <v>79</v>
      </c>
      <c r="BI60" t="s" s="0">
        <v>1599</v>
      </c>
      <c r="BJ60" t="s" s="0">
        <v>1600</v>
      </c>
      <c r="BK60" t="s" s="116">
        <f>HYPERLINK("http://dx.doi.org/10.3389/fmed.2023.1296615","http://dx.doi.org/10.3389/fmed.2023.1296615")</f>
        <v>1601</v>
      </c>
      <c r="BL60" t="s" s="0">
        <v>79</v>
      </c>
      <c r="BM60" t="s" s="0">
        <v>79</v>
      </c>
      <c r="BN60" t="s" s="0">
        <v>211</v>
      </c>
      <c r="BO60" t="s" s="0">
        <v>329</v>
      </c>
      <c r="BP60" t="s" s="0">
        <v>110</v>
      </c>
      <c r="BQ60" t="s" s="0">
        <v>1602</v>
      </c>
      <c r="BR60" t="s" s="0">
        <v>1603</v>
      </c>
      <c r="BS60" t="s" s="0">
        <v>1604</v>
      </c>
      <c r="BT60" t="s" s="117">
        <f>HYPERLINK("https://www.webofscience.com/wos/woscc/full-record/WOS:001130296800001","View Record in Web of Science")</f>
        <v>114</v>
      </c>
      <c r="BU60" t="s" s="0">
        <v>183</v>
      </c>
      <c r="BV60" t="s" s="0">
        <v>79</v>
      </c>
      <c r="BW60" t="s" s="0">
        <v>79</v>
      </c>
      <c r="BX60" t="s" s="0">
        <v>115</v>
      </c>
    </row>
    <row r="61">
      <c r="A61" t="s" s="0">
        <v>77</v>
      </c>
      <c r="B61" t="s" s="0">
        <v>77</v>
      </c>
      <c r="C61" t="s" s="0">
        <v>92</v>
      </c>
      <c r="D61" t="s" s="0">
        <v>77</v>
      </c>
      <c r="E61" t="s" s="0">
        <v>1605</v>
      </c>
      <c r="F61" t="s" s="0">
        <v>1606</v>
      </c>
      <c r="G61" t="s" s="0">
        <v>1607</v>
      </c>
      <c r="H61" t="s" s="0">
        <v>79</v>
      </c>
      <c r="I61" t="s" s="0">
        <v>398</v>
      </c>
      <c r="J61" t="s" s="0">
        <v>1608</v>
      </c>
      <c r="K61" t="s" s="0">
        <v>1609</v>
      </c>
      <c r="L61" t="s" s="0">
        <v>79</v>
      </c>
      <c r="M61" t="s" s="0">
        <v>79</v>
      </c>
      <c r="N61" t="s" s="0">
        <v>79</v>
      </c>
      <c r="O61" t="s" s="0">
        <v>1610</v>
      </c>
      <c r="P61" t="s" s="0">
        <v>1611</v>
      </c>
      <c r="Q61" t="s" s="0">
        <v>85</v>
      </c>
      <c r="R61" t="s" s="0">
        <v>79</v>
      </c>
      <c r="S61" t="s" s="0">
        <v>79</v>
      </c>
      <c r="T61" t="s" s="0">
        <v>79</v>
      </c>
      <c r="U61" t="s" s="0">
        <v>79</v>
      </c>
      <c r="V61" t="s" s="0">
        <v>1612</v>
      </c>
      <c r="W61" t="s" s="0">
        <v>1613</v>
      </c>
      <c r="X61" t="s" s="0">
        <v>79</v>
      </c>
      <c r="Y61" t="s" s="0">
        <v>79</v>
      </c>
      <c r="Z61" t="s" s="0">
        <v>88</v>
      </c>
      <c r="AA61" t="s" s="0">
        <v>89</v>
      </c>
      <c r="AB61" t="s" s="0">
        <v>79</v>
      </c>
      <c r="AC61" t="s" s="0">
        <v>79</v>
      </c>
      <c r="AD61" t="s" s="0">
        <v>79</v>
      </c>
      <c r="AE61" t="s" s="0">
        <v>79</v>
      </c>
      <c r="AF61" t="s" s="0">
        <v>79</v>
      </c>
      <c r="AG61" t="s" s="0">
        <v>1614</v>
      </c>
      <c r="AH61" t="s" s="0">
        <v>79</v>
      </c>
      <c r="AI61" t="s" s="0">
        <v>1615</v>
      </c>
      <c r="AJ61" t="s" s="0">
        <v>79</v>
      </c>
      <c r="AK61" t="s" s="0">
        <v>79</v>
      </c>
      <c r="AL61" t="s" s="0">
        <v>983</v>
      </c>
      <c r="AM61" t="s" s="0">
        <v>184</v>
      </c>
      <c r="AN61" t="s" s="0">
        <v>211</v>
      </c>
      <c r="AO61" t="s" s="0">
        <v>77</v>
      </c>
      <c r="AP61" t="s" s="0">
        <v>92</v>
      </c>
      <c r="AQ61" t="s" s="0">
        <v>200</v>
      </c>
      <c r="AR61" t="s" s="0">
        <v>201</v>
      </c>
      <c r="AS61" t="s" s="0">
        <v>202</v>
      </c>
      <c r="AT61" t="s" s="0">
        <v>79</v>
      </c>
      <c r="AU61" t="s" s="0">
        <v>1616</v>
      </c>
      <c r="AV61" t="s" s="0">
        <v>79</v>
      </c>
      <c r="AW61" t="s" s="0">
        <v>1617</v>
      </c>
      <c r="AX61" t="s" s="0">
        <v>1618</v>
      </c>
      <c r="AY61" t="s" s="0">
        <v>1188</v>
      </c>
      <c r="AZ61" t="s" s="0">
        <v>100</v>
      </c>
      <c r="BA61" t="s" s="0">
        <v>146</v>
      </c>
      <c r="BB61" t="s" s="0">
        <v>79</v>
      </c>
      <c r="BC61" t="s" s="0">
        <v>79</v>
      </c>
      <c r="BD61" t="s" s="0">
        <v>79</v>
      </c>
      <c r="BE61" t="s" s="0">
        <v>79</v>
      </c>
      <c r="BF61" t="s" s="0">
        <v>79</v>
      </c>
      <c r="BG61" t="s" s="0">
        <v>79</v>
      </c>
      <c r="BH61" t="s" s="0">
        <v>79</v>
      </c>
      <c r="BI61" t="s" s="0">
        <v>1619</v>
      </c>
      <c r="BJ61" t="s" s="0">
        <v>1620</v>
      </c>
      <c r="BK61" t="s" s="118">
        <f>HYPERLINK("http://dx.doi.org/10.1016/j.jposna.2024.100135","http://dx.doi.org/10.1016/j.jposna.2024.100135")</f>
        <v>1621</v>
      </c>
      <c r="BL61" t="s" s="0">
        <v>79</v>
      </c>
      <c r="BM61" t="s" s="0">
        <v>107</v>
      </c>
      <c r="BN61" t="s" s="0">
        <v>230</v>
      </c>
      <c r="BO61" t="s" s="0">
        <v>1622</v>
      </c>
      <c r="BP61" t="s" s="0">
        <v>1622</v>
      </c>
      <c r="BQ61" t="s" s="0">
        <v>1623</v>
      </c>
      <c r="BR61" t="s" s="0">
        <v>1624</v>
      </c>
      <c r="BS61" t="s" s="0">
        <v>1625</v>
      </c>
      <c r="BT61" t="s" s="119">
        <f>HYPERLINK("https://www.webofscience.com/wos/woscc/full-record/WOS:001592068800002","View Record in Web of Science")</f>
        <v>114</v>
      </c>
      <c r="BU61" t="s" s="0">
        <v>183</v>
      </c>
      <c r="BV61" t="s" s="0">
        <v>79</v>
      </c>
      <c r="BW61" t="s" s="0">
        <v>79</v>
      </c>
      <c r="BX61" t="s" s="0">
        <v>115</v>
      </c>
    </row>
    <row r="62">
      <c r="A62" t="s" s="0">
        <v>77</v>
      </c>
      <c r="B62" t="s" s="0">
        <v>77</v>
      </c>
      <c r="C62" t="s" s="0">
        <v>77</v>
      </c>
      <c r="D62" t="s" s="0">
        <v>77</v>
      </c>
      <c r="E62" t="s" s="0">
        <v>1626</v>
      </c>
      <c r="F62" t="s" s="0">
        <v>1627</v>
      </c>
      <c r="G62" t="s" s="0">
        <v>1628</v>
      </c>
      <c r="H62" t="s" s="0">
        <v>79</v>
      </c>
      <c r="I62" t="s" s="0">
        <v>398</v>
      </c>
      <c r="J62" t="s" s="0">
        <v>1629</v>
      </c>
      <c r="K62" t="s" s="0">
        <v>1630</v>
      </c>
      <c r="L62" t="s" s="0">
        <v>1631</v>
      </c>
      <c r="M62" t="s" s="0">
        <v>1631</v>
      </c>
      <c r="N62" t="s" s="0">
        <v>1632</v>
      </c>
      <c r="O62" t="s" s="0">
        <v>1633</v>
      </c>
      <c r="P62" t="s" s="0">
        <v>1634</v>
      </c>
      <c r="Q62" t="s" s="0">
        <v>85</v>
      </c>
      <c r="R62" t="s" s="0">
        <v>79</v>
      </c>
      <c r="S62" t="s" s="0">
        <v>79</v>
      </c>
      <c r="T62" t="s" s="0">
        <v>79</v>
      </c>
      <c r="U62" t="s" s="0">
        <v>79</v>
      </c>
      <c r="V62" t="s" s="0">
        <v>1635</v>
      </c>
      <c r="W62" t="s" s="0">
        <v>1636</v>
      </c>
      <c r="X62" t="s" s="0">
        <v>79</v>
      </c>
      <c r="Y62" t="s" s="0">
        <v>79</v>
      </c>
      <c r="Z62" t="s" s="0">
        <v>88</v>
      </c>
      <c r="AA62" t="s" s="0">
        <v>89</v>
      </c>
      <c r="AB62" t="s" s="0">
        <v>79</v>
      </c>
      <c r="AC62" t="s" s="0">
        <v>79</v>
      </c>
      <c r="AD62" t="s" s="0">
        <v>79</v>
      </c>
      <c r="AE62" t="s" s="0">
        <v>79</v>
      </c>
      <c r="AF62" t="s" s="0">
        <v>79</v>
      </c>
      <c r="AG62" t="s" s="0">
        <v>1637</v>
      </c>
      <c r="AH62" t="s" s="0">
        <v>1638</v>
      </c>
      <c r="AI62" t="s" s="0">
        <v>1639</v>
      </c>
      <c r="AJ62" t="s" s="0">
        <v>1640</v>
      </c>
      <c r="AK62" t="s" s="0">
        <v>79</v>
      </c>
      <c r="AL62" t="s" s="0">
        <v>1026</v>
      </c>
      <c r="AM62" t="s" s="0">
        <v>131</v>
      </c>
      <c r="AN62" t="s" s="0">
        <v>131</v>
      </c>
      <c r="AO62" t="s" s="0">
        <v>77</v>
      </c>
      <c r="AP62" t="s" s="0">
        <v>77</v>
      </c>
      <c r="AQ62" t="s" s="0">
        <v>265</v>
      </c>
      <c r="AR62" t="s" s="0">
        <v>266</v>
      </c>
      <c r="AS62" t="s" s="0">
        <v>267</v>
      </c>
      <c r="AT62" t="s" s="0">
        <v>79</v>
      </c>
      <c r="AU62" t="s" s="0">
        <v>1641</v>
      </c>
      <c r="AV62" t="s" s="0">
        <v>79</v>
      </c>
      <c r="AW62" t="s" s="0">
        <v>1642</v>
      </c>
      <c r="AX62" t="s" s="0">
        <v>1643</v>
      </c>
      <c r="AY62" t="s" s="0">
        <v>100</v>
      </c>
      <c r="AZ62" t="s" s="0">
        <v>100</v>
      </c>
      <c r="BA62" t="s" s="0">
        <v>184</v>
      </c>
      <c r="BB62" t="s" s="0">
        <v>79</v>
      </c>
      <c r="BC62" t="s" s="0">
        <v>79</v>
      </c>
      <c r="BD62" t="s" s="0">
        <v>79</v>
      </c>
      <c r="BE62" t="s" s="0">
        <v>79</v>
      </c>
      <c r="BF62" t="s" s="0">
        <v>79</v>
      </c>
      <c r="BG62" t="s" s="0">
        <v>79</v>
      </c>
      <c r="BH62" t="s" s="0">
        <v>79</v>
      </c>
      <c r="BI62" t="s" s="0">
        <v>1644</v>
      </c>
      <c r="BJ62" t="s" s="0">
        <v>1645</v>
      </c>
      <c r="BK62" t="s" s="120">
        <f>HYPERLINK("http://dx.doi.org/10.2196/75929","http://dx.doi.org/10.2196/75929")</f>
        <v>1646</v>
      </c>
      <c r="BL62" t="s" s="0">
        <v>79</v>
      </c>
      <c r="BM62" t="s" s="0">
        <v>79</v>
      </c>
      <c r="BN62" t="s" s="0">
        <v>184</v>
      </c>
      <c r="BO62" t="s" s="0">
        <v>276</v>
      </c>
      <c r="BP62" t="s" s="0">
        <v>276</v>
      </c>
      <c r="BQ62" t="s" s="0">
        <v>1647</v>
      </c>
      <c r="BR62" t="s" s="0">
        <v>1648</v>
      </c>
      <c r="BS62" t="s" s="0">
        <v>1649</v>
      </c>
      <c r="BT62" t="s" s="121">
        <f>HYPERLINK("https://www.webofscience.com/wos/woscc/full-record/WOS:001639344900031","View Record in Web of Science")</f>
        <v>114</v>
      </c>
      <c r="BU62" t="s" s="0">
        <v>183</v>
      </c>
      <c r="BV62" t="s" s="0">
        <v>79</v>
      </c>
      <c r="BW62" t="s" s="0">
        <v>79</v>
      </c>
      <c r="BX62" t="s" s="0">
        <v>115</v>
      </c>
    </row>
    <row r="63">
      <c r="A63" t="s" s="0">
        <v>77</v>
      </c>
      <c r="B63" t="s" s="0">
        <v>77</v>
      </c>
      <c r="C63" t="s" s="0">
        <v>77</v>
      </c>
      <c r="D63" t="s" s="0">
        <v>77</v>
      </c>
      <c r="E63" t="s" s="0">
        <v>1650</v>
      </c>
      <c r="F63" t="s" s="0">
        <v>1654</v>
      </c>
      <c r="G63" t="s" s="0">
        <v>1655</v>
      </c>
      <c r="H63" t="s" s="0">
        <v>79</v>
      </c>
      <c r="I63" t="s" s="0">
        <v>81</v>
      </c>
      <c r="J63" t="s" s="0">
        <v>1656</v>
      </c>
      <c r="K63" t="s" s="0">
        <v>1657</v>
      </c>
      <c r="L63" t="s" s="0">
        <v>1658</v>
      </c>
      <c r="M63" t="s" s="0">
        <v>1659</v>
      </c>
      <c r="N63" t="s" s="0">
        <v>1660</v>
      </c>
      <c r="O63" t="s" s="0">
        <v>1661</v>
      </c>
      <c r="P63" t="s" s="0">
        <v>1662</v>
      </c>
      <c r="Q63" t="s" s="0">
        <v>85</v>
      </c>
      <c r="R63" t="s" s="0">
        <v>79</v>
      </c>
      <c r="S63" t="s" s="0">
        <v>79</v>
      </c>
      <c r="T63" t="s" s="0">
        <v>79</v>
      </c>
      <c r="U63" t="s" s="0">
        <v>79</v>
      </c>
      <c r="V63" t="s" s="0">
        <v>1663</v>
      </c>
      <c r="W63" t="s" s="0">
        <v>1664</v>
      </c>
      <c r="X63" t="s" s="0">
        <v>79</v>
      </c>
      <c r="Y63" t="s" s="0">
        <v>79</v>
      </c>
      <c r="Z63" t="s" s="0">
        <v>88</v>
      </c>
      <c r="AA63" t="s" s="0">
        <v>89</v>
      </c>
      <c r="AB63" t="s" s="0">
        <v>79</v>
      </c>
      <c r="AC63" t="s" s="0">
        <v>79</v>
      </c>
      <c r="AD63" t="s" s="0">
        <v>79</v>
      </c>
      <c r="AE63" t="s" s="0">
        <v>79</v>
      </c>
      <c r="AF63" t="s" s="0">
        <v>79</v>
      </c>
      <c r="AG63" t="s" s="0">
        <v>1665</v>
      </c>
      <c r="AH63" t="s" s="0">
        <v>1666</v>
      </c>
      <c r="AI63" t="s" s="0">
        <v>1667</v>
      </c>
      <c r="AJ63" t="s" s="0">
        <v>1668</v>
      </c>
      <c r="AK63" t="s" s="0">
        <v>79</v>
      </c>
      <c r="AL63" t="s" s="0">
        <v>463</v>
      </c>
      <c r="AM63" t="s" s="0">
        <v>77</v>
      </c>
      <c r="AN63" t="s" s="0">
        <v>77</v>
      </c>
      <c r="AO63" t="s" s="0">
        <v>92</v>
      </c>
      <c r="AP63" t="s" s="0">
        <v>92</v>
      </c>
      <c r="AQ63" t="s" s="0">
        <v>430</v>
      </c>
      <c r="AR63" t="s" s="0">
        <v>94</v>
      </c>
      <c r="AS63" t="s" s="0">
        <v>431</v>
      </c>
      <c r="AT63" t="s" s="0">
        <v>1669</v>
      </c>
      <c r="AU63" t="s" s="0">
        <v>1670</v>
      </c>
      <c r="AV63" t="s" s="0">
        <v>79</v>
      </c>
      <c r="AW63" t="s" s="0">
        <v>1671</v>
      </c>
      <c r="AX63" t="s" s="0">
        <v>1672</v>
      </c>
      <c r="AY63" t="s" s="0">
        <v>806</v>
      </c>
      <c r="AZ63" t="s" s="0">
        <v>139</v>
      </c>
      <c r="BA63" t="s" s="0">
        <v>1673</v>
      </c>
      <c r="BB63" t="s" s="0">
        <v>102</v>
      </c>
      <c r="BC63" t="s" s="0">
        <v>79</v>
      </c>
      <c r="BD63" t="s" s="0">
        <v>79</v>
      </c>
      <c r="BE63" t="s" s="0">
        <v>79</v>
      </c>
      <c r="BF63" t="s" s="0">
        <v>79</v>
      </c>
      <c r="BG63" t="s" s="0">
        <v>1674</v>
      </c>
      <c r="BH63" t="s" s="0">
        <v>1675</v>
      </c>
      <c r="BI63" t="s" s="0">
        <v>79</v>
      </c>
      <c r="BJ63" t="s" s="0">
        <v>1676</v>
      </c>
      <c r="BK63" t="s" s="122">
        <f>HYPERLINK("http://dx.doi.org/10.1097/DCR.0000000000004092","http://dx.doi.org/10.1097/DCR.0000000000004092")</f>
        <v>1677</v>
      </c>
      <c r="BL63" t="s" s="0">
        <v>79</v>
      </c>
      <c r="BM63" t="s" s="0">
        <v>79</v>
      </c>
      <c r="BN63" t="s" s="0">
        <v>146</v>
      </c>
      <c r="BO63" t="s" s="0">
        <v>1678</v>
      </c>
      <c r="BP63" t="s" s="0">
        <v>1678</v>
      </c>
      <c r="BQ63" t="s" s="0">
        <v>1679</v>
      </c>
      <c r="BR63" t="s" s="0">
        <v>1680</v>
      </c>
      <c r="BS63" t="s" s="0">
        <v>1681</v>
      </c>
      <c r="BT63" t="s" s="123">
        <f>HYPERLINK("https://www.webofscience.com/wos/woscc/full-record/WOS:001727608600005","View Record in Web of Science")</f>
        <v>114</v>
      </c>
      <c r="BU63" t="s" s="0">
        <v>79</v>
      </c>
      <c r="BV63" t="s" s="0">
        <v>79</v>
      </c>
      <c r="BW63" t="s" s="0">
        <v>79</v>
      </c>
      <c r="BX63" t="s" s="0">
        <v>115</v>
      </c>
    </row>
    <row r="64">
      <c r="A64" t="s" s="0">
        <v>77</v>
      </c>
      <c r="B64" t="s" s="0">
        <v>77</v>
      </c>
      <c r="C64" t="s" s="0">
        <v>130</v>
      </c>
      <c r="D64" t="s" s="0">
        <v>77</v>
      </c>
      <c r="E64" t="s" s="0">
        <v>1685</v>
      </c>
      <c r="F64" t="s" s="0">
        <v>1686</v>
      </c>
      <c r="G64" t="s" s="0">
        <v>1687</v>
      </c>
      <c r="H64" t="s" s="0">
        <v>79</v>
      </c>
      <c r="I64" t="s" s="0">
        <v>81</v>
      </c>
      <c r="J64" t="s" s="0">
        <v>1688</v>
      </c>
      <c r="K64" t="s" s="0">
        <v>1689</v>
      </c>
      <c r="L64" t="s" s="0">
        <v>79</v>
      </c>
      <c r="M64" t="s" s="0">
        <v>79</v>
      </c>
      <c r="N64" t="s" s="0">
        <v>79</v>
      </c>
      <c r="O64" t="s" s="0">
        <v>1690</v>
      </c>
      <c r="P64" t="s" s="0">
        <v>1691</v>
      </c>
      <c r="Q64" t="s" s="0">
        <v>85</v>
      </c>
      <c r="R64" t="s" s="0">
        <v>79</v>
      </c>
      <c r="S64" t="s" s="0">
        <v>79</v>
      </c>
      <c r="T64" t="s" s="0">
        <v>79</v>
      </c>
      <c r="U64" t="s" s="0">
        <v>79</v>
      </c>
      <c r="V64" t="s" s="0">
        <v>1692</v>
      </c>
      <c r="W64" t="s" s="0">
        <v>1693</v>
      </c>
      <c r="X64" t="s" s="0">
        <v>79</v>
      </c>
      <c r="Y64" t="s" s="0">
        <v>79</v>
      </c>
      <c r="Z64" t="s" s="0">
        <v>88</v>
      </c>
      <c r="AA64" t="s" s="0">
        <v>89</v>
      </c>
      <c r="AB64" t="s" s="0">
        <v>79</v>
      </c>
      <c r="AC64" t="s" s="0">
        <v>79</v>
      </c>
      <c r="AD64" t="s" s="0">
        <v>79</v>
      </c>
      <c r="AE64" t="s" s="0">
        <v>79</v>
      </c>
      <c r="AF64" t="s" s="0">
        <v>79</v>
      </c>
      <c r="AG64" t="s" s="0">
        <v>1694</v>
      </c>
      <c r="AH64" t="s" s="0">
        <v>79</v>
      </c>
      <c r="AI64" t="s" s="0">
        <v>1695</v>
      </c>
      <c r="AJ64" t="s" s="0">
        <v>1696</v>
      </c>
      <c r="AK64" t="s" s="0">
        <v>79</v>
      </c>
      <c r="AL64" t="s" s="0">
        <v>211</v>
      </c>
      <c r="AM64" t="s" s="0">
        <v>1026</v>
      </c>
      <c r="AN64" t="s" s="0">
        <v>198</v>
      </c>
      <c r="AO64" t="s" s="0">
        <v>77</v>
      </c>
      <c r="AP64" t="s" s="0">
        <v>263</v>
      </c>
      <c r="AQ64" t="s" s="0">
        <v>1363</v>
      </c>
      <c r="AR64" t="s" s="0">
        <v>1364</v>
      </c>
      <c r="AS64" t="s" s="0">
        <v>1697</v>
      </c>
      <c r="AT64" t="s" s="0">
        <v>1698</v>
      </c>
      <c r="AU64" t="s" s="0">
        <v>1699</v>
      </c>
      <c r="AV64" t="s" s="0">
        <v>79</v>
      </c>
      <c r="AW64" t="s" s="0">
        <v>1700</v>
      </c>
      <c r="AX64" t="s" s="0">
        <v>1701</v>
      </c>
      <c r="AY64" t="s" s="0">
        <v>1702</v>
      </c>
      <c r="AZ64" t="s" s="0">
        <v>699</v>
      </c>
      <c r="BA64" t="s" s="0">
        <v>1703</v>
      </c>
      <c r="BB64" t="s" s="0">
        <v>146</v>
      </c>
      <c r="BC64" t="s" s="0">
        <v>79</v>
      </c>
      <c r="BD64" t="s" s="0">
        <v>79</v>
      </c>
      <c r="BE64" t="s" s="0">
        <v>79</v>
      </c>
      <c r="BF64" t="s" s="0">
        <v>79</v>
      </c>
      <c r="BG64" t="s" s="0">
        <v>1704</v>
      </c>
      <c r="BH64" t="s" s="0">
        <v>1705</v>
      </c>
      <c r="BI64" t="s" s="0">
        <v>79</v>
      </c>
      <c r="BJ64" t="s" s="0">
        <v>1706</v>
      </c>
      <c r="BK64" t="s" s="125">
        <f>HYPERLINK("http://dx.doi.org/10.1007/s00228-023-03547-8","http://dx.doi.org/10.1007/s00228-023-03547-8")</f>
        <v>1707</v>
      </c>
      <c r="BL64" t="s" s="0">
        <v>79</v>
      </c>
      <c r="BM64" t="s" s="0">
        <v>1708</v>
      </c>
      <c r="BN64" t="s" s="0">
        <v>146</v>
      </c>
      <c r="BO64" t="s" s="0">
        <v>360</v>
      </c>
      <c r="BP64" t="s" s="0">
        <v>360</v>
      </c>
      <c r="BQ64" t="s" s="0">
        <v>1709</v>
      </c>
      <c r="BR64" t="s" s="0">
        <v>1710</v>
      </c>
      <c r="BS64" t="s" s="0">
        <v>1711</v>
      </c>
      <c r="BT64" t="s" s="126">
        <f>HYPERLINK("https://www.webofscience.com/wos/woscc/full-record/WOS:001046617300001","View Record in Web of Science")</f>
        <v>114</v>
      </c>
      <c r="BU64" t="s" s="0">
        <v>79</v>
      </c>
      <c r="BV64" t="s" s="0">
        <v>79</v>
      </c>
      <c r="BW64" t="s" s="0">
        <v>79</v>
      </c>
      <c r="BX64" t="s" s="0">
        <v>115</v>
      </c>
    </row>
    <row r="65">
      <c r="A65" t="s" s="0">
        <v>77</v>
      </c>
      <c r="B65" t="s" s="0">
        <v>77</v>
      </c>
      <c r="C65" t="s" s="0">
        <v>77</v>
      </c>
      <c r="D65" t="s" s="0">
        <v>77</v>
      </c>
      <c r="E65" t="s" s="0">
        <v>1712</v>
      </c>
      <c r="F65" t="s" s="0">
        <v>1713</v>
      </c>
      <c r="G65" t="s" s="0">
        <v>1714</v>
      </c>
      <c r="H65" t="s" s="0">
        <v>79</v>
      </c>
      <c r="I65" t="s" s="0">
        <v>81</v>
      </c>
      <c r="J65" t="s" s="0">
        <v>1715</v>
      </c>
      <c r="K65" t="s" s="0">
        <v>1716</v>
      </c>
      <c r="L65" t="s" s="0">
        <v>79</v>
      </c>
      <c r="M65" t="s" s="0">
        <v>79</v>
      </c>
      <c r="N65" t="s" s="0">
        <v>79</v>
      </c>
      <c r="O65" t="s" s="0">
        <v>1717</v>
      </c>
      <c r="P65" t="s" s="0">
        <v>1718</v>
      </c>
      <c r="Q65" t="s" s="0">
        <v>85</v>
      </c>
      <c r="R65" t="s" s="0">
        <v>79</v>
      </c>
      <c r="S65" t="s" s="0">
        <v>79</v>
      </c>
      <c r="T65" t="s" s="0">
        <v>79</v>
      </c>
      <c r="U65" t="s" s="0">
        <v>79</v>
      </c>
      <c r="V65" t="s" s="0">
        <v>1719</v>
      </c>
      <c r="W65" t="s" s="0">
        <v>1720</v>
      </c>
      <c r="X65" t="s" s="0">
        <v>79</v>
      </c>
      <c r="Y65" t="s" s="0">
        <v>79</v>
      </c>
      <c r="Z65" t="s" s="0">
        <v>88</v>
      </c>
      <c r="AA65" t="s" s="0">
        <v>89</v>
      </c>
      <c r="AB65" t="s" s="0">
        <v>79</v>
      </c>
      <c r="AC65" t="s" s="0">
        <v>79</v>
      </c>
      <c r="AD65" t="s" s="0">
        <v>79</v>
      </c>
      <c r="AE65" t="s" s="0">
        <v>79</v>
      </c>
      <c r="AF65" t="s" s="0">
        <v>79</v>
      </c>
      <c r="AG65" t="s" s="0">
        <v>1721</v>
      </c>
      <c r="AH65" t="s" s="0">
        <v>1722</v>
      </c>
      <c r="AI65" t="s" s="0">
        <v>1723</v>
      </c>
      <c r="AJ65" t="s" s="0">
        <v>1724</v>
      </c>
      <c r="AK65" t="s" s="0">
        <v>79</v>
      </c>
      <c r="AL65" t="s" s="0">
        <v>199</v>
      </c>
      <c r="AM65" t="s" s="0">
        <v>211</v>
      </c>
      <c r="AN65" t="s" s="0">
        <v>174</v>
      </c>
      <c r="AO65" t="s" s="0">
        <v>77</v>
      </c>
      <c r="AP65" t="s" s="0">
        <v>166</v>
      </c>
      <c r="AQ65" t="s" s="0">
        <v>1452</v>
      </c>
      <c r="AR65" t="s" s="0">
        <v>590</v>
      </c>
      <c r="AS65" t="s" s="0">
        <v>1453</v>
      </c>
      <c r="AT65" t="s" s="0">
        <v>79</v>
      </c>
      <c r="AU65" t="s" s="0">
        <v>1725</v>
      </c>
      <c r="AV65" t="s" s="0">
        <v>79</v>
      </c>
      <c r="AW65" t="s" s="0">
        <v>1726</v>
      </c>
      <c r="AX65" t="s" s="0">
        <v>1727</v>
      </c>
      <c r="AY65" t="s" s="0">
        <v>1728</v>
      </c>
      <c r="AZ65" t="s" s="0">
        <v>100</v>
      </c>
      <c r="BA65" t="s" s="0">
        <v>129</v>
      </c>
      <c r="BB65" t="s" s="0">
        <v>92</v>
      </c>
      <c r="BC65" t="s" s="0">
        <v>79</v>
      </c>
      <c r="BD65" t="s" s="0">
        <v>79</v>
      </c>
      <c r="BE65" t="s" s="0">
        <v>79</v>
      </c>
      <c r="BF65" t="s" s="0">
        <v>79</v>
      </c>
      <c r="BG65" t="s" s="0">
        <v>79</v>
      </c>
      <c r="BH65" t="s" s="0">
        <v>79</v>
      </c>
      <c r="BI65" t="s" s="0">
        <v>1729</v>
      </c>
      <c r="BJ65" t="s" s="0">
        <v>1730</v>
      </c>
      <c r="BK65" t="s" s="127">
        <f>HYPERLINK("http://dx.doi.org/10.1186/s12891-025-08650-8","http://dx.doi.org/10.1186/s12891-025-08650-8")</f>
        <v>1731</v>
      </c>
      <c r="BL65" t="s" s="0">
        <v>79</v>
      </c>
      <c r="BM65" t="s" s="0">
        <v>79</v>
      </c>
      <c r="BN65" t="s" s="0">
        <v>108</v>
      </c>
      <c r="BO65" t="s" s="0">
        <v>1732</v>
      </c>
      <c r="BP65" t="s" s="0">
        <v>1732</v>
      </c>
      <c r="BQ65" t="s" s="0">
        <v>1733</v>
      </c>
      <c r="BR65" t="s" s="0">
        <v>1734</v>
      </c>
      <c r="BS65" t="s" s="0">
        <v>1735</v>
      </c>
      <c r="BT65" t="s" s="128">
        <f>HYPERLINK("https://www.webofscience.com/wos/woscc/full-record/WOS:001475396600005","View Record in Web of Science")</f>
        <v>114</v>
      </c>
      <c r="BU65" t="s" s="0">
        <v>183</v>
      </c>
      <c r="BV65" t="s" s="0">
        <v>79</v>
      </c>
      <c r="BW65" t="s" s="0">
        <v>79</v>
      </c>
      <c r="BX65" t="s" s="0">
        <v>115</v>
      </c>
    </row>
    <row r="66">
      <c r="A66" t="s" s="0">
        <v>77</v>
      </c>
      <c r="B66" t="s" s="0">
        <v>77</v>
      </c>
      <c r="C66" t="s" s="0">
        <v>77</v>
      </c>
      <c r="D66" t="s" s="0">
        <v>77</v>
      </c>
      <c r="E66" t="s" s="0">
        <v>1736</v>
      </c>
      <c r="F66" t="s" s="0">
        <v>1737</v>
      </c>
      <c r="G66" t="s" s="0">
        <v>1738</v>
      </c>
      <c r="H66" t="s" s="0">
        <v>79</v>
      </c>
      <c r="I66" t="s" s="0">
        <v>840</v>
      </c>
      <c r="J66" t="s" s="0">
        <v>1739</v>
      </c>
      <c r="K66" t="s" s="0">
        <v>1740</v>
      </c>
      <c r="L66" t="s" s="0">
        <v>79</v>
      </c>
      <c r="M66" t="s" s="0">
        <v>79</v>
      </c>
      <c r="N66" t="s" s="0">
        <v>79</v>
      </c>
      <c r="O66" t="s" s="0">
        <v>1741</v>
      </c>
      <c r="P66" t="s" s="0">
        <v>1742</v>
      </c>
      <c r="Q66" t="s" s="0">
        <v>85</v>
      </c>
      <c r="R66" t="s" s="0">
        <v>79</v>
      </c>
      <c r="S66" t="s" s="0">
        <v>79</v>
      </c>
      <c r="T66" t="s" s="0">
        <v>79</v>
      </c>
      <c r="U66" t="s" s="0">
        <v>79</v>
      </c>
      <c r="V66" t="s" s="0">
        <v>1743</v>
      </c>
      <c r="W66" t="s" s="0">
        <v>1744</v>
      </c>
      <c r="X66" t="s" s="0">
        <v>79</v>
      </c>
      <c r="Y66" t="s" s="0">
        <v>79</v>
      </c>
      <c r="Z66" t="s" s="0">
        <v>88</v>
      </c>
      <c r="AA66" t="s" s="0">
        <v>89</v>
      </c>
      <c r="AB66" t="s" s="0">
        <v>79</v>
      </c>
      <c r="AC66" t="s" s="0">
        <v>79</v>
      </c>
      <c r="AD66" t="s" s="0">
        <v>79</v>
      </c>
      <c r="AE66" t="s" s="0">
        <v>79</v>
      </c>
      <c r="AF66" t="s" s="0">
        <v>79</v>
      </c>
      <c r="AG66" t="s" s="0">
        <v>1745</v>
      </c>
      <c r="AH66" t="s" s="0">
        <v>1746</v>
      </c>
      <c r="AI66" t="s" s="0">
        <v>1747</v>
      </c>
      <c r="AJ66" t="s" s="0">
        <v>79</v>
      </c>
      <c r="AK66" t="s" s="0">
        <v>79</v>
      </c>
      <c r="AL66" t="s" s="0">
        <v>349</v>
      </c>
      <c r="AM66" t="s" s="0">
        <v>77</v>
      </c>
      <c r="AN66" t="s" s="0">
        <v>77</v>
      </c>
      <c r="AO66" t="s" s="0">
        <v>131</v>
      </c>
      <c r="AP66" t="s" s="0">
        <v>131</v>
      </c>
      <c r="AQ66" t="s" s="0">
        <v>1452</v>
      </c>
      <c r="AR66" t="s" s="0">
        <v>590</v>
      </c>
      <c r="AS66" t="s" s="0">
        <v>1453</v>
      </c>
      <c r="AT66" t="s" s="0">
        <v>79</v>
      </c>
      <c r="AU66" t="s" s="0">
        <v>1748</v>
      </c>
      <c r="AV66" t="s" s="0">
        <v>79</v>
      </c>
      <c r="AW66" t="s" s="0">
        <v>1749</v>
      </c>
      <c r="AX66" t="s" s="0">
        <v>1750</v>
      </c>
      <c r="AY66" t="s" s="0">
        <v>1751</v>
      </c>
      <c r="AZ66" t="s" s="0">
        <v>139</v>
      </c>
      <c r="BA66" t="s" s="0">
        <v>129</v>
      </c>
      <c r="BB66" t="s" s="0">
        <v>92</v>
      </c>
      <c r="BC66" t="s" s="0">
        <v>79</v>
      </c>
      <c r="BD66" t="s" s="0">
        <v>79</v>
      </c>
      <c r="BE66" t="s" s="0">
        <v>79</v>
      </c>
      <c r="BF66" t="s" s="0">
        <v>79</v>
      </c>
      <c r="BG66" t="s" s="0">
        <v>79</v>
      </c>
      <c r="BH66" t="s" s="0">
        <v>79</v>
      </c>
      <c r="BI66" t="s" s="0">
        <v>1752</v>
      </c>
      <c r="BJ66" t="s" s="0">
        <v>1753</v>
      </c>
      <c r="BK66" t="s" s="129">
        <f>HYPERLINK("http://dx.doi.org/10.1186/s12909-026-09084-z","http://dx.doi.org/10.1186/s12909-026-09084-z")</f>
        <v>1754</v>
      </c>
      <c r="BL66" t="s" s="0">
        <v>79</v>
      </c>
      <c r="BM66" t="s" s="0">
        <v>806</v>
      </c>
      <c r="BN66" t="s" s="0">
        <v>164</v>
      </c>
      <c r="BO66" t="s" s="0">
        <v>1755</v>
      </c>
      <c r="BP66" t="s" s="0">
        <v>1242</v>
      </c>
      <c r="BQ66" t="s" s="0">
        <v>1756</v>
      </c>
      <c r="BR66" t="s" s="0">
        <v>1757</v>
      </c>
      <c r="BS66" t="s" s="0">
        <v>1758</v>
      </c>
      <c r="BT66" t="s" s="130">
        <f>HYPERLINK("https://www.webofscience.com/wos/woscc/full-record/WOS:001784332200007","View Record in Web of Science")</f>
        <v>114</v>
      </c>
      <c r="BU66" t="s" s="0">
        <v>183</v>
      </c>
      <c r="BV66" t="s" s="0">
        <v>79</v>
      </c>
      <c r="BW66" t="s" s="0">
        <v>79</v>
      </c>
      <c r="BX66" t="s" s="0">
        <v>115</v>
      </c>
    </row>
    <row r="67">
      <c r="A67" t="s" s="0">
        <v>77</v>
      </c>
      <c r="B67" t="s" s="0">
        <v>77</v>
      </c>
      <c r="C67" t="s" s="0">
        <v>131</v>
      </c>
      <c r="D67" t="s" s="0">
        <v>77</v>
      </c>
      <c r="E67" t="s" s="0">
        <v>1759</v>
      </c>
      <c r="F67" t="s" s="0">
        <v>1760</v>
      </c>
      <c r="G67" t="s" s="0">
        <v>1761</v>
      </c>
      <c r="H67" t="s" s="0">
        <v>79</v>
      </c>
      <c r="I67" t="s" s="0">
        <v>81</v>
      </c>
      <c r="J67" t="s" s="0">
        <v>1762</v>
      </c>
      <c r="K67" t="s" s="0">
        <v>1763</v>
      </c>
      <c r="L67" t="s" s="0">
        <v>79</v>
      </c>
      <c r="M67" t="s" s="0">
        <v>79</v>
      </c>
      <c r="N67" t="s" s="0">
        <v>79</v>
      </c>
      <c r="O67" t="s" s="0">
        <v>1764</v>
      </c>
      <c r="P67" t="s" s="0">
        <v>1765</v>
      </c>
      <c r="Q67" t="s" s="0">
        <v>85</v>
      </c>
      <c r="R67" t="s" s="0">
        <v>79</v>
      </c>
      <c r="S67" t="s" s="0">
        <v>79</v>
      </c>
      <c r="T67" t="s" s="0">
        <v>79</v>
      </c>
      <c r="U67" t="s" s="0">
        <v>79</v>
      </c>
      <c r="V67" t="s" s="0">
        <v>1766</v>
      </c>
      <c r="W67" t="s" s="0">
        <v>1767</v>
      </c>
      <c r="X67" t="s" s="0">
        <v>79</v>
      </c>
      <c r="Y67" t="s" s="0">
        <v>79</v>
      </c>
      <c r="Z67" t="s" s="0">
        <v>88</v>
      </c>
      <c r="AA67" t="s" s="0">
        <v>89</v>
      </c>
      <c r="AB67" t="s" s="0">
        <v>79</v>
      </c>
      <c r="AC67" t="s" s="0">
        <v>79</v>
      </c>
      <c r="AD67" t="s" s="0">
        <v>79</v>
      </c>
      <c r="AE67" t="s" s="0">
        <v>79</v>
      </c>
      <c r="AF67" t="s" s="0">
        <v>79</v>
      </c>
      <c r="AG67" t="s" s="0">
        <v>1768</v>
      </c>
      <c r="AH67" t="s" s="0">
        <v>1769</v>
      </c>
      <c r="AI67" t="s" s="0">
        <v>1770</v>
      </c>
      <c r="AJ67" t="s" s="0">
        <v>1771</v>
      </c>
      <c r="AK67" t="s" s="0">
        <v>79</v>
      </c>
      <c r="AL67" t="s" s="0">
        <v>694</v>
      </c>
      <c r="AM67" t="s" s="0">
        <v>325</v>
      </c>
      <c r="AN67" t="s" s="0">
        <v>241</v>
      </c>
      <c r="AO67" t="s" s="0">
        <v>92</v>
      </c>
      <c r="AP67" t="s" s="0">
        <v>102</v>
      </c>
      <c r="AQ67" t="s" s="0">
        <v>538</v>
      </c>
      <c r="AR67" t="s" s="0">
        <v>378</v>
      </c>
      <c r="AS67" t="s" s="0">
        <v>539</v>
      </c>
      <c r="AT67" t="s" s="0">
        <v>1772</v>
      </c>
      <c r="AU67" t="s" s="0">
        <v>1773</v>
      </c>
      <c r="AV67" t="s" s="0">
        <v>79</v>
      </c>
      <c r="AW67" t="s" s="0">
        <v>1774</v>
      </c>
      <c r="AX67" t="s" s="0">
        <v>1775</v>
      </c>
      <c r="AY67" t="s" s="0">
        <v>1776</v>
      </c>
      <c r="AZ67" t="s" s="0">
        <v>462</v>
      </c>
      <c r="BA67" t="s" s="0">
        <v>1027</v>
      </c>
      <c r="BB67" t="s" s="0">
        <v>130</v>
      </c>
      <c r="BC67" t="s" s="0">
        <v>79</v>
      </c>
      <c r="BD67" t="s" s="0">
        <v>79</v>
      </c>
      <c r="BE67" t="s" s="0">
        <v>79</v>
      </c>
      <c r="BF67" t="s" s="0">
        <v>79</v>
      </c>
      <c r="BG67" t="s" s="0">
        <v>1777</v>
      </c>
      <c r="BH67" t="s" s="0">
        <v>1778</v>
      </c>
      <c r="BI67" t="s" s="0">
        <v>79</v>
      </c>
      <c r="BJ67" t="s" s="0">
        <v>1779</v>
      </c>
      <c r="BK67" t="s" s="131">
        <f>HYPERLINK("http://dx.doi.org/10.1007/s00405-024-08634-9","http://dx.doi.org/10.1007/s00405-024-08634-9")</f>
        <v>1780</v>
      </c>
      <c r="BL67" t="s" s="0">
        <v>79</v>
      </c>
      <c r="BM67" t="s" s="0">
        <v>1781</v>
      </c>
      <c r="BN67" t="s" s="0">
        <v>230</v>
      </c>
      <c r="BO67" t="s" s="0">
        <v>1782</v>
      </c>
      <c r="BP67" t="s" s="0">
        <v>1782</v>
      </c>
      <c r="BQ67" t="s" s="0">
        <v>1783</v>
      </c>
      <c r="BR67" t="s" s="0">
        <v>1784</v>
      </c>
      <c r="BS67" t="s" s="0">
        <v>1785</v>
      </c>
      <c r="BT67" t="s" s="132">
        <f>HYPERLINK("https://www.webofscience.com/wos/woscc/full-record/WOS:001206063600001","View Record in Web of Science")</f>
        <v>114</v>
      </c>
      <c r="BU67" t="s" s="0">
        <v>79</v>
      </c>
      <c r="BV67" t="s" s="0">
        <v>79</v>
      </c>
      <c r="BW67" t="s" s="0">
        <v>79</v>
      </c>
      <c r="BX67" t="s" s="0">
        <v>115</v>
      </c>
    </row>
    <row r="68">
      <c r="A68" t="s" s="0">
        <v>77</v>
      </c>
      <c r="B68" t="s" s="0">
        <v>77</v>
      </c>
      <c r="C68" t="s" s="0">
        <v>165</v>
      </c>
      <c r="D68" t="s" s="0">
        <v>77</v>
      </c>
      <c r="E68" t="s" s="0">
        <v>1786</v>
      </c>
      <c r="F68" t="s" s="0">
        <v>1787</v>
      </c>
      <c r="G68" t="s" s="0">
        <v>1788</v>
      </c>
      <c r="H68" t="s" s="0">
        <v>79</v>
      </c>
      <c r="I68" t="s" s="0">
        <v>81</v>
      </c>
      <c r="J68" t="s" s="0">
        <v>1789</v>
      </c>
      <c r="K68" t="s" s="0">
        <v>1790</v>
      </c>
      <c r="L68" t="s" s="0">
        <v>79</v>
      </c>
      <c r="M68" t="s" s="0">
        <v>79</v>
      </c>
      <c r="N68" t="s" s="0">
        <v>79</v>
      </c>
      <c r="O68" t="s" s="0">
        <v>1791</v>
      </c>
      <c r="P68" t="s" s="0">
        <v>1792</v>
      </c>
      <c r="Q68" t="s" s="0">
        <v>85</v>
      </c>
      <c r="R68" t="s" s="0">
        <v>79</v>
      </c>
      <c r="S68" t="s" s="0">
        <v>79</v>
      </c>
      <c r="T68" t="s" s="0">
        <v>79</v>
      </c>
      <c r="U68" t="s" s="0">
        <v>79</v>
      </c>
      <c r="V68" t="s" s="0">
        <v>1793</v>
      </c>
      <c r="W68" t="s" s="0">
        <v>1767</v>
      </c>
      <c r="X68" t="s" s="0">
        <v>79</v>
      </c>
      <c r="Y68" t="s" s="0">
        <v>79</v>
      </c>
      <c r="Z68" t="s" s="0">
        <v>88</v>
      </c>
      <c r="AA68" t="s" s="0">
        <v>89</v>
      </c>
      <c r="AB68" t="s" s="0">
        <v>79</v>
      </c>
      <c r="AC68" t="s" s="0">
        <v>79</v>
      </c>
      <c r="AD68" t="s" s="0">
        <v>79</v>
      </c>
      <c r="AE68" t="s" s="0">
        <v>79</v>
      </c>
      <c r="AF68" t="s" s="0">
        <v>79</v>
      </c>
      <c r="AG68" t="s" s="0">
        <v>1794</v>
      </c>
      <c r="AH68" t="s" s="0">
        <v>1795</v>
      </c>
      <c r="AI68" t="s" s="0">
        <v>1796</v>
      </c>
      <c r="AJ68" t="s" s="0">
        <v>1797</v>
      </c>
      <c r="AK68" t="s" s="0">
        <v>79</v>
      </c>
      <c r="AL68" t="s" s="0">
        <v>263</v>
      </c>
      <c r="AM68" t="s" s="0">
        <v>412</v>
      </c>
      <c r="AN68" t="s" s="0">
        <v>412</v>
      </c>
      <c r="AO68" t="s" s="0">
        <v>77</v>
      </c>
      <c r="AP68" t="s" s="0">
        <v>92</v>
      </c>
      <c r="AQ68" t="s" s="0">
        <v>538</v>
      </c>
      <c r="AR68" t="s" s="0">
        <v>378</v>
      </c>
      <c r="AS68" t="s" s="0">
        <v>539</v>
      </c>
      <c r="AT68" t="s" s="0">
        <v>1772</v>
      </c>
      <c r="AU68" t="s" s="0">
        <v>1773</v>
      </c>
      <c r="AV68" t="s" s="0">
        <v>79</v>
      </c>
      <c r="AW68" t="s" s="0">
        <v>1774</v>
      </c>
      <c r="AX68" t="s" s="0">
        <v>1775</v>
      </c>
      <c r="AY68" t="s" s="0">
        <v>1295</v>
      </c>
      <c r="AZ68" t="s" s="0">
        <v>462</v>
      </c>
      <c r="BA68" t="s" s="0">
        <v>1027</v>
      </c>
      <c r="BB68" t="s" s="0">
        <v>211</v>
      </c>
      <c r="BC68" t="s" s="0">
        <v>79</v>
      </c>
      <c r="BD68" t="s" s="0">
        <v>79</v>
      </c>
      <c r="BE68" t="s" s="0">
        <v>79</v>
      </c>
      <c r="BF68" t="s" s="0">
        <v>79</v>
      </c>
      <c r="BG68" t="s" s="0">
        <v>1798</v>
      </c>
      <c r="BH68" t="s" s="0">
        <v>1799</v>
      </c>
      <c r="BI68" t="s" s="0">
        <v>79</v>
      </c>
      <c r="BJ68" t="s" s="0">
        <v>1800</v>
      </c>
      <c r="BK68" t="s" s="133">
        <f>HYPERLINK("http://dx.doi.org/10.1007/s00405-024-08798-4","http://dx.doi.org/10.1007/s00405-024-08798-4")</f>
        <v>1801</v>
      </c>
      <c r="BL68" t="s" s="0">
        <v>79</v>
      </c>
      <c r="BM68" t="s" s="0">
        <v>1776</v>
      </c>
      <c r="BN68" t="s" s="0">
        <v>412</v>
      </c>
      <c r="BO68" t="s" s="0">
        <v>1782</v>
      </c>
      <c r="BP68" t="s" s="0">
        <v>1782</v>
      </c>
      <c r="BQ68" t="s" s="0">
        <v>1802</v>
      </c>
      <c r="BR68" t="s" s="0">
        <v>1803</v>
      </c>
      <c r="BS68" t="s" s="0">
        <v>1804</v>
      </c>
      <c r="BT68" t="s" s="134">
        <f>HYPERLINK("https://www.webofscience.com/wos/woscc/full-record/WOS:001261161900001","View Record in Web of Science")</f>
        <v>114</v>
      </c>
      <c r="BU68" t="s" s="0">
        <v>79</v>
      </c>
      <c r="BV68" t="s" s="0">
        <v>79</v>
      </c>
      <c r="BW68" t="s" s="0">
        <v>79</v>
      </c>
      <c r="BX68" t="s" s="0">
        <v>115</v>
      </c>
    </row>
    <row r="69">
      <c r="A69" t="s" s="0">
        <v>77</v>
      </c>
      <c r="B69" t="s" s="0">
        <v>77</v>
      </c>
      <c r="C69" t="s" s="0">
        <v>77</v>
      </c>
      <c r="D69" t="s" s="0">
        <v>77</v>
      </c>
      <c r="E69" t="s" s="0">
        <v>1805</v>
      </c>
      <c r="F69" t="s" s="0">
        <v>1806</v>
      </c>
      <c r="G69" t="s" s="0">
        <v>1807</v>
      </c>
      <c r="H69" t="s" s="0">
        <v>79</v>
      </c>
      <c r="I69" t="s" s="0">
        <v>81</v>
      </c>
      <c r="J69" t="s" s="0">
        <v>1808</v>
      </c>
      <c r="K69" t="s" s="0">
        <v>1809</v>
      </c>
      <c r="L69" t="s" s="0">
        <v>1810</v>
      </c>
      <c r="M69" t="s" s="0">
        <v>1811</v>
      </c>
      <c r="N69" t="s" s="0">
        <v>1812</v>
      </c>
      <c r="O69" t="s" s="0">
        <v>1813</v>
      </c>
      <c r="P69" t="s" s="0">
        <v>1814</v>
      </c>
      <c r="Q69" t="s" s="0">
        <v>85</v>
      </c>
      <c r="R69" t="s" s="0">
        <v>79</v>
      </c>
      <c r="S69" t="s" s="0">
        <v>79</v>
      </c>
      <c r="T69" t="s" s="0">
        <v>79</v>
      </c>
      <c r="U69" t="s" s="0">
        <v>79</v>
      </c>
      <c r="V69" t="s" s="0">
        <v>1815</v>
      </c>
      <c r="W69" t="s" s="0">
        <v>1591</v>
      </c>
      <c r="X69" t="s" s="0">
        <v>79</v>
      </c>
      <c r="Y69" t="s" s="0">
        <v>79</v>
      </c>
      <c r="Z69" t="s" s="0">
        <v>88</v>
      </c>
      <c r="AA69" t="s" s="0">
        <v>89</v>
      </c>
      <c r="AB69" t="s" s="0">
        <v>79</v>
      </c>
      <c r="AC69" t="s" s="0">
        <v>79</v>
      </c>
      <c r="AD69" t="s" s="0">
        <v>79</v>
      </c>
      <c r="AE69" t="s" s="0">
        <v>79</v>
      </c>
      <c r="AF69" t="s" s="0">
        <v>79</v>
      </c>
      <c r="AG69" t="s" s="0">
        <v>1816</v>
      </c>
      <c r="AH69" t="s" s="0">
        <v>504</v>
      </c>
      <c r="AI69" t="s" s="0">
        <v>79</v>
      </c>
      <c r="AJ69" t="s" s="0">
        <v>79</v>
      </c>
      <c r="AK69" t="s" s="0">
        <v>79</v>
      </c>
      <c r="AL69" t="s" s="0">
        <v>514</v>
      </c>
      <c r="AM69" t="s" s="0">
        <v>77</v>
      </c>
      <c r="AN69" t="s" s="0">
        <v>77</v>
      </c>
      <c r="AO69" t="s" s="0">
        <v>77</v>
      </c>
      <c r="AP69" t="s" s="0">
        <v>77</v>
      </c>
      <c r="AQ69" t="s" s="0">
        <v>350</v>
      </c>
      <c r="AR69" t="s" s="0">
        <v>351</v>
      </c>
      <c r="AS69" t="s" s="0">
        <v>352</v>
      </c>
      <c r="AT69" t="s" s="0">
        <v>79</v>
      </c>
      <c r="AU69" t="s" s="0">
        <v>1595</v>
      </c>
      <c r="AV69" t="s" s="0">
        <v>79</v>
      </c>
      <c r="AW69" t="s" s="0">
        <v>1596</v>
      </c>
      <c r="AX69" t="s" s="0">
        <v>1597</v>
      </c>
      <c r="AY69" t="s" s="0">
        <v>1817</v>
      </c>
      <c r="AZ69" t="s" s="0">
        <v>139</v>
      </c>
      <c r="BA69" t="s" s="0">
        <v>164</v>
      </c>
      <c r="BB69" t="s" s="0">
        <v>79</v>
      </c>
      <c r="BC69" t="s" s="0">
        <v>79</v>
      </c>
      <c r="BD69" t="s" s="0">
        <v>79</v>
      </c>
      <c r="BE69" t="s" s="0">
        <v>79</v>
      </c>
      <c r="BF69" t="s" s="0">
        <v>79</v>
      </c>
      <c r="BG69" t="s" s="0">
        <v>79</v>
      </c>
      <c r="BH69" t="s" s="0">
        <v>79</v>
      </c>
      <c r="BI69" t="s" s="0">
        <v>1818</v>
      </c>
      <c r="BJ69" t="s" s="0">
        <v>1819</v>
      </c>
      <c r="BK69" t="s" s="135">
        <f>HYPERLINK("http://dx.doi.org/10.3389/fmed.2026.1875770","http://dx.doi.org/10.3389/fmed.2026.1875770")</f>
        <v>1820</v>
      </c>
      <c r="BL69" t="s" s="0">
        <v>79</v>
      </c>
      <c r="BM69" t="s" s="0">
        <v>411</v>
      </c>
      <c r="BN69" t="s" s="0">
        <v>211</v>
      </c>
      <c r="BO69" t="s" s="0">
        <v>329</v>
      </c>
      <c r="BP69" t="s" s="0">
        <v>110</v>
      </c>
      <c r="BQ69" t="s" s="0">
        <v>1821</v>
      </c>
      <c r="BR69" t="s" s="0">
        <v>1822</v>
      </c>
      <c r="BS69" t="s" s="0">
        <v>1823</v>
      </c>
      <c r="BT69" t="s" s="136">
        <f>HYPERLINK("https://www.webofscience.com/wos/woscc/full-record/WOS:001813818000001","View Record in Web of Science")</f>
        <v>114</v>
      </c>
      <c r="BU69" t="s" s="0">
        <v>183</v>
      </c>
      <c r="BV69" t="s" s="0">
        <v>79</v>
      </c>
      <c r="BW69" t="s" s="0">
        <v>79</v>
      </c>
      <c r="BX69" t="s" s="0">
        <v>115</v>
      </c>
    </row>
    <row r="70">
      <c r="A70" t="s" s="0">
        <v>77</v>
      </c>
      <c r="B70" t="s" s="0">
        <v>77</v>
      </c>
      <c r="C70" t="s" s="0">
        <v>77</v>
      </c>
      <c r="D70" t="s" s="0">
        <v>77</v>
      </c>
      <c r="E70" t="s" s="0">
        <v>1824</v>
      </c>
      <c r="F70" t="s" s="0">
        <v>1825</v>
      </c>
      <c r="G70" t="s" s="0">
        <v>1826</v>
      </c>
      <c r="H70" t="s" s="0">
        <v>79</v>
      </c>
      <c r="I70" t="s" s="0">
        <v>398</v>
      </c>
      <c r="J70" t="s" s="0">
        <v>1827</v>
      </c>
      <c r="K70" t="s" s="0">
        <v>1828</v>
      </c>
      <c r="L70" t="s" s="0">
        <v>79</v>
      </c>
      <c r="M70" t="s" s="0">
        <v>79</v>
      </c>
      <c r="N70" t="s" s="0">
        <v>79</v>
      </c>
      <c r="O70" t="s" s="0">
        <v>1829</v>
      </c>
      <c r="P70" t="s" s="0">
        <v>1830</v>
      </c>
      <c r="Q70" t="s" s="0">
        <v>85</v>
      </c>
      <c r="R70" t="s" s="0">
        <v>79</v>
      </c>
      <c r="S70" t="s" s="0">
        <v>79</v>
      </c>
      <c r="T70" t="s" s="0">
        <v>79</v>
      </c>
      <c r="U70" t="s" s="0">
        <v>79</v>
      </c>
      <c r="V70" t="s" s="0">
        <v>1831</v>
      </c>
      <c r="W70" t="s" s="0">
        <v>585</v>
      </c>
      <c r="X70" t="s" s="0">
        <v>79</v>
      </c>
      <c r="Y70" t="s" s="0">
        <v>79</v>
      </c>
      <c r="Z70" t="s" s="0">
        <v>88</v>
      </c>
      <c r="AA70" t="s" s="0">
        <v>89</v>
      </c>
      <c r="AB70" t="s" s="0">
        <v>79</v>
      </c>
      <c r="AC70" t="s" s="0">
        <v>79</v>
      </c>
      <c r="AD70" t="s" s="0">
        <v>79</v>
      </c>
      <c r="AE70" t="s" s="0">
        <v>79</v>
      </c>
      <c r="AF70" t="s" s="0">
        <v>79</v>
      </c>
      <c r="AG70" t="s" s="0">
        <v>1832</v>
      </c>
      <c r="AH70" t="s" s="0">
        <v>1833</v>
      </c>
      <c r="AI70" t="s" s="0">
        <v>1834</v>
      </c>
      <c r="AJ70" t="s" s="0">
        <v>1835</v>
      </c>
      <c r="AK70" t="s" s="0">
        <v>79</v>
      </c>
      <c r="AL70" t="s" s="0">
        <v>198</v>
      </c>
      <c r="AM70" t="s" s="0">
        <v>165</v>
      </c>
      <c r="AN70" t="s" s="0">
        <v>102</v>
      </c>
      <c r="AO70" t="s" s="0">
        <v>165</v>
      </c>
      <c r="AP70" t="s" s="0">
        <v>184</v>
      </c>
      <c r="AQ70" t="s" s="0">
        <v>589</v>
      </c>
      <c r="AR70" t="s" s="0">
        <v>590</v>
      </c>
      <c r="AS70" t="s" s="0">
        <v>591</v>
      </c>
      <c r="AT70" t="s" s="0">
        <v>79</v>
      </c>
      <c r="AU70" t="s" s="0">
        <v>592</v>
      </c>
      <c r="AV70" t="s" s="0">
        <v>79</v>
      </c>
      <c r="AW70" t="s" s="0">
        <v>593</v>
      </c>
      <c r="AX70" t="s" s="0">
        <v>594</v>
      </c>
      <c r="AY70" t="s" s="0">
        <v>1836</v>
      </c>
      <c r="AZ70" t="s" s="0">
        <v>100</v>
      </c>
      <c r="BA70" t="s" s="0">
        <v>983</v>
      </c>
      <c r="BB70" t="s" s="0">
        <v>92</v>
      </c>
      <c r="BC70" t="s" s="0">
        <v>79</v>
      </c>
      <c r="BD70" t="s" s="0">
        <v>79</v>
      </c>
      <c r="BE70" t="s" s="0">
        <v>79</v>
      </c>
      <c r="BF70" t="s" s="0">
        <v>79</v>
      </c>
      <c r="BG70" t="s" s="0">
        <v>79</v>
      </c>
      <c r="BH70" t="s" s="0">
        <v>79</v>
      </c>
      <c r="BI70" t="s" s="0">
        <v>1837</v>
      </c>
      <c r="BJ70" t="s" s="0">
        <v>1838</v>
      </c>
      <c r="BK70" t="s" s="137">
        <f>HYPERLINK("http://dx.doi.org/10.1136/bmjhci-2025-101456","http://dx.doi.org/10.1136/bmjhci-2025-101456")</f>
        <v>1839</v>
      </c>
      <c r="BL70" t="s" s="0">
        <v>79</v>
      </c>
      <c r="BM70" t="s" s="0">
        <v>79</v>
      </c>
      <c r="BN70" t="s" s="0">
        <v>230</v>
      </c>
      <c r="BO70" t="s" s="0">
        <v>276</v>
      </c>
      <c r="BP70" t="s" s="0">
        <v>276</v>
      </c>
      <c r="BQ70" t="s" s="0">
        <v>1840</v>
      </c>
      <c r="BR70" t="s" s="0">
        <v>1841</v>
      </c>
      <c r="BS70" t="s" s="0">
        <v>1842</v>
      </c>
      <c r="BT70" t="s" s="138">
        <f>HYPERLINK("https://www.webofscience.com/wos/woscc/full-record/WOS:001493082700001","View Record in Web of Science")</f>
        <v>114</v>
      </c>
      <c r="BU70" t="s" s="0">
        <v>183</v>
      </c>
      <c r="BV70" t="s" s="0">
        <v>79</v>
      </c>
      <c r="BW70" t="s" s="0">
        <v>79</v>
      </c>
      <c r="BX70" t="s" s="0">
        <v>115</v>
      </c>
    </row>
    <row r="71">
      <c r="A71" t="s" s="0">
        <v>77</v>
      </c>
      <c r="B71" t="s" s="0">
        <v>77</v>
      </c>
      <c r="C71" t="s" s="0">
        <v>131</v>
      </c>
      <c r="D71" t="s" s="0">
        <v>77</v>
      </c>
      <c r="E71" t="s" s="0">
        <v>1843</v>
      </c>
      <c r="F71" t="s" s="0">
        <v>1844</v>
      </c>
      <c r="G71" t="s" s="0">
        <v>1845</v>
      </c>
      <c r="H71" t="s" s="0">
        <v>79</v>
      </c>
      <c r="I71" t="s" s="0">
        <v>81</v>
      </c>
      <c r="J71" t="s" s="0">
        <v>1846</v>
      </c>
      <c r="K71" t="s" s="0">
        <v>1847</v>
      </c>
      <c r="L71" t="s" s="0">
        <v>79</v>
      </c>
      <c r="M71" t="s" s="0">
        <v>79</v>
      </c>
      <c r="N71" t="s" s="0">
        <v>79</v>
      </c>
      <c r="O71" t="s" s="0">
        <v>1848</v>
      </c>
      <c r="P71" t="s" s="0">
        <v>1849</v>
      </c>
      <c r="Q71" t="s" s="0">
        <v>85</v>
      </c>
      <c r="R71" t="s" s="0">
        <v>79</v>
      </c>
      <c r="S71" t="s" s="0">
        <v>79</v>
      </c>
      <c r="T71" t="s" s="0">
        <v>79</v>
      </c>
      <c r="U71" t="s" s="0">
        <v>79</v>
      </c>
      <c r="V71" t="s" s="0">
        <v>1850</v>
      </c>
      <c r="W71" t="s" s="0">
        <v>161</v>
      </c>
      <c r="X71" t="s" s="0">
        <v>79</v>
      </c>
      <c r="Y71" t="s" s="0">
        <v>79</v>
      </c>
      <c r="Z71" t="s" s="0">
        <v>88</v>
      </c>
      <c r="AA71" t="s" s="0">
        <v>89</v>
      </c>
      <c r="AB71" t="s" s="0">
        <v>79</v>
      </c>
      <c r="AC71" t="s" s="0">
        <v>79</v>
      </c>
      <c r="AD71" t="s" s="0">
        <v>79</v>
      </c>
      <c r="AE71" t="s" s="0">
        <v>79</v>
      </c>
      <c r="AF71" t="s" s="0">
        <v>79</v>
      </c>
      <c r="AG71" t="s" s="0">
        <v>1851</v>
      </c>
      <c r="AH71" t="s" s="0">
        <v>1852</v>
      </c>
      <c r="AI71" t="s" s="0">
        <v>1853</v>
      </c>
      <c r="AJ71" t="s" s="0">
        <v>1854</v>
      </c>
      <c r="AK71" t="s" s="0">
        <v>79</v>
      </c>
      <c r="AL71" t="s" s="0">
        <v>260</v>
      </c>
      <c r="AM71" t="s" s="0">
        <v>166</v>
      </c>
      <c r="AN71" t="s" s="0">
        <v>130</v>
      </c>
      <c r="AO71" t="s" s="0">
        <v>92</v>
      </c>
      <c r="AP71" t="s" s="0">
        <v>231</v>
      </c>
      <c r="AQ71" t="s" s="0">
        <v>167</v>
      </c>
      <c r="AR71" t="s" s="0">
        <v>168</v>
      </c>
      <c r="AS71" t="s" s="0">
        <v>169</v>
      </c>
      <c r="AT71" t="s" s="0">
        <v>170</v>
      </c>
      <c r="AU71" t="s" s="0">
        <v>79</v>
      </c>
      <c r="AV71" t="s" s="0">
        <v>79</v>
      </c>
      <c r="AW71" t="s" s="0">
        <v>171</v>
      </c>
      <c r="AX71" t="s" s="0">
        <v>172</v>
      </c>
      <c r="AY71" t="s" s="0">
        <v>1855</v>
      </c>
      <c r="AZ71" t="s" s="0">
        <v>100</v>
      </c>
      <c r="BA71" t="s" s="0">
        <v>174</v>
      </c>
      <c r="BB71" t="s" s="0">
        <v>92</v>
      </c>
      <c r="BC71" t="s" s="0">
        <v>79</v>
      </c>
      <c r="BD71" t="s" s="0">
        <v>79</v>
      </c>
      <c r="BE71" t="s" s="0">
        <v>79</v>
      </c>
      <c r="BF71" t="s" s="0">
        <v>79</v>
      </c>
      <c r="BG71" t="s" s="0">
        <v>79</v>
      </c>
      <c r="BH71" t="s" s="0">
        <v>79</v>
      </c>
      <c r="BI71" t="s" s="0">
        <v>1856</v>
      </c>
      <c r="BJ71" t="s" s="0">
        <v>1857</v>
      </c>
      <c r="BK71" t="s" s="139">
        <f>HYPERLINK("http://dx.doi.org/10.1038/s41598-024-84512-y","http://dx.doi.org/10.1038/s41598-024-84512-y")</f>
        <v>1858</v>
      </c>
      <c r="BL71" t="s" s="0">
        <v>79</v>
      </c>
      <c r="BM71" t="s" s="0">
        <v>79</v>
      </c>
      <c r="BN71" t="s" s="0">
        <v>211</v>
      </c>
      <c r="BO71" t="s" s="0">
        <v>178</v>
      </c>
      <c r="BP71" t="s" s="0">
        <v>179</v>
      </c>
      <c r="BQ71" t="s" s="0">
        <v>1859</v>
      </c>
      <c r="BR71" t="s" s="0">
        <v>1860</v>
      </c>
      <c r="BS71" t="s" s="0">
        <v>1861</v>
      </c>
      <c r="BT71" t="s" s="140">
        <f>HYPERLINK("https://www.webofscience.com/wos/woscc/full-record/WOS:001393111000025","View Record in Web of Science")</f>
        <v>114</v>
      </c>
      <c r="BU71" t="s" s="0">
        <v>183</v>
      </c>
      <c r="BV71" t="s" s="0">
        <v>79</v>
      </c>
      <c r="BW71" t="s" s="0">
        <v>79</v>
      </c>
      <c r="BX71" t="s" s="0">
        <v>115</v>
      </c>
    </row>
    <row r="72">
      <c r="A72" t="s" s="0">
        <v>77</v>
      </c>
      <c r="B72" t="s" s="0">
        <v>77</v>
      </c>
      <c r="C72" t="s" s="0">
        <v>92</v>
      </c>
      <c r="D72" t="s" s="0">
        <v>130</v>
      </c>
      <c r="E72" t="s" s="0">
        <v>1862</v>
      </c>
      <c r="F72" t="s" s="0">
        <v>1863</v>
      </c>
      <c r="G72" t="s" s="0">
        <v>1864</v>
      </c>
      <c r="H72" t="s" s="0">
        <v>79</v>
      </c>
      <c r="I72" t="s" s="0">
        <v>81</v>
      </c>
      <c r="J72" t="s" s="0">
        <v>1865</v>
      </c>
      <c r="K72" t="s" s="0">
        <v>1866</v>
      </c>
      <c r="L72" t="s" s="0">
        <v>79</v>
      </c>
      <c r="M72" t="s" s="0">
        <v>79</v>
      </c>
      <c r="N72" t="s" s="0">
        <v>79</v>
      </c>
      <c r="O72" t="s" s="0">
        <v>1867</v>
      </c>
      <c r="P72" t="s" s="0">
        <v>1868</v>
      </c>
      <c r="Q72" t="s" s="0">
        <v>85</v>
      </c>
      <c r="R72" t="s" s="0">
        <v>79</v>
      </c>
      <c r="S72" t="s" s="0">
        <v>79</v>
      </c>
      <c r="T72" t="s" s="0">
        <v>79</v>
      </c>
      <c r="U72" t="s" s="0">
        <v>79</v>
      </c>
      <c r="V72" t="s" s="0">
        <v>1869</v>
      </c>
      <c r="W72" t="s" s="0">
        <v>1870</v>
      </c>
      <c r="X72" t="s" s="0">
        <v>79</v>
      </c>
      <c r="Y72" t="s" s="0">
        <v>79</v>
      </c>
      <c r="Z72" t="s" s="0">
        <v>88</v>
      </c>
      <c r="AA72" t="s" s="0">
        <v>89</v>
      </c>
      <c r="AB72" t="s" s="0">
        <v>79</v>
      </c>
      <c r="AC72" t="s" s="0">
        <v>79</v>
      </c>
      <c r="AD72" t="s" s="0">
        <v>79</v>
      </c>
      <c r="AE72" t="s" s="0">
        <v>79</v>
      </c>
      <c r="AF72" t="s" s="0">
        <v>79</v>
      </c>
      <c r="AG72" t="s" s="0">
        <v>1871</v>
      </c>
      <c r="AH72" t="s" s="0">
        <v>79</v>
      </c>
      <c r="AI72" t="s" s="0">
        <v>1872</v>
      </c>
      <c r="AJ72" t="s" s="0">
        <v>1873</v>
      </c>
      <c r="AK72" t="s" s="0">
        <v>79</v>
      </c>
      <c r="AL72" t="s" s="0">
        <v>241</v>
      </c>
      <c r="AM72" t="s" s="0">
        <v>264</v>
      </c>
      <c r="AN72" t="s" s="0">
        <v>954</v>
      </c>
      <c r="AO72" t="s" s="0">
        <v>77</v>
      </c>
      <c r="AP72" t="s" s="0">
        <v>263</v>
      </c>
      <c r="AQ72" t="s" s="0">
        <v>1874</v>
      </c>
      <c r="AR72" t="s" s="0">
        <v>1875</v>
      </c>
      <c r="AS72" t="s" s="0">
        <v>1876</v>
      </c>
      <c r="AT72" t="s" s="0">
        <v>1877</v>
      </c>
      <c r="AU72" t="s" s="0">
        <v>1878</v>
      </c>
      <c r="AV72" t="s" s="0">
        <v>79</v>
      </c>
      <c r="AW72" t="s" s="0">
        <v>1879</v>
      </c>
      <c r="AX72" t="s" s="0">
        <v>1880</v>
      </c>
      <c r="AY72" t="s" s="0">
        <v>1881</v>
      </c>
      <c r="AZ72" t="s" s="0">
        <v>462</v>
      </c>
      <c r="BA72" t="s" s="0">
        <v>545</v>
      </c>
      <c r="BB72" t="s" s="0">
        <v>131</v>
      </c>
      <c r="BC72" t="s" s="0">
        <v>79</v>
      </c>
      <c r="BD72" t="s" s="0">
        <v>79</v>
      </c>
      <c r="BE72" t="s" s="0">
        <v>79</v>
      </c>
      <c r="BF72" t="s" s="0">
        <v>79</v>
      </c>
      <c r="BG72" t="s" s="0">
        <v>1882</v>
      </c>
      <c r="BH72" t="s" s="0">
        <v>1883</v>
      </c>
      <c r="BI72" t="s" s="0">
        <v>79</v>
      </c>
      <c r="BJ72" t="s" s="0">
        <v>1884</v>
      </c>
      <c r="BK72" t="s" s="141">
        <f>HYPERLINK("http://dx.doi.org/10.1590/S1677-5538.IBJU.2023.0570","http://dx.doi.org/10.1590/S1677-5538.IBJU.2023.0570")</f>
        <v>1885</v>
      </c>
      <c r="BL72" t="s" s="0">
        <v>79</v>
      </c>
      <c r="BM72" t="s" s="0">
        <v>79</v>
      </c>
      <c r="BN72" t="s" s="0">
        <v>130</v>
      </c>
      <c r="BO72" t="s" s="0">
        <v>1886</v>
      </c>
      <c r="BP72" t="s" s="0">
        <v>1886</v>
      </c>
      <c r="BQ72" t="s" s="0">
        <v>1887</v>
      </c>
      <c r="BR72" t="s" s="0">
        <v>1888</v>
      </c>
      <c r="BS72" t="s" s="0">
        <v>1889</v>
      </c>
      <c r="BT72" t="s" s="142">
        <f>HYPERLINK("https://www.webofscience.com/wos/woscc/full-record/WOS:001178951200009","View Record in Web of Science")</f>
        <v>114</v>
      </c>
      <c r="BU72" t="s" s="0">
        <v>183</v>
      </c>
      <c r="BV72" t="s" s="0">
        <v>79</v>
      </c>
      <c r="BW72" t="s" s="0">
        <v>79</v>
      </c>
      <c r="BX72" t="s" s="0">
        <v>115</v>
      </c>
    </row>
    <row r="73">
      <c r="A73" t="s" s="0">
        <v>92</v>
      </c>
      <c r="B73" t="s" s="0">
        <v>77</v>
      </c>
      <c r="C73" t="s" s="0">
        <v>165</v>
      </c>
      <c r="D73" t="s" s="0">
        <v>131</v>
      </c>
      <c r="E73" t="s" s="0">
        <v>1890</v>
      </c>
      <c r="F73" t="s" s="0">
        <v>1891</v>
      </c>
      <c r="G73" t="s" s="0">
        <v>1892</v>
      </c>
      <c r="H73" t="s" s="0">
        <v>79</v>
      </c>
      <c r="I73" t="s" s="0">
        <v>398</v>
      </c>
      <c r="J73" t="s" s="0">
        <v>1893</v>
      </c>
      <c r="K73" t="s" s="0">
        <v>1894</v>
      </c>
      <c r="L73" t="s" s="0">
        <v>79</v>
      </c>
      <c r="M73" t="s" s="0">
        <v>79</v>
      </c>
      <c r="N73" t="s" s="0">
        <v>79</v>
      </c>
      <c r="O73" t="s" s="0">
        <v>1895</v>
      </c>
      <c r="P73" t="s" s="0">
        <v>1896</v>
      </c>
      <c r="Q73" t="s" s="0">
        <v>85</v>
      </c>
      <c r="R73" t="s" s="0">
        <v>79</v>
      </c>
      <c r="S73" t="s" s="0">
        <v>79</v>
      </c>
      <c r="T73" t="s" s="0">
        <v>79</v>
      </c>
      <c r="U73" t="s" s="0">
        <v>79</v>
      </c>
      <c r="V73" t="s" s="0">
        <v>1897</v>
      </c>
      <c r="W73" t="s" s="0">
        <v>1898</v>
      </c>
      <c r="X73" t="s" s="0">
        <v>79</v>
      </c>
      <c r="Y73" t="s" s="0">
        <v>79</v>
      </c>
      <c r="Z73" t="s" s="0">
        <v>88</v>
      </c>
      <c r="AA73" t="s" s="0">
        <v>89</v>
      </c>
      <c r="AB73" t="s" s="0">
        <v>79</v>
      </c>
      <c r="AC73" t="s" s="0">
        <v>79</v>
      </c>
      <c r="AD73" t="s" s="0">
        <v>79</v>
      </c>
      <c r="AE73" t="s" s="0">
        <v>79</v>
      </c>
      <c r="AF73" t="s" s="0">
        <v>79</v>
      </c>
      <c r="AG73" t="s" s="0">
        <v>1899</v>
      </c>
      <c r="AH73" t="s" s="0">
        <v>1900</v>
      </c>
      <c r="AI73" t="s" s="0">
        <v>1901</v>
      </c>
      <c r="AJ73" t="s" s="0">
        <v>1902</v>
      </c>
      <c r="AK73" t="s" s="0">
        <v>79</v>
      </c>
      <c r="AL73" t="s" s="0">
        <v>482</v>
      </c>
      <c r="AM73" t="s" s="0">
        <v>164</v>
      </c>
      <c r="AN73" t="s" s="0">
        <v>325</v>
      </c>
      <c r="AO73" t="s" s="0">
        <v>77</v>
      </c>
      <c r="AP73" t="s" s="0">
        <v>131</v>
      </c>
      <c r="AQ73" t="s" s="0">
        <v>132</v>
      </c>
      <c r="AR73" t="s" s="0">
        <v>133</v>
      </c>
      <c r="AS73" t="s" s="0">
        <v>134</v>
      </c>
      <c r="AT73" t="s" s="0">
        <v>79</v>
      </c>
      <c r="AU73" t="s" s="0">
        <v>1903</v>
      </c>
      <c r="AV73" t="s" s="0">
        <v>79</v>
      </c>
      <c r="AW73" t="s" s="0">
        <v>1898</v>
      </c>
      <c r="AX73" t="s" s="0">
        <v>1904</v>
      </c>
      <c r="AY73" t="s" s="0">
        <v>1905</v>
      </c>
      <c r="AZ73" t="s" s="0">
        <v>462</v>
      </c>
      <c r="BA73" t="s" s="0">
        <v>412</v>
      </c>
      <c r="BB73" t="s" s="0">
        <v>165</v>
      </c>
      <c r="BC73" t="s" s="0">
        <v>79</v>
      </c>
      <c r="BD73" t="s" s="0">
        <v>79</v>
      </c>
      <c r="BE73" t="s" s="0">
        <v>79</v>
      </c>
      <c r="BF73" t="s" s="0">
        <v>79</v>
      </c>
      <c r="BG73" t="s" s="0">
        <v>79</v>
      </c>
      <c r="BH73" t="s" s="0">
        <v>79</v>
      </c>
      <c r="BI73" t="s" s="0">
        <v>1906</v>
      </c>
      <c r="BJ73" t="s" s="0">
        <v>1907</v>
      </c>
      <c r="BK73" t="s" s="143">
        <f>HYPERLINK("http://dx.doi.org/10.1002/oto2.163","http://dx.doi.org/10.1002/oto2.163")</f>
        <v>1908</v>
      </c>
      <c r="BL73" t="s" s="0">
        <v>79</v>
      </c>
      <c r="BM73" t="s" s="0">
        <v>79</v>
      </c>
      <c r="BN73" t="s" s="0">
        <v>184</v>
      </c>
      <c r="BO73" t="s" s="0">
        <v>1782</v>
      </c>
      <c r="BP73" t="s" s="0">
        <v>1782</v>
      </c>
      <c r="BQ73" t="s" s="0">
        <v>1909</v>
      </c>
      <c r="BR73" t="s" s="0">
        <v>1910</v>
      </c>
      <c r="BS73" t="s" s="0">
        <v>1911</v>
      </c>
      <c r="BT73" t="s" s="144">
        <f>HYPERLINK("https://www.webofscience.com/wos/woscc/full-record/WOS:001263149000001","View Record in Web of Science")</f>
        <v>114</v>
      </c>
      <c r="BU73" t="s" s="0">
        <v>183</v>
      </c>
      <c r="BV73" t="s" s="0">
        <v>79</v>
      </c>
      <c r="BW73" t="s" s="0">
        <v>79</v>
      </c>
      <c r="BX73" t="s" s="0">
        <v>115</v>
      </c>
    </row>
    <row r="74">
      <c r="A74" t="s" s="0">
        <v>77</v>
      </c>
      <c r="B74" t="s" s="0">
        <v>77</v>
      </c>
      <c r="C74" t="s" s="0">
        <v>131</v>
      </c>
      <c r="D74" t="s" s="0">
        <v>77</v>
      </c>
      <c r="E74" t="s" s="0">
        <v>1912</v>
      </c>
      <c r="F74" t="s" s="0">
        <v>1913</v>
      </c>
      <c r="G74" t="s" s="0">
        <v>1914</v>
      </c>
      <c r="H74" t="s" s="0">
        <v>79</v>
      </c>
      <c r="I74" t="s" s="0">
        <v>398</v>
      </c>
      <c r="J74" t="s" s="0">
        <v>1915</v>
      </c>
      <c r="K74" t="s" s="0">
        <v>1916</v>
      </c>
      <c r="L74" t="s" s="0">
        <v>79</v>
      </c>
      <c r="M74" t="s" s="0">
        <v>79</v>
      </c>
      <c r="N74" t="s" s="0">
        <v>79</v>
      </c>
      <c r="O74" t="s" s="0">
        <v>1917</v>
      </c>
      <c r="P74" t="s" s="0">
        <v>1918</v>
      </c>
      <c r="Q74" t="s" s="0">
        <v>85</v>
      </c>
      <c r="R74" t="s" s="0">
        <v>79</v>
      </c>
      <c r="S74" t="s" s="0">
        <v>79</v>
      </c>
      <c r="T74" t="s" s="0">
        <v>79</v>
      </c>
      <c r="U74" t="s" s="0">
        <v>79</v>
      </c>
      <c r="V74" t="s" s="0">
        <v>1919</v>
      </c>
      <c r="W74" t="s" s="0">
        <v>1920</v>
      </c>
      <c r="X74" t="s" s="0">
        <v>79</v>
      </c>
      <c r="Y74" t="s" s="0">
        <v>79</v>
      </c>
      <c r="Z74" t="s" s="0">
        <v>88</v>
      </c>
      <c r="AA74" t="s" s="0">
        <v>89</v>
      </c>
      <c r="AB74" t="s" s="0">
        <v>79</v>
      </c>
      <c r="AC74" t="s" s="0">
        <v>79</v>
      </c>
      <c r="AD74" t="s" s="0">
        <v>79</v>
      </c>
      <c r="AE74" t="s" s="0">
        <v>79</v>
      </c>
      <c r="AF74" t="s" s="0">
        <v>79</v>
      </c>
      <c r="AG74" t="s" s="0">
        <v>79</v>
      </c>
      <c r="AH74" t="s" s="0">
        <v>79</v>
      </c>
      <c r="AI74" t="s" s="0">
        <v>1921</v>
      </c>
      <c r="AJ74" t="s" s="0">
        <v>1922</v>
      </c>
      <c r="AK74" t="s" s="0">
        <v>79</v>
      </c>
      <c r="AL74" t="s" s="0">
        <v>231</v>
      </c>
      <c r="AM74" t="s" s="0">
        <v>325</v>
      </c>
      <c r="AN74" t="s" s="0">
        <v>231</v>
      </c>
      <c r="AO74" t="s" s="0">
        <v>77</v>
      </c>
      <c r="AP74" t="s" s="0">
        <v>166</v>
      </c>
      <c r="AQ74" t="s" s="0">
        <v>430</v>
      </c>
      <c r="AR74" t="s" s="0">
        <v>94</v>
      </c>
      <c r="AS74" t="s" s="0">
        <v>431</v>
      </c>
      <c r="AT74" t="s" s="0">
        <v>1923</v>
      </c>
      <c r="AU74" t="s" s="0">
        <v>79</v>
      </c>
      <c r="AV74" t="s" s="0">
        <v>79</v>
      </c>
      <c r="AW74" t="s" s="0">
        <v>1924</v>
      </c>
      <c r="AX74" t="s" s="0">
        <v>1925</v>
      </c>
      <c r="AY74" t="s" s="0">
        <v>1926</v>
      </c>
      <c r="AZ74" t="s" s="0">
        <v>699</v>
      </c>
      <c r="BA74" t="s" s="0">
        <v>211</v>
      </c>
      <c r="BB74" t="s" s="0">
        <v>184</v>
      </c>
      <c r="BC74" t="s" s="0">
        <v>79</v>
      </c>
      <c r="BD74" t="s" s="0">
        <v>79</v>
      </c>
      <c r="BE74" t="s" s="0">
        <v>79</v>
      </c>
      <c r="BF74" t="s" s="0">
        <v>79</v>
      </c>
      <c r="BG74" t="s" s="0">
        <v>79</v>
      </c>
      <c r="BH74" t="s" s="0">
        <v>79</v>
      </c>
      <c r="BI74" t="s" s="0">
        <v>1927</v>
      </c>
      <c r="BJ74" t="s" s="0">
        <v>1928</v>
      </c>
      <c r="BK74" t="s" s="145">
        <f>HYPERLINK("http://dx.doi.org/10.1097/GOX.0000000000005290","http://dx.doi.org/10.1097/GOX.0000000000005290")</f>
        <v>1929</v>
      </c>
      <c r="BL74" t="s" s="0">
        <v>79</v>
      </c>
      <c r="BM74" t="s" s="0">
        <v>79</v>
      </c>
      <c r="BN74" t="s" s="0">
        <v>102</v>
      </c>
      <c r="BO74" t="s" s="0">
        <v>573</v>
      </c>
      <c r="BP74" t="s" s="0">
        <v>573</v>
      </c>
      <c r="BQ74" t="s" s="0">
        <v>1930</v>
      </c>
      <c r="BR74" t="s" s="0">
        <v>1931</v>
      </c>
      <c r="BS74" t="s" s="0">
        <v>1932</v>
      </c>
      <c r="BT74" t="s" s="146">
        <f>HYPERLINK("https://www.webofscience.com/wos/woscc/full-record/WOS:001066332300001","View Record in Web of Science")</f>
        <v>114</v>
      </c>
      <c r="BU74" t="s" s="0">
        <v>183</v>
      </c>
      <c r="BV74" t="s" s="0">
        <v>79</v>
      </c>
      <c r="BW74" t="s" s="0">
        <v>79</v>
      </c>
      <c r="BX74" t="s" s="0">
        <v>115</v>
      </c>
    </row>
    <row r="75">
      <c r="A75" t="s" s="0">
        <v>77</v>
      </c>
      <c r="B75" t="s" s="0">
        <v>77</v>
      </c>
      <c r="C75" t="s" s="0">
        <v>77</v>
      </c>
      <c r="D75" t="s" s="0">
        <v>77</v>
      </c>
      <c r="E75" t="s" s="0">
        <v>1933</v>
      </c>
      <c r="F75" t="s" s="0">
        <v>1934</v>
      </c>
      <c r="G75" t="s" s="0">
        <v>1935</v>
      </c>
      <c r="H75" t="s" s="0">
        <v>79</v>
      </c>
      <c r="I75" t="s" s="0">
        <v>840</v>
      </c>
      <c r="J75" t="s" s="0">
        <v>1936</v>
      </c>
      <c r="K75" t="s" s="0">
        <v>1937</v>
      </c>
      <c r="L75" t="s" s="0">
        <v>79</v>
      </c>
      <c r="M75" t="s" s="0">
        <v>79</v>
      </c>
      <c r="N75" t="s" s="0">
        <v>79</v>
      </c>
      <c r="O75" t="s" s="0">
        <v>1938</v>
      </c>
      <c r="P75" t="s" s="0">
        <v>79</v>
      </c>
      <c r="Q75" t="s" s="0">
        <v>85</v>
      </c>
      <c r="R75" t="s" s="0">
        <v>79</v>
      </c>
      <c r="S75" t="s" s="0">
        <v>79</v>
      </c>
      <c r="T75" t="s" s="0">
        <v>79</v>
      </c>
      <c r="U75" t="s" s="0">
        <v>79</v>
      </c>
      <c r="V75" t="s" s="0">
        <v>1939</v>
      </c>
      <c r="W75" t="s" s="0">
        <v>1940</v>
      </c>
      <c r="X75" t="s" s="0">
        <v>79</v>
      </c>
      <c r="Y75" t="s" s="0">
        <v>79</v>
      </c>
      <c r="Z75" t="s" s="0">
        <v>88</v>
      </c>
      <c r="AA75" t="s" s="0">
        <v>89</v>
      </c>
      <c r="AB75" t="s" s="0">
        <v>79</v>
      </c>
      <c r="AC75" t="s" s="0">
        <v>79</v>
      </c>
      <c r="AD75" t="s" s="0">
        <v>79</v>
      </c>
      <c r="AE75" t="s" s="0">
        <v>79</v>
      </c>
      <c r="AF75" t="s" s="0">
        <v>79</v>
      </c>
      <c r="AG75" t="s" s="0">
        <v>79</v>
      </c>
      <c r="AH75" t="s" s="0">
        <v>1941</v>
      </c>
      <c r="AI75" t="s" s="0">
        <v>79</v>
      </c>
      <c r="AJ75" t="s" s="0">
        <v>79</v>
      </c>
      <c r="AK75" t="s" s="0">
        <v>79</v>
      </c>
      <c r="AL75" t="s" s="0">
        <v>1942</v>
      </c>
      <c r="AM75" t="s" s="0">
        <v>92</v>
      </c>
      <c r="AN75" t="s" s="0">
        <v>92</v>
      </c>
      <c r="AO75" t="s" s="0">
        <v>77</v>
      </c>
      <c r="AP75" t="s" s="0">
        <v>77</v>
      </c>
      <c r="AQ75" t="s" s="0">
        <v>1943</v>
      </c>
      <c r="AR75" t="s" s="0">
        <v>1944</v>
      </c>
      <c r="AS75" t="s" s="0">
        <v>1945</v>
      </c>
      <c r="AT75" t="s" s="0">
        <v>1946</v>
      </c>
      <c r="AU75" t="s" s="0">
        <v>1947</v>
      </c>
      <c r="AV75" t="s" s="0">
        <v>79</v>
      </c>
      <c r="AW75" t="s" s="0">
        <v>1948</v>
      </c>
      <c r="AX75" t="s" s="0">
        <v>1949</v>
      </c>
      <c r="AY75" t="s" s="0">
        <v>1319</v>
      </c>
      <c r="AZ75" t="s" s="0">
        <v>139</v>
      </c>
      <c r="BA75" t="s" s="0">
        <v>1950</v>
      </c>
      <c r="BB75" t="s" s="0">
        <v>165</v>
      </c>
      <c r="BC75" t="s" s="0">
        <v>79</v>
      </c>
      <c r="BD75" t="s" s="0">
        <v>79</v>
      </c>
      <c r="BE75" t="s" s="0">
        <v>79</v>
      </c>
      <c r="BF75" t="s" s="0">
        <v>79</v>
      </c>
      <c r="BG75" t="s" s="0">
        <v>1951</v>
      </c>
      <c r="BH75" t="s" s="0">
        <v>1952</v>
      </c>
      <c r="BI75" t="s" s="0">
        <v>79</v>
      </c>
      <c r="BJ75" t="s" s="0">
        <v>1953</v>
      </c>
      <c r="BK75" t="s" s="147">
        <f>HYPERLINK("http://dx.doi.org/10.1044/2026_LSHSS-25-00086","http://dx.doi.org/10.1044/2026_LSHSS-25-00086")</f>
        <v>1954</v>
      </c>
      <c r="BL75" t="s" s="0">
        <v>79</v>
      </c>
      <c r="BM75" t="s" s="0">
        <v>79</v>
      </c>
      <c r="BN75" t="s" s="0">
        <v>164</v>
      </c>
      <c r="BO75" t="s" s="0">
        <v>1955</v>
      </c>
      <c r="BP75" t="s" s="0">
        <v>1955</v>
      </c>
      <c r="BQ75" t="s" s="0">
        <v>1956</v>
      </c>
      <c r="BR75" t="s" s="0">
        <v>1957</v>
      </c>
      <c r="BS75" t="s" s="0">
        <v>1958</v>
      </c>
      <c r="BT75" t="s" s="148">
        <f>HYPERLINK("https://www.webofscience.com/wos/woscc/full-record/WOS:001836695400001","View Record in Web of Science")</f>
        <v>114</v>
      </c>
      <c r="BU75" t="s" s="0">
        <v>79</v>
      </c>
      <c r="BV75" t="s" s="0">
        <v>79</v>
      </c>
      <c r="BW75" t="s" s="0">
        <v>79</v>
      </c>
      <c r="BX75" t="s" s="0">
        <v>115</v>
      </c>
    </row>
    <row r="76">
      <c r="A76" t="s" s="0">
        <v>77</v>
      </c>
      <c r="B76" t="s" s="0">
        <v>77</v>
      </c>
      <c r="C76" t="s" s="0">
        <v>165</v>
      </c>
      <c r="D76" t="s" s="0">
        <v>77</v>
      </c>
      <c r="E76" t="s" s="0">
        <v>1959</v>
      </c>
      <c r="F76" t="s" s="0">
        <v>1960</v>
      </c>
      <c r="G76" t="s" s="0">
        <v>1961</v>
      </c>
      <c r="H76" t="s" s="0">
        <v>79</v>
      </c>
      <c r="I76" t="s" s="0">
        <v>81</v>
      </c>
      <c r="J76" t="s" s="0">
        <v>1962</v>
      </c>
      <c r="K76" t="s" s="0">
        <v>1963</v>
      </c>
      <c r="L76" t="s" s="0">
        <v>1964</v>
      </c>
      <c r="M76" t="s" s="0">
        <v>1965</v>
      </c>
      <c r="N76" t="s" s="0">
        <v>1966</v>
      </c>
      <c r="O76" t="s" s="0">
        <v>1967</v>
      </c>
      <c r="P76" t="s" s="0">
        <v>1968</v>
      </c>
      <c r="Q76" t="s" s="0">
        <v>85</v>
      </c>
      <c r="R76" t="s" s="0">
        <v>79</v>
      </c>
      <c r="S76" t="s" s="0">
        <v>79</v>
      </c>
      <c r="T76" t="s" s="0">
        <v>79</v>
      </c>
      <c r="U76" t="s" s="0">
        <v>79</v>
      </c>
      <c r="V76" t="s" s="0">
        <v>1969</v>
      </c>
      <c r="W76" t="s" s="0">
        <v>1970</v>
      </c>
      <c r="X76" t="s" s="0">
        <v>79</v>
      </c>
      <c r="Y76" t="s" s="0">
        <v>79</v>
      </c>
      <c r="Z76" t="s" s="0">
        <v>88</v>
      </c>
      <c r="AA76" t="s" s="0">
        <v>89</v>
      </c>
      <c r="AB76" t="s" s="0">
        <v>79</v>
      </c>
      <c r="AC76" t="s" s="0">
        <v>79</v>
      </c>
      <c r="AD76" t="s" s="0">
        <v>79</v>
      </c>
      <c r="AE76" t="s" s="0">
        <v>79</v>
      </c>
      <c r="AF76" t="s" s="0">
        <v>79</v>
      </c>
      <c r="AG76" t="s" s="0">
        <v>1971</v>
      </c>
      <c r="AH76" t="s" s="0">
        <v>1972</v>
      </c>
      <c r="AI76" t="s" s="0">
        <v>1973</v>
      </c>
      <c r="AJ76" t="s" s="0">
        <v>1974</v>
      </c>
      <c r="AK76" t="s" s="0">
        <v>79</v>
      </c>
      <c r="AL76" t="s" s="0">
        <v>588</v>
      </c>
      <c r="AM76" t="s" s="0">
        <v>545</v>
      </c>
      <c r="AN76" t="s" s="0">
        <v>1576</v>
      </c>
      <c r="AO76" t="s" s="0">
        <v>92</v>
      </c>
      <c r="AP76" t="s" s="0">
        <v>146</v>
      </c>
      <c r="AQ76" t="s" s="0">
        <v>1975</v>
      </c>
      <c r="AR76" t="s" s="0">
        <v>1976</v>
      </c>
      <c r="AS76" t="s" s="0">
        <v>1977</v>
      </c>
      <c r="AT76" t="s" s="0">
        <v>1978</v>
      </c>
      <c r="AU76" t="s" s="0">
        <v>1979</v>
      </c>
      <c r="AV76" t="s" s="0">
        <v>79</v>
      </c>
      <c r="AW76" t="s" s="0">
        <v>1980</v>
      </c>
      <c r="AX76" t="s" s="0">
        <v>1981</v>
      </c>
      <c r="AY76" t="s" s="0">
        <v>1982</v>
      </c>
      <c r="AZ76" t="s" s="0">
        <v>462</v>
      </c>
      <c r="BA76" t="s" s="0">
        <v>1983</v>
      </c>
      <c r="BB76" t="s" s="0">
        <v>165</v>
      </c>
      <c r="BC76" t="s" s="0">
        <v>79</v>
      </c>
      <c r="BD76" t="s" s="0">
        <v>79</v>
      </c>
      <c r="BE76" t="s" s="0">
        <v>79</v>
      </c>
      <c r="BF76" t="s" s="0">
        <v>79</v>
      </c>
      <c r="BG76" t="s" s="0">
        <v>1984</v>
      </c>
      <c r="BH76" t="s" s="0">
        <v>1985</v>
      </c>
      <c r="BI76" t="s" s="0">
        <v>79</v>
      </c>
      <c r="BJ76" t="s" s="0">
        <v>1986</v>
      </c>
      <c r="BK76" t="s" s="149">
        <f>HYPERLINK("http://dx.doi.org/10.2519/jospt.2024.12151","http://dx.doi.org/10.2519/jospt.2024.12151")</f>
        <v>1987</v>
      </c>
      <c r="BL76" t="s" s="0">
        <v>79</v>
      </c>
      <c r="BM76" t="s" s="0">
        <v>79</v>
      </c>
      <c r="BN76" t="s" s="0">
        <v>130</v>
      </c>
      <c r="BO76" t="s" s="0">
        <v>1988</v>
      </c>
      <c r="BP76" t="s" s="0">
        <v>1988</v>
      </c>
      <c r="BQ76" t="s" s="0">
        <v>1989</v>
      </c>
      <c r="BR76" t="s" s="0">
        <v>1990</v>
      </c>
      <c r="BS76" t="s" s="0">
        <v>1991</v>
      </c>
      <c r="BT76" t="s" s="150">
        <f>HYPERLINK("https://www.webofscience.com/wos/woscc/full-record/WOS:001207010800002","View Record in Web of Science")</f>
        <v>114</v>
      </c>
      <c r="BU76" t="s" s="0">
        <v>79</v>
      </c>
      <c r="BV76" t="s" s="0">
        <v>79</v>
      </c>
      <c r="BW76" t="s" s="0">
        <v>79</v>
      </c>
      <c r="BX76" t="s" s="0">
        <v>115</v>
      </c>
    </row>
    <row r="77">
      <c r="A77" t="s" s="0">
        <v>77</v>
      </c>
      <c r="B77" t="s" s="0">
        <v>77</v>
      </c>
      <c r="C77" t="s" s="0">
        <v>77</v>
      </c>
      <c r="D77" t="s" s="0">
        <v>77</v>
      </c>
      <c r="E77" t="s" s="0">
        <v>1992</v>
      </c>
      <c r="F77" t="s" s="0">
        <v>1993</v>
      </c>
      <c r="G77" t="s" s="0">
        <v>1994</v>
      </c>
      <c r="H77" t="s" s="0">
        <v>79</v>
      </c>
      <c r="I77" t="s" s="0">
        <v>81</v>
      </c>
      <c r="J77" t="s" s="0">
        <v>1995</v>
      </c>
      <c r="K77" t="s" s="0">
        <v>1996</v>
      </c>
      <c r="L77" t="s" s="0">
        <v>1997</v>
      </c>
      <c r="M77" t="s" s="0">
        <v>1997</v>
      </c>
      <c r="N77" t="s" s="0">
        <v>1998</v>
      </c>
      <c r="O77" t="s" s="0">
        <v>1999</v>
      </c>
      <c r="P77" t="s" s="0">
        <v>79</v>
      </c>
      <c r="Q77" t="s" s="0">
        <v>85</v>
      </c>
      <c r="R77" t="s" s="0">
        <v>79</v>
      </c>
      <c r="S77" t="s" s="0">
        <v>79</v>
      </c>
      <c r="T77" t="s" s="0">
        <v>79</v>
      </c>
      <c r="U77" t="s" s="0">
        <v>79</v>
      </c>
      <c r="V77" t="s" s="0">
        <v>2000</v>
      </c>
      <c r="W77" t="s" s="0">
        <v>2001</v>
      </c>
      <c r="X77" t="s" s="0">
        <v>79</v>
      </c>
      <c r="Y77" t="s" s="0">
        <v>79</v>
      </c>
      <c r="Z77" t="s" s="0">
        <v>88</v>
      </c>
      <c r="AA77" t="s" s="0">
        <v>89</v>
      </c>
      <c r="AB77" t="s" s="0">
        <v>79</v>
      </c>
      <c r="AC77" t="s" s="0">
        <v>79</v>
      </c>
      <c r="AD77" t="s" s="0">
        <v>79</v>
      </c>
      <c r="AE77" t="s" s="0">
        <v>79</v>
      </c>
      <c r="AF77" t="s" s="0">
        <v>79</v>
      </c>
      <c r="AG77" t="s" s="0">
        <v>2002</v>
      </c>
      <c r="AH77" t="s" s="0">
        <v>79</v>
      </c>
      <c r="AI77" t="s" s="0">
        <v>79</v>
      </c>
      <c r="AJ77" t="s" s="0">
        <v>2003</v>
      </c>
      <c r="AK77" t="s" s="0">
        <v>79</v>
      </c>
      <c r="AL77" t="s" s="0">
        <v>463</v>
      </c>
      <c r="AM77" t="s" s="0">
        <v>77</v>
      </c>
      <c r="AN77" t="s" s="0">
        <v>77</v>
      </c>
      <c r="AO77" t="s" s="0">
        <v>102</v>
      </c>
      <c r="AP77" t="s" s="0">
        <v>230</v>
      </c>
      <c r="AQ77" t="s" s="0">
        <v>2004</v>
      </c>
      <c r="AR77" t="s" s="0">
        <v>2005</v>
      </c>
      <c r="AS77" t="s" s="0">
        <v>2006</v>
      </c>
      <c r="AT77" t="s" s="0">
        <v>2007</v>
      </c>
      <c r="AU77" t="s" s="0">
        <v>2008</v>
      </c>
      <c r="AV77" t="s" s="0">
        <v>79</v>
      </c>
      <c r="AW77" t="s" s="0">
        <v>2009</v>
      </c>
      <c r="AX77" t="s" s="0">
        <v>2010</v>
      </c>
      <c r="AY77" t="s" s="0">
        <v>145</v>
      </c>
      <c r="AZ77" t="s" s="0">
        <v>100</v>
      </c>
      <c r="BA77" t="s" s="0">
        <v>1051</v>
      </c>
      <c r="BB77" t="s" s="0">
        <v>184</v>
      </c>
      <c r="BC77" t="s" s="0">
        <v>79</v>
      </c>
      <c r="BD77" t="s" s="0">
        <v>79</v>
      </c>
      <c r="BE77" t="s" s="0">
        <v>79</v>
      </c>
      <c r="BF77" t="s" s="0">
        <v>79</v>
      </c>
      <c r="BG77" t="s" s="0">
        <v>2011</v>
      </c>
      <c r="BH77" t="s" s="0">
        <v>2012</v>
      </c>
      <c r="BI77" t="s" s="0">
        <v>79</v>
      </c>
      <c r="BJ77" t="s" s="0">
        <v>2013</v>
      </c>
      <c r="BK77" t="s" s="151">
        <f>HYPERLINK("http://dx.doi.org/10.12669/pjms.41.9.12131","http://dx.doi.org/10.12669/pjms.41.9.12131")</f>
        <v>2014</v>
      </c>
      <c r="BL77" t="s" s="0">
        <v>79</v>
      </c>
      <c r="BM77" t="s" s="0">
        <v>79</v>
      </c>
      <c r="BN77" t="s" s="0">
        <v>130</v>
      </c>
      <c r="BO77" t="s" s="0">
        <v>329</v>
      </c>
      <c r="BP77" t="s" s="0">
        <v>110</v>
      </c>
      <c r="BQ77" t="s" s="0">
        <v>2015</v>
      </c>
      <c r="BR77" t="s" s="0">
        <v>2016</v>
      </c>
      <c r="BS77" t="s" s="0">
        <v>2017</v>
      </c>
      <c r="BT77" t="s" s="152">
        <f>HYPERLINK("https://www.webofscience.com/wos/woscc/full-record/WOS:001588821000004","View Record in Web of Science")</f>
        <v>114</v>
      </c>
      <c r="BU77" t="s" s="0">
        <v>183</v>
      </c>
      <c r="BV77" t="s" s="0">
        <v>79</v>
      </c>
      <c r="BW77" t="s" s="0">
        <v>79</v>
      </c>
      <c r="BX77" t="s" s="0">
        <v>115</v>
      </c>
    </row>
    <row r="78">
      <c r="A78" t="s" s="0">
        <v>77</v>
      </c>
      <c r="B78" t="s" s="0">
        <v>77</v>
      </c>
      <c r="C78" t="s" s="0">
        <v>211</v>
      </c>
      <c r="D78" t="s" s="0">
        <v>77</v>
      </c>
      <c r="E78" t="s" s="0">
        <v>2018</v>
      </c>
      <c r="F78" t="s" s="0">
        <v>2019</v>
      </c>
      <c r="G78" t="s" s="0">
        <v>2020</v>
      </c>
      <c r="H78" t="s" s="0">
        <v>79</v>
      </c>
      <c r="I78" t="s" s="0">
        <v>81</v>
      </c>
      <c r="J78" t="s" s="0">
        <v>2021</v>
      </c>
      <c r="K78" t="s" s="0">
        <v>2022</v>
      </c>
      <c r="L78" t="s" s="0">
        <v>79</v>
      </c>
      <c r="M78" t="s" s="0">
        <v>79</v>
      </c>
      <c r="N78" t="s" s="0">
        <v>79</v>
      </c>
      <c r="O78" t="s" s="0">
        <v>2023</v>
      </c>
      <c r="P78" t="s" s="0">
        <v>2024</v>
      </c>
      <c r="Q78" t="s" s="0">
        <v>85</v>
      </c>
      <c r="R78" t="s" s="0">
        <v>79</v>
      </c>
      <c r="S78" t="s" s="0">
        <v>79</v>
      </c>
      <c r="T78" t="s" s="0">
        <v>79</v>
      </c>
      <c r="U78" t="s" s="0">
        <v>79</v>
      </c>
      <c r="V78" t="s" s="0">
        <v>2025</v>
      </c>
      <c r="W78" t="s" s="0">
        <v>289</v>
      </c>
      <c r="X78" t="s" s="0">
        <v>79</v>
      </c>
      <c r="Y78" t="s" s="0">
        <v>79</v>
      </c>
      <c r="Z78" t="s" s="0">
        <v>88</v>
      </c>
      <c r="AA78" t="s" s="0">
        <v>89</v>
      </c>
      <c r="AB78" t="s" s="0">
        <v>79</v>
      </c>
      <c r="AC78" t="s" s="0">
        <v>79</v>
      </c>
      <c r="AD78" t="s" s="0">
        <v>79</v>
      </c>
      <c r="AE78" t="s" s="0">
        <v>79</v>
      </c>
      <c r="AF78" t="s" s="0">
        <v>79</v>
      </c>
      <c r="AG78" t="s" s="0">
        <v>2026</v>
      </c>
      <c r="AH78" t="s" s="0">
        <v>2027</v>
      </c>
      <c r="AI78" t="s" s="0">
        <v>2028</v>
      </c>
      <c r="AJ78" t="s" s="0">
        <v>2029</v>
      </c>
      <c r="AK78" t="s" s="0">
        <v>79</v>
      </c>
      <c r="AL78" t="s" s="0">
        <v>2030</v>
      </c>
      <c r="AM78" t="s" s="0">
        <v>141</v>
      </c>
      <c r="AN78" t="s" s="0">
        <v>2031</v>
      </c>
      <c r="AO78" t="s" s="0">
        <v>165</v>
      </c>
      <c r="AP78" t="s" s="0">
        <v>1051</v>
      </c>
      <c r="AQ78" t="s" s="0">
        <v>430</v>
      </c>
      <c r="AR78" t="s" s="0">
        <v>94</v>
      </c>
      <c r="AS78" t="s" s="0">
        <v>431</v>
      </c>
      <c r="AT78" t="s" s="0">
        <v>2032</v>
      </c>
      <c r="AU78" t="s" s="0">
        <v>2033</v>
      </c>
      <c r="AV78" t="s" s="0">
        <v>79</v>
      </c>
      <c r="AW78" t="s" s="0">
        <v>289</v>
      </c>
      <c r="AX78" t="s" s="0">
        <v>2034</v>
      </c>
      <c r="AY78" t="s" s="0">
        <v>2035</v>
      </c>
      <c r="AZ78" t="s" s="0">
        <v>462</v>
      </c>
      <c r="BA78" t="s" s="0">
        <v>2036</v>
      </c>
      <c r="BB78" t="s" s="0">
        <v>983</v>
      </c>
      <c r="BC78" t="s" s="0">
        <v>79</v>
      </c>
      <c r="BD78" t="s" s="0">
        <v>79</v>
      </c>
      <c r="BE78" t="s" s="0">
        <v>79</v>
      </c>
      <c r="BF78" t="s" s="0">
        <v>79</v>
      </c>
      <c r="BG78" t="s" s="0">
        <v>79</v>
      </c>
      <c r="BH78" t="s" s="0">
        <v>79</v>
      </c>
      <c r="BI78" t="s" s="0">
        <v>2037</v>
      </c>
      <c r="BJ78" t="s" s="0">
        <v>2038</v>
      </c>
      <c r="BK78" t="s" s="153">
        <f>HYPERLINK("http://dx.doi.org/10.1097/MD.0000000000039250","http://dx.doi.org/10.1097/MD.0000000000039250")</f>
        <v>2039</v>
      </c>
      <c r="BL78" t="s" s="0">
        <v>79</v>
      </c>
      <c r="BM78" t="s" s="0">
        <v>79</v>
      </c>
      <c r="BN78" t="s" s="0">
        <v>174</v>
      </c>
      <c r="BO78" t="s" s="0">
        <v>329</v>
      </c>
      <c r="BP78" t="s" s="0">
        <v>110</v>
      </c>
      <c r="BQ78" t="s" s="0">
        <v>2040</v>
      </c>
      <c r="BR78" t="s" s="0">
        <v>2041</v>
      </c>
      <c r="BS78" t="s" s="0">
        <v>2042</v>
      </c>
      <c r="BT78" t="s" s="154">
        <f>HYPERLINK("https://www.webofscience.com/wos/woscc/full-record/WOS:001287977800091","View Record in Web of Science")</f>
        <v>114</v>
      </c>
      <c r="BU78" t="s" s="0">
        <v>183</v>
      </c>
      <c r="BV78" t="s" s="0">
        <v>79</v>
      </c>
      <c r="BW78" t="s" s="0">
        <v>79</v>
      </c>
      <c r="BX78" t="s" s="0">
        <v>115</v>
      </c>
    </row>
    <row r="79">
      <c r="A79" t="s" s="0">
        <v>77</v>
      </c>
      <c r="B79" t="s" s="0">
        <v>77</v>
      </c>
      <c r="C79" t="s" s="0">
        <v>77</v>
      </c>
      <c r="D79" t="s" s="0">
        <v>77</v>
      </c>
      <c r="E79" t="s" s="0">
        <v>2043</v>
      </c>
      <c r="F79" t="s" s="0">
        <v>2044</v>
      </c>
      <c r="G79" t="s" s="0">
        <v>2045</v>
      </c>
      <c r="H79" t="s" s="0">
        <v>79</v>
      </c>
      <c r="I79" t="s" s="0">
        <v>81</v>
      </c>
      <c r="J79" t="s" s="0">
        <v>2046</v>
      </c>
      <c r="K79" t="s" s="0">
        <v>2047</v>
      </c>
      <c r="L79" t="s" s="0">
        <v>2048</v>
      </c>
      <c r="M79" t="s" s="0">
        <v>2049</v>
      </c>
      <c r="N79" t="s" s="0">
        <v>2050</v>
      </c>
      <c r="O79" t="s" s="0">
        <v>2051</v>
      </c>
      <c r="P79" t="s" s="0">
        <v>2052</v>
      </c>
      <c r="Q79" t="s" s="0">
        <v>85</v>
      </c>
      <c r="R79" t="s" s="0">
        <v>79</v>
      </c>
      <c r="S79" t="s" s="0">
        <v>79</v>
      </c>
      <c r="T79" t="s" s="0">
        <v>79</v>
      </c>
      <c r="U79" t="s" s="0">
        <v>79</v>
      </c>
      <c r="V79" t="s" s="0">
        <v>2053</v>
      </c>
      <c r="W79" t="s" s="0">
        <v>2054</v>
      </c>
      <c r="X79" t="s" s="0">
        <v>79</v>
      </c>
      <c r="Y79" t="s" s="0">
        <v>79</v>
      </c>
      <c r="Z79" t="s" s="0">
        <v>88</v>
      </c>
      <c r="AA79" t="s" s="0">
        <v>89</v>
      </c>
      <c r="AB79" t="s" s="0">
        <v>79</v>
      </c>
      <c r="AC79" t="s" s="0">
        <v>79</v>
      </c>
      <c r="AD79" t="s" s="0">
        <v>79</v>
      </c>
      <c r="AE79" t="s" s="0">
        <v>79</v>
      </c>
      <c r="AF79" t="s" s="0">
        <v>79</v>
      </c>
      <c r="AG79" t="s" s="0">
        <v>2055</v>
      </c>
      <c r="AH79" t="s" s="0">
        <v>2056</v>
      </c>
      <c r="AI79" t="s" s="0">
        <v>2057</v>
      </c>
      <c r="AJ79" t="s" s="0">
        <v>2058</v>
      </c>
      <c r="AK79" t="s" s="0">
        <v>79</v>
      </c>
      <c r="AL79" t="s" s="0">
        <v>954</v>
      </c>
      <c r="AM79" t="s" s="0">
        <v>130</v>
      </c>
      <c r="AN79" t="s" s="0">
        <v>412</v>
      </c>
      <c r="AO79" t="s" s="0">
        <v>77</v>
      </c>
      <c r="AP79" t="s" s="0">
        <v>211</v>
      </c>
      <c r="AQ79" t="s" s="0">
        <v>430</v>
      </c>
      <c r="AR79" t="s" s="0">
        <v>94</v>
      </c>
      <c r="AS79" t="s" s="0">
        <v>431</v>
      </c>
      <c r="AT79" t="s" s="0">
        <v>2059</v>
      </c>
      <c r="AU79" t="s" s="0">
        <v>2060</v>
      </c>
      <c r="AV79" t="s" s="0">
        <v>79</v>
      </c>
      <c r="AW79" t="s" s="0">
        <v>2061</v>
      </c>
      <c r="AX79" t="s" s="0">
        <v>2062</v>
      </c>
      <c r="AY79" t="s" s="0">
        <v>1266</v>
      </c>
      <c r="AZ79" t="s" s="0">
        <v>100</v>
      </c>
      <c r="BA79" t="s" s="0">
        <v>199</v>
      </c>
      <c r="BB79" t="s" s="0">
        <v>131</v>
      </c>
      <c r="BC79" t="s" s="0">
        <v>79</v>
      </c>
      <c r="BD79" t="s" s="0">
        <v>79</v>
      </c>
      <c r="BE79" t="s" s="0">
        <v>79</v>
      </c>
      <c r="BF79" t="s" s="0">
        <v>79</v>
      </c>
      <c r="BG79" t="s" s="0">
        <v>2063</v>
      </c>
      <c r="BH79" t="s" s="0">
        <v>2064</v>
      </c>
      <c r="BI79" t="s" s="0">
        <v>79</v>
      </c>
      <c r="BJ79" t="s" s="0">
        <v>2065</v>
      </c>
      <c r="BK79" t="s" s="155">
        <f>HYPERLINK("http://dx.doi.org/10.1097/SCS.0000000000010686","http://dx.doi.org/10.1097/SCS.0000000000010686")</f>
        <v>2066</v>
      </c>
      <c r="BL79" t="s" s="0">
        <v>79</v>
      </c>
      <c r="BM79" t="s" s="0">
        <v>79</v>
      </c>
      <c r="BN79" t="s" s="0">
        <v>166</v>
      </c>
      <c r="BO79" t="s" s="0">
        <v>573</v>
      </c>
      <c r="BP79" t="s" s="0">
        <v>573</v>
      </c>
      <c r="BQ79" t="s" s="0">
        <v>2067</v>
      </c>
      <c r="BR79" t="s" s="0">
        <v>2068</v>
      </c>
      <c r="BS79" t="s" s="0">
        <v>2069</v>
      </c>
      <c r="BT79" t="s" s="156">
        <f>HYPERLINK("https://www.webofscience.com/wos/woscc/full-record/WOS:001430734100022","View Record in Web of Science")</f>
        <v>114</v>
      </c>
      <c r="BU79" t="s" s="0">
        <v>79</v>
      </c>
      <c r="BV79" t="s" s="0">
        <v>79</v>
      </c>
      <c r="BW79" t="s" s="0">
        <v>79</v>
      </c>
      <c r="BX79" t="s" s="0">
        <v>115</v>
      </c>
    </row>
    <row r="80">
      <c r="A80" t="s" s="0">
        <v>77</v>
      </c>
      <c r="B80" t="s" s="0">
        <v>77</v>
      </c>
      <c r="C80" t="s" s="0">
        <v>77</v>
      </c>
      <c r="D80" t="s" s="0">
        <v>77</v>
      </c>
      <c r="E80" t="s" s="0">
        <v>2070</v>
      </c>
      <c r="F80" t="s" s="0">
        <v>2071</v>
      </c>
      <c r="G80" t="s" s="0">
        <v>2072</v>
      </c>
      <c r="H80" t="s" s="0">
        <v>79</v>
      </c>
      <c r="I80" t="s" s="0">
        <v>840</v>
      </c>
      <c r="J80" t="s" s="0">
        <v>2073</v>
      </c>
      <c r="K80" t="s" s="0">
        <v>2074</v>
      </c>
      <c r="L80" t="s" s="0">
        <v>79</v>
      </c>
      <c r="M80" t="s" s="0">
        <v>79</v>
      </c>
      <c r="N80" t="s" s="0">
        <v>79</v>
      </c>
      <c r="O80" t="s" s="0">
        <v>2075</v>
      </c>
      <c r="P80" t="s" s="0">
        <v>2076</v>
      </c>
      <c r="Q80" t="s" s="0">
        <v>85</v>
      </c>
      <c r="R80" t="s" s="0">
        <v>79</v>
      </c>
      <c r="S80" t="s" s="0">
        <v>79</v>
      </c>
      <c r="T80" t="s" s="0">
        <v>79</v>
      </c>
      <c r="U80" t="s" s="0">
        <v>79</v>
      </c>
      <c r="V80" t="s" s="0">
        <v>2077</v>
      </c>
      <c r="W80" t="s" s="0">
        <v>849</v>
      </c>
      <c r="X80" t="s" s="0">
        <v>79</v>
      </c>
      <c r="Y80" t="s" s="0">
        <v>79</v>
      </c>
      <c r="Z80" t="s" s="0">
        <v>88</v>
      </c>
      <c r="AA80" t="s" s="0">
        <v>89</v>
      </c>
      <c r="AB80" t="s" s="0">
        <v>79</v>
      </c>
      <c r="AC80" t="s" s="0">
        <v>79</v>
      </c>
      <c r="AD80" t="s" s="0">
        <v>79</v>
      </c>
      <c r="AE80" t="s" s="0">
        <v>79</v>
      </c>
      <c r="AF80" t="s" s="0">
        <v>79</v>
      </c>
      <c r="AG80" t="s" s="0">
        <v>2078</v>
      </c>
      <c r="AH80" t="s" s="0">
        <v>2079</v>
      </c>
      <c r="AI80" t="s" s="0">
        <v>2080</v>
      </c>
      <c r="AJ80" t="s" s="0">
        <v>79</v>
      </c>
      <c r="AK80" t="s" s="0">
        <v>79</v>
      </c>
      <c r="AL80" t="s" s="0">
        <v>983</v>
      </c>
      <c r="AM80" t="s" s="0">
        <v>77</v>
      </c>
      <c r="AN80" t="s" s="0">
        <v>77</v>
      </c>
      <c r="AO80" t="s" s="0">
        <v>131</v>
      </c>
      <c r="AP80" t="s" s="0">
        <v>130</v>
      </c>
      <c r="AQ80" t="s" s="0">
        <v>853</v>
      </c>
      <c r="AR80" t="s" s="0">
        <v>590</v>
      </c>
      <c r="AS80" t="s" s="0">
        <v>854</v>
      </c>
      <c r="AT80" t="s" s="0">
        <v>855</v>
      </c>
      <c r="AU80" t="s" s="0">
        <v>79</v>
      </c>
      <c r="AV80" t="s" s="0">
        <v>79</v>
      </c>
      <c r="AW80" t="s" s="0">
        <v>856</v>
      </c>
      <c r="AX80" t="s" s="0">
        <v>857</v>
      </c>
      <c r="AY80" t="s" s="0">
        <v>100</v>
      </c>
      <c r="AZ80" t="s" s="0">
        <v>100</v>
      </c>
      <c r="BA80" t="s" s="0">
        <v>211</v>
      </c>
      <c r="BB80" t="s" s="0">
        <v>79</v>
      </c>
      <c r="BC80" t="s" s="0">
        <v>79</v>
      </c>
      <c r="BD80" t="s" s="0">
        <v>79</v>
      </c>
      <c r="BE80" t="s" s="0">
        <v>79</v>
      </c>
      <c r="BF80" t="s" s="0">
        <v>79</v>
      </c>
      <c r="BG80" t="s" s="0">
        <v>79</v>
      </c>
      <c r="BH80" t="s" s="0">
        <v>79</v>
      </c>
      <c r="BI80" t="s" s="0">
        <v>2081</v>
      </c>
      <c r="BJ80" t="s" s="0">
        <v>2082</v>
      </c>
      <c r="BK80" t="s" s="157">
        <f>HYPERLINK("http://dx.doi.org/10.1177/20552076251331804","http://dx.doi.org/10.1177/20552076251331804")</f>
        <v>2083</v>
      </c>
      <c r="BL80" t="s" s="0">
        <v>79</v>
      </c>
      <c r="BM80" t="s" s="0">
        <v>79</v>
      </c>
      <c r="BN80" t="s" s="0">
        <v>146</v>
      </c>
      <c r="BO80" t="s" s="0">
        <v>861</v>
      </c>
      <c r="BP80" t="s" s="0">
        <v>862</v>
      </c>
      <c r="BQ80" t="s" s="0">
        <v>2084</v>
      </c>
      <c r="BR80" t="s" s="0">
        <v>79</v>
      </c>
      <c r="BS80" t="s" s="0">
        <v>2085</v>
      </c>
      <c r="BT80" t="s" s="158">
        <f>HYPERLINK("https://www.webofscience.com/wos/woscc/full-record/WOS:001464191900001","View Record in Web of Science")</f>
        <v>114</v>
      </c>
      <c r="BU80" t="s" s="0">
        <v>183</v>
      </c>
      <c r="BV80" t="s" s="0">
        <v>79</v>
      </c>
      <c r="BW80" t="s" s="0">
        <v>79</v>
      </c>
      <c r="BX80" t="s" s="0">
        <v>115</v>
      </c>
    </row>
    <row r="81">
      <c r="A81" t="s" s="0">
        <v>92</v>
      </c>
      <c r="B81" t="s" s="0">
        <v>77</v>
      </c>
      <c r="C81" t="s" s="0">
        <v>102</v>
      </c>
      <c r="D81" t="s" s="0">
        <v>77</v>
      </c>
      <c r="E81" t="s" s="0">
        <v>2086</v>
      </c>
      <c r="F81" t="s" s="0">
        <v>2087</v>
      </c>
      <c r="G81" t="s" s="0">
        <v>2088</v>
      </c>
      <c r="H81" t="s" s="0">
        <v>79</v>
      </c>
      <c r="I81" t="s" s="0">
        <v>81</v>
      </c>
      <c r="J81" t="s" s="0">
        <v>2089</v>
      </c>
      <c r="K81" t="s" s="0">
        <v>2090</v>
      </c>
      <c r="L81" t="s" s="0">
        <v>2091</v>
      </c>
      <c r="M81" t="s" s="0">
        <v>2092</v>
      </c>
      <c r="N81" t="s" s="0">
        <v>2093</v>
      </c>
      <c r="O81" t="s" s="0">
        <v>2094</v>
      </c>
      <c r="P81" t="s" s="0">
        <v>2095</v>
      </c>
      <c r="Q81" t="s" s="0">
        <v>85</v>
      </c>
      <c r="R81" t="s" s="0">
        <v>79</v>
      </c>
      <c r="S81" t="s" s="0">
        <v>79</v>
      </c>
      <c r="T81" t="s" s="0">
        <v>79</v>
      </c>
      <c r="U81" t="s" s="0">
        <v>79</v>
      </c>
      <c r="V81" t="s" s="0">
        <v>2096</v>
      </c>
      <c r="W81" t="s" s="0">
        <v>2097</v>
      </c>
      <c r="X81" t="s" s="0">
        <v>79</v>
      </c>
      <c r="Y81" t="s" s="0">
        <v>79</v>
      </c>
      <c r="Z81" t="s" s="0">
        <v>88</v>
      </c>
      <c r="AA81" t="s" s="0">
        <v>89</v>
      </c>
      <c r="AB81" t="s" s="0">
        <v>79</v>
      </c>
      <c r="AC81" t="s" s="0">
        <v>79</v>
      </c>
      <c r="AD81" t="s" s="0">
        <v>79</v>
      </c>
      <c r="AE81" t="s" s="0">
        <v>79</v>
      </c>
      <c r="AF81" t="s" s="0">
        <v>79</v>
      </c>
      <c r="AG81" t="s" s="0">
        <v>2098</v>
      </c>
      <c r="AH81" t="s" s="0">
        <v>2099</v>
      </c>
      <c r="AI81" t="s" s="0">
        <v>2100</v>
      </c>
      <c r="AJ81" t="s" s="0">
        <v>2101</v>
      </c>
      <c r="AK81" t="s" s="0">
        <v>79</v>
      </c>
      <c r="AL81" t="s" s="0">
        <v>1529</v>
      </c>
      <c r="AM81" t="s" s="0">
        <v>317</v>
      </c>
      <c r="AN81" t="s" s="0">
        <v>1026</v>
      </c>
      <c r="AO81" t="s" s="0">
        <v>166</v>
      </c>
      <c r="AP81" t="s" s="0">
        <v>146</v>
      </c>
      <c r="AQ81" t="s" s="0">
        <v>93</v>
      </c>
      <c r="AR81" t="s" s="0">
        <v>94</v>
      </c>
      <c r="AS81" t="s" s="0">
        <v>95</v>
      </c>
      <c r="AT81" t="s" s="0">
        <v>2102</v>
      </c>
      <c r="AU81" t="s" s="0">
        <v>2103</v>
      </c>
      <c r="AV81" t="s" s="0">
        <v>79</v>
      </c>
      <c r="AW81" t="s" s="0">
        <v>2097</v>
      </c>
      <c r="AX81" t="s" s="0">
        <v>2104</v>
      </c>
      <c r="AY81" t="s" s="0">
        <v>1100</v>
      </c>
      <c r="AZ81" t="s" s="0">
        <v>100</v>
      </c>
      <c r="BA81" t="s" s="0">
        <v>2105</v>
      </c>
      <c r="BB81" t="s" s="0">
        <v>165</v>
      </c>
      <c r="BC81" t="s" s="0">
        <v>79</v>
      </c>
      <c r="BD81" t="s" s="0">
        <v>79</v>
      </c>
      <c r="BE81" t="s" s="0">
        <v>79</v>
      </c>
      <c r="BF81" t="s" s="0">
        <v>79</v>
      </c>
      <c r="BG81" t="s" s="0">
        <v>2106</v>
      </c>
      <c r="BH81" t="s" s="0">
        <v>2107</v>
      </c>
      <c r="BI81" t="s" s="0">
        <v>79</v>
      </c>
      <c r="BJ81" t="s" s="0">
        <v>2108</v>
      </c>
      <c r="BK81" t="s" s="159">
        <f>HYPERLINK("http://dx.doi.org/10.1053/j.gastro.2025.01.254","http://dx.doi.org/10.1053/j.gastro.2025.01.254")</f>
        <v>2109</v>
      </c>
      <c r="BL81" t="s" s="0">
        <v>79</v>
      </c>
      <c r="BM81" t="s" s="0">
        <v>1100</v>
      </c>
      <c r="BN81" t="s" s="0">
        <v>164</v>
      </c>
      <c r="BO81" t="s" s="0">
        <v>2110</v>
      </c>
      <c r="BP81" t="s" s="0">
        <v>2110</v>
      </c>
      <c r="BQ81" t="s" s="0">
        <v>2111</v>
      </c>
      <c r="BR81" t="s" s="0">
        <v>2112</v>
      </c>
      <c r="BS81" t="s" s="0">
        <v>2113</v>
      </c>
      <c r="BT81" t="s" s="160">
        <f>HYPERLINK("https://www.webofscience.com/wos/woscc/full-record/WOS:001554469100001","View Record in Web of Science")</f>
        <v>114</v>
      </c>
      <c r="BU81" t="s" s="0">
        <v>2114</v>
      </c>
      <c r="BV81" t="s" s="0">
        <v>79</v>
      </c>
      <c r="BW81" t="s" s="0">
        <v>79</v>
      </c>
      <c r="BX81" t="s" s="0">
        <v>115</v>
      </c>
    </row>
    <row r="82">
      <c r="A82" t="s" s="0">
        <v>77</v>
      </c>
      <c r="B82" t="s" s="0">
        <v>77</v>
      </c>
      <c r="C82" t="s" s="0">
        <v>77</v>
      </c>
      <c r="D82" t="s" s="0">
        <v>77</v>
      </c>
      <c r="E82" t="s" s="0">
        <v>2115</v>
      </c>
      <c r="F82" t="s" s="0">
        <v>2116</v>
      </c>
      <c r="G82" t="s" s="0">
        <v>2117</v>
      </c>
      <c r="H82" t="s" s="0">
        <v>79</v>
      </c>
      <c r="I82" t="s" s="0">
        <v>398</v>
      </c>
      <c r="J82" t="s" s="0">
        <v>2118</v>
      </c>
      <c r="K82" t="s" s="0">
        <v>79</v>
      </c>
      <c r="L82" t="s" s="0">
        <v>79</v>
      </c>
      <c r="M82" t="s" s="0">
        <v>79</v>
      </c>
      <c r="N82" t="s" s="0">
        <v>79</v>
      </c>
      <c r="O82" t="s" s="0">
        <v>2119</v>
      </c>
      <c r="P82" t="s" s="0">
        <v>2120</v>
      </c>
      <c r="Q82" t="s" s="0">
        <v>85</v>
      </c>
      <c r="R82" t="s" s="0">
        <v>79</v>
      </c>
      <c r="S82" t="s" s="0">
        <v>79</v>
      </c>
      <c r="T82" t="s" s="0">
        <v>79</v>
      </c>
      <c r="U82" t="s" s="0">
        <v>79</v>
      </c>
      <c r="V82" t="s" s="0">
        <v>2121</v>
      </c>
      <c r="W82" t="s" s="0">
        <v>2122</v>
      </c>
      <c r="X82" t="s" s="0">
        <v>79</v>
      </c>
      <c r="Y82" t="s" s="0">
        <v>79</v>
      </c>
      <c r="Z82" t="s" s="0">
        <v>88</v>
      </c>
      <c r="AA82" t="s" s="0">
        <v>89</v>
      </c>
      <c r="AB82" t="s" s="0">
        <v>79</v>
      </c>
      <c r="AC82" t="s" s="0">
        <v>79</v>
      </c>
      <c r="AD82" t="s" s="0">
        <v>79</v>
      </c>
      <c r="AE82" t="s" s="0">
        <v>79</v>
      </c>
      <c r="AF82" t="s" s="0">
        <v>79</v>
      </c>
      <c r="AG82" t="s" s="0">
        <v>2123</v>
      </c>
      <c r="AH82" t="s" s="0">
        <v>2124</v>
      </c>
      <c r="AI82" t="s" s="0">
        <v>79</v>
      </c>
      <c r="AJ82" t="s" s="0">
        <v>79</v>
      </c>
      <c r="AK82" t="s" s="0">
        <v>79</v>
      </c>
      <c r="AL82" t="s" s="0">
        <v>823</v>
      </c>
      <c r="AM82" t="s" s="0">
        <v>77</v>
      </c>
      <c r="AN82" t="s" s="0">
        <v>77</v>
      </c>
      <c r="AO82" t="s" s="0">
        <v>77</v>
      </c>
      <c r="AP82" t="s" s="0">
        <v>77</v>
      </c>
      <c r="AQ82" t="s" s="0">
        <v>2125</v>
      </c>
      <c r="AR82" t="s" s="0">
        <v>2126</v>
      </c>
      <c r="AS82" t="s" s="0">
        <v>2127</v>
      </c>
      <c r="AT82" t="s" s="0">
        <v>2128</v>
      </c>
      <c r="AU82" t="s" s="0">
        <v>79</v>
      </c>
      <c r="AV82" t="s" s="0">
        <v>79</v>
      </c>
      <c r="AW82" t="s" s="0">
        <v>2129</v>
      </c>
      <c r="AX82" t="s" s="0">
        <v>2130</v>
      </c>
      <c r="AY82" t="s" s="0">
        <v>2131</v>
      </c>
      <c r="AZ82" t="s" s="0">
        <v>139</v>
      </c>
      <c r="BA82" t="s" s="0">
        <v>317</v>
      </c>
      <c r="BB82" t="s" s="0">
        <v>92</v>
      </c>
      <c r="BC82" t="s" s="0">
        <v>79</v>
      </c>
      <c r="BD82" t="s" s="0">
        <v>79</v>
      </c>
      <c r="BE82" t="s" s="0">
        <v>79</v>
      </c>
      <c r="BF82" t="s" s="0">
        <v>79</v>
      </c>
      <c r="BG82" t="s" s="0">
        <v>79</v>
      </c>
      <c r="BH82" t="s" s="0">
        <v>79</v>
      </c>
      <c r="BI82" t="s" s="0">
        <v>2132</v>
      </c>
      <c r="BJ82" t="s" s="0">
        <v>79</v>
      </c>
      <c r="BK82" t="s" s="0">
        <v>79</v>
      </c>
      <c r="BL82" t="s" s="0">
        <v>79</v>
      </c>
      <c r="BM82" t="s" s="0">
        <v>79</v>
      </c>
      <c r="BN82" t="s" s="0">
        <v>887</v>
      </c>
      <c r="BO82" t="s" s="0">
        <v>2133</v>
      </c>
      <c r="BP82" t="s" s="0">
        <v>2133</v>
      </c>
      <c r="BQ82" t="s" s="0">
        <v>2134</v>
      </c>
      <c r="BR82" t="s" s="0">
        <v>79</v>
      </c>
      <c r="BS82" t="s" s="0">
        <v>2135</v>
      </c>
      <c r="BT82" t="s" s="161">
        <f>HYPERLINK("https://www.webofscience.com/wos/woscc/full-record/WOS:001711567000017","View Record in Web of Science")</f>
        <v>114</v>
      </c>
      <c r="BU82" t="s" s="0">
        <v>79</v>
      </c>
      <c r="BV82" t="s" s="0">
        <v>79</v>
      </c>
      <c r="BW82" t="s" s="0">
        <v>79</v>
      </c>
      <c r="BX82" t="s" s="0">
        <v>115</v>
      </c>
    </row>
    <row r="83">
      <c r="A83" t="s" s="0">
        <v>77</v>
      </c>
      <c r="B83" t="s" s="0">
        <v>77</v>
      </c>
      <c r="C83" t="s" s="0">
        <v>92</v>
      </c>
      <c r="D83" t="s" s="0">
        <v>77</v>
      </c>
      <c r="E83" t="s" s="0">
        <v>2136</v>
      </c>
      <c r="F83" t="s" s="0">
        <v>2137</v>
      </c>
      <c r="G83" t="s" s="0">
        <v>2138</v>
      </c>
      <c r="H83" t="s" s="0">
        <v>79</v>
      </c>
      <c r="I83" t="s" s="0">
        <v>81</v>
      </c>
      <c r="J83" t="s" s="0">
        <v>2139</v>
      </c>
      <c r="K83" t="s" s="0">
        <v>2140</v>
      </c>
      <c r="L83" t="s" s="0">
        <v>79</v>
      </c>
      <c r="M83" t="s" s="0">
        <v>79</v>
      </c>
      <c r="N83" t="s" s="0">
        <v>79</v>
      </c>
      <c r="O83" t="s" s="0">
        <v>2141</v>
      </c>
      <c r="P83" t="s" s="0">
        <v>2142</v>
      </c>
      <c r="Q83" t="s" s="0">
        <v>85</v>
      </c>
      <c r="R83" t="s" s="0">
        <v>79</v>
      </c>
      <c r="S83" t="s" s="0">
        <v>79</v>
      </c>
      <c r="T83" t="s" s="0">
        <v>79</v>
      </c>
      <c r="U83" t="s" s="0">
        <v>79</v>
      </c>
      <c r="V83" t="s" s="0">
        <v>2143</v>
      </c>
      <c r="W83" t="s" s="0">
        <v>2144</v>
      </c>
      <c r="X83" t="s" s="0">
        <v>79</v>
      </c>
      <c r="Y83" t="s" s="0">
        <v>79</v>
      </c>
      <c r="Z83" t="s" s="0">
        <v>88</v>
      </c>
      <c r="AA83" t="s" s="0">
        <v>89</v>
      </c>
      <c r="AB83" t="s" s="0">
        <v>79</v>
      </c>
      <c r="AC83" t="s" s="0">
        <v>79</v>
      </c>
      <c r="AD83" t="s" s="0">
        <v>79</v>
      </c>
      <c r="AE83" t="s" s="0">
        <v>79</v>
      </c>
      <c r="AF83" t="s" s="0">
        <v>79</v>
      </c>
      <c r="AG83" t="s" s="0">
        <v>79</v>
      </c>
      <c r="AH83" t="s" s="0">
        <v>2145</v>
      </c>
      <c r="AI83" t="s" s="0">
        <v>2146</v>
      </c>
      <c r="AJ83" t="s" s="0">
        <v>2147</v>
      </c>
      <c r="AK83" t="s" s="0">
        <v>79</v>
      </c>
      <c r="AL83" t="s" s="0">
        <v>2148</v>
      </c>
      <c r="AM83" t="s" s="0">
        <v>91</v>
      </c>
      <c r="AN83" t="s" s="0">
        <v>198</v>
      </c>
      <c r="AO83" t="s" s="0">
        <v>131</v>
      </c>
      <c r="AP83" t="s" s="0">
        <v>102</v>
      </c>
      <c r="AQ83" t="s" s="0">
        <v>430</v>
      </c>
      <c r="AR83" t="s" s="0">
        <v>94</v>
      </c>
      <c r="AS83" t="s" s="0">
        <v>431</v>
      </c>
      <c r="AT83" t="s" s="0">
        <v>2149</v>
      </c>
      <c r="AU83" t="s" s="0">
        <v>2150</v>
      </c>
      <c r="AV83" t="s" s="0">
        <v>79</v>
      </c>
      <c r="AW83" t="s" s="0">
        <v>2151</v>
      </c>
      <c r="AX83" t="s" s="0">
        <v>2152</v>
      </c>
      <c r="AY83" t="s" s="0">
        <v>2153</v>
      </c>
      <c r="AZ83" t="s" s="0">
        <v>462</v>
      </c>
      <c r="BA83" t="s" s="0">
        <v>2154</v>
      </c>
      <c r="BB83" t="s" s="0">
        <v>108</v>
      </c>
      <c r="BC83" t="s" s="0">
        <v>79</v>
      </c>
      <c r="BD83" t="s" s="0">
        <v>79</v>
      </c>
      <c r="BE83" t="s" s="0">
        <v>79</v>
      </c>
      <c r="BF83" t="s" s="0">
        <v>79</v>
      </c>
      <c r="BG83" t="s" s="0">
        <v>2155</v>
      </c>
      <c r="BH83" t="s" s="0">
        <v>2156</v>
      </c>
      <c r="BI83" t="s" s="0">
        <v>79</v>
      </c>
      <c r="BJ83" t="s" s="0">
        <v>2157</v>
      </c>
      <c r="BK83" t="s" s="162">
        <f>HYPERLINK("http://dx.doi.org/10.1097/CORR.0000000000003234","http://dx.doi.org/10.1097/CORR.0000000000003234")</f>
        <v>2158</v>
      </c>
      <c r="BL83" t="s" s="0">
        <v>79</v>
      </c>
      <c r="BM83" t="s" s="0">
        <v>79</v>
      </c>
      <c r="BN83" t="s" s="0">
        <v>184</v>
      </c>
      <c r="BO83" t="s" s="0">
        <v>1552</v>
      </c>
      <c r="BP83" t="s" s="0">
        <v>1552</v>
      </c>
      <c r="BQ83" t="s" s="0">
        <v>2159</v>
      </c>
      <c r="BR83" t="s" s="0">
        <v>2160</v>
      </c>
      <c r="BS83" t="s" s="0">
        <v>2161</v>
      </c>
      <c r="BT83" t="s" s="163">
        <f>HYPERLINK("https://www.webofscience.com/wos/woscc/full-record/WOS:001361758100003","View Record in Web of Science")</f>
        <v>114</v>
      </c>
      <c r="BU83" t="s" s="0">
        <v>2162</v>
      </c>
      <c r="BV83" t="s" s="0">
        <v>79</v>
      </c>
      <c r="BW83" t="s" s="0">
        <v>79</v>
      </c>
      <c r="BX83" t="s" s="0">
        <v>115</v>
      </c>
    </row>
    <row r="84">
      <c r="A84" t="s" s="0">
        <v>77</v>
      </c>
      <c r="B84" t="s" s="0">
        <v>77</v>
      </c>
      <c r="C84" t="s" s="0">
        <v>77</v>
      </c>
      <c r="D84" t="s" s="0">
        <v>77</v>
      </c>
      <c r="E84" t="s" s="0">
        <v>2163</v>
      </c>
      <c r="F84" t="s" s="0">
        <v>2164</v>
      </c>
      <c r="G84" t="s" s="0">
        <v>2165</v>
      </c>
      <c r="H84" t="s" s="0">
        <v>79</v>
      </c>
      <c r="I84" t="s" s="0">
        <v>398</v>
      </c>
      <c r="J84" t="s" s="0">
        <v>2166</v>
      </c>
      <c r="K84" t="s" s="0">
        <v>2167</v>
      </c>
      <c r="L84" t="s" s="0">
        <v>2168</v>
      </c>
      <c r="M84" t="s" s="0">
        <v>2168</v>
      </c>
      <c r="N84" t="s" s="0">
        <v>2169</v>
      </c>
      <c r="O84" t="s" s="0">
        <v>2170</v>
      </c>
      <c r="P84" t="s" s="0">
        <v>2171</v>
      </c>
      <c r="Q84" t="s" s="0">
        <v>85</v>
      </c>
      <c r="R84" t="s" s="0">
        <v>79</v>
      </c>
      <c r="S84" t="s" s="0">
        <v>79</v>
      </c>
      <c r="T84" t="s" s="0">
        <v>79</v>
      </c>
      <c r="U84" t="s" s="0">
        <v>79</v>
      </c>
      <c r="V84" t="s" s="0">
        <v>2172</v>
      </c>
      <c r="W84" t="s" s="0">
        <v>1206</v>
      </c>
      <c r="X84" t="s" s="0">
        <v>79</v>
      </c>
      <c r="Y84" t="s" s="0">
        <v>79</v>
      </c>
      <c r="Z84" t="s" s="0">
        <v>88</v>
      </c>
      <c r="AA84" t="s" s="0">
        <v>89</v>
      </c>
      <c r="AB84" t="s" s="0">
        <v>79</v>
      </c>
      <c r="AC84" t="s" s="0">
        <v>79</v>
      </c>
      <c r="AD84" t="s" s="0">
        <v>79</v>
      </c>
      <c r="AE84" t="s" s="0">
        <v>79</v>
      </c>
      <c r="AF84" t="s" s="0">
        <v>79</v>
      </c>
      <c r="AG84" t="s" s="0">
        <v>2173</v>
      </c>
      <c r="AH84" t="s" s="0">
        <v>2174</v>
      </c>
      <c r="AI84" t="s" s="0">
        <v>2175</v>
      </c>
      <c r="AJ84" t="s" s="0">
        <v>79</v>
      </c>
      <c r="AK84" t="s" s="0">
        <v>79</v>
      </c>
      <c r="AL84" t="s" s="0">
        <v>588</v>
      </c>
      <c r="AM84" t="s" s="0">
        <v>325</v>
      </c>
      <c r="AN84" t="s" s="0">
        <v>514</v>
      </c>
      <c r="AO84" t="s" s="0">
        <v>92</v>
      </c>
      <c r="AP84" t="s" s="0">
        <v>131</v>
      </c>
      <c r="AQ84" t="s" s="0">
        <v>350</v>
      </c>
      <c r="AR84" t="s" s="0">
        <v>351</v>
      </c>
      <c r="AS84" t="s" s="0">
        <v>352</v>
      </c>
      <c r="AT84" t="s" s="0">
        <v>79</v>
      </c>
      <c r="AU84" t="s" s="0">
        <v>1211</v>
      </c>
      <c r="AV84" t="s" s="0">
        <v>79</v>
      </c>
      <c r="AW84" t="s" s="0">
        <v>1212</v>
      </c>
      <c r="AX84" t="s" s="0">
        <v>1213</v>
      </c>
      <c r="AY84" t="s" s="0">
        <v>2176</v>
      </c>
      <c r="AZ84" t="s" s="0">
        <v>100</v>
      </c>
      <c r="BA84" t="s" s="0">
        <v>130</v>
      </c>
      <c r="BB84" t="s" s="0">
        <v>79</v>
      </c>
      <c r="BC84" t="s" s="0">
        <v>79</v>
      </c>
      <c r="BD84" t="s" s="0">
        <v>79</v>
      </c>
      <c r="BE84" t="s" s="0">
        <v>79</v>
      </c>
      <c r="BF84" t="s" s="0">
        <v>79</v>
      </c>
      <c r="BG84" t="s" s="0">
        <v>79</v>
      </c>
      <c r="BH84" t="s" s="0">
        <v>79</v>
      </c>
      <c r="BI84" t="s" s="0">
        <v>2177</v>
      </c>
      <c r="BJ84" t="s" s="0">
        <v>2178</v>
      </c>
      <c r="BK84" t="s" s="164">
        <f>HYPERLINK("http://dx.doi.org/10.3389/fdgth.2025.1574287","http://dx.doi.org/10.3389/fdgth.2025.1574287")</f>
        <v>2179</v>
      </c>
      <c r="BL84" t="s" s="0">
        <v>79</v>
      </c>
      <c r="BM84" t="s" s="0">
        <v>79</v>
      </c>
      <c r="BN84" t="s" s="0">
        <v>184</v>
      </c>
      <c r="BO84" t="s" s="0">
        <v>276</v>
      </c>
      <c r="BP84" t="s" s="0">
        <v>276</v>
      </c>
      <c r="BQ84" t="s" s="0">
        <v>2180</v>
      </c>
      <c r="BR84" t="s" s="0">
        <v>2181</v>
      </c>
      <c r="BS84" t="s" s="0">
        <v>2182</v>
      </c>
      <c r="BT84" t="s" s="165">
        <f>HYPERLINK("https://www.webofscience.com/wos/woscc/full-record/WOS:001525659200001","View Record in Web of Science")</f>
        <v>114</v>
      </c>
      <c r="BU84" t="s" s="0">
        <v>183</v>
      </c>
      <c r="BV84" t="s" s="0">
        <v>79</v>
      </c>
      <c r="BW84" t="s" s="0">
        <v>79</v>
      </c>
      <c r="BX84" t="s" s="0">
        <v>115</v>
      </c>
    </row>
    <row r="85">
      <c r="A85" t="s" s="0">
        <v>77</v>
      </c>
      <c r="B85" t="s" s="0">
        <v>77</v>
      </c>
      <c r="C85" t="s" s="0">
        <v>77</v>
      </c>
      <c r="D85" t="s" s="0">
        <v>77</v>
      </c>
      <c r="E85" t="s" s="0">
        <v>2183</v>
      </c>
      <c r="F85" t="s" s="0">
        <v>2184</v>
      </c>
      <c r="G85" t="s" s="0">
        <v>2185</v>
      </c>
      <c r="H85" t="s" s="0">
        <v>79</v>
      </c>
      <c r="I85" t="s" s="0">
        <v>81</v>
      </c>
      <c r="J85" t="s" s="0">
        <v>2186</v>
      </c>
      <c r="K85" t="s" s="0">
        <v>2187</v>
      </c>
      <c r="L85" t="s" s="0">
        <v>79</v>
      </c>
      <c r="M85" t="s" s="0">
        <v>79</v>
      </c>
      <c r="N85" t="s" s="0">
        <v>79</v>
      </c>
      <c r="O85" t="s" s="0">
        <v>2188</v>
      </c>
      <c r="P85" t="s" s="0">
        <v>2189</v>
      </c>
      <c r="Q85" t="s" s="0">
        <v>85</v>
      </c>
      <c r="R85" t="s" s="0">
        <v>79</v>
      </c>
      <c r="S85" t="s" s="0">
        <v>79</v>
      </c>
      <c r="T85" t="s" s="0">
        <v>79</v>
      </c>
      <c r="U85" t="s" s="0">
        <v>79</v>
      </c>
      <c r="V85" t="s" s="0">
        <v>2190</v>
      </c>
      <c r="W85" t="s" s="0">
        <v>2191</v>
      </c>
      <c r="X85" t="s" s="0">
        <v>79</v>
      </c>
      <c r="Y85" t="s" s="0">
        <v>79</v>
      </c>
      <c r="Z85" t="s" s="0">
        <v>88</v>
      </c>
      <c r="AA85" t="s" s="0">
        <v>89</v>
      </c>
      <c r="AB85" t="s" s="0">
        <v>79</v>
      </c>
      <c r="AC85" t="s" s="0">
        <v>79</v>
      </c>
      <c r="AD85" t="s" s="0">
        <v>79</v>
      </c>
      <c r="AE85" t="s" s="0">
        <v>79</v>
      </c>
      <c r="AF85" t="s" s="0">
        <v>79</v>
      </c>
      <c r="AG85" t="s" s="0">
        <v>2192</v>
      </c>
      <c r="AH85" t="s" s="0">
        <v>79</v>
      </c>
      <c r="AI85" t="s" s="0">
        <v>1615</v>
      </c>
      <c r="AJ85" t="s" s="0">
        <v>2193</v>
      </c>
      <c r="AK85" t="s" s="0">
        <v>79</v>
      </c>
      <c r="AL85" t="s" s="0">
        <v>778</v>
      </c>
      <c r="AM85" t="s" s="0">
        <v>230</v>
      </c>
      <c r="AN85" t="s" s="0">
        <v>412</v>
      </c>
      <c r="AO85" t="s" s="0">
        <v>165</v>
      </c>
      <c r="AP85" t="s" s="0">
        <v>130</v>
      </c>
      <c r="AQ85" t="s" s="0">
        <v>430</v>
      </c>
      <c r="AR85" t="s" s="0">
        <v>94</v>
      </c>
      <c r="AS85" t="s" s="0">
        <v>431</v>
      </c>
      <c r="AT85" t="s" s="0">
        <v>2194</v>
      </c>
      <c r="AU85" t="s" s="0">
        <v>2195</v>
      </c>
      <c r="AV85" t="s" s="0">
        <v>79</v>
      </c>
      <c r="AW85" t="s" s="0">
        <v>2196</v>
      </c>
      <c r="AX85" t="s" s="0">
        <v>2197</v>
      </c>
      <c r="AY85" t="s" s="0">
        <v>384</v>
      </c>
      <c r="AZ85" t="s" s="0">
        <v>100</v>
      </c>
      <c r="BA85" t="s" s="0">
        <v>537</v>
      </c>
      <c r="BB85" t="s" s="0">
        <v>102</v>
      </c>
      <c r="BC85" t="s" s="0">
        <v>79</v>
      </c>
      <c r="BD85" t="s" s="0">
        <v>79</v>
      </c>
      <c r="BE85" t="s" s="0">
        <v>79</v>
      </c>
      <c r="BF85" t="s" s="0">
        <v>79</v>
      </c>
      <c r="BG85" t="s" s="0">
        <v>2198</v>
      </c>
      <c r="BH85" t="s" s="0">
        <v>2199</v>
      </c>
      <c r="BI85" t="s" s="0">
        <v>79</v>
      </c>
      <c r="BJ85" t="s" s="0">
        <v>2200</v>
      </c>
      <c r="BK85" t="s" s="166">
        <f>HYPERLINK("http://dx.doi.org/10.1097/BPO.0000000000002890","http://dx.doi.org/10.1097/BPO.0000000000002890")</f>
        <v>2201</v>
      </c>
      <c r="BL85" t="s" s="0">
        <v>79</v>
      </c>
      <c r="BM85" t="s" s="0">
        <v>79</v>
      </c>
      <c r="BN85" t="s" s="0">
        <v>130</v>
      </c>
      <c r="BO85" t="s" s="0">
        <v>1622</v>
      </c>
      <c r="BP85" t="s" s="0">
        <v>1622</v>
      </c>
      <c r="BQ85" t="s" s="0">
        <v>2202</v>
      </c>
      <c r="BR85" t="s" s="0">
        <v>2203</v>
      </c>
      <c r="BS85" t="s" s="0">
        <v>2204</v>
      </c>
      <c r="BT85" t="s" s="167">
        <f>HYPERLINK("https://www.webofscience.com/wos/woscc/full-record/WOS:001437724500006","View Record in Web of Science")</f>
        <v>114</v>
      </c>
      <c r="BU85" t="s" s="0">
        <v>79</v>
      </c>
      <c r="BV85" t="s" s="0">
        <v>79</v>
      </c>
      <c r="BW85" t="s" s="0">
        <v>79</v>
      </c>
      <c r="BX85" t="s" s="0">
        <v>115</v>
      </c>
    </row>
    <row r="86">
      <c r="A86" t="s" s="0">
        <v>77</v>
      </c>
      <c r="B86" t="s" s="0">
        <v>77</v>
      </c>
      <c r="C86" t="s" s="0">
        <v>131</v>
      </c>
      <c r="D86" t="s" s="0">
        <v>77</v>
      </c>
      <c r="E86" t="s" s="0">
        <v>2205</v>
      </c>
      <c r="F86" t="s" s="0">
        <v>2206</v>
      </c>
      <c r="G86" t="s" s="0">
        <v>2207</v>
      </c>
      <c r="H86" t="s" s="0">
        <v>79</v>
      </c>
      <c r="I86" t="s" s="0">
        <v>81</v>
      </c>
      <c r="J86" t="s" s="0">
        <v>2208</v>
      </c>
      <c r="K86" t="s" s="0">
        <v>1251</v>
      </c>
      <c r="L86" t="s" s="0">
        <v>2209</v>
      </c>
      <c r="M86" t="s" s="0">
        <v>2210</v>
      </c>
      <c r="N86" t="s" s="0">
        <v>2211</v>
      </c>
      <c r="O86" t="s" s="0">
        <v>2212</v>
      </c>
      <c r="P86" t="s" s="0">
        <v>2213</v>
      </c>
      <c r="Q86" t="s" s="0">
        <v>85</v>
      </c>
      <c r="R86" t="s" s="0">
        <v>79</v>
      </c>
      <c r="S86" t="s" s="0">
        <v>79</v>
      </c>
      <c r="T86" t="s" s="0">
        <v>79</v>
      </c>
      <c r="U86" t="s" s="0">
        <v>79</v>
      </c>
      <c r="V86" t="s" s="0">
        <v>2214</v>
      </c>
      <c r="W86" t="s" s="0">
        <v>2215</v>
      </c>
      <c r="X86" t="s" s="0">
        <v>79</v>
      </c>
      <c r="Y86" t="s" s="0">
        <v>79</v>
      </c>
      <c r="Z86" t="s" s="0">
        <v>88</v>
      </c>
      <c r="AA86" t="s" s="0">
        <v>89</v>
      </c>
      <c r="AB86" t="s" s="0">
        <v>79</v>
      </c>
      <c r="AC86" t="s" s="0">
        <v>79</v>
      </c>
      <c r="AD86" t="s" s="0">
        <v>79</v>
      </c>
      <c r="AE86" t="s" s="0">
        <v>79</v>
      </c>
      <c r="AF86" t="s" s="0">
        <v>79</v>
      </c>
      <c r="AG86" t="s" s="0">
        <v>79</v>
      </c>
      <c r="AH86" t="s" s="0">
        <v>79</v>
      </c>
      <c r="AI86" t="s" s="0">
        <v>2216</v>
      </c>
      <c r="AJ86" t="s" s="0">
        <v>2217</v>
      </c>
      <c r="AK86" t="s" s="0">
        <v>79</v>
      </c>
      <c r="AL86" t="s" s="0">
        <v>983</v>
      </c>
      <c r="AM86" t="s" s="0">
        <v>230</v>
      </c>
      <c r="AN86" t="s" s="0">
        <v>130</v>
      </c>
      <c r="AO86" t="s" s="0">
        <v>165</v>
      </c>
      <c r="AP86" t="s" s="0">
        <v>184</v>
      </c>
      <c r="AQ86" t="s" s="0">
        <v>2218</v>
      </c>
      <c r="AR86" t="s" s="0">
        <v>590</v>
      </c>
      <c r="AS86" t="s" s="0">
        <v>2219</v>
      </c>
      <c r="AT86" t="s" s="0">
        <v>2220</v>
      </c>
      <c r="AU86" t="s" s="0">
        <v>2221</v>
      </c>
      <c r="AV86" t="s" s="0">
        <v>79</v>
      </c>
      <c r="AW86" t="s" s="0">
        <v>2215</v>
      </c>
      <c r="AX86" t="s" s="0">
        <v>2222</v>
      </c>
      <c r="AY86" t="s" s="0">
        <v>2223</v>
      </c>
      <c r="AZ86" t="s" s="0">
        <v>100</v>
      </c>
      <c r="BA86" t="s" s="0">
        <v>262</v>
      </c>
      <c r="BB86" t="s" s="0">
        <v>146</v>
      </c>
      <c r="BC86" t="s" s="0">
        <v>79</v>
      </c>
      <c r="BD86" t="s" s="0">
        <v>79</v>
      </c>
      <c r="BE86" t="s" s="0">
        <v>79</v>
      </c>
      <c r="BF86" t="s" s="0">
        <v>79</v>
      </c>
      <c r="BG86" t="s" s="0">
        <v>699</v>
      </c>
      <c r="BH86" t="s" s="0">
        <v>2224</v>
      </c>
      <c r="BI86" t="s" s="0">
        <v>79</v>
      </c>
      <c r="BJ86" t="s" s="0">
        <v>2225</v>
      </c>
      <c r="BK86" t="s" s="168">
        <f>HYPERLINK("http://dx.doi.org/10.1038/s41433-025-03788-0","http://dx.doi.org/10.1038/s41433-025-03788-0")</f>
        <v>2226</v>
      </c>
      <c r="BL86" t="s" s="0">
        <v>79</v>
      </c>
      <c r="BM86" t="s" s="0">
        <v>384</v>
      </c>
      <c r="BN86" t="s" s="0">
        <v>412</v>
      </c>
      <c r="BO86" t="s" s="0">
        <v>1271</v>
      </c>
      <c r="BP86" t="s" s="0">
        <v>1271</v>
      </c>
      <c r="BQ86" t="s" s="0">
        <v>2227</v>
      </c>
      <c r="BR86" t="s" s="0">
        <v>2228</v>
      </c>
      <c r="BS86" t="s" s="0">
        <v>2229</v>
      </c>
      <c r="BT86" t="s" s="169">
        <f>HYPERLINK("https://www.webofscience.com/wos/woscc/full-record/WOS:001467056300001","View Record in Web of Science")</f>
        <v>114</v>
      </c>
      <c r="BU86" t="s" s="0">
        <v>216</v>
      </c>
      <c r="BV86" t="s" s="0">
        <v>79</v>
      </c>
      <c r="BW86" t="s" s="0">
        <v>79</v>
      </c>
      <c r="BX86" t="s" s="0">
        <v>115</v>
      </c>
    </row>
    <row r="87">
      <c r="A87" t="s" s="0">
        <v>77</v>
      </c>
      <c r="B87" t="s" s="0">
        <v>77</v>
      </c>
      <c r="C87" t="s" s="0">
        <v>77</v>
      </c>
      <c r="D87" t="s" s="0">
        <v>77</v>
      </c>
      <c r="E87" t="s" s="0">
        <v>2230</v>
      </c>
      <c r="F87" t="s" s="0">
        <v>2231</v>
      </c>
      <c r="G87" t="s" s="0">
        <v>2232</v>
      </c>
      <c r="H87" t="s" s="0">
        <v>79</v>
      </c>
      <c r="I87" t="s" s="0">
        <v>81</v>
      </c>
      <c r="J87" t="s" s="0">
        <v>2233</v>
      </c>
      <c r="K87" t="s" s="0">
        <v>2234</v>
      </c>
      <c r="L87" t="s" s="0">
        <v>79</v>
      </c>
      <c r="M87" t="s" s="0">
        <v>79</v>
      </c>
      <c r="N87" t="s" s="0">
        <v>2235</v>
      </c>
      <c r="O87" t="s" s="0">
        <v>2236</v>
      </c>
      <c r="P87" t="s" s="0">
        <v>2237</v>
      </c>
      <c r="Q87" t="s" s="0">
        <v>85</v>
      </c>
      <c r="R87" t="s" s="0">
        <v>79</v>
      </c>
      <c r="S87" t="s" s="0">
        <v>79</v>
      </c>
      <c r="T87" t="s" s="0">
        <v>79</v>
      </c>
      <c r="U87" t="s" s="0">
        <v>79</v>
      </c>
      <c r="V87" t="s" s="0">
        <v>2238</v>
      </c>
      <c r="W87" t="s" s="0">
        <v>2239</v>
      </c>
      <c r="X87" t="s" s="0">
        <v>79</v>
      </c>
      <c r="Y87" t="s" s="0">
        <v>79</v>
      </c>
      <c r="Z87" t="s" s="0">
        <v>88</v>
      </c>
      <c r="AA87" t="s" s="0">
        <v>89</v>
      </c>
      <c r="AB87" t="s" s="0">
        <v>79</v>
      </c>
      <c r="AC87" t="s" s="0">
        <v>79</v>
      </c>
      <c r="AD87" t="s" s="0">
        <v>79</v>
      </c>
      <c r="AE87" t="s" s="0">
        <v>79</v>
      </c>
      <c r="AF87" t="s" s="0">
        <v>79</v>
      </c>
      <c r="AG87" t="s" s="0">
        <v>2240</v>
      </c>
      <c r="AH87" t="s" s="0">
        <v>504</v>
      </c>
      <c r="AI87" t="s" s="0">
        <v>2241</v>
      </c>
      <c r="AJ87" t="s" s="0">
        <v>79</v>
      </c>
      <c r="AK87" t="s" s="0">
        <v>79</v>
      </c>
      <c r="AL87" t="s" s="0">
        <v>141</v>
      </c>
      <c r="AM87" t="s" s="0">
        <v>77</v>
      </c>
      <c r="AN87" t="s" s="0">
        <v>77</v>
      </c>
      <c r="AO87" t="s" s="0">
        <v>77</v>
      </c>
      <c r="AP87" t="s" s="0">
        <v>77</v>
      </c>
      <c r="AQ87" t="s" s="0">
        <v>2242</v>
      </c>
      <c r="AR87" t="s" s="0">
        <v>2243</v>
      </c>
      <c r="AS87" t="s" s="0">
        <v>2244</v>
      </c>
      <c r="AT87" t="s" s="0">
        <v>2245</v>
      </c>
      <c r="AU87" t="s" s="0">
        <v>2246</v>
      </c>
      <c r="AV87" t="s" s="0">
        <v>79</v>
      </c>
      <c r="AW87" t="s" s="0">
        <v>2247</v>
      </c>
      <c r="AX87" t="s" s="0">
        <v>2248</v>
      </c>
      <c r="AY87" t="s" s="0">
        <v>411</v>
      </c>
      <c r="AZ87" t="s" s="0">
        <v>139</v>
      </c>
      <c r="BA87" t="s" s="0">
        <v>1703</v>
      </c>
      <c r="BB87" t="s" s="0">
        <v>166</v>
      </c>
      <c r="BC87" t="s" s="0">
        <v>79</v>
      </c>
      <c r="BD87" t="s" s="0">
        <v>79</v>
      </c>
      <c r="BE87" t="s" s="0">
        <v>79</v>
      </c>
      <c r="BF87" t="s" s="0">
        <v>79</v>
      </c>
      <c r="BG87" t="s" s="0">
        <v>2249</v>
      </c>
      <c r="BH87" t="s" s="0">
        <v>2250</v>
      </c>
      <c r="BI87" t="s" s="0">
        <v>79</v>
      </c>
      <c r="BJ87" t="s" s="0">
        <v>2251</v>
      </c>
      <c r="BK87" t="s" s="170">
        <f>HYPERLINK("http://dx.doi.org/10.56434/j.arch.esp.urol.20267905.84","http://dx.doi.org/10.56434/j.arch.esp.urol.20267905.84")</f>
        <v>2252</v>
      </c>
      <c r="BL87" t="s" s="0">
        <v>79</v>
      </c>
      <c r="BM87" t="s" s="0">
        <v>79</v>
      </c>
      <c r="BN87" t="s" s="0">
        <v>184</v>
      </c>
      <c r="BO87" t="s" s="0">
        <v>1886</v>
      </c>
      <c r="BP87" t="s" s="0">
        <v>1886</v>
      </c>
      <c r="BQ87" t="s" s="0">
        <v>2253</v>
      </c>
      <c r="BR87" t="s" s="0">
        <v>2254</v>
      </c>
      <c r="BS87" t="s" s="0">
        <v>2255</v>
      </c>
      <c r="BT87" t="s" s="171">
        <f>HYPERLINK("https://www.webofscience.com/wos/woscc/full-record/WOS:001822882100001","View Record in Web of Science")</f>
        <v>114</v>
      </c>
      <c r="BU87" t="s" s="0">
        <v>79</v>
      </c>
      <c r="BV87" t="s" s="0">
        <v>79</v>
      </c>
      <c r="BW87" t="s" s="0">
        <v>79</v>
      </c>
      <c r="BX87" t="s" s="0">
        <v>115</v>
      </c>
    </row>
    <row r="88">
      <c r="A88" t="s" s="0">
        <v>77</v>
      </c>
      <c r="B88" t="s" s="0">
        <v>77</v>
      </c>
      <c r="C88" t="s" s="0">
        <v>77</v>
      </c>
      <c r="D88" t="s" s="0">
        <v>77</v>
      </c>
      <c r="E88" t="s" s="0">
        <v>2256</v>
      </c>
      <c r="F88" t="s" s="0">
        <v>2257</v>
      </c>
      <c r="G88" t="s" s="0">
        <v>2258</v>
      </c>
      <c r="H88" t="s" s="0">
        <v>79</v>
      </c>
      <c r="I88" t="s" s="0">
        <v>81</v>
      </c>
      <c r="J88" t="s" s="0">
        <v>2259</v>
      </c>
      <c r="K88" t="s" s="0">
        <v>2260</v>
      </c>
      <c r="L88" t="s" s="0">
        <v>2261</v>
      </c>
      <c r="M88" t="s" s="0">
        <v>2262</v>
      </c>
      <c r="N88" t="s" s="0">
        <v>2263</v>
      </c>
      <c r="O88" t="s" s="0">
        <v>2264</v>
      </c>
      <c r="P88" t="s" s="0">
        <v>2265</v>
      </c>
      <c r="Q88" t="s" s="0">
        <v>85</v>
      </c>
      <c r="R88" t="s" s="0">
        <v>79</v>
      </c>
      <c r="S88" t="s" s="0">
        <v>79</v>
      </c>
      <c r="T88" t="s" s="0">
        <v>79</v>
      </c>
      <c r="U88" t="s" s="0">
        <v>79</v>
      </c>
      <c r="V88" t="s" s="0">
        <v>2266</v>
      </c>
      <c r="W88" t="s" s="0">
        <v>2267</v>
      </c>
      <c r="X88" t="s" s="0">
        <v>79</v>
      </c>
      <c r="Y88" t="s" s="0">
        <v>79</v>
      </c>
      <c r="Z88" t="s" s="0">
        <v>88</v>
      </c>
      <c r="AA88" t="s" s="0">
        <v>89</v>
      </c>
      <c r="AB88" t="s" s="0">
        <v>79</v>
      </c>
      <c r="AC88" t="s" s="0">
        <v>79</v>
      </c>
      <c r="AD88" t="s" s="0">
        <v>79</v>
      </c>
      <c r="AE88" t="s" s="0">
        <v>79</v>
      </c>
      <c r="AF88" t="s" s="0">
        <v>79</v>
      </c>
      <c r="AG88" t="s" s="0">
        <v>2268</v>
      </c>
      <c r="AH88" t="s" s="0">
        <v>79</v>
      </c>
      <c r="AI88" t="s" s="0">
        <v>2269</v>
      </c>
      <c r="AJ88" t="s" s="0">
        <v>79</v>
      </c>
      <c r="AK88" t="s" s="0">
        <v>79</v>
      </c>
      <c r="AL88" t="s" s="0">
        <v>1527</v>
      </c>
      <c r="AM88" t="s" s="0">
        <v>77</v>
      </c>
      <c r="AN88" t="s" s="0">
        <v>77</v>
      </c>
      <c r="AO88" t="s" s="0">
        <v>92</v>
      </c>
      <c r="AP88" t="s" s="0">
        <v>92</v>
      </c>
      <c r="AQ88" t="s" s="0">
        <v>2218</v>
      </c>
      <c r="AR88" t="s" s="0">
        <v>590</v>
      </c>
      <c r="AS88" t="s" s="0">
        <v>2270</v>
      </c>
      <c r="AT88" t="s" s="0">
        <v>2271</v>
      </c>
      <c r="AU88" t="s" s="0">
        <v>2272</v>
      </c>
      <c r="AV88" t="s" s="0">
        <v>79</v>
      </c>
      <c r="AW88" t="s" s="0">
        <v>2273</v>
      </c>
      <c r="AX88" t="s" s="0">
        <v>2274</v>
      </c>
      <c r="AY88" t="s" s="0">
        <v>2275</v>
      </c>
      <c r="AZ88" t="s" s="0">
        <v>139</v>
      </c>
      <c r="BA88" t="s" s="0">
        <v>1451</v>
      </c>
      <c r="BB88" t="s" s="0">
        <v>165</v>
      </c>
      <c r="BC88" t="s" s="0">
        <v>79</v>
      </c>
      <c r="BD88" t="s" s="0">
        <v>79</v>
      </c>
      <c r="BE88" t="s" s="0">
        <v>79</v>
      </c>
      <c r="BF88" t="s" s="0">
        <v>79</v>
      </c>
      <c r="BG88" t="s" s="0">
        <v>79</v>
      </c>
      <c r="BH88" t="s" s="0">
        <v>79</v>
      </c>
      <c r="BI88" t="s" s="0">
        <v>983</v>
      </c>
      <c r="BJ88" t="s" s="0">
        <v>2276</v>
      </c>
      <c r="BK88" t="s" s="172">
        <f>HYPERLINK("http://dx.doi.org/10.1007/s44446-026-00093-z","http://dx.doi.org/10.1007/s44446-026-00093-z")</f>
        <v>2277</v>
      </c>
      <c r="BL88" t="s" s="0">
        <v>79</v>
      </c>
      <c r="BM88" t="s" s="0">
        <v>435</v>
      </c>
      <c r="BN88" t="s" s="0">
        <v>211</v>
      </c>
      <c r="BO88" t="s" s="0">
        <v>360</v>
      </c>
      <c r="BP88" t="s" s="0">
        <v>360</v>
      </c>
      <c r="BQ88" t="s" s="0">
        <v>2278</v>
      </c>
      <c r="BR88" t="s" s="0">
        <v>2279</v>
      </c>
      <c r="BS88" t="s" s="0">
        <v>2280</v>
      </c>
      <c r="BT88" t="s" s="173">
        <f>HYPERLINK("https://www.webofscience.com/wos/woscc/full-record/WOS:001777619400001","View Record in Web of Science")</f>
        <v>114</v>
      </c>
      <c r="BU88" t="s" s="0">
        <v>183</v>
      </c>
      <c r="BV88" t="s" s="0">
        <v>79</v>
      </c>
      <c r="BW88" t="s" s="0">
        <v>79</v>
      </c>
      <c r="BX88" t="s" s="0">
        <v>115</v>
      </c>
    </row>
    <row r="89">
      <c r="A89" t="s" s="0">
        <v>77</v>
      </c>
      <c r="B89" t="s" s="0">
        <v>77</v>
      </c>
      <c r="C89" t="s" s="0">
        <v>77</v>
      </c>
      <c r="D89" t="s" s="0">
        <v>77</v>
      </c>
      <c r="E89" t="s" s="0">
        <v>2281</v>
      </c>
      <c r="F89" t="s" s="0">
        <v>2282</v>
      </c>
      <c r="G89" t="s" s="0">
        <v>2283</v>
      </c>
      <c r="H89" t="s" s="0">
        <v>79</v>
      </c>
      <c r="I89" t="s" s="0">
        <v>840</v>
      </c>
      <c r="J89" t="s" s="0">
        <v>2284</v>
      </c>
      <c r="K89" t="s" s="0">
        <v>2285</v>
      </c>
      <c r="L89" t="s" s="0">
        <v>79</v>
      </c>
      <c r="M89" t="s" s="0">
        <v>79</v>
      </c>
      <c r="N89" t="s" s="0">
        <v>79</v>
      </c>
      <c r="O89" t="s" s="0">
        <v>2286</v>
      </c>
      <c r="P89" t="s" s="0">
        <v>2287</v>
      </c>
      <c r="Q89" t="s" s="0">
        <v>85</v>
      </c>
      <c r="R89" t="s" s="0">
        <v>79</v>
      </c>
      <c r="S89" t="s" s="0">
        <v>79</v>
      </c>
      <c r="T89" t="s" s="0">
        <v>79</v>
      </c>
      <c r="U89" t="s" s="0">
        <v>79</v>
      </c>
      <c r="V89" t="s" s="0">
        <v>2288</v>
      </c>
      <c r="W89" t="s" s="0">
        <v>849</v>
      </c>
      <c r="X89" t="s" s="0">
        <v>79</v>
      </c>
      <c r="Y89" t="s" s="0">
        <v>79</v>
      </c>
      <c r="Z89" t="s" s="0">
        <v>88</v>
      </c>
      <c r="AA89" t="s" s="0">
        <v>89</v>
      </c>
      <c r="AB89" t="s" s="0">
        <v>79</v>
      </c>
      <c r="AC89" t="s" s="0">
        <v>79</v>
      </c>
      <c r="AD89" t="s" s="0">
        <v>79</v>
      </c>
      <c r="AE89" t="s" s="0">
        <v>79</v>
      </c>
      <c r="AF89" t="s" s="0">
        <v>79</v>
      </c>
      <c r="AG89" t="s" s="0">
        <v>2289</v>
      </c>
      <c r="AH89" t="s" s="0">
        <v>79</v>
      </c>
      <c r="AI89" t="s" s="0">
        <v>2290</v>
      </c>
      <c r="AJ89" t="s" s="0">
        <v>2291</v>
      </c>
      <c r="AK89" t="s" s="0">
        <v>79</v>
      </c>
      <c r="AL89" t="s" s="0">
        <v>694</v>
      </c>
      <c r="AM89" t="s" s="0">
        <v>77</v>
      </c>
      <c r="AN89" t="s" s="0">
        <v>77</v>
      </c>
      <c r="AO89" t="s" s="0">
        <v>165</v>
      </c>
      <c r="AP89" t="s" s="0">
        <v>184</v>
      </c>
      <c r="AQ89" t="s" s="0">
        <v>853</v>
      </c>
      <c r="AR89" t="s" s="0">
        <v>590</v>
      </c>
      <c r="AS89" t="s" s="0">
        <v>854</v>
      </c>
      <c r="AT89" t="s" s="0">
        <v>855</v>
      </c>
      <c r="AU89" t="s" s="0">
        <v>79</v>
      </c>
      <c r="AV89" t="s" s="0">
        <v>79</v>
      </c>
      <c r="AW89" t="s" s="0">
        <v>856</v>
      </c>
      <c r="AX89" t="s" s="0">
        <v>857</v>
      </c>
      <c r="AY89" t="s" s="0">
        <v>100</v>
      </c>
      <c r="AZ89" t="s" s="0">
        <v>100</v>
      </c>
      <c r="BA89" t="s" s="0">
        <v>211</v>
      </c>
      <c r="BB89" t="s" s="0">
        <v>79</v>
      </c>
      <c r="BC89" t="s" s="0">
        <v>79</v>
      </c>
      <c r="BD89" t="s" s="0">
        <v>79</v>
      </c>
      <c r="BE89" t="s" s="0">
        <v>79</v>
      </c>
      <c r="BF89" t="s" s="0">
        <v>79</v>
      </c>
      <c r="BG89" t="s" s="0">
        <v>79</v>
      </c>
      <c r="BH89" t="s" s="0">
        <v>79</v>
      </c>
      <c r="BI89" t="s" s="0">
        <v>2292</v>
      </c>
      <c r="BJ89" t="s" s="0">
        <v>2293</v>
      </c>
      <c r="BK89" t="s" s="174">
        <f>HYPERLINK("http://dx.doi.org/10.1177/20552076251404507","http://dx.doi.org/10.1177/20552076251404507")</f>
        <v>2294</v>
      </c>
      <c r="BL89" t="s" s="0">
        <v>79</v>
      </c>
      <c r="BM89" t="s" s="0">
        <v>79</v>
      </c>
      <c r="BN89" t="s" s="0">
        <v>164</v>
      </c>
      <c r="BO89" t="s" s="0">
        <v>861</v>
      </c>
      <c r="BP89" t="s" s="0">
        <v>862</v>
      </c>
      <c r="BQ89" t="s" s="0">
        <v>2295</v>
      </c>
      <c r="BR89" t="s" s="0">
        <v>2296</v>
      </c>
      <c r="BS89" t="s" s="0">
        <v>2297</v>
      </c>
      <c r="BT89" t="s" s="175">
        <f>HYPERLINK("https://www.webofscience.com/wos/woscc/full-record/WOS:001629653400001","View Record in Web of Science")</f>
        <v>114</v>
      </c>
      <c r="BU89" t="s" s="0">
        <v>183</v>
      </c>
      <c r="BV89" t="s" s="0">
        <v>79</v>
      </c>
      <c r="BW89" t="s" s="0">
        <v>79</v>
      </c>
      <c r="BX89" t="s" s="0">
        <v>115</v>
      </c>
    </row>
    <row r="90"/>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T14" r:id="rId25"/>
    <hyperlink ref="BK15" r:id="rId26"/>
    <hyperlink ref="BT15" r:id="rId27"/>
    <hyperlink ref="BK16" r:id="rId28"/>
    <hyperlink ref="BT16" r:id="rId29"/>
    <hyperlink ref="BK17" r:id="rId30"/>
    <hyperlink ref="BT17" r:id="rId31"/>
    <hyperlink ref="BK18" r:id="rId32"/>
    <hyperlink ref="BT18" r:id="rId33"/>
    <hyperlink ref="BK19" r:id="rId34"/>
    <hyperlink ref="BT19" r:id="rId35"/>
    <hyperlink ref="BK20" r:id="rId36"/>
    <hyperlink ref="BT20" r:id="rId37"/>
    <hyperlink ref="BK21" r:id="rId38"/>
    <hyperlink ref="BT21" r:id="rId39"/>
    <hyperlink ref="BK22" r:id="rId40"/>
    <hyperlink ref="BT22" r:id="rId41"/>
    <hyperlink ref="BK23" r:id="rId42"/>
    <hyperlink ref="BT23" r:id="rId43"/>
    <hyperlink ref="BK24" r:id="rId44"/>
    <hyperlink ref="BT24" r:id="rId45"/>
    <hyperlink ref="BK25" r:id="rId46"/>
    <hyperlink ref="BT25" r:id="rId47"/>
    <hyperlink ref="BK26" r:id="rId48"/>
    <hyperlink ref="BT26" r:id="rId49"/>
    <hyperlink ref="BK27" r:id="rId50"/>
    <hyperlink ref="BT27" r:id="rId51"/>
    <hyperlink ref="BK28" r:id="rId52"/>
    <hyperlink ref="BT28" r:id="rId53"/>
    <hyperlink ref="BK29" r:id="rId54"/>
    <hyperlink ref="BT29" r:id="rId55"/>
    <hyperlink ref="BK30" r:id="rId56"/>
    <hyperlink ref="BT30" r:id="rId57"/>
    <hyperlink ref="BK31" r:id="rId58"/>
    <hyperlink ref="BT31" r:id="rId59"/>
    <hyperlink ref="BK32" r:id="rId60"/>
    <hyperlink ref="BT32" r:id="rId61"/>
    <hyperlink ref="BK33" r:id="rId62"/>
    <hyperlink ref="BT33" r:id="rId63"/>
    <hyperlink ref="BK34" r:id="rId64"/>
    <hyperlink ref="BT34" r:id="rId65"/>
    <hyperlink ref="BK35" r:id="rId66"/>
    <hyperlink ref="BT35" r:id="rId67"/>
    <hyperlink ref="BK36" r:id="rId68"/>
    <hyperlink ref="BT36" r:id="rId69"/>
    <hyperlink ref="BK37" r:id="rId70"/>
    <hyperlink ref="BT37" r:id="rId71"/>
    <hyperlink ref="BK38" r:id="rId72"/>
    <hyperlink ref="BT38" r:id="rId73"/>
    <hyperlink ref="BK39" r:id="rId74"/>
    <hyperlink ref="BT39" r:id="rId75"/>
    <hyperlink ref="BK40" r:id="rId76"/>
    <hyperlink ref="BT40" r:id="rId77"/>
    <hyperlink ref="BK41" r:id="rId78"/>
    <hyperlink ref="BT41" r:id="rId79"/>
    <hyperlink ref="BK42" r:id="rId80"/>
    <hyperlink ref="BT42" r:id="rId81"/>
    <hyperlink ref="BK43" r:id="rId82"/>
    <hyperlink ref="BT43" r:id="rId83"/>
    <hyperlink ref="BK44" r:id="rId84"/>
    <hyperlink ref="BT44" r:id="rId85"/>
    <hyperlink ref="BK45" r:id="rId86"/>
    <hyperlink ref="BT45" r:id="rId87"/>
    <hyperlink ref="BK46" r:id="rId88"/>
    <hyperlink ref="BT46" r:id="rId89"/>
    <hyperlink ref="BK47" r:id="rId90"/>
    <hyperlink ref="BT47" r:id="rId91"/>
    <hyperlink ref="BK48" r:id="rId92"/>
    <hyperlink ref="BT48" r:id="rId93"/>
    <hyperlink ref="BK49" r:id="rId94"/>
    <hyperlink ref="BT49" r:id="rId95"/>
    <hyperlink ref="BK50" r:id="rId96"/>
    <hyperlink ref="BT50" r:id="rId97"/>
    <hyperlink ref="BK51" r:id="rId98"/>
    <hyperlink ref="BT51" r:id="rId99"/>
    <hyperlink ref="BK52" r:id="rId100"/>
    <hyperlink ref="BT52" r:id="rId101"/>
    <hyperlink ref="BK53" r:id="rId102"/>
    <hyperlink ref="BT53" r:id="rId103"/>
    <hyperlink ref="BK54" r:id="rId104"/>
    <hyperlink ref="BT54" r:id="rId105"/>
    <hyperlink ref="BK55" r:id="rId106"/>
    <hyperlink ref="BT55" r:id="rId107"/>
    <hyperlink ref="BK56" r:id="rId108"/>
    <hyperlink ref="BT56" r:id="rId109"/>
    <hyperlink ref="BK57" r:id="rId110"/>
    <hyperlink ref="BT57" r:id="rId111"/>
    <hyperlink ref="BK58" r:id="rId112"/>
    <hyperlink ref="BT58" r:id="rId113"/>
    <hyperlink ref="BK59" r:id="rId114"/>
    <hyperlink ref="BT59" r:id="rId115"/>
    <hyperlink ref="BK60" r:id="rId116"/>
    <hyperlink ref="BT60" r:id="rId117"/>
    <hyperlink ref="BK61" r:id="rId118"/>
    <hyperlink ref="BT61" r:id="rId119"/>
    <hyperlink ref="BK62" r:id="rId120"/>
    <hyperlink ref="BT62" r:id="rId121"/>
    <hyperlink ref="BK63" r:id="rId122"/>
    <hyperlink ref="BT63" r:id="rId123"/>
    <hyperlink ref="BK64" r:id="rId124"/>
    <hyperlink ref="BT64" r:id="rId125"/>
    <hyperlink ref="BK65" r:id="rId126"/>
    <hyperlink ref="BT65" r:id="rId127"/>
    <hyperlink ref="BK66" r:id="rId128"/>
    <hyperlink ref="BT66" r:id="rId129"/>
    <hyperlink ref="BK67" r:id="rId130"/>
    <hyperlink ref="BT67" r:id="rId131"/>
    <hyperlink ref="BK68" r:id="rId132"/>
    <hyperlink ref="BT68" r:id="rId133"/>
    <hyperlink ref="BK69" r:id="rId134"/>
    <hyperlink ref="BT69" r:id="rId135"/>
    <hyperlink ref="BK70" r:id="rId136"/>
    <hyperlink ref="BT70" r:id="rId137"/>
    <hyperlink ref="BK71" r:id="rId138"/>
    <hyperlink ref="BT71" r:id="rId139"/>
    <hyperlink ref="BK72" r:id="rId140"/>
    <hyperlink ref="BT72" r:id="rId141"/>
    <hyperlink ref="BK73" r:id="rId142"/>
    <hyperlink ref="BT73" r:id="rId143"/>
    <hyperlink ref="BK74" r:id="rId144"/>
    <hyperlink ref="BT74" r:id="rId145"/>
    <hyperlink ref="BK75" r:id="rId146"/>
    <hyperlink ref="BT75" r:id="rId147"/>
    <hyperlink ref="BK76" r:id="rId148"/>
    <hyperlink ref="BT76" r:id="rId149"/>
    <hyperlink ref="BK77" r:id="rId150"/>
    <hyperlink ref="BT77" r:id="rId151"/>
    <hyperlink ref="BK78" r:id="rId152"/>
    <hyperlink ref="BT78" r:id="rId153"/>
    <hyperlink ref="BK79" r:id="rId154"/>
    <hyperlink ref="BT79" r:id="rId155"/>
    <hyperlink ref="BK80" r:id="rId156"/>
    <hyperlink ref="BT80" r:id="rId157"/>
    <hyperlink ref="BK81" r:id="rId158"/>
    <hyperlink ref="BT81" r:id="rId159"/>
    <hyperlink ref="BT82" r:id="rId160"/>
    <hyperlink ref="BK83" r:id="rId161"/>
    <hyperlink ref="BT83" r:id="rId162"/>
    <hyperlink ref="BK84" r:id="rId163"/>
    <hyperlink ref="BT84" r:id="rId164"/>
    <hyperlink ref="BK85" r:id="rId165"/>
    <hyperlink ref="BT85" r:id="rId166"/>
    <hyperlink ref="BK86" r:id="rId167"/>
    <hyperlink ref="BT86" r:id="rId168"/>
    <hyperlink ref="BK87" r:id="rId169"/>
    <hyperlink ref="BT87" r:id="rId170"/>
    <hyperlink ref="BK88" r:id="rId171"/>
    <hyperlink ref="BT88" r:id="rId172"/>
    <hyperlink ref="BK89" r:id="rId173"/>
    <hyperlink ref="BT89" r:id="rId174"/>
  </hyperlinks>
  <printOptions horizontalCentered="true"/>
  <pageMargins bottom="0.75" footer="0.3" header="0.3" left="0.7" right="0.7" top="0.75"/>
  <pageSetup orientation="landscape" fitToHeight="1" fitToWidth="1"/>
</worksheet>
</file>

<file path=xl/worksheets/sheet2.xml><?xml version="1.0" encoding="utf-8"?>
<worksheet xmlns="http://schemas.openxmlformats.org/spreadsheetml/2006/main">
  <sheetPr>
    <pageSetUpPr fitToPage="true" autoPageBreaks="true"/>
  </sheetPr>
  <dimension ref="A1:D2"/>
  <sheetViews>
    <sheetView workbookViewId="0">
      <pane ySplit="1.0" state="frozen" topLeftCell="A2" activePane="bottomLeft"/>
      <selection pane="bottomLeft"/>
    </sheetView>
  </sheetViews>
  <sheetFormatPr defaultRowHeight="15.0"/>
  <sheetData>
    <row r="1">
      <c r="A1" t="s" s="0">
        <v>1651</v>
      </c>
      <c r="B1" t="s" s="0">
        <v>1652</v>
      </c>
      <c r="C1" t="s" s="0">
        <v>1653</v>
      </c>
      <c r="D1" t="s" s="0">
        <v>1682</v>
      </c>
    </row>
    <row r="2">
      <c r="A2" t="s" s="0">
        <v>1681</v>
      </c>
      <c r="B2" t="s" s="124">
        <v>1652</v>
      </c>
      <c r="C2" t="s" s="0">
        <v>1683</v>
      </c>
      <c r="D2" t="s" s="0">
        <v>1684</v>
      </c>
    </row>
  </sheetData>
  <hyperlinks>
    <hyperlink location="'Publications'!F63" ref="B2"/>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2026-08-26T14:29:36Z</dcterms:created>
  <dc:creator>Apache POI</dc:creator>
</cp:coreProperties>
</file>
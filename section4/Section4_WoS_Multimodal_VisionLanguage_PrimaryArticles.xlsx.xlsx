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<sst xmlns="http://schemas.openxmlformats.org/spreadsheetml/2006/main" count="25158" uniqueCount="7433">
  <si>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</si>
  <si>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</si>
  <si>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</si>
  <si>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</si>
  <si>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</si>
  <si>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</si>
  <si>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</si>
  <si>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</si>
  <si>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</si>
  <si>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</si>
  <si>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</si>
  <si>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</si>
  <si>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</si>
  <si>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</si>
  <si>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</si>
  <si>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</si>
  <si>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</si>
  <si>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</si>
  <si>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</si>
  <si>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</si>
  <si>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</si>
  <si>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</si>
  <si>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</si>
  <si>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</si>
  <si>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</si>
  <si>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</si>
  <si>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</si>
  <si>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</si>
  <si>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</si>
  <si>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</si>
  <si>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</si>
  <si>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</si>
  <si>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</si>
  <si>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</si>
  <si>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</si>
  <si>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</si>
  <si>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</si>
  <si>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</si>
  <si>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</si>
  <si>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</si>
  <si>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</si>
  <si>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</si>
  <si>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</si>
  <si>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</si>
  <si>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</si>
  <si>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</si>
  <si>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</si>
  <si>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</si>
  <si>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</si>
  <si>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</si>
  <si>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</si>
  <si>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</si>
  <si>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</si>
  <si>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</si>
  <si>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</si>
  <si>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</si>
  <si>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</si>
  <si>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</si>
  <si>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</si>
  <si>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</si>
  <si>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</si>
  <si>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</si>
  <si>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</si>
  <si>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</si>
  <si>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</si>
  <si>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</si>
  <si>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</si>
  <si>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</si>
  <si>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</si>
  <si>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</si>
  <si>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</si>
  <si>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</si>
  <si>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</si>
  <si>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</si>
  <si>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</si>
  <si>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</si>
  <si>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</si>
  <si>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</si>
  <si>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1</t>
  </si>
  <si>
    <t>Ayaz, M; Khan, M; Saqib, M; Khelifi, A; Sajjad, M; Elsaddik, A</t>
  </si>
  <si>
    <t>Generative artificial intelligence (GenAI) has enabled significant advancements in healthcare by supporting complex medical tasks through multimodal data processing. However, existing models often lack the adaptability required for diverse medical applications and are limited by their large size, hindering real-time deployment on consumer and edge devices. This article presents MedVLM, a novel vision-language model optimized for medical applications, such as visual question-answering (VQA) and medical report generation. MedVLM integrates the Florence-2 visual model with the LLaMA-2 language model using low-rank adaptation, reducing the number of trainable parameters to support efficient, real-time analysis across various imaging modalities, including X-rays, CT scans, and MRIs. Our evaluation includes extensive benchmarking against both specialized (Open-Flamingo, MedVInT, and Med-Flamingo) and generalist (Qwen-VL, PaLM-E) models, with results showing MedVLM's superior performance in diagnostic accuracy and VQA tasks, achieving 0.51% accuracy on the RadVQA dataset. We also validate MedVLM's outputs through collaboration with radiologists, who rated 74% of its generated medical reports as high quality. This work bridges the gap between GenAI advancements and practical radiological needs, providing a versatile tool that can streamline workflows and enhance diagnostic accuracy across various clinical settings.</t>
  </si>
  <si>
    <t>Ayaz, Muhammad; Khan, Mustaqeem; Saqib, Muhammad; Khelifi, Adel; Sajjad, Muhammad; Elsaddik, Abdulmotaleb</t>
  </si>
  <si>
    <t/>
  </si>
  <si>
    <t>Science Citation Index Expanded (SCI-EXPANDED)</t>
  </si>
  <si>
    <t>Ayaz, M (corresponding author), Islamia Coll Univ, Peshawar, Pakistan.</t>
  </si>
  <si>
    <t>muhammadsaqibicp@gmail.com; muhammad.sajjad@icp.edu.pk; elsaddik@uottawa.ca; ayaz81878@gmail.com; adel.khelifi@adu.ac.ae; Mustaqeemicp@gmail.com</t>
  </si>
  <si>
    <t>[Ayaz, Muhammad; Saqib, Muhammad; Sajjad, Muhammad] Islamia Coll Univ, Peshawar, Pakistan; [Khan, Mustaqeem] United Arab Emirates Univ, Al Ain, U Arab Emirates; [Khelifi, Adel] Abu Dhabi Univ, Abu Dhabi, U Arab Emirates; [Khelifi, Adel] Univ Ottawa, Mohamed Bin Zayed Univ Artificial Intelligence, Ottawa, ON, Canada</t>
  </si>
  <si>
    <t>University of Peshawar; United Arab Emirates University; Abu Dhabi University; University of Ottawa; Mohamed bin Zayed University of Artificial Intelligence MBZUAI</t>
  </si>
  <si>
    <t>J</t>
  </si>
  <si>
    <t>MedVLM: Medical Vision-Language Model for Consumer Devices</t>
  </si>
  <si>
    <t>IEEE CONSUMER ELECTRONICS MAGAZINE</t>
  </si>
  <si>
    <t>English</t>
  </si>
  <si>
    <t>Article</t>
  </si>
  <si>
    <t>Visualization; Computational modeling; Adaptation models; Medical diagnostic imaging; Accuracy; Training; Medical services; Data models; Consumer electronics; Computer architecture; Generative AI; Artificial intelligence</t>
  </si>
  <si>
    <t>Khan, Mustaqeem/AAM-9396-2020; Sajjad, Muhammad/AAT-7064-2020; El Saddik, Abdulmotaleb/D-4159-2009; Ayaz, Muhammad/AAA-5143-2020</t>
  </si>
  <si>
    <t>Khan, Mustaqeem/0000-0002-8020-3590; , Muhammad Saqib/0009-0001-3089-3343</t>
  </si>
  <si>
    <t>24</t>
  </si>
  <si>
    <t>6</t>
  </si>
  <si>
    <t>7</t>
  </si>
  <si>
    <t>3</t>
  </si>
  <si>
    <t>IEEE-INST ELECTRICAL ELECTRONICS ENGINEERS INC</t>
  </si>
  <si>
    <t>PISCATAWAY</t>
  </si>
  <si>
    <t>445 HOES LANE, PISCATAWAY, NJ 08855-4141 USA</t>
  </si>
  <si>
    <t>2162-2248</t>
  </si>
  <si>
    <t>2162-2256</t>
  </si>
  <si>
    <t>IEEE CONSUM ELECTR M</t>
  </si>
  <si>
    <t>IEEE Consum. Electron. Mag.</t>
  </si>
  <si>
    <t>SEP 2025</t>
  </si>
  <si>
    <t>2025</t>
  </si>
  <si>
    <t>14</t>
  </si>
  <si>
    <t>5</t>
  </si>
  <si>
    <t>75</t>
  </si>
  <si>
    <t>83</t>
  </si>
  <si>
    <t>10.1109/MCE.2024.3522521</t>
  </si>
  <si>
    <t>http://dx.doi.org/10.1109/MCE.2024.3522521</t>
  </si>
  <si>
    <t>9</t>
  </si>
  <si>
    <t>Computer Science, Hardware &amp; Architecture; Engineering, Electrical &amp; Electronic; Telecommunications</t>
  </si>
  <si>
    <t>Computer Science; Engineering; Telecommunications</t>
  </si>
  <si>
    <t>7KA6B</t>
  </si>
  <si>
    <t>WOS:001572867900004</t>
  </si>
  <si>
    <t>View Record in Web of Science</t>
  </si>
  <si>
    <t>2026-08-26</t>
  </si>
  <si>
    <t>Wang, PY; Zhang, HQ; Yuan, YX</t>
  </si>
  <si>
    <t>Multi-modal prompt learning is a high-performance and cost-effective learning paradigm, which learns text as well as image prompts to tune pre-trained vision-language (V-L) models like CLIP for adapting multiple downstream tasks. However, recent methods typically treat text and image prompts as independent components without considering the dependency between prompts. Moreover, extending multi-modal prompt learning into the medical field poses challenges due to a significant gap between general- and medical-domain data. To this end, we propose a Multi-modal Collaborative Prompt Learning (MCPL) pipeline to tune a frozen V-L model for aligning medical text-image representations, thereby achieving medical downstream tasks. We first construct the anatomy-pathology (AP) prompt for multi-modal prompting jointly with text and image prompts. The AP prompt introduces instance-level anatomy and pathology information, thereby making a V-L model better comprehend medical reports and images. Next, we propose graph-guided prompt collaboration module (GPCM), which explicitly establishes multi-way couplings between the AP, text, and image prompts, enabling collaborative multi-modal prompt producing and updating for more effective prompting. Finally, we develop a novel prompt configuration scheme, which attaches the AP prompt to the query and key, and the text/image prompt to the value in self-attention layers for improving the interpretability of multi-modal prompts. Extensive experiments on numerous medical classification and object detection datasets show that the proposed pipeline achieves excellent effectiveness and generalization. Compared with state-of-the-art prompt learning methods, MCPL provides a more reliable multi-modal prompt paradigm for reducing tuning costs of V-L models on medical downstream tasks. Our code: https://github.com/CUHK-AIM-Group/MCPL.</t>
  </si>
  <si>
    <t>Wang, Pengyu; Zhang, Huaqi; Yuan, Yixuan</t>
  </si>
  <si>
    <t>Yuan, YX (corresponding author), Chinese Univ Hong Kong, Dept Elect Engn, Hong Kong, Peoples R China.</t>
  </si>
  <si>
    <t>y10180292@mail.ecust.edu.cn; 1791334425@qq.com; yxyuan@ee.cuhk.edu.hk</t>
  </si>
  <si>
    <t>Hong Kong Research Grants Council (RGC) General Research Fund [14204321, 14220622, 11211221]</t>
  </si>
  <si>
    <t>Hong Kong Research Grants Council (RGC) General Research Fund</t>
  </si>
  <si>
    <t>This work was supported by Hong Kong Research Grants Council (RGC) General Research Fund under Grant 14204321, Grant 14220622, and Grant 11211221.</t>
  </si>
  <si>
    <t>[Wang, Pengyu; Yuan, Yixuan] Chinese Univ Hong Kong, Dept Elect Engn, Hong Kong, Peoples R China; [Zhang, Huaqi] Beijing Jiaotong Univ, Sch Comp Sci &amp; Technol, Beijing 100091, Peoples R China</t>
  </si>
  <si>
    <t>Chinese University of Hong Kong; Beijing Jiaotong University</t>
  </si>
  <si>
    <t>MCPL: Multi-Modal Collaborative Prompt Learning for Medical Vision-Language Model</t>
  </si>
  <si>
    <t>IEEE TRANSACTIONS ON MEDICAL IMAGING</t>
  </si>
  <si>
    <t>Task analysis; Collaboration; Adaptation models; Medical diagnostic imaging; Pipelines; Computational modeling; Pathology; Multi-modal prompting; prompt collaboration; vision-language model; medical reports and images</t>
  </si>
  <si>
    <t>Yuan, Yixuan/KSL-8440-2024</t>
  </si>
  <si>
    <t>Yuan, Yixuan/0000-0002-0853-6948; WANG, Pengyu/0000-0003-0997-9887</t>
  </si>
  <si>
    <t>63</t>
  </si>
  <si>
    <t>21</t>
  </si>
  <si>
    <t>23</t>
  </si>
  <si>
    <t>45</t>
  </si>
  <si>
    <t>0278-0062</t>
  </si>
  <si>
    <t>1558-254X</t>
  </si>
  <si>
    <t>IEEE T MED IMAGING</t>
  </si>
  <si>
    <t>IEEE Trans. Med. Imaging</t>
  </si>
  <si>
    <t>DEC 2024</t>
  </si>
  <si>
    <t>2024</t>
  </si>
  <si>
    <t>43</t>
  </si>
  <si>
    <t>12</t>
  </si>
  <si>
    <t>4224</t>
  </si>
  <si>
    <t>4235</t>
  </si>
  <si>
    <t>10.1109/TMI.2024.3418408</t>
  </si>
  <si>
    <t>http://dx.doi.org/10.1109/TMI.2024.3418408</t>
  </si>
  <si>
    <t>Computer Science, Interdisciplinary Applications; Engineering, Biomedical; Engineering, Electrical &amp; Electronic; Imaging Science &amp; Photographic Technology; Radiology, Nuclear Medicine &amp; Medical Imaging</t>
  </si>
  <si>
    <t>Computer Science; Engineering; Imaging Science &amp; Photographic Technology; Radiology, Nuclear Medicine &amp; Medical Imaging</t>
  </si>
  <si>
    <t>O6A7J</t>
  </si>
  <si>
    <t>38913527</t>
  </si>
  <si>
    <t>WOS:001371936600007</t>
  </si>
  <si>
    <t>Lou, W; Wu, Y; Xu, PS; Zhang, WY; Chen, XL; Yang, JC; He, MG; Shi, DL</t>
  </si>
  <si>
    <t>Training medical vision-language models (VLMs) typically demands millions of image-text pairs to achieve versatility and reasoning, posing significant challenges in data acquisition. We propose ConceptVLM, a novel data-efficient fine-tuning paradigm that transforms general-domain VLMs into specialized medical ones with minimal labeled data, integrating medical knowledge without disrupting the model's existing general capabilities. Central to our approach is a key concept-aware training strategy, building a structured medical concept dictionary and employing masked attention to guide the model's focus toward essential clinical concepts. This focused fine-tuning enhances domain-specific comprehension while preserving the model's reasoning abilities and response diversity. Experiments across multimodal medical benchmarks show ConceptVLM achieves state-of-the-art results using only 1% of the original training data, outperforming traditional methods reliant on large-scale QA datasets. These findings challenge the prevailing reliance on extensive annotated corpora, demonstrating key concept-guided tuning as a viable path to developing cognitively capable medical VLMs.</t>
  </si>
  <si>
    <t>Lou, Wei; Wu, Yue; Xu, Pusheng; Zhang, Weiyi; Chen, Xiaolan; Yang, Jiancheng; He, Mingguang; Shi, Danli</t>
  </si>
  <si>
    <t>He, MG; Shi, DL (corresponding author), Hong Kong Polytech Univ, Sch Optometry, Hong Kong, Peoples R China.; He, MG; Shi, DL (corresponding author), Hong Kong Polytech Univ, Res Ctr SHARP Vis RCSV, Hong Kong, Peoples R China.; He, MG; Shi, DL (corresponding author), Ctr Eye &amp; Vis Res CEVR, Hong Kong, Peoples R China.</t>
  </si>
  <si>
    <t>danli.shi@polyu.edu.hk; mingguang.he@polyu.edu.hk</t>
  </si>
  <si>
    <t>Zhejiang Provincial Natural Science Foundation of China [LQN26F020029]; Seed Fund of RCSV (P0057912) from the Hong Kong Polytechnic University.</t>
  </si>
  <si>
    <t>Zhejiang Provincial Natural Science Foundation of China (Natural Science Foundation of Zhejiang Province); Seed Fund of RCSV (P0057912) from the Hong Kong Polytechnic University.</t>
  </si>
  <si>
    <t>We thank the InnoHK HKSAR Government for providing valuable support. The research work described in this paper was conducted in the JC STEM Lab of Innovative Light Therapy for Eye Diseases, funded by The Hong Kong Jockey Club Charities Trust. This study is supported by the Seed Fund of RCSV (P0057912) from the Hong Kong Polytechnic University and the Zhejiang Provincial Natural Science Foundation of China (Grant No. LQN26F020029).</t>
  </si>
  <si>
    <t>[Lou, Wei] Zhejiang Normal Univ, Coll Math Med, Jinhua, Peoples R China; [Wu, Yue; Xu, Pusheng; Zhang, Weiyi; Chen, Xiaolan; He, Mingguang; Shi, Danli] Hong Kong Polytech Univ, Sch Optometry, Hong Kong, Peoples R China; [Yang, Jiancheng] Swiss Fed Inst Technol Lausanne EPFL, Lausanne, Switzerland; [He, Mingguang; Shi, Danli] Hong Kong Polytech Univ, Res Ctr SHARP Vis RCSV, Hong Kong, Peoples R China; [He, Mingguang; Shi, Danli] Ctr Eye &amp; Vis Res CEVR, Hong Kong, Peoples R China</t>
  </si>
  <si>
    <t>Zhejiang Normal University; Hong Kong Polytechnic University; Swiss Federal Institutes of Technology Domain; Ecole Polytechnique Federale de Lausanne; Hong Kong Polytechnic University</t>
  </si>
  <si>
    <t>Key concept learning for medical vision language model with reasoning capabilities</t>
  </si>
  <si>
    <t>NPJ DIGITAL MEDICINE</t>
  </si>
  <si>
    <t>He, Mingguang/AAY-5239-2020; Shi, Danli/KLD-8383-2024</t>
  </si>
  <si>
    <t>52</t>
  </si>
  <si>
    <t>NATURE PORTFOLIO</t>
  </si>
  <si>
    <t>BERLIN</t>
  </si>
  <si>
    <t>HEIDELBERGER PLATZ 3, BERLIN, 14197, GERMANY</t>
  </si>
  <si>
    <t>2398-6352</t>
  </si>
  <si>
    <t>NPJ DIGIT MED</t>
  </si>
  <si>
    <t>npj Digit. Med.</t>
  </si>
  <si>
    <t>APR 30 2026</t>
  </si>
  <si>
    <t>2026</t>
  </si>
  <si>
    <t>512</t>
  </si>
  <si>
    <t>10.1038/s41746-026-02676-5</t>
  </si>
  <si>
    <t>http://dx.doi.org/10.1038/s41746-026-02676-5</t>
  </si>
  <si>
    <t>APR 2026</t>
  </si>
  <si>
    <t>13</t>
  </si>
  <si>
    <t>Health Care Sciences &amp; Services; Medical Informatics</t>
  </si>
  <si>
    <t>KR1IP</t>
  </si>
  <si>
    <t>42056236</t>
  </si>
  <si>
    <t>WOS:001813615700003</t>
  </si>
  <si>
    <t>gold; Green Submitted</t>
  </si>
  <si>
    <t>Lian, Y; Xie, YC; Jiang, Y; Wang, L; Yu, HL</t>
  </si>
  <si>
    <t>The demonstrated success of Vision-Language Models in 2D medical image analysis has motivated the extension of their capabilities to 3D volumetric data for tasks such as report generation and visual question answering. A primary obstacle to this advancement is the reliance of current approaches on specialized 3D vision encoders, whose performance is constrained by the scarcity of large-scale annotated datasets. This paper presents a data-efficient framework that bypasses the need for a 3D encoder, instead leveraging a pre-trained 2D vision encoder to process volumetric data. Our pipeline sequentially refines the visual representation. First, a cosine similarity strategy prunes redundant 2D slices to improve computational efficiency. Next, a spatial-frequency fusion module integrates spatial and frequency-domain information to model inter-slice correlations from the 2D features. Finally, a fine-grained feature injection mechanism mitigates information loss during feature compression by re-introducing high-resolution details into the final visual tokens for the Large Language Model. Evaluated on public 3D benchmarks, our framework demonstrates superior performance, achieving a METEOR score of 50.13 on M3D-Cap report generation and 82.90% accuracy on M3D-VQA, significantly outperforming previous models. Our work demonstrates a scalable and efficient paradigm for 3D medical vision-language tasks that avoids the need for 3D-specific pre-training, offering a data-efficient alternative to data-intensive 3D encoders.</t>
  </si>
  <si>
    <t>Lian, Yi; Xie, Yanchun; Jiang, Yang; Wang, Lei; Yu, Hailong</t>
  </si>
  <si>
    <t>Xie, YC; Yu, HL (corresponding author), Gen Hosp Northern Theater Command, Dept Orthopaed, Shenyang, Peoples R China.</t>
  </si>
  <si>
    <t>hailong7@foxmail.com; yanchunxie@foxmail.com</t>
  </si>
  <si>
    <t>Major Science and Technology Special Project of Liaoning Province, China [2023020703-JH26/101-03]</t>
  </si>
  <si>
    <t>Major Science and Technology Special Project of Liaoning Province, China</t>
  </si>
  <si>
    <t>This work was supported by the Major Science and Technology Special Project of Liaoning Province, China (Grant No. 2023020703-JH26/101-03, Research and Development of Multi-scenario Intelligent Robot Swarm Collaborative Command and Dispatch System, from December 2023 to December 2025).</t>
  </si>
  <si>
    <t>[Lian, Yi; Xie, Yanchun; Yu, Hailong] Gen Hosp Northern Theater Command, Dept Orthopaed, Shenyang, Peoples R China; [Jiang, Yang] Northeastern Univ, Fac Robot Sci &amp; Engn, Shenyang, Peoples R China; [Wang, Lei] CCTEG Liaoning Embodied Intelligence Technol Co Lt, Shenyang, Peoples R China; [Wang, Lei] CCTEG Robot Technol Co Ltd, Shenzhen, Peoples R China</t>
  </si>
  <si>
    <t>Northeastern University - China</t>
  </si>
  <si>
    <t>A data-efficient 3D medical vision-language model using only a 2D encoder</t>
  </si>
  <si>
    <t>SCIENTIFIC REPORTS</t>
  </si>
  <si>
    <t>Medical visual-language models; 3D medical imaging; Data-efficient learning; 2D vision encoder</t>
  </si>
  <si>
    <t>53</t>
  </si>
  <si>
    <t>2</t>
  </si>
  <si>
    <t>2045-2322</t>
  </si>
  <si>
    <t>SCI REP-UK</t>
  </si>
  <si>
    <t>Sci Rep</t>
  </si>
  <si>
    <t>FEB 13 2026</t>
  </si>
  <si>
    <t>16</t>
  </si>
  <si>
    <t>8809</t>
  </si>
  <si>
    <t>10.1038/s41598-026-39526-z</t>
  </si>
  <si>
    <t>http://dx.doi.org/10.1038/s41598-026-39526-z</t>
  </si>
  <si>
    <t>Multidisciplinary Sciences</t>
  </si>
  <si>
    <t>Science &amp; Technology - Other Topics</t>
  </si>
  <si>
    <t>FB6LS</t>
  </si>
  <si>
    <t>41688675</t>
  </si>
  <si>
    <t>WOS:001714889700016</t>
  </si>
  <si>
    <t>Lu, ZM; Xu, N; Tian, HS; Wang, LJ; Liu, AA</t>
  </si>
  <si>
    <t>Medical Visual Question Answering (Medical VQA) is an essential task that facilitates the automated interpretation of complex clinical imagery with corresponding textual questions, thereby supporting both clinicians and patients in making informed medical decisions. With the rapid progress of Vision-Language Pretraining (VLP) in general domains, the development of medical VLP models has emerged as a rapidly growing interdisciplinary area at the intersection of artificial intelligence (AI) and healthcare. However, few works have been proposed to evaluate the adversarial robustness of medical VLP models, which faces two primary challenges: 1) the complexity of medical texts, stemming from the presence of terminologies, poses significant challenges for models in comprehending the text for adversarial attack; 2) the diversity of medical images arises from the variety of anatomical regions depicted, which requires models to determine critical anatomical regions for attack. In this paper, we propose a novel multimodal adversarial attack generator for evaluating the robustness of medical VLP models. Specifically, for the complexity of medical texts, we integrate medical knowledge when crafting text adversarial samples, which can facilitate the terminologies understanding and adversarial strength; for the diversity of medical images, we divide the anatomical regions into either global or local regions in medical images, which are determined by learned balance weights for perturbations. Our experimental study not only provides a quantitative understanding in medical VLP models, but also underscores the critical need for thorough safety evaluations before implementing them in real-world medical applications.</t>
  </si>
  <si>
    <t>Lu, Zimu; Xu, Ning; Tian, Hongshuo; Wang, Lanjun; Liu, An-An</t>
  </si>
  <si>
    <t>Xu, N; Liu, AA (corresponding author), Tianjin Univ, Sch Elect &amp; Informat Engn, Tianjin 300072, Peoples R China.</t>
  </si>
  <si>
    <t>ningxu@tju.edu.cn; anan0422@gmail.com</t>
  </si>
  <si>
    <t>National Natural Science Foundation of China [U21B2024, 62425307, 62472303, 62402334]</t>
  </si>
  <si>
    <t>National Natural Science Foundation of China (National Natural Science Foundation of China (NSFC))</t>
  </si>
  <si>
    <t>This work was supported in part by the National Natural Science Foundation of China under Grant U21B2024, Grant 62425307, Grant 62472303, and Grant 62402334.</t>
  </si>
  <si>
    <t>[Lu, Zimu; Xu, Ning; Tian, Hongshuo; Wang, Lanjun; Liu, An-An] Tianjin Univ, Sch Elect &amp; Informat Engn, Tianjin 300072, Peoples R China</t>
  </si>
  <si>
    <t>Tianjin University</t>
  </si>
  <si>
    <t>Medical VLP Model Is Vulnerable: Toward Multimodal Adversarial Attack on Large Medical Vision-Language Models</t>
  </si>
  <si>
    <t>IEEE TRANSACTIONS ON CIRCUITS AND SYSTEMS FOR VIDEO TECHNOLOGY</t>
  </si>
  <si>
    <t>Medical diagnostic imaging; Terminology; Robustness; Lungs; Complexity theory; Visualization; Unified modeling language; Perturbation methods; Closed box; Artificial intelligence; Medical VLP models; multimodal; adversarial attack</t>
  </si>
  <si>
    <t>ROBUSTNESS</t>
  </si>
  <si>
    <t>Wang, Lanjun/AAM-7339-2020; Tian, Hongshuo/NXC-3169-2025</t>
  </si>
  <si>
    <t>Wang, Lanjun/0000-0002-7696-5330</t>
  </si>
  <si>
    <t>86</t>
  </si>
  <si>
    <t>4</t>
  </si>
  <si>
    <t>1051-8215</t>
  </si>
  <si>
    <t>1558-2205</t>
  </si>
  <si>
    <t>IEEE T CIRC SYST VID</t>
  </si>
  <si>
    <t>IEEE Trans. Circuits Syst. Video Technol.</t>
  </si>
  <si>
    <t>FEB 2026</t>
  </si>
  <si>
    <t>36</t>
  </si>
  <si>
    <t>2478</t>
  </si>
  <si>
    <t>2491</t>
  </si>
  <si>
    <t>10.1109/TCSVT.2025.3602970</t>
  </si>
  <si>
    <t>http://dx.doi.org/10.1109/TCSVT.2025.3602970</t>
  </si>
  <si>
    <t>Engineering, Electrical &amp; Electronic</t>
  </si>
  <si>
    <t>Engineering</t>
  </si>
  <si>
    <t>DN1XU</t>
  </si>
  <si>
    <t>WOS:001687411500043</t>
  </si>
  <si>
    <t>Shen, LD; Huang, XS; Shang, FX; Zhang, XD; Yang, YH; Fan, B; Xiang, SM</t>
  </si>
  <si>
    <t>Multimodal large language models (MLLMs) offer immense potential for biomedical AI, yet current applications remain limited to coarse-grained image understanding and basic textual queries-falling short of the fine-grained reasoning required in clinical contexts. In this work, we present a comprehensive solution spanning data, model, and training innovations to advance pixel-level multimodal intelligence in biomedicine. First, we construct MeCoVQA, a new visual-language benchmark that spans eight medical imaging modalities and four core tasks, supporting both spatially-grounded reasoning and fine-grained diagnostic comprehension. Building on this, we introduce MedPLIB, an end-to-end biomedical MLLM equipped with pixel-level visual understanding. MedPLIB supports diverse multimodal tasks-including VQA, point- and region-based querying, grounding, and segmentation-through unified modeling. To further accommodate the heterogeneous nature of biomedical tasks, we design a task-specialized Mixture-of-Experts (MoE) architecture, where each expert is tailored to a specific task and jointly optimized via unified fine-tuning. This modular design accommodates diverse biomedical tasks while maintaining a unified and efficient architecture. By integrating retrieval-augmented generation (RAG) and in-context learning (ICL), MedPLIB also demonstrates strong generalization on out-of-distribution (OOD) medical image segmentation. Experiments across multiple benchmarks show that MedPLIB sets a new state-of-the-art on biomedical vision-language tasks; notably, it outperforms the best existing small and large models by 19.7 and 15.6 mDice in zero-shot pixel-level grounding, highlighting its clinical utility and generalization strength.</t>
  </si>
  <si>
    <t>Shen, Lingdong; Huang, Xiaoshuang; Shang, Fangxin; Zhang, Xudong; Yang, Yehui; Fan, Bin; Xiang, Shiming</t>
  </si>
  <si>
    <t>Fan, B (corresponding author), Univ Sci &amp; Technol Beijing, Sch Artificial Intelligence, Beijing 100083, Peoples R China.; Fan, B (corresponding author), Univ Sci &amp; Technol Beijing, Inst Artificial Intelligence, Beijing 100083, Peoples R China.</t>
  </si>
  <si>
    <t>bin.fan@ieee.org</t>
  </si>
  <si>
    <t>National Natural Science Foundation of China [U24A20218]</t>
  </si>
  <si>
    <t>This work was supported by the National Natural Science Foundation of China under Grant U24A20218.</t>
  </si>
  <si>
    <t>[Shen, Lingdong; Xiang, Shiming] Chinese Acad Sci, Inst Automat, State Key Lab Multimodal Artificial Intelligence S, Beijing 100190, Peoples R China; [Shen, Lingdong; Xiang, Shiming] Univ Chinese Acad Sci, Sch Artificial Intelligence, Beijing 100049, Peoples R China; [Huang, Xiaoshuang] Xiaohongshu Inc, Shanghai 200000, Peoples R China; [Shang, Fangxin; Yang, Yehui] Baidu AI Cloud Grp, Beijing 100049, Peoples R China; [Zhang, Xudong] Peking Univ, Acad Adv Interdisciplinary Studies, Beijing 100871, Peoples R China; [Fan, Bin] Univ Sci &amp; Technol Beijing, Sch Artificial Intelligence, Beijing 100083, Peoples R China; [Fan, Bin] Univ Sci &amp; Technol Beijing, Inst Artificial Intelligence, Beijing 100083, Peoples R China</t>
  </si>
  <si>
    <t>Chinese Academy of Sciences; Institute of Automation, CAS; Chinese Academy of Sciences; University of Chinese Academy of Sciences, CAS; Peking University; University of Science &amp; Technology Beijing; University of Science &amp; Technology Beijing</t>
  </si>
  <si>
    <t>From Image to Pixels: Towards Fine-Grained Medical Vision-Language Models</t>
  </si>
  <si>
    <t>IEEE TRANSACTIONS ON PATTERN ANALYSIS AND MACHINE INTELLIGENCE</t>
  </si>
  <si>
    <t>Feeds; Filtering; Microwave integrated circuits; Filters; Integrated circuits; Circuits and systems; Pixel; Location awareness; Optical projectors; Communication systems; Pixel-level medical image understanding; multimodal learning; medical vision-language models</t>
  </si>
  <si>
    <t>65</t>
  </si>
  <si>
    <t>IEEE COMPUTER SOC</t>
  </si>
  <si>
    <t>LOS ALAMITOS</t>
  </si>
  <si>
    <t>10662 LOS VAQUEROS CIRCLE, PO BOX 3014, LOS ALAMITOS, CA 90720-1314 USA</t>
  </si>
  <si>
    <t>0162-8828</t>
  </si>
  <si>
    <t>1939-3539</t>
  </si>
  <si>
    <t>IEEE T PATTERN ANAL</t>
  </si>
  <si>
    <t>IEEE Trans. Pattern Anal. Mach. Intell.</t>
  </si>
  <si>
    <t>AUG 2026</t>
  </si>
  <si>
    <t>48</t>
  </si>
  <si>
    <t>8</t>
  </si>
  <si>
    <t>9982</t>
  </si>
  <si>
    <t>9996</t>
  </si>
  <si>
    <t>10.1109/TPAMI.2026.3682684</t>
  </si>
  <si>
    <t>http://dx.doi.org/10.1109/TPAMI.2026.3682684</t>
  </si>
  <si>
    <t>15</t>
  </si>
  <si>
    <t>Computer Science, Artificial Intelligence; Engineering, Electrical &amp; Electronic</t>
  </si>
  <si>
    <t>Computer Science; Engineering</t>
  </si>
  <si>
    <t>KT6YQ</t>
  </si>
  <si>
    <t>41989909</t>
  </si>
  <si>
    <t>WOS:001815354400002</t>
  </si>
  <si>
    <t>Gao, XL; Wang, JR; Yang, D</t>
  </si>
  <si>
    <t>Recent medical vision-language models enable zero-and few-shot transfer, yet still depend on handcrafted prompts and task-specific heads. To address these limitations, we introduce Weakly Semantic-aware Task Conditioning (WSTC), a lightweight, plug-and-play framework that endows frozen vision-language models with strong adaptability across classification, retrieval, and segmentation. WSTC contains two modules: (i) the Weakly Semantic-Aware Module, which distills task cues from image patches into image-derived semantic tokens, without text-side prompt engineering or prompt tuning, and (ii) the Task-Conditioned Dynamic Alignment Module, which dynamically generates projection matrices to align vision-language embeddings under task guidance. Built on a frozen UniMedCLIP backbone, WSTC adapts to new tasks without tuning the backbone and requires a moderate trainable parameter budget for adaptation. Across both zero-shot and few-shot regimes, our method UniMedCLIP augmented with WSTC consistently outperforms strong frozen vision-language models (CLIP, MedCLIP, BioViL, PubMedCLIP, UniMedCLIP) and further surpasses adapter baselines such as Tip-Adapter and Meta-Adapter. These results highlight WSTC as a practical solution for scalable medical vision-language models under extreme data scarcity.</t>
  </si>
  <si>
    <t>Gao, Xiaolan; Wang, Jiaorao; Yang, Dan</t>
  </si>
  <si>
    <t>Yang, D (corresponding author), Hunan Univ Sci &amp; Technol, Sch Informat &amp; Elect Engn, Xiangtan 411201, Hunan, Peoples R China.</t>
  </si>
  <si>
    <t>dan.yang@hnust.edu.cn</t>
  </si>
  <si>
    <t>Hunan Provincial Department of Education Outstanding Youth Project [25B0451]; Fundamental Research Funds for the Central Universities [2025SMECP05]</t>
  </si>
  <si>
    <t>Hunan Provincial Department of Education Outstanding Youth Project; Fundamental Research Funds for the Central Universities (Fundamental Research Funds for the Central Universities)</t>
  </si>
  <si>
    <t>This work was supported by the Hunan Provincial Department of Education Outstanding Youth Project (25B0451) and Fundamental Research Funds for the Central Universities (Grant No. 2025SMECP05) .</t>
  </si>
  <si>
    <t>[Gao, Xiaolan; Yang, Dan] East China Univ Sci &amp; Technol, Key Lab Smart Mfg Energy Chem Proc, Minist Educ, Shanghai 200237, Peoples R China; [Wang, Jiaorao] Lingnan Univ, Sch Data Sci, Tuen Mun, Hong Kong, Peoples R China; [Yang, Dan] Hunan Univ Sci &amp; Technol, Sch Informat &amp; Elect Engn, Xiangtan 411201, Hunan, Peoples R China</t>
  </si>
  <si>
    <t>East China University of Science &amp; Technology; Lingnan University; Hunan University of Science &amp; Technology</t>
  </si>
  <si>
    <t>WSTC: Task-adaptive medical vision-language model with semantic tokens and dynamic alignment</t>
  </si>
  <si>
    <t>NEUROCOMPUTING</t>
  </si>
  <si>
    <t>Medical vision-language models; Zero-/few-shot learning; Task conditioning; Conditional alignment; Parameter-efficient adaptation</t>
  </si>
  <si>
    <t>ELSEVIER</t>
  </si>
  <si>
    <t>AMSTERDAM</t>
  </si>
  <si>
    <t>RADARWEG 29, 1043 NX AMSTERDAM, NETHERLANDS</t>
  </si>
  <si>
    <t>0925-2312</t>
  </si>
  <si>
    <t>1872-8286</t>
  </si>
  <si>
    <t>Neurocomputing</t>
  </si>
  <si>
    <t>MAY 1 2026</t>
  </si>
  <si>
    <t>676</t>
  </si>
  <si>
    <t>133008</t>
  </si>
  <si>
    <t>10.1016/j.neucom.2026.133008</t>
  </si>
  <si>
    <t>http://dx.doi.org/10.1016/j.neucom.2026.133008</t>
  </si>
  <si>
    <t>11</t>
  </si>
  <si>
    <t>Computer Science, Artificial Intelligence</t>
  </si>
  <si>
    <t>Computer Science</t>
  </si>
  <si>
    <t>EE3BY</t>
  </si>
  <si>
    <t>WOS:001699039900001</t>
  </si>
  <si>
    <t>Su, Y; Wang, P</t>
  </si>
  <si>
    <t>In clinical vision-language model (VLM) post-training, the relevant failure mode is not only how often a model is wrong, but whether errors concentrate in cases where missed findings carry greater clinical cost. Risk-Calibrated Reinforcement Fine-Tuning (RCRFT) addresses this mismatch by making severity an explicit signal in reinforcement learning rather than an after-the-fact evaluation stratum. The framework combines a severity-weighted multimodal reward, slot-aware post-rollout edits that respect clinical report structure, and a unified clinical utility spanning report quality, grounding fidelity, calibration, and safety penalties. A formal analysis decomposes the risk-weighted objective into mean utility, a global severity-scaling term, and a severity-reward covariance term; under severity centering only the mean and the covariance remain, indicating that the method favors positive association between utility and case severity rather than simple reward amplification. On MIMIC-CXR, this shift in optimization improves the safety-critical region first: relative to a matched RL baseline, severe-case false negatives fall from 9.8% to 5.6%, and high-risk utility rises from 0.65 to 0.74. The same training signal also lifts general report quality, raising ROUGE-L from 29.9 to 30.8 and RadGraph F1 from 25.8 to 27.3 while lowering RadCliQ from 0.86 to 0.72. Ablations show that each component contributes, with severity weighting accounting for the largest share of the improvement.</t>
  </si>
  <si>
    <t>Su, Yu; Wang, Peng</t>
  </si>
  <si>
    <t>Wang, P (corresponding author), Changchun Univ Sci &amp; Technol, Jilin Prov Sci &amp; Technol Innovat Ctr Network Datab, Changchun 130022, Peoples R China.</t>
  </si>
  <si>
    <t>wangpeng@cust.edu.cn</t>
  </si>
  <si>
    <t>Jilin Province Science and Technology Innovation Platform Construction Project [YDZJ202302CXJD027]</t>
  </si>
  <si>
    <t>Jilin Province Science and Technology Innovation Platform Construction Project</t>
  </si>
  <si>
    <t>This work was supported in part by Jilin Province Science and Technology Innovation Platform Construction Project under Grant YDZJ202302CXJD027.</t>
  </si>
  <si>
    <t>[Su, Yu; Wang, Peng] Changchun Univ Sci &amp; Technol, Jilin Prov Sci &amp; Technol Innovat Ctr Network Datab, Changchun 130022, Peoples R China</t>
  </si>
  <si>
    <t>Changchun University of Science &amp; Technology</t>
  </si>
  <si>
    <t>Severity Matters: Risk-Calibrated Reinforcement Fine-Tuning for Clinically Aligned Medical Vision-Language Models</t>
  </si>
  <si>
    <t>IEEE ACCESS</t>
  </si>
  <si>
    <t>Modeling; Labeling; Training; Grounding; Optimization; Calibration; Gain; Tuning; Conferences; Measurement; Medical vision-language models; reinforcement fine-tuning; risk calibration; severity-weighted rewards; radiology report generation; visual grounding; calibration</t>
  </si>
  <si>
    <t>2169-3536</t>
  </si>
  <si>
    <t>IEEE Access</t>
  </si>
  <si>
    <t>115480</t>
  </si>
  <si>
    <t>115505</t>
  </si>
  <si>
    <t>10.1109/ACCESS.2026.3716267</t>
  </si>
  <si>
    <t>http://dx.doi.org/10.1109/ACCESS.2026.3716267</t>
  </si>
  <si>
    <t>26</t>
  </si>
  <si>
    <t>Computer Science, Information Systems; Engineering, Electrical &amp; Electronic; Telecommunications</t>
  </si>
  <si>
    <t>MG7RN</t>
  </si>
  <si>
    <t>WOS:001841864300010</t>
  </si>
  <si>
    <t>gold</t>
  </si>
  <si>
    <t>Zhu, H; Togo, R; Ogawa, T; Haseyama, M</t>
  </si>
  <si>
    <t>Privacy concerns and data heterogeneity remain critical barriers to advancing medical AI. While federated learning (FL) offers a decentralized solution, it often suffers from the Subspace Mismatch problem in clinical settings, where non-independent and identically distributed (non-IID) data drives clients towards divergent parameter manifolds. To address this, we propose a novel personalized federated learning (pFL) framework for vision-language medical tasks. Our approach employs a "separate-and-calibrate" strategy: First, we leverage Parameter-Efficient Fine-Tuning (PEFT) with a Dual-Subspace Disentanglement mechanism, splitting parameters into shared and personalized components to decouple general medical knowledge from site-specific characteristics. Second, to prevent negative transfer, we introduce Dynamic Likelihood-weighted Uncertainty Calibration (DLUC). This mechanism utilizes Dempster-Shafer theory to quantify epistemic uncertainty, acting as a reliability-aware gate that selectively aggregates compatible knowledge. Extensive experiments on Visual Question Answering, Question Generation, and Medical Report Generation demonstrate that our method significantly mitigates client drift and achieves superior personalization compared to state-of-the-art baselines.</t>
  </si>
  <si>
    <t>Zhu, He; Togo, Ren; Ogawa, Takahiro; Haseyama, Miki</t>
  </si>
  <si>
    <t>Haseyama, M (corresponding author), Hokkaido Univ, Fac Informat Sci &amp; Technol, Sapporo, Japan.</t>
  </si>
  <si>
    <t>mhaseyama@lmd.ist.hokudai.ac.jp</t>
  </si>
  <si>
    <t>AMED, Japan [JP256f0137006]; JSPS, Japan KAKENHI [JP25KJ0514, JP23K21676, JP23K11141]</t>
  </si>
  <si>
    <t>AMED, Japan; JSPS, Japan KAKENHI</t>
  </si>
  <si>
    <t>This work was partly supported by AMED, Japan under Grant Number JP256f0137006, JSPS, Japan KAKENHI Grant Number JP25KJ0514, JP23K21676 and JP23K11141.</t>
  </si>
  <si>
    <t>[Zhu, He] Hokkaido Univ, Grad Sch Informat Sci &amp; Technol, Sapporo, Japan; [Togo, Ren; Ogawa, Takahiro; Haseyama, Miki] Hokkaido Univ, Fac Informat Sci &amp; Technol, Sapporo, Japan</t>
  </si>
  <si>
    <t>Hokkaido University; Hokkaido University</t>
  </si>
  <si>
    <t>Personalized federated learning for medical vision-language models via efficient fine-tuning and uncertainty-aware disentanglement</t>
  </si>
  <si>
    <t>JOURNAL OF BIOMEDICAL INFORMATICS</t>
  </si>
  <si>
    <t>Personalized federated learning; Large vision-language medical model; Dempster-Shafer theory</t>
  </si>
  <si>
    <t>Haseyama, Miki/A-6163-2012</t>
  </si>
  <si>
    <t>70</t>
  </si>
  <si>
    <t>ACADEMIC PRESS INC ELSEVIER SCIENCE</t>
  </si>
  <si>
    <t>SAN DIEGO</t>
  </si>
  <si>
    <t>525 B ST, STE 1900, SAN DIEGO, CA 92101-4495 USA</t>
  </si>
  <si>
    <t>1532-0464</t>
  </si>
  <si>
    <t>1532-0480</t>
  </si>
  <si>
    <t>J BIOMED INFORM</t>
  </si>
  <si>
    <t>J. Biomed. Inform.</t>
  </si>
  <si>
    <t>JUN 2026</t>
  </si>
  <si>
    <t>178</t>
  </si>
  <si>
    <t>105014</t>
  </si>
  <si>
    <t>10.1016/j.jbi.2026.105014</t>
  </si>
  <si>
    <t>http://dx.doi.org/10.1016/j.jbi.2026.105014</t>
  </si>
  <si>
    <t>10</t>
  </si>
  <si>
    <t>Computer Science, Interdisciplinary Applications; Medical Informatics</t>
  </si>
  <si>
    <t>Computer Science; Medical Informatics</t>
  </si>
  <si>
    <t>GC3JI</t>
  </si>
  <si>
    <t>41864532</t>
  </si>
  <si>
    <t>WOS:001733006200001</t>
  </si>
  <si>
    <t>Lim, G; Elangovan, K; Jin, LY</t>
  </si>
  <si>
    <t>Purpose of reviewVision Language Models are an emerging paradigm in artificial intelligence that offers the potential to natively analyze both image and textual data simultaneously, within a single model. The fusion of these two modalities is of particular relevance to ophthalmology, which has historically involved specialized imaging techniques such as angiography, optical coherence tomography, and fundus photography, while also interfacing with electronic health records that include free text descriptions. This review then surveys the fast-evolving field of Vision Language Models as they apply to current ophthalmologic research and practice.Recent findingsAlthough models incorporating both image and text data have a long provenance in ophthalmology, effective multimodal Vision Language Models are a recent development exploiting advances in technologies such as transformer and autoencoder models.SummaryVision Language Models offer the potential to assist and streamline the existing clinical workflow in ophthalmology, whether previsit, during, or post-visit. There are, however, also important challenges to be overcome, particularly regarding patient privacy and explainability of model recommendations.</t>
  </si>
  <si>
    <t>Lim, Gilbert; Elangovan, Kabilan; Jin, Liyuan</t>
  </si>
  <si>
    <t>Lim, G (corresponding author), SingHlth AI Hlth Program, SingHlth Tower Level 16,10 Hosp Blvd, Singapore 168582, Singapore.</t>
  </si>
  <si>
    <t>gilbert.lim.y.s@singhealth.com.sg</t>
  </si>
  <si>
    <t>[Lim, Gilbert; Elangovan, Kabilan] SingHealth, Singapore, Singapore; [Jin, Liyuan] Duke NUS Med Sch, Singapore, Singapore</t>
  </si>
  <si>
    <t>National University of Singapore</t>
  </si>
  <si>
    <t>Vision language models in ophthalmology</t>
  </si>
  <si>
    <t>CURRENT OPINION IN OPHTHALMOLOGY</t>
  </si>
  <si>
    <t>artificial intelligence; ophthalmology; Vision Language Models</t>
  </si>
  <si>
    <t>DIABETIC-RETINOPATHY; SYSTEM; IMAGES</t>
  </si>
  <si>
    <t>Lim, Gilbert/N-7322-2017</t>
  </si>
  <si>
    <t>Lim, Gilbert/0000-0002-5381-9250</t>
  </si>
  <si>
    <t>49</t>
  </si>
  <si>
    <t>LIPPINCOTT WILLIAMS &amp; WILKINS</t>
  </si>
  <si>
    <t>PHILADELPHIA</t>
  </si>
  <si>
    <t>TWO COMMERCE SQ, 2001 MARKET ST, PHILADELPHIA, PA 19103 USA</t>
  </si>
  <si>
    <t>1040-8738</t>
  </si>
  <si>
    <t>1531-7021</t>
  </si>
  <si>
    <t>CURR OPIN OPHTHALMOL</t>
  </si>
  <si>
    <t>Curr. Opin. Ophthalmol.</t>
  </si>
  <si>
    <t>NOV 2024</t>
  </si>
  <si>
    <t>35</t>
  </si>
  <si>
    <t>487</t>
  </si>
  <si>
    <t>493</t>
  </si>
  <si>
    <t>10.1097/ICU.0000000000001089</t>
  </si>
  <si>
    <t>http://dx.doi.org/10.1097/ICU.0000000000001089</t>
  </si>
  <si>
    <t>Ophthalmology</t>
  </si>
  <si>
    <t>H3P3C</t>
  </si>
  <si>
    <t>39259649</t>
  </si>
  <si>
    <t>WOS:001322587400006</t>
  </si>
  <si>
    <t>Bazi, Y; Al Rahhal, MM; Bashmal, L; Zuair, M</t>
  </si>
  <si>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</si>
  <si>
    <t>Bazi, Yakoub; Al Rahhal, Mohamad Mahmoud; Bashmal, Laila; Zuair, Mansour</t>
  </si>
  <si>
    <t>Bazi, Y (corresponding author), King Saud Univ, Coll Comp &amp; Informat Sci, Comp Engn Dept, Riyadh 11543, Saudi Arabia.</t>
  </si>
  <si>
    <t>ybazi@ksu.edu.sa</t>
  </si>
  <si>
    <t>Deputyship for Research &amp; Innovation, "Ministry of Education" in Saudi Arabia [IFKSUDR_H157]</t>
  </si>
  <si>
    <t>Deputyship for Research &amp; Innovation, "Ministry of Education" in Saudi Arabia (Ministry of Education Saudi Arabia)</t>
  </si>
  <si>
    <t>This research was funded by the Deputyship for Research &amp; Innovation, "Ministry of Education" through the project number IFKSUDR_H157.</t>
  </si>
  <si>
    <t>[Bazi, Yakoub; Bashmal, Laila; Zuair, Mansour] King Saud Univ, Coll Comp &amp; Informat Sci, Comp Engn Dept, Riyadh 11543, Saudi Arabia; [Al Rahhal, Mohamad Mahmoud] King Saud Univ, Coll Appl Comp Sci, Appl Comp Sci Dept, Riyadh 11543, Saudi Arabia</t>
  </si>
  <si>
    <t>King Saud University; King Saud University</t>
  </si>
  <si>
    <t>Vision-Language Model for Visual Question Answering in Medical Imagery</t>
  </si>
  <si>
    <t>BIOENGINEERING-BASEL</t>
  </si>
  <si>
    <t>medical visual question answering; vision-language encoders; transformer</t>
  </si>
  <si>
    <t>Al Rahhal, Mohamad/AAA-9762-2020; Bashmal, Laila/HSH-0208-2023; Bazi, Yakoub/K-8864-2012; Zuair, Mansour/AAX-3508-2021</t>
  </si>
  <si>
    <t>Al Rahhal, Mohamad/0000-0002-8105-9746; Bazi, Yakoub/0000-0001-9287-0596; Zuair, Mansour/0000-0003-2490-5739</t>
  </si>
  <si>
    <t>62</t>
  </si>
  <si>
    <t>73</t>
  </si>
  <si>
    <t>39</t>
  </si>
  <si>
    <t>MDPI</t>
  </si>
  <si>
    <t>BASEL</t>
  </si>
  <si>
    <t>MDPI AG, Grosspeteranlage 5, CH-4052 BASEL, SWITZERLAND</t>
  </si>
  <si>
    <t>2306-5354</t>
  </si>
  <si>
    <t>Bioengineering-Basel</t>
  </si>
  <si>
    <t>MAR 2023</t>
  </si>
  <si>
    <t>2023</t>
  </si>
  <si>
    <t>380</t>
  </si>
  <si>
    <t>10.3390/bioengineering10030380</t>
  </si>
  <si>
    <t>http://dx.doi.org/10.3390/bioengineering10030380</t>
  </si>
  <si>
    <t>17</t>
  </si>
  <si>
    <t>Biotechnology &amp; Applied Microbiology; Engineering, Biomedical</t>
  </si>
  <si>
    <t>Biotechnology &amp; Applied Microbiology; Engineering</t>
  </si>
  <si>
    <t>A8CN4</t>
  </si>
  <si>
    <t>36978771</t>
  </si>
  <si>
    <t>WOS:000957344100001</t>
  </si>
  <si>
    <t>Zhang, JJ; Wang, G; Kalra, MK; Yan, PK</t>
  </si>
  <si>
    <t>Expertise scarcity and high cost of data annotation hinder the development of artificial intelligence (AI) foundation models for medical image analysis. Transfer learning provides a way to utilize the off-the-shelf foundation models to address the clinical challenges. However, such models encounter difficulties when adapting to new diseases not presented in their original pre-training datasets. Compounding this challenge is the limited availability of example cases for a new disease, which further leads to the poor performance of the existing transfer learning techniques. This paper proposes a novel method for transfer learning of foundation Vision-Language Models (VLMs) to efficiently adapt them to a new disease with only a few examples. Such an effective adaptation of VLMs hinges on learning the nuanced representation of new disease concepts. By capitalizing on the joint visual-linguistic capabilities of VLMs, we introduce disease-informed contextual prompting in a novel disease prototype learning framework, which enables VLMs to quickly grasp the concept of the new disease, even with limited data. Extensive experiments across multiple pre-trained medical VLMs and multiple tasks showcase the notable enhancements in performance compared to other existing adaptation techniques. The code will be made publicly available at https://github.com/RPIDIAL/Disease-informed-VLM-Adaptation.</t>
  </si>
  <si>
    <t>Zhang, Jiajin; Wang, Ge; Kalra, Mannudeep K.; Yan, Pingkun</t>
  </si>
  <si>
    <t>Yan, PK (corresponding author), Rensselaer Polytech Inst, Dept Biomed Engn, Troy, NY 12180 USA.</t>
  </si>
  <si>
    <t>wangg6@rpi.edu; yanp2@rpi.edu; jjzhang1995@gmail.com; mkalra@mgh.harvard.edu</t>
  </si>
  <si>
    <t>National Science Foundation (NSF) [CAREER Award OAC 2046708]</t>
  </si>
  <si>
    <t>National Science Foundation (NSF) (National Science Foundation (NSF))</t>
  </si>
  <si>
    <t>This work was supported bythe National Science Foundation (NSF) under the CAREER Award OAC2046708.</t>
  </si>
  <si>
    <t>[Zhang, Jiajin; Wang, Ge; Yan, Pingkun] Rensselaer Polytech Inst, Dept Biomed Engn, Troy, NY 12180 USA; [Zhang, Jiajin; Wang, Ge; Yan, Pingkun] Rensselaer Polytech Inst, Ctr Biotechnol &amp; Interdisciplinary Studies, Troy, NY 12180 USA; [Kalra, Mannudeep K.] Harvard Med Sch, Dept Radiol, Massachusetts Gen Hosp, Boston, MA 02115 USA</t>
  </si>
  <si>
    <t>Rensselaer Polytechnic Institute; Rensselaer Polytechnic Institute; Harvard University; Harvard Medical School; Harvard University Medical Affiliates; Massachusetts General Hospital</t>
  </si>
  <si>
    <t>Disease-Informed Adaptation of Vision-Language Models</t>
  </si>
  <si>
    <t>Diseases; Medical diagnostic imaging; Adaptation models; Visualization; Prototypes; Transfer learning; Image analysis; Tuning; COVID-19; Shape; Vision-language model; foundation model; transfer learning; model adaptation; new disease</t>
  </si>
  <si>
    <t>Wang, Ge/AAH-8592-2020; Kalra, Mannudeep/LXW-4237-2024</t>
  </si>
  <si>
    <t>59</t>
  </si>
  <si>
    <t>OCT 2025</t>
  </si>
  <si>
    <t>44</t>
  </si>
  <si>
    <t>3984</t>
  </si>
  <si>
    <t>3996</t>
  </si>
  <si>
    <t>10.1109/TMI.2024.3484294</t>
  </si>
  <si>
    <t>http://dx.doi.org/10.1109/TMI.2024.3484294</t>
  </si>
  <si>
    <t>9HC0Z</t>
  </si>
  <si>
    <t>39437273</t>
  </si>
  <si>
    <t>WOS:001606201000011</t>
  </si>
  <si>
    <t>Jiang, Y; Yan, XY; Ji, GP; Fu, KR; Sun, MJ; Xiong, H; Fan, DP; Khan, FS</t>
  </si>
  <si>
    <t>The advent of large vision-language models (LVLMs) represents a remarkable advance in the quest for artificial general intelligence. However, the models' effectiveness in both specialized and general tasks warrants further investigation. This paper endeavors to evaluate the competency of popular LVLMs in specialized and general tasks, respectively, aiming to offer a comprehensive understanding of these novel models. To gauge their effectiveness in specialized tasks, we employ six challenging tasks in three different application scenarios: natural, healthcare, and industrial. These six tasks include salient/camouflaged/transparent object detection, as well as polyp detection, skin lesion detection, and industrial anomaly detection. We examine the performance of three recent open-source LVLMs, including MiniGPT-v2, LLaVA-1.5, and Shikra, on both visual recognition and localization in these tasks. Moreover, we conduct empirical investigations utilizing the aforementioned LVLMs together with GPT-4V, assessing their multi-modal understanding capabilities in general tasks including object counting, absurd question answering, affordance reasoning, attribute recognition, and spatial relation reasoning. Our investigations reveal that these LVLMs demonstrate limited proficiency not only in specialized tasks but also in general tasks. We delve deep into this inadequacy and uncover several potential factors, including limited cognition in specialized tasks, object hallucination, text-to-image interference, and decreased robustness in complex problems. We hope that this study can provide useful insights for the future development of LVLMs, helping researchers improve LVLMs for both general and specialized applications.</t>
  </si>
  <si>
    <t>Jiang, Yao; Yan, Xinyu; Ji, Ge-Peng; Fu, Keren; Sun, Meijun; Xiong, Huan; Fan, Deng-Ping; Khan, Fahad Shahbaz</t>
  </si>
  <si>
    <t>Emerging Sources Citation Index (ESCI)</t>
  </si>
  <si>
    <t>Xiong, H (corresponding author), Mohamed Bin Zayed Univ Artificial Intelligence, Abu Dhabi, U Arab Emirates.; Fu, KR (corresponding author), Sichuan Univ, Chengdu 610065, Peoples R China.; Xiong, H (corresponding author), Harbin Inst Technol, Harbin 150001, Peoples R China.</t>
  </si>
  <si>
    <t>fkrsuper@scu.edu.cn; huan.xiong.math@gmail.com</t>
  </si>
  <si>
    <t>Fundamental Research Funds for the Central Universities [070-63243150]; National Natural Science Foundation of China [62176169]</t>
  </si>
  <si>
    <t>Fundamental Research Funds for the Central Universities (Fundamental Research Funds for the Central Universities); National Natural Science Foundation of China (National Natural Science Foundation of China (NSFC))</t>
  </si>
  <si>
    <t>This work was supported by the National Natural Science Foundation of China (No. 62176169), and the Fundamental Research Funds for the Central Universities (Nankai University, 070-63243150).</t>
  </si>
  <si>
    <t>[Jiang, Yao; Yan, Xinyu; Xiong, Huan; Khan, Fahad Shahbaz] Mohamed Bin Zayed Univ Artificial Intelligence, Abu Dhabi, U Arab Emirates; [Jiang, Yao; Fu, Keren] Sichuan Univ, Chengdu 610065, Peoples R China; [Yan, Xinyu; Sun, Meijun] Tianjin Univ, Tianjin 300354, Peoples R China; [Xiong, Huan] Harbin Inst Technol, Harbin 150001, Peoples R China; [Ji, Ge-Peng] Australian Natl Univ, Canberra 2601, Australia; [Fan, Deng-Ping] Nankai Univ, Tianjin 300350, Peoples R China</t>
  </si>
  <si>
    <t>Mohamed bin Zayed University of Artificial Intelligence MBZUAI; Sichuan University; Tianjin University; Harbin Institute of Technology; Australian National University; Nankai University</t>
  </si>
  <si>
    <t>Effectiveness assessment of recent large vision-language models</t>
  </si>
  <si>
    <t>VISUAL INTELLIGENCE</t>
  </si>
  <si>
    <t>Large vision-language models (LVLMs); Recognition; Localization; Multi-modal understanding</t>
  </si>
  <si>
    <t>Jiang, Yao/MCI-8809-2025; Ji, Ge-Peng/AEW-8433-2022; Khan, Fahad Shahbaz/ABD-6646-2021; Fan, Deng-Ping/ABD-4052-2020; yan, xinyu/KWV-0258-2024</t>
  </si>
  <si>
    <t>27</t>
  </si>
  <si>
    <t>31</t>
  </si>
  <si>
    <t>SPRINGERNATURE</t>
  </si>
  <si>
    <t>LONDON</t>
  </si>
  <si>
    <t>THE CAMPUS, 4 CRINAN ST, LONDON, N1 9XW, ENGLAND</t>
  </si>
  <si>
    <t>2097-3330</t>
  </si>
  <si>
    <t>2731-9008</t>
  </si>
  <si>
    <t>VIS INTELL</t>
  </si>
  <si>
    <t>Vis. Intell.</t>
  </si>
  <si>
    <t>JUN 28 2024</t>
  </si>
  <si>
    <t>10.1007/s44267-024-00050-1</t>
  </si>
  <si>
    <t>http://dx.doi.org/10.1007/s44267-024-00050-1</t>
  </si>
  <si>
    <t>JUN 2024</t>
  </si>
  <si>
    <t>Computer Science, Artificial Intelligence; Imaging Science &amp; Photographic Technology</t>
  </si>
  <si>
    <t>Computer Science; Imaging Science &amp; Photographic Technology</t>
  </si>
  <si>
    <t>GW2CQ</t>
  </si>
  <si>
    <t>WOS:001746513300001</t>
  </si>
  <si>
    <t>Huang, J; Chen, MY; Yue, ZJ; Xiao, YH; Li, F; Wang, HL; Tong, XW; Guo, Y; Shi, MJ</t>
  </si>
  <si>
    <t>Hysteroscopic surgical scene segmentation plays a pivotal role in understanding the hysteroscopic intraoperative environment as well as computer-assisted intervention. However, this task presents unique challenges due to the high morphological similarity among different lesions and the presence of artifacts such as specular reflections, motion blur, and fluid occlusions in surgical videos. In this work, we propose the first vision-language model (VLM)-based hysteroscopic surgical scene segmentation method, which performs pixel-wise localization for fifteen representative categories in hysteroscopic surgical scenes. Our VLM-hyster has a segmentation backbone that utilizes the pretrained image encoder for robust visual feature extraction, coupled with a transformer-based decoder for dense prediction. Moreover, we design category-specific text prompts and incorporate a masked distillation branch to filter out visual features with low correlation to the text prompts, enabling the model to focus more effectively on category-specific image regions and thereby enhancing segmentation performance. We collect a large multicentric hysteroscopic surgical scene dataset, containing 4,020 high-resolution images with detailed mask annotations, for model training and evaluation. Experimental results demonstrate that VLM-hyster substantially outperforms state-of-the-art AI models. Furthermore, extensive assessments by gynecologists, as well as multicentre and prospective validations, demonstrate VLM-hyster's robustness and generalizability. The results suggest that VLM-hyster earns considerable potential in enabling AI-assisted localization of surgical instruments and lesions in hysteroscopic surgeries.</t>
  </si>
  <si>
    <t>Huang, Jun; Chen, Meiyi; Yue, Zijie; Xiao, Yuhang; Li, Fang; Wang, Hanli; Tong, Xiaowen; Guo, Yi; Shi, Miaojing</t>
  </si>
  <si>
    <t>Shi, MJ (corresponding author), Tongji Univ, Coll Elect &amp; Informat Engn, Shanghai, Peoples R China.; Guo, Y (corresponding author), Shanghai East Hosp, Dept Obstet &amp; Gynecol, Shanghai, Peoples R China.</t>
  </si>
  <si>
    <t>mshi@tongji.edu.cn; guoyi600@sina.com</t>
  </si>
  <si>
    <t>National Natural Science Foundation of China, China [62401393, 81802583]; Fundamental Research Funds for the Central Universities, China; Xiaomi Young Scholar Project, China [2026-0345-YB-02]; Tongji University Medicine-X Interdisciplinary Research Initiative, China [2026-0345-YB-02]</t>
  </si>
  <si>
    <t>National Natural Science Foundation of China, China (National Natural Science Foundation of China (NSFC)); Fundamental Research Funds for the Central Universities, China; Xiaomi Young Scholar Project, China; Tongji University Medicine-X Interdisciplinary Research Initiative, China</t>
  </si>
  <si>
    <t>This work was supported in part by the National Natural Science Foundation of China, China (Grant No. 62401393 and No.81802583) , the Fundamental Research Funds for the Central Universities, China, the Xiaomi Young Scholar Project, China and the Tongji University Medicine-X Interdisciplinary Research Initiative, China (Grant No. 2026-0345-YB-02) .</t>
  </si>
  <si>
    <t>[Huang, Jun; Yue, Zijie; Wang, Hanli; Shi, Miaojing] Tongji Univ, Coll Elect &amp; Informat Engn, Shanghai, Peoples R China; [Chen, Meiyi; Tong, Xiaowen] Tongji Univ, Dept Obstet &amp; Gynecol, Tongji Hosp, Shanghai, Peoples R China; [Xiao, Yuhang; Li, Fang; Guo, Yi] Shanghai East Hosp, Dept Obstet &amp; Gynecol, Shanghai, Peoples R China; [Chen, Meiyi] Tongji Univ, Sch Med, Shanghai, Peoples R China</t>
  </si>
  <si>
    <t>Tongji University; Tongji University; Tongji University</t>
  </si>
  <si>
    <t>Bootstrapping vision-language model for hysteroscopic surgical scene segmentation</t>
  </si>
  <si>
    <t>BIOMEDICAL SIGNAL PROCESSING AND CONTROL</t>
  </si>
  <si>
    <t>Medical image segmentation; Vision-language model; Knowledge distillation</t>
  </si>
  <si>
    <t>34</t>
  </si>
  <si>
    <t>ELSEVIER SCI LTD</t>
  </si>
  <si>
    <t>London</t>
  </si>
  <si>
    <t>125 London Wall, London, ENGLAND</t>
  </si>
  <si>
    <t>1746-8094</t>
  </si>
  <si>
    <t>1746-8108</t>
  </si>
  <si>
    <t>BIOMED SIGNAL PROCES</t>
  </si>
  <si>
    <t>Biomed. Signal Process. Control</t>
  </si>
  <si>
    <t>NOV 1 2026</t>
  </si>
  <si>
    <t>127</t>
  </si>
  <si>
    <t>B</t>
  </si>
  <si>
    <t>111214</t>
  </si>
  <si>
    <t>10.1016/j.bspc.2026.111214</t>
  </si>
  <si>
    <t>http://dx.doi.org/10.1016/j.bspc.2026.111214</t>
  </si>
  <si>
    <t>Engineering, Biomedical</t>
  </si>
  <si>
    <t>MM4YN</t>
  </si>
  <si>
    <t>WOS:001845751200001</t>
  </si>
  <si>
    <t>Green Submitted</t>
  </si>
  <si>
    <t>Yu, Y; Wang, JH; Liu, WD; Mien, IH; Krishnaswamy, P; Yang, XL; Cheng, J</t>
  </si>
  <si>
    <t>In recent years, large-scale Vision-Language Models (VLM) have shown promise in learning general representations for various medical image analysis tasks. However, current medical VLM methods typically employ contrastive learning approaches that have limited ability to capture nuanced yet crucial medical knowledge, particularly within similar medical images, and do not explicitly consider the uneven and complementary semantic information contained in different modalities. To address these challenges, we propose a novel Multimodal Multitask Similarity Learning (M2SL) method that learns joint representations of image-text pairs and captures the relational similarity between different modalities via a coupling network. Our method also notably leverages the rich information in the text inputs to construct a knowledge-driven semantic similarity matrix as the supervision signal. We conduct extensive experiments for cross-modal retrieval and zero-shot classification tasks on radiological images and reports and demonstrate substantial performance gains over existing methods. Our method also accommodates low-resource settings with limited training data availability and has significant implications for enhancing VLM development.</t>
  </si>
  <si>
    <t>Yu, Yang; Wang, Jiahao; Liu, Weide; Mien, Ivan Ho; Krishnaswamy, Pavitra; Yang, Xulei; Cheng, Jun</t>
  </si>
  <si>
    <t>Yang, XL (corresponding author), ASTAR, Machine Intellect Dept, Inst Infocomm Res I R 2, 1 Fusionopolis Way,21-01 Connexis, Singapore 138632, Singapore.</t>
  </si>
  <si>
    <t>yu_yang@i2r.a-star.edu.sg; cheng_jun@i2r.a-star.edu.sg; e0304997@u.nus.edu; pavitrak@i2r.a-star.edu.sg; Ivan_Ho@i2r.a-star.edu.sg; yang_xulei@i2r.a-star.edu.sg; weide001@e.ntu.edu.sg</t>
  </si>
  <si>
    <t>Agency for Sci-ence, Technology and Research (A*STAR) under its MTC Programmatic Funds [M23L7b0021]</t>
  </si>
  <si>
    <t>Agency for Sci-ence, Technology and Research (A*STAR) under its MTC Programmatic Funds (Agency for Science Technology &amp; Research (A*STAR))</t>
  </si>
  <si>
    <t>Acknowledgments This research work is supported in part by the Agency for Sci-ence, Technology and Research (A*STAR) under its MTC Programmatic Funds (Grant No. M23L7b0021) .</t>
  </si>
  <si>
    <t>[Yu, Yang; Liu, Weide; Krishnaswamy, Pavitra; Yang, Xulei; Cheng, Jun] ASTAR, Machine Intellect Dept, Inst Infocomm Res I R 2, 1 Fusionopolis Way,21-01 Connexis, Singapore 138632, Singapore; [Wang, Jiahao] Natl Univ Singapore NUS, Mechanobiol Inst MBI, 5A Engn Dr 1, Singapore 117411, Singapore; [Mien, Ivan Ho; Krishnaswamy, Pavitra] ASTAR, Inst Infocomm Res I 2 R, Healthcare &amp; Medtech Div, 1 Fusionopolis Way,21-01 Connexis, Singapore 138632, Singapore; [Mien, Ivan Ho] Natl Neurosci Inst NNI, Dept Neuroradiol, 11 Jln Tan Tock Seng, Singapore 308433, Singapore</t>
  </si>
  <si>
    <t>Agency for Science Technology &amp; Research (A*STAR); National University of Singapore; Agency for Science Technology &amp; Research (A*STAR)</t>
  </si>
  <si>
    <t>Multimodal multitask similarity learning for vision language model on radiological images and reports</t>
  </si>
  <si>
    <t>Diagnostic imaging; Multimodal representation learning; Vision-language model</t>
  </si>
  <si>
    <t>Cheng, Jun/E-7778-2016; Yu, Yang/GXV-9981-2022</t>
  </si>
  <si>
    <t>Cheng, Jun/0000-0003-1786-6188; yang, xulei/0000-0002-7002-4564; Yu, Yang/0000-0003-4700-284X</t>
  </si>
  <si>
    <t>JUL 1 2025</t>
  </si>
  <si>
    <t>636</t>
  </si>
  <si>
    <t>130018</t>
  </si>
  <si>
    <t>10.1016/j.neucom.2025.130018</t>
  </si>
  <si>
    <t>http://dx.doi.org/10.1016/j.neucom.2025.130018</t>
  </si>
  <si>
    <t>MAR 2025</t>
  </si>
  <si>
    <t>0PO8P</t>
  </si>
  <si>
    <t>WOS:001452981600001</t>
  </si>
  <si>
    <t>Sharshar, A; Khan, LU; Ullah, W; Guizani, M</t>
  </si>
  <si>
    <t>Vision large language models (VLMs) combine visual understanding with natural language processing, enabling tasks like image captioning, visual question answering, and video analysis. While VLMs show impressive capabilities across domains, such as autonomous vehicles, smart surveillance, and healthcare, their deployment on resource-constrained edge devices remains challenging due to processing power, memory, and energy limitations. This survey explores recent advancements in optimizing VLMs for edge environments, focusing on model compression techniques, including pruning, quantization, knowledge distillation, and specialized hardware solutions that enhance efficiency. We provide a detailed discussion of efficient training and fine-tuning methods, edge deployment challenges, and privacy considerations. Additionally, we discuss the diverse applications of lightweight VLMs across healthcare, environmental monitoring, and autonomous systems, illustrating their growing impact. By highlighting key design strategies, current challenges, and offering recommendations for future directions, this survey aims to inspire further research into the practical deployment of VLMs, ultimately making advanced AI accessible in resource-limited settings.</t>
  </si>
  <si>
    <t>Sharshar, Ahmed; Khan, Latif U.; Ullah, Waseem; Guizani, Mohsen</t>
  </si>
  <si>
    <t>Sharshar, A (corresponding author), Mohamed Bin Zayed Univ Artificial Intelligence, Comp Vis Dept, Abu Dhabi, U Arab Emirates.</t>
  </si>
  <si>
    <t>ahmed.sharshar@mbzuai.ac.ae</t>
  </si>
  <si>
    <t>[Sharshar, Ahmed] Mohamed Bin Zayed Univ Artificial Intelligence, Comp Vis Dept, Abu Dhabi, U Arab Emirates; [Khan, Latif U.] Abu Dhabi Univ, Dept Comp Sci &amp; Informat Technol, Abu Dhabi, U Arab Emirates; [Ullah, Waseem; Guizani, Mohsen] Mohamed Bin Zayed Univ Artificial Intelligence, Machine Learning Dept, Abu Dhabi, U Arab Emirates</t>
  </si>
  <si>
    <t>Mohamed bin Zayed University of Artificial Intelligence MBZUAI; Abu Dhabi University; Mohamed bin Zayed University of Artificial Intelligence MBZUAI</t>
  </si>
  <si>
    <t>Vision-Language Models for Edge Networks: A Comprehensive Survey</t>
  </si>
  <si>
    <t>IEEE INTERNET OF THINGS JOURNAL</t>
  </si>
  <si>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</si>
  <si>
    <t>CLASSIFICATION</t>
  </si>
  <si>
    <t>Sharshar, Ahmed/KWD-6863-2024; ullah, Waseem/ABE-6599-2021; Khan, Latif U/ABH-2245-2021; Mohsen, Guizani/D-9103-2018</t>
  </si>
  <si>
    <t>Sharshar, Ahmed/0000-0003-2280-5240; ullah, Waseem/0000-0001-5191-9023; Khan, Latif U/0000-0002-7678-6949</t>
  </si>
  <si>
    <t>184</t>
  </si>
  <si>
    <t>28</t>
  </si>
  <si>
    <t>2327-4662</t>
  </si>
  <si>
    <t>IEEE INTERNET THINGS</t>
  </si>
  <si>
    <t>IEEE Internet Things J.</t>
  </si>
  <si>
    <t>AUG 15 2025</t>
  </si>
  <si>
    <t>32701</t>
  </si>
  <si>
    <t>32724</t>
  </si>
  <si>
    <t>10.1109/JIOT.2025.3579032</t>
  </si>
  <si>
    <t>http://dx.doi.org/10.1109/JIOT.2025.3579032</t>
  </si>
  <si>
    <t>5XY1T</t>
  </si>
  <si>
    <t>WOS:001546984500033</t>
  </si>
  <si>
    <t>Neima, HZ; Ghadban, RM; Abdulhamed, MA</t>
  </si>
  <si>
    <t>Retinopathy of Prematurity (ROP) remains one of the leading causes of preventable childhood blindness, particularly in low-resource settings where specialist access is limited. Although deep learning has improved automated ROP detection, most existing models rely solely on retinal images and function as opaque black boxes, limiting clinical trust and realworld adoption. This study proposes a robust and trustworthy ROP diagnosis framework that combines Vision-Language Modeling (VLM) and Explainable AI. The pipeline fuses high-resolution wide-field retinal fundus images with neonatal NICU text records using a lightweight Vision Transformer, a clinical text encoder, and a neuro-symbolic reasoning layer for human-in-the-loop corrections. A key technical enhancement applies Weighted-Fuzzy Histogram Equalization (WFHE) to boost local vascular contrast while avoiding artifacts, outperforming Contrast Limited Adaptive Histogram Equalization CLAHE in highlighting subtle pathological cues. 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 This framework demonstrates that integrating WFHE, Vision-Language fusion, and multi-level explainability can enable transparent, deployable AI for equitable neonatal vision care.</t>
  </si>
  <si>
    <t>Neima, Hikmat Z.; Ghadban, Rana M.; Abdulhamed, Mohamed A.</t>
  </si>
  <si>
    <t>Neima, HZ (corresponding author), Univ Basrah, Coll CSIT, Basrah 61004, Iraq.</t>
  </si>
  <si>
    <t>hikmat.taher@uobasrah.edu.iq</t>
  </si>
  <si>
    <t>[Neima, Hikmat Z.; Ghadban, Rana M.; Abdulhamed, Mohamed A.] Univ Basrah, Coll CSIT, Basrah 61004, Iraq</t>
  </si>
  <si>
    <t>University of Basrah</t>
  </si>
  <si>
    <t>Trustworthy Retinopathy Of Prematurity Diagnosis Using Explainable Vision-Language Model</t>
  </si>
  <si>
    <t>JOURNAL OF APPLIED SCIENCE AND ENGINEERING</t>
  </si>
  <si>
    <t>Multimodal fusion; Neonatal retinal screening; Neuro-symbolic reasoning; Weighted-Fuzzy Histogram Equalization (WFHE)</t>
  </si>
  <si>
    <t>Neima, Hikmat/OEO-0837-2025; Ghadban, Rana/PHO-2645-2026</t>
  </si>
  <si>
    <t>58</t>
  </si>
  <si>
    <t>TAMKANG UNIV</t>
  </si>
  <si>
    <t>TAMSUI</t>
  </si>
  <si>
    <t>GRAD SCHOOL LANG LIT, TAMSUI, TAIPEI, TAIWAN</t>
  </si>
  <si>
    <t>2708-9967</t>
  </si>
  <si>
    <t>2708-9975</t>
  </si>
  <si>
    <t>J APPL SCI ENG</t>
  </si>
  <si>
    <t>J. Appl. Sci. Eng.</t>
  </si>
  <si>
    <t>30</t>
  </si>
  <si>
    <t>26030006</t>
  </si>
  <si>
    <t>10.6180/jase.202607_30.006</t>
  </si>
  <si>
    <t>http://dx.doi.org/10.6180/jase.202607_30.006</t>
  </si>
  <si>
    <t>Engineering, Multidisciplinary</t>
  </si>
  <si>
    <t>JS2BX</t>
  </si>
  <si>
    <t>WOS:001796713000034</t>
  </si>
  <si>
    <t>Islam, MR; Hossain, MZ; Ahmed, M; Samu, MSS</t>
  </si>
  <si>
    <t>Radiology plays a pivotal role in modern medicine due to its non-invasive diagnostic capabilities. However, the manual generation of unstructured medical reports is time-consuming and prone to errors. It creates a significant bottleneck in clinical workflows. Despite advancements in AI-generated radiology reports, challenges remain in achieving detailed and accurate report generation. In this study, we have evaluated different combinations of multimodal models that integrate Computer Vision and Natural Language Processing to generate comprehensive radiology reports. We employed a pretrained Vision Transformer (ViT-B16) and a SWIN Transformer as the image encoders. The BART and GPT-2 models serve as the textual decoders. We used Chest X-ray images and reports from the IU-Xray dataset to evaluate the usability of the SWIN Transformer-BART, SWIN Transformer-GPT-2, ViT-B16-BART, and ViT-B16-GPT-2 models for report generation. We aimed to find the best combination among the models. The SWIN-BART model performs as the best-performing model among the four models, achieving remarkable results in almost all the evaluation metrics like ROUGE, BLEU, and BERTScore.</t>
  </si>
  <si>
    <t>Islam, Md. Rakibul; Hossain, Md. Zahid; Ahmed, Mustofa; Samu, Most. Sharmin Sultana</t>
  </si>
  <si>
    <t>Islam, MR (corresponding author), Ahsanullah Univ Sci &amp; Technol, Dept Comp Sci &amp; Engn, Dhaka, Bangladesh.</t>
  </si>
  <si>
    <t>rakib.aust41@gmail.com</t>
  </si>
  <si>
    <t>[Islam, Md. Rakibul; Ahmed, Mustofa] Ahsanullah Univ Sci &amp; Technol, Dept Comp Sci &amp; Engn, Dhaka, Bangladesh; [Samu, Most. Sharmin Sultana] Ahsanullah Univ Sci &amp; Technol, Dept Civil Engn, Dhaka, Bangladesh</t>
  </si>
  <si>
    <t>Ahsanullah University of Science &amp; Technology (AUST); Ahsanullah University of Science &amp; Technology (AUST)</t>
  </si>
  <si>
    <t>Vision-Language Models for Automated Chest X-ray Interpretation: Leveraging ViT and GPT-2</t>
  </si>
  <si>
    <t>ENGINEERING REPORTS</t>
  </si>
  <si>
    <t>medical report generation; SWIN-BART; vision language model; ViT-B16-GPT-2; X-ray interpretation</t>
  </si>
  <si>
    <t>Ahmed, Mustofa/LXV-0558-2024; , Rakibul Islam/NWH-3934-2025; Hossain, Md. Zahid/PMQ-3436-2026</t>
  </si>
  <si>
    <t>, Rakibul Islam/0009-0003-6420-8257</t>
  </si>
  <si>
    <t>WILEY</t>
  </si>
  <si>
    <t>HOBOKEN</t>
  </si>
  <si>
    <t>111 RIVER ST, HOBOKEN 07030-5774, NJ USA</t>
  </si>
  <si>
    <t>2577-8196</t>
  </si>
  <si>
    <t>ENG REP</t>
  </si>
  <si>
    <t>Eng. Rep.</t>
  </si>
  <si>
    <t>JUN 2025</t>
  </si>
  <si>
    <t>e70220</t>
  </si>
  <si>
    <t>10.1002/eng2.70220</t>
  </si>
  <si>
    <t>http://dx.doi.org/10.1002/eng2.70220</t>
  </si>
  <si>
    <t>Computer Science, Interdisciplinary Applications; Engineering, Multidisciplinary; Materials Science, Multidisciplinary</t>
  </si>
  <si>
    <t>Computer Science; Engineering; Materials Science</t>
  </si>
  <si>
    <t>4IK5V</t>
  </si>
  <si>
    <t>WOS:001518764300008</t>
  </si>
  <si>
    <t>Yao, JR; Guo, GY; Zheng, ZH; Xie, Q; Han, LF; Zhang, DW; Han, JW</t>
  </si>
  <si>
    <t>Nuclei instance segmentation and classification are a fundamental and challenging task in whole slide Imaging (WSI) analysis. Most dense nuclei prediction studies rely heavily on crowd labelled data on high-resolution digital images, leading to a time-consuming and expertise-required paradigm. Recently, Vision-Language Models (VLMs) have been intensively investigated, which learn rich cross-modal correlation from large-scale image-text pairs without tedious annotations. Inspired by this, we build a novel framework, called PromptNu, aiming at infusing abundant nuclei knowledge into the training of the nuclei instance recognition model through vision-language contrastive learning and prompt engineering techniques. Specifically, our approach starts with the creation of multifaceted prompts that integrate comprehensive nuclear knowledge, including visual insights from the GPT-4V model, statistical analyses, and expert insights from the pathology field. Then, we propose a novel prompting methodology that consists of two pivotal vision-language contrastive learning components: the Prompting Nuclei Representation Learning (PNuRL) and the Prompting Nuclei Dense Prediction (PNuDP), which adeptly integrates the expertise embedded in pre-trained VLMs and multifaceted prompts into the feature extraction and prediction process, respectively. Comprehensive experiments on six datasets with extensive WSI scenarios demonstrate the effectiveness of our method for both nuclei instance segmentation and classification tasks. The code is available at https://github.com/NucleiDet/PromptNu</t>
  </si>
  <si>
    <t>Yao, Jieru; Guo, Guangyu; Zheng, Zhaohui; Xie, Qiang; Han, Longfei; Zhang, Dingwen; Han, Junwei</t>
  </si>
  <si>
    <t>Zhang, DW; Han, JW (corresponding author), Northwestern Polytech Univ, Sch Automat, Brain &amp; Artificial Intelligence Lab, Xian 710060, Peoples R China.; Zhang, DW (corresponding author), Fourth Mil Med Univ, Xijing Hosp, Xian, Peoples R China.; Han, JW (corresponding author), Chongqing Univ Posts &amp; Telecommun, Chongqing 400065, Peoples R China.</t>
  </si>
  <si>
    <t>jieruyao2018@gmail.com; gyguo95@gmail.com; zhangdingwen2006yyy@gmail.com; zhengzh@fmmu.edu.cn; longfeihan@btbu.edu.cn; xieqiang@mail.ustc.edu.cn; junweihan2010@gmail.com</t>
  </si>
  <si>
    <t>National Natural Science Foundation of China [62322605, 62272468, U24A20341]; Project of Key Industrial Innovation Chain (Cluster) in Shaanxi Province-Social Development Field [2023-ZDLSF-41]; Anhui Provincial Key Research and Development Programmes [2023s07020001]</t>
  </si>
  <si>
    <t>National Natural Science Foundation of China (National Natural Science Foundation of China (NSFC)); Project of Key Industrial Innovation Chain (Cluster) in Shaanxi Province-Social Development Field; Anhui Provincial Key Research and Development Programmes</t>
  </si>
  <si>
    <t>This work was supported in part by the National Natural Science Foundation of China under Grant 62322605, Grant 62272468, and Grant U24A20341; in part by the Project of Key Industrial Innovation Chain (Cluster) in Shaanxi Province-Social Development Field under Grant 2023-ZDLSF-41; and in part by Anhui Provincial Key Research and Development Programmes under Grant 2023s07020001.</t>
  </si>
  <si>
    <t>[Yao, Jieru; Guo, Guangyu; Zhang, Dingwen; Han, Junwei] Northwestern Polytech Univ, Sch Automat, Brain &amp; Artificial Intelligence Lab, Xian 710060, Peoples R China; [Yao, Jieru] Hefei Comprehens Natl Sci Ctr, Hefei 230026, Peoples R China; [Zheng, Zhaohui] Fourth Mil Med Univ, Dept Clin Immunol, Xijing Hosp, Xian 710032, Peoples R China; [Xie, Qiang] Univ Sci &amp; Technol China, Inst Adv Technol, Hefei 230052, Peoples R China; [Han, Longfei] Beijing Technol &amp; Business Univ, Sch Comp &amp; Artificial Intelligence, Beijing 102401, Peoples R China; [Han, Longfei] WiSOMNi Co Ltd, Hefei 230031, Peoples R China; [Zhang, Dingwen] Fourth Mil Med Univ, Xijing Hosp, Xian, Peoples R China; [Han, Junwei] Chongqing Univ Posts &amp; Telecommun, Chongqing 400065, Peoples R China</t>
  </si>
  <si>
    <t>Northwestern Polytechnical University; Air Force Medical University; Chinese Academy of Sciences; University of Science &amp; Technology of China, CAS; Beijing Technology &amp; Business University; Air Force Medical University; Chongqing University of Posts &amp; Telecommunications</t>
  </si>
  <si>
    <t>Prompting Vision-Language Model for Nuclei Instance Segmentation and Classification</t>
  </si>
  <si>
    <t>Instance segmentation; Pathology; Training; Electronic mail; Visualization; Contrastive learning; Computational modeling; Representation learning; Automation; Semantic segmentation; Digital pathology analysis; nuclei instance segmentation; nuclei classification; vision-language model; prompt learning</t>
  </si>
  <si>
    <t>NET; CELLS</t>
  </si>
  <si>
    <t>zhang, dingwen/R-3463-2019; Guo, Guangyu/ACD-0608-2022; Han, Junwei/AEX-0831-2022</t>
  </si>
  <si>
    <t>Han, Longfei/0000-0003-2135-6228</t>
  </si>
  <si>
    <t>NOV 2025</t>
  </si>
  <si>
    <t>4567</t>
  </si>
  <si>
    <t>4578</t>
  </si>
  <si>
    <t>10.1109/TMI.2025.3579214</t>
  </si>
  <si>
    <t>http://dx.doi.org/10.1109/TMI.2025.3579214</t>
  </si>
  <si>
    <t>9VR7I</t>
  </si>
  <si>
    <t>40560716</t>
  </si>
  <si>
    <t>WOS:001616144400012</t>
  </si>
  <si>
    <t>Dere, MD; Cheong, SHY; Jo, JH; Ku, GW; Lee, BR</t>
  </si>
  <si>
    <t>Neuromuscular dysfunction poses a critical health challenge, affecting both patients and caregivers. Current active rehabilitation devices relying on electromyography (EMG) face significant hurdles due to high data acquisition demands, inaccurate decoders, and model degradation from sensor distribution shifts across participants. We address these limitations with a vision language model (VLM) that pseudolabels motor intent predictions, enhancing decoding accuracy and reliability under sensor distribution shift across participants. Our proposed pipeline integrates visual information with EMG decoding by employing a parallel processing framework: vision data are processed through the VLM to determine user intent, object, and grasp type, which, in turn, provides pseudolabels for the EMG decoder's output. The pseudolabel is then utilized to infer motor intent, enabling precise external control of assistive devices. In our experimental analysis, our proposed pipeline demonstrated superior performance compared to an EMG-only decoder, achieving 100% decoding accuracy across four upper limb gestures in four participants despite sensor distribution shifts across them. Our approach underscores the potential of integrating visual understanding with neural signal analysis to enhance the reliability and effectiveness of active rehabilitation devices, ultimately improving patient outcomes by providing more accurate and consistent assistive technologies. The project page including the code can be found at https://github.com/deremustapha/VLM-EMG4Gesture</t>
  </si>
  <si>
    <t>Dere, Mustapha Deji; Cheong, Saehyung; Jo, Ji-Hun; Ku, Giwon; Lee, Boreom</t>
  </si>
  <si>
    <t>Lee, BR (corresponding author), Gwangju Inst Sci &amp; Technol, AI Grad Sch, Dept Biomed Sci &amp; Engn, Gwangju 61005, South Korea.</t>
  </si>
  <si>
    <t>deremustapha@gm.gist.ac.kr; leebr@gist.ac.kr</t>
  </si>
  <si>
    <t>National Research Foundation of Korea (NRF) through Korean Government (MSIT) [RS-2023-00277220]</t>
  </si>
  <si>
    <t>National Research Foundation of Korea (NRF) through Korean Government (MSIT) (National Research Foundation of Korea)</t>
  </si>
  <si>
    <t>This work was supported by the National Research Foundation of Korea (NRF) through Korean Government (MSIT) under Grant RS-2023-00277220.</t>
  </si>
  <si>
    <t>[Dere, Mustapha Deji; Cheong, Saehyung; Jo, Ji-Hun; Ku, Giwon] Gwangju Inst Sci &amp; Technol, Dept Biomed Sci &amp; Engn, Gwangju 61005, South Korea; [Lee, Boreom] Gwangju Inst Sci &amp; Technol, AI Grad Sch, Dept Biomed Sci &amp; Engn, Gwangju 61005, South Korea</t>
  </si>
  <si>
    <t>Gwangju Institute of Science &amp; Technology (GIST); Gwangju Institute of Science &amp; Technology (GIST)</t>
  </si>
  <si>
    <t>Lightweight Vision Language Model-Guided Gesture Recognition Based on Electromyography</t>
  </si>
  <si>
    <t>IEEE SENSORS JOURNAL</t>
  </si>
  <si>
    <t>Electromyography; Decoding; Visualization; Sensors; Electroencephalography; Brain modeling; Intelligent sensors; Exoskeletons; Pipelines; Hands; gesture classification; human-computer interaction; vision; vision language model (VLM)</t>
  </si>
  <si>
    <t>ku, giwon/0000-0002-8095-3893; Dere, Mustapha/0000-0001-6512-5945</t>
  </si>
  <si>
    <t>1530-437X</t>
  </si>
  <si>
    <t>1558-1748</t>
  </si>
  <si>
    <t>IEEE SENS J</t>
  </si>
  <si>
    <t>IEEE Sens. J.</t>
  </si>
  <si>
    <t>JUN 15 2025</t>
  </si>
  <si>
    <t>25</t>
  </si>
  <si>
    <t>22677</t>
  </si>
  <si>
    <t>22685</t>
  </si>
  <si>
    <t>10.1109/JSEN.2025.3565766</t>
  </si>
  <si>
    <t>http://dx.doi.org/10.1109/JSEN.2025.3565766</t>
  </si>
  <si>
    <t>Engineering, Electrical &amp; Electronic; Instruments &amp; Instrumentation; Physics, Applied</t>
  </si>
  <si>
    <t>Engineering; Instruments &amp; Instrumentation; Physics</t>
  </si>
  <si>
    <t>3XB8C</t>
  </si>
  <si>
    <t>WOS:001511070500038</t>
  </si>
  <si>
    <t>Cao, QL; Chen, YT; Lu, L; Sun, H; Zeng, ZZ; Yang, XK; Zhang, DX</t>
  </si>
  <si>
    <t>Large-scale vision-language models have shown remarkable success in general vision tasks, inspiring the development of domain-specific models. However, creating these models requires substantial investments in annotated data, computational resources, and energy, making such endeavors largely accessible to industrial giants. This resource-intensive nature of model development inadvertently stifles academic research, particularly for smaller research groups, and limits the diversity and growth of the field. To address these challenges and promote more sustainable and equitable research, we introduce the generalized domain prompt learning framework. This framework enables the efficient transfer of robust recognition capabilities from natural vision to specialized domains without the need for large datasets or heavy computational overhead. By leveraging small-scale domain-specific foundation models and minimal prompt samples, the framework enriches the language component with domain-specific knowledge through quaternion networks, revealing cross-modal relationships between specialized vision features and natural vision-based contextual embeddings. Simultaneously, it drives the vision component toward domain-specific tasks via hierarchical propagation of vision prompts, grounded in well-matched vision-language relationships. To maximize the domain adaptation potential of these models, we also propose a novel low-rank adaptation technique. Extensive experiments across diverse domains-including remote sensing, medical imaging, geology, synthetic aperture radar, and fluid dynamics-demonstrate the effectiveness of the framework, achieving state-of-the-art domain recognition performance within a prompt learning structure. Our work presents a pathway for inclusive and sustainable research that bridges the gap between academia and industry, empowering smaller research groups and promoting broader access to cutting-edge advancements in the context of future sustainable development.</t>
  </si>
  <si>
    <t>Cao, Qinglong; Chen, Yuntian; Lu, Lu; Sun, Hao; Zeng, Zhengzhong; Yang, Xiaokang; Zhang, Dongxiao</t>
  </si>
  <si>
    <t>Chen, YT (corresponding author), Eastern Inst Technol, Ningbo Inst Digital Twin, Ningbo 315200, Peoples R China.</t>
  </si>
  <si>
    <t>ychen@eitech.edu.cn</t>
  </si>
  <si>
    <t>Major Science and Technology Projects of Ningbo [2022Z236]; Natural Science Foundation of Ningbo of China [2023J027]; China Meteorological Administration [QBZ202316]; High Performance Computing Centers at Eastern Institute of Technology; Ningbo Institute of Digital Twin</t>
  </si>
  <si>
    <t>Major Science and Technology Projects of Ningbo; Natural Science Foundation of Ningbo of China (Natural Science Foundation of Ningbo); China Meteorological Administration; High Performance Computing Centers at Eastern Institute of Technology; Ningbo Institute of Digital Twin</t>
  </si>
  <si>
    <t>This work is financially supported by the Major Science and Technology Projects of Ningbo (No. 2022Z236) , Natural Science Foundation of Ningbo of China (No. 2023J027) , and China Meteorological Administration under Grant QBZ202316, as well as by the High Performance Computing Centers at Eastern Institute of Technology, Ningbo, and Ningbo Institute of Digital Twin.</t>
  </si>
  <si>
    <t>[Cao, Qinglong; Yang, Xiaokang] Shanghai Jiao Tong Univ, AI Inst, MoE Key Lab Artificial Intelligence, Shanghai 200240, Peoples R China; [Cao, Qinglong; Chen, Yuntian; Zhang, Dongxiao] Eastern Inst Technol, Ningbo Inst Digital Twin, Ningbo 315200, Peoples R China; [Lu, Lu] Yale Univ, Dept Stat &amp; Data Sci, New Haven, CT 06511 USA; [Sun, Hao] Renmin Univ China, Gaoling Sch Artificial Intelligence, Beijing 100872, Peoples R China; [Zeng, Zhengzhong] Southern Univ Sci &amp; Technol, Sch Environm Sci &amp; Engn, Shenzhen 518055, Peoples R China; [Zhang, Dongxiao] Lingnan Univ, Inst Adv Study, Hong Kong 100872, Peoples R China</t>
  </si>
  <si>
    <t>Shanghai Jiao Tong University; Eastern Institute of Technology, Ningbo; Yale University; Renmin University of China; Southern University of Science &amp; Technology; Lingnan University</t>
  </si>
  <si>
    <t>Generalized domain prompt learning for accessible scientific vision-language models</t>
  </si>
  <si>
    <t>NEXUS</t>
  </si>
  <si>
    <t>FOUNDATION MODEL</t>
  </si>
  <si>
    <t>Lu, Lu/AAG-7335-2019; Chen, Yuntian/ABI-6959-2020; Zhang, Dongxiao/Q-7564-2019</t>
  </si>
  <si>
    <t>71</t>
  </si>
  <si>
    <t>2950-1601</t>
  </si>
  <si>
    <t>NEXUS-HONG KONG</t>
  </si>
  <si>
    <t>Nexus</t>
  </si>
  <si>
    <t>JUN 17 2025</t>
  </si>
  <si>
    <t>100069</t>
  </si>
  <si>
    <t>10.1016/j.ynexs.2025.100069</t>
  </si>
  <si>
    <t>http://dx.doi.org/10.1016/j.ynexs.2025.100069</t>
  </si>
  <si>
    <t>IA1OF</t>
  </si>
  <si>
    <t>WOS:001766822500004</t>
  </si>
  <si>
    <t>Albera, M; Colarieti, A; Albera, I; Carriero, A</t>
  </si>
  <si>
    <t>Integrating vision-language models (VLMs) into clinical radiology workflows requires exporting two-dimensional images that preserve diagnostic viewing context, including imaging plane, slice position, window/level, slab parameters, and overlays. Existing approaches typically rely on ad hoc screenshots and external uploads, which discard this context, reduce reproducibility, and introduce workflow friction through task switching. We describe a radiology viewer architecture that maintains model interaction entirely within the diagnostic environment by serializing explicit viewer state into replayable descriptors. Requested views are re-rendered offscreen using shared in-memory voxel data, enabling repeatable, context-faithful evidence generation without disrupting interactive interpretation. The user interface employs a split workspace, combining a diagnostic grid for image review with an integrated chat sidebar for evidence staging and model interaction. Capture actions generate batches of serialized viewer states that are executed by an offscreen renderer; the resulting frames are staged for user curation prior to model submission. Under controlled conditions at a 1,000 &amp; times; 1,000 pixel output resolution, benchmarks demonstrated perfect reproducibility: repeated captures from identical serialized states produced pixel-identical images, with zero hash mismatches across 50 frames. Capture latency ranged from a median of 4.49 to 16.69 ms per frame, depending on view type, and median output size was 27.9 kB per frame using a high-efficiency image container. These results indicate that the proposed architecture supports reproducible, low-latency, and storage-efficient multislice and multiseries evidence assembly at interactive speeds, enabling seamless integration of VLMs into diagnostic radiology workflows.Relevance statementOffscreen re-rendering driven by serialized viewing state enables context-preserving and reproducible export of two-dimensional evidence from volumetric radiology viewing, supporting integrated vision-language model workflows with millisecond-scale capture latency from hot cache.Key PointsA split-layout DICOM viewer with an integrated chat interface enables radiologists to capture, stage, and submit visual evidence without leaving the diagnostic environment.Offscreen re-rendering from serialized viewing state produces pixel-identical exports across repeated captures, supporting traceable, auditable, and reproducible evidence generation.Batch capture efficiently assembles multislice, multiplane, and multiseries evidence with minimal manual effort, providing models with richer and more representative study context.Capture latency was millisecond-scale, and high-efficiency image container (HEIC) encoding reduced file size by approximately 2.8-fold compared with the joint photographic experts group (JPEG) format, supporting responsive multi-frame workflows.</t>
  </si>
  <si>
    <t>Albera, Marco; Colarieti, Anna; Albera, Irene; Carriero, Alessandro</t>
  </si>
  <si>
    <t>Albera, M (corresponding author), Osped Maggiore La Carita, SCDU Radiodiagnost, Novara, Italy.; Albera, M (corresponding author), Univ Piemonte Orientale Amedeo Avogadro, Novara, Italy.</t>
  </si>
  <si>
    <t>marco.albera@icloud.com</t>
  </si>
  <si>
    <t>Universit degli Studi del Piemonte Orientale</t>
  </si>
  <si>
    <t>Open access for this article was provided by Universita degli Studi del Piemonte Orientale.</t>
  </si>
  <si>
    <t>[Albera, Marco; Colarieti, Anna; Carriero, Alessandro] Osped Maggiore La Carita, SCDU Radiodiagnost, Novara, Italy; [Albera, Marco; Colarieti, Anna; Albera, Irene; Carriero, Alessandro] Univ Piemonte Orientale Amedeo Avogadro, Novara, Italy</t>
  </si>
  <si>
    <t>Azienda Ospedaliera Maggiore della Carita di Novara; University of Eastern Piedmont Amedeo Avogadro</t>
  </si>
  <si>
    <t>Technical architecture for integrating vision-language models with DICOM viewers</t>
  </si>
  <si>
    <t>EUROPEAN RADIOLOGY EXPERIMENTAL</t>
  </si>
  <si>
    <t>Artificial intelligence; Computer graphics; DICOM; Radiology workflow; Vision-language models</t>
  </si>
  <si>
    <t>SPRINGER WIEN</t>
  </si>
  <si>
    <t>Vienna</t>
  </si>
  <si>
    <t>Prinz-Eugen-Strasse 8-10, A-1040 Vienna, AUSTRIA</t>
  </si>
  <si>
    <t>2509-9280</t>
  </si>
  <si>
    <t>EUR RADIOL EXP</t>
  </si>
  <si>
    <t>Eur. Radiol. Exp.</t>
  </si>
  <si>
    <t>JUL 1 2026</t>
  </si>
  <si>
    <t>103</t>
  </si>
  <si>
    <t>10.1186/s41747-026-00769-0</t>
  </si>
  <si>
    <t>http://dx.doi.org/10.1186/s41747-026-00769-0</t>
  </si>
  <si>
    <t>JUL 2026</t>
  </si>
  <si>
    <t>Radiology, Nuclear Medicine &amp; Medical Imaging</t>
  </si>
  <si>
    <t>KK7GS</t>
  </si>
  <si>
    <t>42384104</t>
  </si>
  <si>
    <t>WOS:001809263900003</t>
  </si>
  <si>
    <t>Gao, J; san, IW; Luo, XM; Chen, ZX; Yu, ZT; Tan, T; Sun, Y</t>
  </si>
  <si>
    <t>Remote photoplethysmography (rPPG) offers a noninvasive solution for estimating critical vital signs, such as heart rate (HR) and respiratory rate (RR). To improve algorithmic generalizability, domain generalization (DG) has garnered increasing attention for rPPG. However, existing approaches often overlook the frequency periodicity driven by blood-volume pulsations (BVP) and the dependencies among tasks, which limit generalization. To address this, PhysVLM is proposed as a cross-domain, multitask rPPG framework. First, a pretrained vision language model provides frequency-related priors. These priors are injected into a visual-only student network via knowledge distillation. This encourages the student to focus on physiologically driven periodic features. Next, the wavelet temporal block (WTB) is introduced for multiscale time-frequency decomposition and adaptive filtering to suppress task-irrelevant noise. In addition, frequency-aligned spatial attention (FASA) is proposed to perform frequency-aligned bandpass selection within rhythmically prominent regions. Cross-task consistency constraints are incorporated to reduce spectral leakage. Extensive experiments on five public datasets, together with clinical validation on 25 preterm infants in the neonatal intensive care unit (NICU), show that PhysVLM achieves stable improvements in cross-domain evaluations. On the challenging NBHR dataset, the proposed method reduces HR mean absolute error (MAE) from 5.85 to 2.85 bpm. This framework provides a robust foundation for reliable rPPG applications in clinical settings.</t>
  </si>
  <si>
    <t>Gao, Jie; Weng San, Ieong; Luo, Xiangmin; Chen, Zhengxuan; Yu, Zitong; Tan, Tao; Sun, Yue</t>
  </si>
  <si>
    <t>Sun, Y (corresponding author), Macao Polytech Univ, Fac Appl Sci, Macau, Peoples R China.</t>
  </si>
  <si>
    <t>luoxm5920@163.com; flyingsnow2235@gmail.com; taotan@mpu.edu.mo; yuzitong@gbu.edu.cn; nicole_ieong@hotmail.com; yuesun@mpu.edu.mo; gjttxs@gmail.com</t>
  </si>
  <si>
    <t>Science and Technology Development Fund of Macao [0009/2025/ITP1]; Macao Polytechnic University [RP/FCA-16/2025]</t>
  </si>
  <si>
    <t>Science and Technology Development Fund of Macao; Macao Polytechnic University</t>
  </si>
  <si>
    <t>This work was supported in part by the Science and Technology Development Fund of Macao under Grant 0009/2025/ITP1 and in part by the Macao Polytechnic University under Grant RP/FCA-16/2025.</t>
  </si>
  <si>
    <t>[Gao, Jie; Luo, Xiangmin; Chen, Zhengxuan; Tan, Tao; Sun, Yue] Macao Polytech Univ, Fac Appl Sci, Macau, Peoples R China; [Weng San, Ieong] Kiang Wu Hosp, Dept Pediat, Macau, Peoples R China; [Yu, Zitong] Great Bay Univ, Sch Comp &amp; Informat Technol, Dongguan 523000, Peoples R China; [Yu, Zitong] Dongguan Key Lab Intelligence &amp;VV Informat TechVVn, Dongguan 523000, Guangdong, Peoples R China</t>
  </si>
  <si>
    <t>Macao Polytechnic University; Great Bay University</t>
  </si>
  <si>
    <t>PhysVLM: Vision-Language Model for Generalizable Multitask Remote Physiological Measurement</t>
  </si>
  <si>
    <t>IEEE TRANSACTIONS ON INSTRUMENTATION AND MEASUREMENT</t>
  </si>
  <si>
    <t>Videos; Physiology; Multitasking; Doppler radar; Skin; Heart rate; Estimation; Training; Robustness; Monitoring; Domain generalization (DG); multitask learning; remote photoplethysmography (rPPG); vision-language models (VLMs)</t>
  </si>
  <si>
    <t>PULSE-RATE</t>
  </si>
  <si>
    <t>Gao, Jie/0009-0005-6274-0973</t>
  </si>
  <si>
    <t>47</t>
  </si>
  <si>
    <t>0018-9456</t>
  </si>
  <si>
    <t>1557-9662</t>
  </si>
  <si>
    <t>IEEE T INSTRUM MEAS</t>
  </si>
  <si>
    <t>IEEE Trans. Instrum. Meas.</t>
  </si>
  <si>
    <t>5006215</t>
  </si>
  <si>
    <t>10.1109/TIM.2026.3671908</t>
  </si>
  <si>
    <t>http://dx.doi.org/10.1109/TIM.2026.3671908</t>
  </si>
  <si>
    <t>Engineering, Electrical &amp; Electronic; Instruments &amp; Instrumentation</t>
  </si>
  <si>
    <t>Engineering; Instruments &amp; Instrumentation</t>
  </si>
  <si>
    <t>FI4RD</t>
  </si>
  <si>
    <t>WOS:001719525800010</t>
  </si>
  <si>
    <t>Ma, PH; Wu, YX; Yu, N; Jia, XX; He, YY; Zhang, Y; Backes, M; Wang, Q; Wei, CI</t>
  </si>
  <si>
    <t>Addressing the critical need for swift and precise nutritional profiling in healthcare and in food industry, this study pioneers the integration of vision-language models (VLMs) with chemical analysis techniques. A cutting-edge VLM is unveiled, utilizing the expansive UMDFood-90k database, to significantly improve the speed and accuracy of nutrient estimation processes. Demonstrating a macro-AUCROC of 0.921 for lipid quantification, the model exhibits less than 10% variance compared to traditional chemical analyses for over 82% of the analyzed food items. This innovative approach not only accelerates nutritional screening by 36.9% when tested amongst students but also sets a new benchmark in the precision of nutritional data compilation. This research marks a substantial leap forward in food science, employing a blend of advanced computational models and chemical validation to offer a rapid, high-throughput solution for nutritional analysis.This study integrates vision-language models with chemical analysis techniques to revolutionize nutritional profiling. Utilizing the extensive UMDFood-90k database, the novel UMDFood-VL model significantly enhances the accuracy and speed of nutrient estimation, reducing experiment time by 36.9% and achieving a macro-AUCROC of 0.921 for lipid quantification. This approach sets a new standard in precision nutrition and food science. image</t>
  </si>
  <si>
    <t>Ma, Peihua; Wu, Yixin; Yu, Ning; Jia, Xiaoxue; He, Yiyang; Zhang, Yang; Backes, Michael; Wang, Qin; Wei, Cheng-, I</t>
  </si>
  <si>
    <t>Wei, CI (corresponding author), Univ Maryland, Coll Agr &amp; Nat Resources, Dept Nutr &amp; Food Sci, College Pk, MD 20742 USA.</t>
  </si>
  <si>
    <t>wei@umd.edu</t>
  </si>
  <si>
    <t>Maryland Agricultural Experiment Station (MAES) research program [MD-NFSC-232696]</t>
  </si>
  <si>
    <t>Maryland Agricultural Experiment Station (MAES) research program</t>
  </si>
  <si>
    <t>The authors acknowledge the financial support of the Maryland Agricultural Experiment Station (MAES) research program (MD-NFSC-232696). The authors acknowledge the support of Pamela Pehrsson and Jaspreet Ahuja in U.S. Department of Agriculture agricultural research service (USDA-ARS) methods and application of food composition laboratory. The authors also acknowledge the support of Ying Li from the FDA for food data consulting.</t>
  </si>
  <si>
    <t>[Ma, Peihua; Jia, Xiaoxue; He, Yiyang; Wang, Qin; Wei, Cheng-, I] Univ Maryland, Coll Agr &amp; Nat Resources, Dept Nutr &amp; Food Sci, College Pk, MD 20742 USA; [Wu, Yixin; Zhang, Yang; Backes, Michael] CISPA Helmholtz Ctr Informat Secur, D-66123 Saarbrucken, Germany; [Yu, Ning] Netflix Eyeline Studios, Los Angeles, CA 90028 USA</t>
  </si>
  <si>
    <t>University System of Maryland; University of Maryland College Park</t>
  </si>
  <si>
    <t>Integrating Vision-Language Models for Accelerated High-Throughput Nutrition Screening</t>
  </si>
  <si>
    <t>ADVANCED SCIENCE</t>
  </si>
  <si>
    <t>food analysis; high-throughput screening; machine learning; precision nutrition; vision-language model</t>
  </si>
  <si>
    <t>Ma, Peihua/ABD-5627-2021; Jia, Xiaoxue/JLM-3709-2023</t>
  </si>
  <si>
    <t>Ma, Peihua/0000-0002-5041-0361; Jia, Xiaoxue/0000-0002-4783-3777; Zhang, Yang/0000-0003-3612-7348; Wu, Yixin/0000-0002-3000-9423</t>
  </si>
  <si>
    <t>37</t>
  </si>
  <si>
    <t>WILEY-V C H VERLAG GMBH</t>
  </si>
  <si>
    <t>WEINHEIM</t>
  </si>
  <si>
    <t>POSTFACH 101161, 69451 WEINHEIM, GERMANY</t>
  </si>
  <si>
    <t>2198-3844</t>
  </si>
  <si>
    <t>ADV SCI</t>
  </si>
  <si>
    <t>Adv. Sci.</t>
  </si>
  <si>
    <t>SEP 2024</t>
  </si>
  <si>
    <t>10.1002/advs.202403578</t>
  </si>
  <si>
    <t>http://dx.doi.org/10.1002/advs.202403578</t>
  </si>
  <si>
    <t>JUL 2024</t>
  </si>
  <si>
    <t>Chemistry, Multidisciplinary; Nanoscience &amp; Nanotechnology; Materials Science, Multidisciplinary</t>
  </si>
  <si>
    <t>Chemistry; Science &amp; Technology - Other Topics; Materials Science</t>
  </si>
  <si>
    <t>H2P4L</t>
  </si>
  <si>
    <t>38973336</t>
  </si>
  <si>
    <t>WOS:001263739000001</t>
  </si>
  <si>
    <t>Chen, K; Zhu, XW; Zhang, WT; Jiang, SR; Chen, QC</t>
  </si>
  <si>
    <t>Radiology Report Generation (RRG) is designed to automatically generate diagnostic narratives based on radiological image interpretation, supporting clinicians in making diagnoses and relieving radiologists of reporting pressure. Previous approaches mainly use generative architectures developed to change visibly produced features into coherent written results. However, these approaches generally run into problems with precisely aligning written outputs to visible data, especially in the process of producing thorough diagnostic narratives. We propose a new, hierarchical retrieval-enhanced framework called Observe, Align, and Enhancement (OAE) for the creation of the radiology report to get around these problems: Observe, which leverages retrieval techniques to enhance visual feature comprehension by identifying similar images and associated reports; Align, where the retrieved contextual reports guide the generation of an initial diagnostic report ensuring semantic consistency; and Enhance, an iterative refinement process that incorporates additional textual information to improve semantic coherence and diagnostic precision. The proposed framework is shown in a comprehensive assessment of the IU-XRAY and MIMIC-CXR datasets, which shows that it performs better than the current state-of-the-art approaches, including improved diagnostic accuracy and reported quality.</t>
  </si>
  <si>
    <t>Chen, Kai; Zhu, Xiwen; Zhang, Wentai; Jiang, Shuoran; Chen, Qingcai</t>
  </si>
  <si>
    <t>Chen, K (corresponding author), Huaqiao Univ, Xiamen Campus, Xiamen, Peoples R China.</t>
  </si>
  <si>
    <t>chenkai.cs@hqu.edu.cn; 200110319@stu.hit.edu.cn; qingcai.chen@hit.edu.cn; shuoran.chiang@gmail.com; zhangwt2020@163.com</t>
  </si>
  <si>
    <t>Fujian Provincial Natural Science Foundation of China [2025J01176]; Natural Science Foundation of Xiamen, China [3502Z202571033]; Scientific Research Funds of Huaqiao University [25BS104]; Shenzhen Science and Technology Program [KCXFZ20230731093001002, KJZD20230923115113026]; National Social Science Foundation-Major Project [20 ZD226]; Shenzhen Engineering Laboratory Program [XMHT20190108009]; Key Laboratory of Intelligent Computing in Network Environment; National Natural Science Foundation of China [62276075]; HIT(Shenzhen)-Ysstech Info-Tech AI Joint Lab; HIT(Shenzhen)-Tuling Robot AI Joint Lab</t>
  </si>
  <si>
    <t>Fujian Provincial Natural Science Foundation of China; Natural Science Foundation of Xiamen, China; Scientific Research Funds of Huaqiao University; Shenzhen Science and Technology Program (Shenzhen Science and Technology Program); National Social Science Foundation-Major Project; Shenzhen Engineering Laboratory Program; Key Laboratory of Intelligent Computing in Network Environment; National Natural Science Foundation of China (National Natural Science Foundation of China (NSFC)); HIT(Shenzhen)-Ysstech Info-Tech AI Joint Lab; HIT(Shenzhen)-Tuling Robot AI Joint Lab</t>
  </si>
  <si>
    <t>This work is jointly supported by Grants from Fujian Provincial Natural Science Foundation of China (2025J01176), Natural Science Foundation of Xiamen, China (3502Z202571033), the Scientific Research Funds of Huaqiao University 25BS104, the Shenzhen Science and Technology Program (No. KCXFZ20230731093001002, KJZD20230923115113026), the National Social Science Foundation-Major Project (No. 20 &amp;ZD226), the Shenzhen Engineering Laboratory Program (No. XMHT20190108009), the Key Laboratory of Intelligent Computing in Network Environment, the National Natural Science Foundation of China (No. 62276075), the HIT(Shenzhen)-Ysstech Info-Tech AI Joint Lab, and the HIT(Shenzhen)-Tuling Robot AI Joint Lab.</t>
  </si>
  <si>
    <t>[Chen, Kai] Huaqiao Univ, Xiamen Campus, Xiamen, Peoples R China; [Zhu, Xiwen; Jiang, Shuoran; Chen, Qingcai] Harbin Inst Technol, Shenzhen, Peoples R China; [Zhang, Wentai] Peking Univ First Hosp, Dept Thorac Surg, Beijing, Peoples R China</t>
  </si>
  <si>
    <t>Huaqiao University; Harbin Institute of Technology; Peking University</t>
  </si>
  <si>
    <t>Observe, align, and enhance: a hierarchical retrieval-augmented vision-language model for generating radiology reports</t>
  </si>
  <si>
    <t>HEALTH INFORMATION SCIENCE AND SYSTEMS</t>
  </si>
  <si>
    <t>Radiology report generation; Retrieval-augmented VLM; Observe; Align; Enhance</t>
  </si>
  <si>
    <t>Chen, Qingcai/JVN-1580-2024</t>
  </si>
  <si>
    <t>Chen, Kai/0000-0002-6108-8283</t>
  </si>
  <si>
    <t>40</t>
  </si>
  <si>
    <t>SPRINGER</t>
  </si>
  <si>
    <t>NEW YORK</t>
  </si>
  <si>
    <t>ONE NEW YORK PLAZA, SUITE 4600, NEW YORK, NY, UNITED STATES</t>
  </si>
  <si>
    <t>2047-2501</t>
  </si>
  <si>
    <t>HEALTH INF SCI SYST</t>
  </si>
  <si>
    <t>Health Inf. Sci. Syst.</t>
  </si>
  <si>
    <t>OCT 30 2025</t>
  </si>
  <si>
    <t>72</t>
  </si>
  <si>
    <t>10.1007/s13755-025-00389-9</t>
  </si>
  <si>
    <t>http://dx.doi.org/10.1007/s13755-025-00389-9</t>
  </si>
  <si>
    <t>Medical Informatics</t>
  </si>
  <si>
    <t>9HK0A</t>
  </si>
  <si>
    <t>41179835</t>
  </si>
  <si>
    <t>WOS:001606408600002</t>
  </si>
  <si>
    <t>Green Accepted</t>
  </si>
  <si>
    <t>Xin, Y; Ates, GC; Gong, K; Shao, W</t>
  </si>
  <si>
    <t>Vision-language models (VLMs) have shown promise in 2D medical image analysis, but extending them to 3D remains challenging due to the high computational demands of volumetric data and the difficulty of aligning 3D spatial features with clinical text. We present Med3DVLM, a 3D VLM designed to address these challenges through three key innovations: (1) DCFormer, an efficient encoder that uses decomposed 3D convolutions to capture fine-grained spatial features at scale; (2) SigLIP, a contrastive learning strategy with pairwise sigmoid loss that improves image-text alignment without relying on large negative batches; and (3) a dual-stream MLP-Mixer projector that fuses low- and high-level image features with text embeddings for richer multi-modal representations. We evaluated our model on the M3D dataset, which includes radiology reports and VQA data for 120,084 3D medical images. The results show that Med3DVLM achieves superior performance on multiple benchmarks. For image-text retrieval, it reaches 61.00% R@1 on 2,000 samples, significantly outperforming the current state-of-the-art M3D-LaMed model (19.10%). For report generation, it achieves a METEOR score of 36.42% (vs. 14.38%). In open-ended visual question answering (VQA), it scores 36.76% METEOR (vs. 33.58%), and in closed-ended VQA, it achieves 79.95% accuracy (vs. 75.78%). These results demonstrate Med3DVLM's ability to bridge the gap between 3D imaging and language, enabling scalable, multi-task reasoning across clinical applications.</t>
  </si>
  <si>
    <t>Xin, Yu; Ates, Gorkem Can; Gong, Kuang; Shao, Wei</t>
  </si>
  <si>
    <t>Shao, W (corresponding author), Univ Florida, Dept Med, Dept Elect &amp; Comp Engn, Gainesville, FL 32611 USA.; Shao, W (corresponding author), Univ Florida, Intelligent Clin Care Ctr, Gainesville, FL 32611 USA.</t>
  </si>
  <si>
    <t>Gorkem.Ates@medicine.ufl.edu; yu.xin@ufl.edu; KGong@bme.ufl.edu; weishao@ufl.edu</t>
  </si>
  <si>
    <t>Department of Medicine; Intelligent Clinical Care Center at the University of Florida College of Medicine</t>
  </si>
  <si>
    <t>This work was supported by the Department of Medicine and the Intelligent Clinical Care Center at the University of Florida College of Medicine.</t>
  </si>
  <si>
    <t>[Xin, Yu] Univ Florida, Dept Elect &amp; Comp Engn, Gainesville, FL 32611 USA; [Ates, Gorkem Can] Univ Florida, Dept Med, Gainesville, FL 32611 USA; [Gong, Kuang] Univ Florida, Dept Biomed Engn, Gainesville, FL 32611 USA; [Shao, Wei] Univ Florida, Dept Med, Dept Elect &amp; Comp Engn, Gainesville, FL 32611 USA; [Shao, Wei] Univ Florida, Intelligent Clin Care Ctr, Gainesville, FL 32611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</si>
  <si>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t>
  </si>
  <si>
    <t>Med3DVLM: An Efficient Vision-Language Model for 3D Medical Image Analysis</t>
  </si>
  <si>
    <t>IEEE JOURNAL OF BIOMEDICAL AND HEALTH INFORMATICS</t>
  </si>
  <si>
    <t>Three-dimensional displays; Medical diagnostic imaging; Visualization; Solid modeling; Transformers; Feature extraction; Radiology; Accuracy; Training; Computed tomography; Vision-language models; 3D imaging; report generation; visual question answering</t>
  </si>
  <si>
    <t>Xin, Yu/PNF-9535-2026; Gong, Kuang/W-6203-2019</t>
  </si>
  <si>
    <t>Xin, Yu/0000-0002-0696-4658; Yue, Xin/0009-0001-9471-1342</t>
  </si>
  <si>
    <t>51</t>
  </si>
  <si>
    <t>2168-2194</t>
  </si>
  <si>
    <t>2168-2208</t>
  </si>
  <si>
    <t>IEEE J BIOMED HEALTH</t>
  </si>
  <si>
    <t>IEEE J. Biomed. Health Inform.</t>
  </si>
  <si>
    <t>MAR 2026</t>
  </si>
  <si>
    <t>2524</t>
  </si>
  <si>
    <t>2536</t>
  </si>
  <si>
    <t>10.1109/JBHI.2025.3604595</t>
  </si>
  <si>
    <t>http://dx.doi.org/10.1109/JBHI.2025.3604595</t>
  </si>
  <si>
    <t>Computer Science, Information Systems; Computer Science, Interdisciplinary Applications; Mathematical &amp; Computational Biology; Medical Informatics</t>
  </si>
  <si>
    <t>Computer Science; Mathematical &amp; Computational Biology; Medical Informatics</t>
  </si>
  <si>
    <t>ER7NM</t>
  </si>
  <si>
    <t>40889320</t>
  </si>
  <si>
    <t>WOS:001708168300046</t>
  </si>
  <si>
    <t>Zhao, DW; Xi, JF; Guo, X; Chai, JT; Xu, ZS; Li, L; Xue, Y; Sun, QY; Zheng, YG; Liu, SY</t>
  </si>
  <si>
    <t>Lung cancer care involves coupled tasks such as precise nodule detection, patient-level survival risk estimation, and nodule count quantification, typically handled by separate systems despite clear interdependence. We present VITALIS, a multimodal vision-language framework that fuses CT and PET/CT imaging with structured radiology text using a graph-aware Transformer: Laplacian diffusion enriches token features on an image-text graph, while structural and prior-guided attention focus computation on anatomically and clinically related contexts, followed by bidirectional image-text conditioning to form a fused patient representation. This representation parameterizes a continuous-time latent risk process governed by a context-modulated Neural ODE, enabling individualized continuous-time modeling of time-to-event risk. Task-specific heads decode the latent trajectory into nodule detection, nodule malignancy classification, survival risk estimation, and nodule count prediction. Evaluated on three public cohorts, the framework delivers accurate delineations, low-false-positive localization, calibrated survival risk estimates, and consistent nodule counts across tasks. These findings indicate that coupling graph-aware multimodal encoding with continuous-time latent dynamics provides a coherent basis for integrated diagnostic and prognostic modeling in lung cancer.</t>
  </si>
  <si>
    <t>Zhao, Danwen; Xi, Junfeng; Guo, Xun; Chai, Jintao; Xu, Zhengshui; Li, Liang; Xue, Yan; Sun, Qingyu; Zheng, Yinggang; Liu, Shiyuan</t>
  </si>
  <si>
    <t>Liu, SY (corresponding author), Xi An Jiao Tong Univ, Affiliated Hosp 2, Dept Thorac Surg, Xian 710004, Peoples R China.; Sun, QY (corresponding author), Jiangwan Hosp Hongkou Dist, Dept Anesthesiol, Shanghai, Peoples R China.; Zheng, YG (corresponding author), Tongji Univ, Translat Res Inst Brain &amp; Brain Like Intelligence, Clin Res Ctr Anesthesiol &amp; Perioperat Med,Sch Med, Shanghai Peoples Hosp 4,Shanghai Key Lab Anesthesi, Shanghai, Peoples R China.; Liu, SY (corresponding author), Xi An Jiao Tong Univ, Key Lab Surg Crit Care &amp; Life Support, Minist Educ, Xian, Peoples R China.</t>
  </si>
  <si>
    <t>sunqingyu1220@163.com; liushiyuan@xjtu.edu.cn; ingopro@163.com</t>
  </si>
  <si>
    <t>Yulin City Science and Technology Plan Project [2024-SF-024]</t>
  </si>
  <si>
    <t>Yulin City Science and Technology Plan Project</t>
  </si>
  <si>
    <t>This work is supported by the Yulin City Science and Technology Plan Project(2024-SF-024).</t>
  </si>
  <si>
    <t>[Zhao, Danwen; Guo, Xun; Chai, Jintao; Xu, Zhengshui; Li, Liang; Xue, Yan; Liu, Shiyuan] Xi An Jiao Tong Univ, Affiliated Hosp 2, Dept Thorac Surg, Xian 710004, Peoples R China; [Xi, Junfeng] First Hosp Yulin City, Dept Thorac Surg, Yulin, Peoples R China; [Sun, Qingyu] Jiangwan Hosp Hongkou Dist, Dept Anesthesiol, Shanghai, Peoples R China; [Zheng, Yinggang] Tongji Univ, Translat Res Inst Brain &amp; Brain Like Intelligence, Clin Res Ctr Anesthesiol &amp; Perioperat Med,Sch Med, Shanghai Peoples Hosp 4,Shanghai Key Lab Anesthesi, Shanghai, Peoples R China; [Liu, Shiyuan] Xi An Jiao Tong Univ, Key Lab Surg Crit Care &amp; Life Support, Minist Educ, Xian, Peoples R China</t>
  </si>
  <si>
    <t>Xi'an Jiaotong University; Tongji University; Xi'an Jiaotong University</t>
  </si>
  <si>
    <t>Graphicalized vision-language modeling for comprehensive lung nodule analysis and risk stratification</t>
  </si>
  <si>
    <t>50</t>
  </si>
  <si>
    <t>APR 11 2026</t>
  </si>
  <si>
    <t>442</t>
  </si>
  <si>
    <t>10.1038/s41746-026-02602-9</t>
  </si>
  <si>
    <t>http://dx.doi.org/10.1038/s41746-026-02602-9</t>
  </si>
  <si>
    <t>JI8PX</t>
  </si>
  <si>
    <t>41965884</t>
  </si>
  <si>
    <t>WOS:001790372400002</t>
  </si>
  <si>
    <t>Edirisinghe, D; Nimalsiri, W; Hennayake, M; Meedeniya, D; Lim, G</t>
  </si>
  <si>
    <t>Automated radiology report generation is essential for assisting radiologists in managing the growing volume of chest radiographs. Unlike conventional image captioning models, radiology report generation must prioritize abnormality-specific feature extraction over generic image features. However, existing models lack an inherent mechanism to extract clinically significant abnormality features directly from radiographs without relying on external knowledge bases or auxiliary models. Additionally, most existing approaches use a single vision encoder, limiting their ability to capture complementary visual cues essential for accurate abnormality identification. To address these limitations, we introduce META-CXR (Multimodal Expert Tokens-based VLM for Abnormality-Guided Chest X-ray Reporting), a vision-language model (VLM) designed to enhance both abnormality classification and radiology report generation. META-CXR employs a multi-encoder visual backbone that combines CNNs, ViTs, and Swin Transformers to extract diverse and complementary visual features. These multi-encoder features serve as a shared representation and are utilized in two key components of the architecture: the META-Former module, a modified Q-Former designed to fuse heterogeneous encoder outputs into a unified token space for effective report generation, and the Multi-Head Cross Attention Classification (MHCAC) module, which performs multi-class, multi-label abnormality classification, including an explicit "uncertain" category. The identified abnormalities are then integrated into the language modeling process as soft prompts to ensure clinically coherent and diagnosis-aware report generation using a large language model (LLM). META-CXR achieves state-of-the-art performance, demonstrating an F1-score of 0.699 for cross-domain multi-class, multi-label abnormality classification on the CheXpert dataset. Additionally, it achieves strong natural language generation results, with a BERTScore of 0.426 and a METEOR score of 0.173 on the MIMIC-CXR test set. Ablation studies validate the contributions of the multi-encoder backbone, hierarchical classification via MHCAC, the META-Former fusion strategy, and classification-aware report generation. Furthermore, attention map visualizations improve interpretability by highlighting clinically relevant image regions, offering radiologists transparent insights into model decisions. By addressing key challenges in abnormality-specific feature extraction, uncertainty-aware classification, and diagnosis-driven reporting, META-CXR establishes a new benchmark for vision-language models in radiology AI.</t>
  </si>
  <si>
    <t>Edirisinghe, Dasith; Nimalsiri, Wimukthi; Hennayake, Mahela; Meedeniya, Dulani; Lim, Gilbert</t>
  </si>
  <si>
    <t>Meedeniya, D (corresponding author), Univ Moratuwa, Dept Comp Sci &amp; Engn, Katubedda 10400, Moratuwa, Sri Lanka.</t>
  </si>
  <si>
    <t>dulanim@cse.mrt.ac.lk</t>
  </si>
  <si>
    <t>[Edirisinghe, Dasith; Nimalsiri, Wimukthi; Hennayake, Mahela; Meedeniya, Dulani] Univ Moratuwa, Dept Comp Sci &amp; Engn, Katubedda 10400, Moratuwa, Sri Lanka; [Nimalsiri, Wimukthi] SingHealth Grp, SingHlth AI Hlth Program, Singapore 168582, Singapore</t>
  </si>
  <si>
    <t>University Moratuwa</t>
  </si>
  <si>
    <t>Chest X-Ray Report Generation Using Abnormality Guided Vision Language Model</t>
  </si>
  <si>
    <t>Visualization; Feature extraction; Radiology; Medical diagnostic imaging; Accuracy; Transformers; X-ray imaging; Large language models; Computational modeling; Convolutional neural networks; Artificial intelligence; abnormality classification; chest X-ray reporting; computer vision; deep learning; multi-modal; vision-language model</t>
  </si>
  <si>
    <t>Meedeniya, Dulani/P-3381-2016; Lim, Gilbert/N-7322-2017</t>
  </si>
  <si>
    <t>Meedeniya, Dulani/0000-0002-4520-3819; Lim, Gilbert/0000-0002-5381-9250</t>
  </si>
  <si>
    <t>74</t>
  </si>
  <si>
    <t>157651</t>
  </si>
  <si>
    <t>157673</t>
  </si>
  <si>
    <t>10.1109/ACCESS.2025.3606961</t>
  </si>
  <si>
    <t>http://dx.doi.org/10.1109/ACCESS.2025.3606961</t>
  </si>
  <si>
    <t>7HZ6U</t>
  </si>
  <si>
    <t>WOS:001571485600045</t>
  </si>
  <si>
    <t>Chen, L; Chen, YL; Ouyang, Z; Dou, H; Zhang, YW; Sang, HW</t>
  </si>
  <si>
    <t>Vision-language pre-training models have achieved significant success in the field of medical imaging but have exhibited vulnerability to adversarial examples. Although adversarial attacks are harmful, they are valuable in revealing the weaknesses of VLP models and enhancing their robustness. However, due to the under-utilization of modal differences and consistent features in existing methods, the attack effectiveness and migration of adversarial samples are not satisfactory. To address this issue and enhance attack effectiveness and transferability, we propose the multimodal feature heterogeneous attack framework. To enhance the adversarial capability, we propose a feature heterogenization method based on triplet contrastive learning, utilizing data augmentation and cross-modal global contrastive learning, intra-modal contrastive learning, and cross-modal global-local mutual information contrastive learning. This further heterogenizes the consistent features between modalities into distinct features, thereby improving the adversarial capability. To improve transferability, we propose a cross-modal variance aggregation-based multi-domain feature perturbation method, using text-guided image attacks to perturb consistent spatial and frequency features while combining previous gradient momentum, achieving better transferability. Extensive experiments demonstrate MFHA's significant advantage in transferable attack capability, with an average improvement of 16.05%, and outstanding attack performance on multimodal large language models like MiniGPT4 and LLaVA. The work we did has been open-sourced on GitHub: https://github.com/doyoudooo/MFHA.</t>
  </si>
  <si>
    <t>Chen, Long; Chen, Yuling; Ouyang, Zhi; Dou, Hui; Zhang, Yangwen; Sang, Haiwei</t>
  </si>
  <si>
    <t>Chen, YL (corresponding author), Guizhou Univ, State Key Lab Publ Big Data, Guiyang 550025, Peoples R China.; Chen, YL (corresponding author), Guizhou Univ, Coll Comp Sci &amp; Technol, Guiyang 550025, Peoples R China.</t>
  </si>
  <si>
    <t>ylchen3@gzu.edu.cn</t>
  </si>
  <si>
    <t>Foundation of National Natural Science Foundation of China; Scientific and Technological Research Projects from Guizhou Education Department [Qian jiao ji [2023]003]; Guizhou Provincial Department of Science and Technology's Hundred-Level Innovation Talent Project [[2023]018]; Guizhou Province Major Project (Qiankehe Major Project) [[2024] 003]; Foundation of Chongqing Key Laboratory of Public Big Data Security Technology [CQKL-QJ202300001]; Top Technology Talent Project from Guizhou Education Department [Qian jiao ji [2022]073]; Science and Technology Program of GuiYang [ZK[2024]-1-2]; Guizhou Provincial Basic Research Program(Natural Science) [ZK[2024], 652]; National Natural Science Foundation of China Regional Science Fund Project [72261004]</t>
  </si>
  <si>
    <t>Foundation of National Natural Science Foundation of China (National Natural Science Foundation of China (NSFC)); Scientific and Technological Research Projects from Guizhou Education Department; Guizhou Provincial Department of Science and Technology's Hundred-Level Innovation Talent Project; Guizhou Province Major Project (Qiankehe Major Project); Foundation of Chongqing Key Laboratory of Public Big Data Security Technology; Top Technology Talent Project from Guizhou Education Department; Science and Technology Program of GuiYang; Guizhou Provincial Basic Research Program(Natural Science); National Natural Science Foundation of China Regional Science Fund Project</t>
  </si>
  <si>
    <t>This research is supported by Foundation of National Natural Science Foundation of China (62202118), Scientific and Technological Research Projects from Guizhou Education Department (Qian jiao ji [2023]003), Guizhou Provincial Department of Science and Technology's Hundred-Level Innovation Talent Project (QianKeHe Platform Talent-GCC[2023]018), Guizhou Province Major Project (Qiankehe Major Project No. [2024] 003), Foundation of Chongqing Key Laboratory of Public Big Data Security Technology (CQKL-QJ202300001), Top Technology Talent Project from Guizhou Education Department (Qian jiao ji [2022]073), Science and Technology Program of GuiYang:(ZK[2024]-1-2), Guizhou Provincial Basic Research Program(Natural Science):ZK[2024](652), National Natural Science Foundation of China Regional Science Fund Project (72261004).</t>
  </si>
  <si>
    <t>[Chen, Long; Chen, Yuling; Ouyang, Zhi; Dou, Hui; Zhang, Yangwen] Guizhou Univ, State Key Lab Publ Big Data, Guiyang 550025, Peoples R China; [Chen, Yuling; Dou, Hui; Zhang, Yangwen] Guizhou Univ, Coll Comp Sci &amp; Technol, Guiyang 550025, Peoples R China; [Sang, Haiwei] Guizhou Educ Univ, Sch Math &amp; Comp Sci, Guiyang 550025, Peoples R China</t>
  </si>
  <si>
    <t>Guizhou University; Guizhou University; Guizhou Education University</t>
  </si>
  <si>
    <t>Boosting adversarial transferability in vision-language models via multimodal feature heterogeneity</t>
  </si>
  <si>
    <t>OUYANG, Zhi/AFQ-8713-2022</t>
  </si>
  <si>
    <t>MAR 2 2025</t>
  </si>
  <si>
    <t>7366</t>
  </si>
  <si>
    <t>10.1038/s41598-025-91802-6</t>
  </si>
  <si>
    <t>http://dx.doi.org/10.1038/s41598-025-91802-6</t>
  </si>
  <si>
    <t>22</t>
  </si>
  <si>
    <t>Z1D9N</t>
  </si>
  <si>
    <t>40025193</t>
  </si>
  <si>
    <t>WOS:001436409500001</t>
  </si>
  <si>
    <t>Li, MX; Deng, WH; Wu, ZX; Jin, CX; Wu, JM; Han, Y; Tsoi, JKH; Xia, GS; Huang, C</t>
  </si>
  <si>
    <t>Vision-language models (VLMs) have demonstrated significant potential in medical image analysis, yet their application in intraoral photography remains largely underexplored due to the lack of fine-grained, annotated datasets and comprehensive benchmarks. To address this, we present MetaDent, a comprehensive resource that includes 1) a novel and large-scale dentistry image dataset collected from clinical, public, and web sources; 2) a semistructured annotation framework designed to capture the hierarchical and clinically nuanced nature of dental photography; and 3) comprehensive benchmark suites for evaluating state-of-the-art VLMs on clinical image understanding. Our labeling approach combines a high-level image summary with point-by-point, free-text descriptions of abnormalities. This method enables rich, scalable, and task-agnostic representations. We curated 60,669 dental images from diverse sources and annotated a representative subset of 2,588 images using this meta-labeling scheme. Leveraging large language models (LLMs), we derive standardized benchmarks: approximately 15,000 visual question answering (VQA) pairs and an 18-class multilabel classification dataset, which we validated with human review and error analysis to justify that the LLM-driven transition reliably preserves fidelity and semantic accuracy. We then evaluate state-of-the-art VLMs across VQA, classification, and image captioning tasks. Quantitative results reveal that even the most advanced models struggle with a fine-grained understanding of intraoral scenes, achieving moderate accuracy (e.g., less than 70% in VQA) and producing inconsistent or incomplete descriptions in image captioning. These findings underscore the gap between general-purpose VLMs and the demands of specialized models, highlighting the need for domain-adapted training and more sophisticated evaluation protocols to assist professional dental practice and community oral health efforts. We publicly release our dataset, annotations, and tools to foster reproducible research and accelerate the development of vision-language systems for dental applications.</t>
  </si>
  <si>
    <t>Li, M. -X.; Deng, W. -H.; Wu, Z. -X.; Jin, C. X.; Wu, J. -M.; Han, Y.; Tsoi, J. K. H.; Xia, G. -S.; Huang, C.</t>
  </si>
  <si>
    <t>Xia, GS (corresponding author), Wuhan Univ, Sch Artificial Intelligence, 299 Bayi Rd, Wuhan 430072, Hubei, Peoples R China.; Huang, C (corresponding author), Wuhan Univ, Sch &amp; Hosp Stomatol, 237 Luoyu Rd, Wuhan 430079, Hubei, Peoples R China.</t>
  </si>
  <si>
    <t>huangcui@whu.edu.cn; guisong.xia@whu.edu.cn</t>
  </si>
  <si>
    <t>Natural Science Foundation of Hubei Province [2024AFB033]; National Natural Science Foundation of China [82401200]; Department of Science and Technology of Hubei Province [2023BAB058]; National College Students Innovation and Entrepreneurship Training Program [202510486171]</t>
  </si>
  <si>
    <t>Natural Science Foundation of Hubei Province (Natural Science Foundation of Hubei Province); National Natural Science Foundation of China (National Natural Science Foundation of China (NSFC)); Department of Science and Technology of Hubei Province; National College Students Innovation and Entrepreneurship Training Program</t>
  </si>
  <si>
    <t>The authors disclosed receipt of the following financial support for the research, authorship, and/or publication of this article: This study was funded by the National Natural Science Foundation of China (82401200), Natural Science Foundation of Hubei Province (2024AFB033), Key R&amp;D Program of Hubei Provincial Department of Science and Technology (2023BAB058), and National College Students Innovation and Entrepreneurship Training Program (202510486171).</t>
  </si>
  <si>
    <t>[Li, M. -X.; Wu, Z. -X.; Jin, C. X.; Huang, C.] Wuhan Univ, State Key Lab Oral &amp; Maxillofacial Reconstruct &amp; R, Key Lab Oral Biomed,Hubei Key Lab Stomatol, Sch &amp; Hosp Stomatol,Dept Prosthodont,Minist Educ, Wuhan, Hubei, Peoples R China; [Li, M. -X.; Xia, G. -S.] Wuhan Univ, Sch Artificial Intelligence, 299 Bayi Rd, Wuhan 430072, Hubei, Peoples R China; [Deng, W. -H.] Wuhan Univ, Sch Comp Sci, Wuhan, Hubei, Peoples R China; [Wu, J. -M.; Tsoi, J. K. H.] Univ Hong Kong, Fac Dent, Dent Mat Sci, Clin Artificial Intelligence, Hong Kong, Peoples R China; [Han, Y.] Purdue Univ, Sch Elect &amp; Comp Engn, W Lafayette, IN USA</t>
  </si>
  <si>
    <t>Wuhan University; Wuhan University; Wuhan University; University of Hong Kong; Purdue University System; Purdue University</t>
  </si>
  <si>
    <t>MetaDent: Labeling Clinical Images for Vision-Language Models in Dentistry</t>
  </si>
  <si>
    <t>JOURNAL OF DENTAL RESEARCH</t>
  </si>
  <si>
    <t>Article; Early Access</t>
  </si>
  <si>
    <t>artificial intelligence; benchmark; dataset; digital health; intraoral photography; large language models</t>
  </si>
  <si>
    <t>Tsoi, James/F-6203-2012; Li, Mengxun/HZL-1043-2023</t>
  </si>
  <si>
    <t>SAGE PUBLICATIONS INC</t>
  </si>
  <si>
    <t>THOUSAND OAKS</t>
  </si>
  <si>
    <t>2455 TELLER RD, THOUSAND OAKS, CA 91320 USA</t>
  </si>
  <si>
    <t>0022-0345</t>
  </si>
  <si>
    <t>1544-0591</t>
  </si>
  <si>
    <t>J DENT RES</t>
  </si>
  <si>
    <t>J. Dent. Res.</t>
  </si>
  <si>
    <t>10.1177/00220345261424242</t>
  </si>
  <si>
    <t>http://dx.doi.org/10.1177/00220345261424242</t>
  </si>
  <si>
    <t>Dentistry, Oral Surgery &amp; Medicine</t>
  </si>
  <si>
    <t>FB8VY</t>
  </si>
  <si>
    <t>41834391</t>
  </si>
  <si>
    <t>WOS:001715052700001</t>
  </si>
  <si>
    <t>hybrid; Green Submitted</t>
  </si>
  <si>
    <t>Wienholt, P; Caselitz, S; Siepmann, R; Bruners, P; Bressem, K; Kuhl, C; Kather, JN; Nebelung, S; Truhn, D</t>
  </si>
  <si>
    <t>Objective To determine whether using discrete semantic entropy (DSE) to reject questions likely to generate hallucinations can improve the accuracy of black-box vision-language models (VLMs) in radiologic image-based visual question answering (VQA). Materials and methods This retrospective study evaluated DSE using two publicly available, de-identified datasets: the VQA-Med 2019 benchmark (500 images with clinical questions and short-text answers) and a diagnostic radiology dataset (206 cases: 60 computed tomography scans, 60 magnetic resonance images, 60 radiographs, 26 angiograms) with corresponding ground-truth diagnoses. GPT-4o and GPT-4.1 (Generative Pretrained Transformer) answered each question 15 times using a temperature of 1.0. Baseline accuracy was determined using low-temperature answers (0.1). Meaning-equivalent responses were grouped using bidirectional entailment checks, and DSE was computed from the relative frequencies of the resulting semantic clusters. Accuracy was recalculated after excluding questions with DSE &gt; 0.6 or &gt; 0.3. p values and 95% confidence intervals were obtained using bootstrap resampling and a Bonferroni-corrected threshold of p &lt; 0.004 for statistical significance. Results Across 706 image-question pairs, baseline accuracy was 51.7% for GPT-4o and 54.8% for GPT-4.1. After filtering out high-entropy questions (DSE &gt; 0.3), accuracy on the remaining questions was 76.3% (retained questions: 334/706) for GPT-4o and 63.8% (retained questions: 499/706) for GPT-4.1 (both p &lt; 0.001). Accuracy gains were observed across both datasets and largely remained statistically significant after Bonferroni correction. Conclusion DSE enables reliable hallucination detection in black-box VLMs by quantifying semantic inconsistency. This method significantly improves diagnostic answer accuracy and offers a filtering strategy for clinical VLM applications.</t>
  </si>
  <si>
    <t>Wienholt, Patrick; Caselitz, Sophie; Siepmann, Robert; Bruners, Philipp; Bressem, Keno; Kuhl, Christiane; Kather, Jakob Nikolas; Nebelung, Sven; Truhn, Daniel</t>
  </si>
  <si>
    <t>Wienholt, P (corresponding author), Univ Hosp RWTH Aachen, Dept Diagnost &amp; Intervent Radiol, Lab Artificial Intelligence Med, Aachen, Germany.; Wienholt, P (corresponding author), Univ Hosp RWTH Aachen, Dept Diagnost &amp; Intervent Radiol, Aachen, Germany.</t>
  </si>
  <si>
    <t>pwienholt@ukaachen.de</t>
  </si>
  <si>
    <t>National Institutes of Health NIH [EPICO, R01 CA263318]; European Research Council ERC [NADIR, 101114631]; German Research Foundation DFG [CRC/TR 412, 535081457; SFB 1709/1 2025, 533056198]; Deutsche Forschungsgemeinschaft [NE 2136/7-1, NE 2136/3-1, TR 1700/7-1]; HORIZON EUROPE European Innovation Ecosystems [ODELIA, 101057091; GENIAL, 101096312]; German Federal Joint Committee G-BA [TransplantKI, 01VSF21048]; National Institute for Health and Care Research NIHR [Leeds Biomedical Research Centre, NIHR203331]; German Academic Exchange Service DAAD [SECAI, 57616814]; German Cancer Aid DKH [DECADE, 70115166]; German Federal Ministry of Research, Technology and Space BMFTR [Transform Liver - 031L0312C, DECIPHER-M - 01KD2420B, PEARL, 01KD2104C; CAMINO, 01EO2101; TRANSFORM LIVER, 031L0312A; TANGERINE, 01KT2302 through ERA-NET Transcan; Come2Data, 16DKZ2044A; DEEP-HCC, 031L0315A; DECIPHER-M, 01KD2420A; NextBIG, 01ZU2402A]; European Union Research and Innovation Programme [ODELIA - GA 101057091]</t>
  </si>
  <si>
    <t>National Institutes of Health NIH (United States Department of Health &amp; Human Services, National Institutes of Health (NIH) - USA); European Research Council ERC (European Research Council (ERC)); German Research Foundation DFG (German Research Foundation (DFG)); Deutsche Forschungsgemeinschaft (German Research Foundation (DFG)); HORIZON EUROPE European Innovation Ecosystems; German Federal Joint Committee G-BA; National Institute for Health and Care Research NIHR; German Academic Exchange Service DAAD (Deutscher Akademischer Austausch Dienst (DAAD)); German Cancer Aid DKH (Deutsche Krebshilfe); German Federal Ministry of Research, Technology and Space BMFTR; European Union Research and Innovation Programme</t>
  </si>
  <si>
    <t>This research is supported by the Deutsche Forschungsgemeinschaft - DFG (NE 2136/7-1, NE 2136/3-1, and TR 1700/7-1), the German Federal Ministry of Research, Technology and Space (Transform Liver-031L0312C, DECIPHER-M-01KD2420B), and the European Union Research and Innovation Programme (ODELIA-GA 101057091). J.N.K. is supported by the German Cancer Aid DKH (DECADE, 70115166), the German Federal Ministry of Research, Technology and Space BMFTR (PEARL, 01KD2104C; CAMINO, 01EO2101; TRANSFORM LIVER, 031L0312A; TANGERINE, 01KT2302 through ERA-NET Transcan; Come2Data, 16DKZ2044A; DEEP-HCC, 031L0315A; DECIPHER-M, 01KD2420A; NextBIG, 01ZU2402A), the German Research Foundation DFG (CRC/TR 412, 535081457; SFB 1709/1 2025, 533056198), the German Academic Exchange Service DAAD (SECAI, 57616814), the German Federal Joint Committee G-BA (TransplantKI, 01VSF21048), the European Union EU's Horizon Europe research and innovation programme (ODELIA, 101057091; GENIAL, 101096312), the European Research Council ERC (NADIR, 101114631), the National Institutes of Health NIH (EPICO, R01 CA263318), and the National Institute for Health and Care Research NIHR (Leeds Biomedical Research Centre, NIHR203331).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 Open Access funding enabled and organized by Projekt DEAL.</t>
  </si>
  <si>
    <t>[Wienholt, Patrick; Caselitz, Sophie; Siepmann, Robert; Nebelung, Sven; Truhn, Daniel] Univ Hosp RWTH Aachen, Dept Diagnost &amp; Intervent Radiol, Lab Artificial Intelligence Med, Aachen, Germany; [Wienholt, Patrick; Caselitz, Sophie; Siepmann, Robert; Bruners, Philipp; Kuhl, Christiane; Nebelung, Sven; Truhn, Daniel] Univ Hosp RWTH Aachen, Dept Diagnost &amp; Intervent Radiol, Aachen, Germany; [Bressem, Keno] Tech Univ Munich, TUM Univ Hosp, Dept Diagnost &amp; Intervent Radiol, Sch Med &amp; Hlth,Klinikum rechts der Isar, Munich, Germany; [Bressem, Keno] Tech Univ Munich, TUM Univ Hosp, German Heart Ctr, Sch Med &amp; Hlth,Dept Cardiovasc Radiol &amp; Nucl Med, Munich, Germany; [Kather, Jakob Nikolas] TUD Dresden Univ Technol, Fac Med, Else Kroener Fresenius Ctr Digital Hlth, Dresden, Germany; [Kather, Jakob Nikolas] TUD Dresden Univ Technol, Univ Hosp Carl Gustav Carus, Dresden, Germany; [Kather, Jakob Nikolas] TUD Dresden Univ Technol, Fac Med, Dept Med 1, Dresden, Germany; [Kather, Jakob Nikolas] Univ Leeds, Leeds Inst Med Res St Jamess, Pathol &amp; Data Analyt, Leeds, England; [Kather, Jakob Nikolas] Univ Hosp Heidelberg, Natl Ctr Tumor Dis NCT, Med Oncol, Heidelberg, Germany</t>
  </si>
  <si>
    <t>RWTH Aachen University; RWTH Aachen University Hospital; RWTH Aachen University; RWTH Aachen University Hospital; Technical University of Munich; German Heart Centre Munich; Technical University of Munich; Technische Universitat Dresden; Technische Universitat Dresden; Carl Gustav Carus University Hospital; Technische Universitat Dresden; University of Leeds; Ruprecht Karls University Heidelberg; Helmholtz Association; National Center for Tumor Diseases; German Cancer Research Center (DKFZ)</t>
  </si>
  <si>
    <t>Hallucination filtering in radiology vision-language models using discrete semantic entropy</t>
  </si>
  <si>
    <t>EUROPEAN RADIOLOGY</t>
  </si>
  <si>
    <t>Entropy; Generative artificial intelligence; Image interpretation (Computer-assisted); Diagnostic imaging; Data accuracy</t>
  </si>
  <si>
    <t>Kather, Jakob Nikolas/D-4279-2015; Truhn, Daniel/AAG-9359-2021; Kuhl, Christiane/H-3301-2013; Bressem, Keno/AAX-8241-2020; Bruners, Philipp/AAK-9165-2021; Nebelung, Sven/ACI-2600-2022</t>
  </si>
  <si>
    <t>Kather, Jakob Nikolas/0000-0002-3730-5348; Wienholt, Patrick/0009-0007-8350-4288</t>
  </si>
  <si>
    <t>0938-7994</t>
  </si>
  <si>
    <t>1432-1084</t>
  </si>
  <si>
    <t>EUR RADIOL</t>
  </si>
  <si>
    <t>Eur. Radiol.</t>
  </si>
  <si>
    <t>10.1007/s00330-026-12384-z</t>
  </si>
  <si>
    <t>http://dx.doi.org/10.1007/s00330-026-12384-z</t>
  </si>
  <si>
    <t>EA9GK</t>
  </si>
  <si>
    <t>41720937</t>
  </si>
  <si>
    <t>WOS:001696738200001</t>
  </si>
  <si>
    <t>Zhao, YQ; Meng, M; Wu, JG</t>
  </si>
  <si>
    <t>Zero-Shot Anomaly Detection (ZSAD) has emerged as a promising approach for identifying unseen defects without requiring annotated training samples, but existing methods typically focus only on image-level detection and overlook fine-grained pixel-level localization. To address this gap, we propose AnomalyLVM, a unified vision-language framework designed to simultaneously handle image-level classification and pixel-level segmentation in zero-shot settings. AnomalyLVM leverages frozen SAM2 and DINO-X as dual visual encoders to extract complementary spatial and semantic features, which are fused and decoded via a lightweight decoder to generate localization maps. Meanwhile, a frozen CLIP text encoder guides image-level detection through semantic similarity matching. To enhance the accuracy of pixel-wise supervision, we introduce a Feature Enhancement Module (FEM) that dynamically refines static LayerCAM maps by integrating attention cues from both visual encoders and decoder affinity signals, resulting in more consistent and context-aware pseudo labels. Additionally, we adopt a prompt-free, object-agnostic strategy that replaces handcrafted templates with learnable, generic prompts, enabling AnomalyLVM to generalize across diverse categories and defect types without relying on domain-specific knowledge. Extensive experiments conducted across 17 real-world anomaly detection datasets from industrial and medical domains indicate that AnomalyLVM outperforms other ZSAD methods and can generalize better to different categories and even domains. Code will be made available at https://github.com/hanli6688/AnomalyLVM</t>
  </si>
  <si>
    <t>Zhao, Yuqing; Meng, Min; Wu, Jigang</t>
  </si>
  <si>
    <t>Wu, JG (corresponding author), Guangdong Univ Technol, Sch Comp Sci, Guangzhou 510006, Guangdong, Peoples R China.</t>
  </si>
  <si>
    <t>mengmin1985@gmail.com; asjgwu@gdut.edu.cn; beiyouzyq@gmail.com</t>
  </si>
  <si>
    <t>Guangzhou Basic and Applied Basic Research Foundation [2025A04J7144]</t>
  </si>
  <si>
    <t>Guangzhou Basic and Applied Basic Research Foundation</t>
  </si>
  <si>
    <t>This work was supported in part by the National Natural Science Foundation of China under Grant 62172109 and in part by</t>
  </si>
  <si>
    <t>[Zhao, Yuqing; Meng, Min; Wu, Jigang] Guangdong Univ Technol, Sch Comp Sci, Guangzhou 510006, Guangdong, Peoples R China</t>
  </si>
  <si>
    <t>Guangdong University of Technology</t>
  </si>
  <si>
    <t>AnomalyLVM:Vision-language models for zero-shot anomaly detection</t>
  </si>
  <si>
    <t>EXPERT SYSTEMS WITH APPLICATIONS</t>
  </si>
  <si>
    <t>Anomaly detection; Vision-language model; Zero-shot learning; Prompt learning</t>
  </si>
  <si>
    <t>57</t>
  </si>
  <si>
    <t>20</t>
  </si>
  <si>
    <t>PERGAMON-ELSEVIER SCIENCE LTD</t>
  </si>
  <si>
    <t>OXFORD</t>
  </si>
  <si>
    <t>THE BOULEVARD, LANGFORD LANE, KIDLINGTON, OXFORD OX5 1GB, ENGLAND</t>
  </si>
  <si>
    <t>0957-4174</t>
  </si>
  <si>
    <t>1873-6793</t>
  </si>
  <si>
    <t>EXPERT SYST APPL</t>
  </si>
  <si>
    <t>Expert Syst. Appl.</t>
  </si>
  <si>
    <t>MAY 25 2026</t>
  </si>
  <si>
    <t>312</t>
  </si>
  <si>
    <t>131392</t>
  </si>
  <si>
    <t>10.1016/j.eswa.2026.131392</t>
  </si>
  <si>
    <t>http://dx.doi.org/10.1016/j.eswa.2026.131392</t>
  </si>
  <si>
    <t>18</t>
  </si>
  <si>
    <t>Computer Science, Artificial Intelligence; Engineering, Electrical &amp; Electronic; Operations Research &amp; Management Science</t>
  </si>
  <si>
    <t>Computer Science; Engineering; Operations Research &amp; Management Science</t>
  </si>
  <si>
    <t>DQ4NN</t>
  </si>
  <si>
    <t>WOS:001689622700001</t>
  </si>
  <si>
    <t>Li, V; Kamalakannan, N; Parnandi, A; Schambra, H; Fernandez-Granda, C</t>
  </si>
  <si>
    <t>Vision-language models (VLMs) have demonstrated remarkable performance across a wide range of computer-vision tasks, sparking interest in their potential for digital health applications. Here, we apply VLMs to two fundamental challenges in data-driven stroke rehabilitation: automatic quantification of rehabilitation dose and impairment from videos. We formulate these problems as motion-identification tasks, which can be addressed using VLMs. We evaluate our proposed framework on 20 healthy controls and 51 stroke survivors. Our results show that current VLMs lack the fine-grained motion understanding required for precise quantification: dose estimates are comparable to a baseline that excludes visual information, and impairment scores cannot be reliably predicted. Nevertheless, several findings suggest future promise. With optimized prompting and post-processing, VLMs can classify high-level activities from a few frames, detect motion and grasp with moderate accuracy, and approximate dose counts within 30% of ground truth for mildly impaired and healthy participants, all without task-specific training or finetuning. These results highlight both the current limitations and emerging opportunities of VLMs for data-driven stroke rehabilitation and broader clinical video analysis.</t>
  </si>
  <si>
    <t>Li, Victor; Kamalakannan, Naveenraj; Parnandi, Avinash; Schambra, Heidi; Fernandez-Granda, Carlos</t>
  </si>
  <si>
    <t>Fernandez-Granda, C (corresponding author), NYU, Ctr Data Sci, New York, NY 10012 USA.; Schambra, H (corresponding author), NYU Grossman Sch Med, Dept Neurol, New York, NY 10016 USA.; Schambra, H (corresponding author), NYU Grossman Sch Med, Dept Rehabil Med, New York, NY 10016 USA.; Fernandez-Granda, C (corresponding author), NYU, Courant Inst Math Sci, New York, NY 10016 USA.</t>
  </si>
  <si>
    <t>cfgranda@cims.nyu.edu; Heidi.Schambra@nyulangone.org</t>
  </si>
  <si>
    <t>National Science Foundation [2404476]</t>
  </si>
  <si>
    <t>National Science Foundation</t>
  </si>
  <si>
    <t>V.L., N.K., H.S. and C.F.G. were supported by U.S. National Science Foundation grant 2404476. URL: https://www.nsf.gov/funding. The funder did not play any role in the study design, data collection and analysis, decision to publish, or preparation of the manuscript.</t>
  </si>
  <si>
    <t>[Li, Victor; Kamalakannan, Naveenraj; Fernandez-Granda, Carlos] NYU, Ctr Data Sci, New York, NY 10012 USA; [Kamalakannan, Naveenraj] NYU, Tandon Sch Engn, Brooklyn, NY USA; [Parnandi, Avinash] VitalConnect, San Jose, CA USA; [Schambra, Heidi] NYU Grossman Sch Med, Dept Neurol, New York, NY 10016 USA; [Schambra, Heidi] NYU Grossman Sch Med, Dept Rehabil Med, New York, NY 10016 USA; [Fernandez-Granda, Carlos] NYU, Courant Inst Math Sci, New York, NY 10016 USA</t>
  </si>
  <si>
    <t>New York University; New York University; New York University Tandon School of Engineering; New York University</t>
  </si>
  <si>
    <t>Vision-language models for human motion understanding: Lessons from stroke rehabilitation</t>
  </si>
  <si>
    <t>PLOS DIGITAL HEALTH</t>
  </si>
  <si>
    <t>RECOVERY; CORTEX</t>
  </si>
  <si>
    <t>Parnandi, Avinash/Y-9841-2019</t>
  </si>
  <si>
    <t>PUBLIC LIBRARY SCIENCE</t>
  </si>
  <si>
    <t>SAN FRANCISCO</t>
  </si>
  <si>
    <t>1160 BATTERY STREET, STE 100, SAN FRANCISCO, CA 94111 USA</t>
  </si>
  <si>
    <t>2767-3170</t>
  </si>
  <si>
    <t>PLOS DIGIT HEALTH</t>
  </si>
  <si>
    <t>PLOS Digit. Health</t>
  </si>
  <si>
    <t>e0001506</t>
  </si>
  <si>
    <t>10.1371/journal.pdig.0001506</t>
  </si>
  <si>
    <t>http://dx.doi.org/10.1371/journal.pdig.0001506</t>
  </si>
  <si>
    <t>19</t>
  </si>
  <si>
    <t>KP7HM</t>
  </si>
  <si>
    <t>42406872</t>
  </si>
  <si>
    <t>WOS:001812663100001</t>
  </si>
  <si>
    <t>Chen, KT; Wei, LD; Rui, SH; Yuan, YF; Zhang, XL; Du, ZG; He, P; Wang, Y; Liu, MX; Zhou, M; Chen, YR</t>
  </si>
  <si>
    <t>Pathology vision-language models (VLMs) are promising for building the clinical decision support systems. However, a key barrier to real-world clinical deployment lies in the lack of rigorous and clinically meaningful model evaluation. Existing pathology visual question answering (VQA) benchmarks exhibit the weak alignment of vision-language information, insufficient support for knowledge-intensive reasoning, and a narrow disease spectrum, thereby undermining the ability to provide clinical-level evaluation of model performance. In this work, we introduce OmniPathoVQA, a new pathology VQA benchmark offering a broad disease coverage, spanning all human anatomical systems, and thousands of disease entities. To enhance well-organized visual-language alignment, we leverage pathology educational materials and design a fine-grained extraction pipeline for linking pathology images with the correct knowledge. To examine the knowledge depth for pathological reasoning, the hard-version questions are designed based on microanatomic features underlying similar diseases. A comprehensive evaluation of eighteen VLMs reveals that closed-source VLMs attain higher scores compared to open-source counterparts, yet their performance drops dramatically in difficult questions. We find that strong general reasoning ability is a crucial catalyst for the successful fine-tuning and pathology feature interpretation. Our study establishes a rigorous standard for assessing high-level reasoning and guiding the rapid development of clinical pathology VLMs.</t>
  </si>
  <si>
    <t>Chen, Kaitao; Wei, Linda; Rui, Shaohao; Yuan, Yifan; Zhang, Xialing; Du, Zunguo; He, Ping; Wang, Yu; Liu, Mianxin; Zhou, Mu; Chen, Yirong</t>
  </si>
  <si>
    <t>Liu, MX; Chen, YR (corresponding author), Shanghai Artificial Intelligence Lab, Shanghai, Peoples R China.; Wang, Y (corresponding author), Shanghai Hosp Dev Ctr, Link Healthcare Project &amp; Artificial Intelligence, Shanghai, Peoples R China.; Wang, Y (corresponding author), Shanghai First Matern &amp; Infant Hosp, Shanghai, Peoples R China.; Zhou, M (corresponding author), Rutgers State Univ, Dept Comp Sci, New Brunswick, NJ 08854 USA.</t>
  </si>
  <si>
    <t>renjiwangyu@126.com; liumianxin@pjlab.org.cn; muzhou1@stanford.edu; chenyirong@pjlab.org.cn</t>
  </si>
  <si>
    <t>Noncommunicable Chronic Diseases-National Science and Technology Major Project [2023ZD0511800]; Shanghai Action Plan for Science Technology and Innovation [2023DFY-CQN02]; Shanghai Artificial Intelligence Laboratory</t>
  </si>
  <si>
    <t>Noncommunicable Chronic Diseases-National Science and Technology Major Project; Shanghai Action Plan for Science Technology and Innovation; Shanghai Artificial Intelligence Laboratory</t>
  </si>
  <si>
    <t>This work was supported by Noncommunicable Chronic Diseases-National Science and Technology Major Project (2023ZD0511800), Shanghai Action Plan for Science Technology and Innovation (2023DFY-CQN02), and Shanghai Artificial Intelligence Laboratory.</t>
  </si>
  <si>
    <t>[Chen, Kaitao] Fudan Univ, Coll Comp Sci &amp; Artificial Intelligence, Shanghai, Peoples R China; [Chen, Kaitao; Liu, Mianxin; Chen, Yirong] Shanghai Artificial Intelligence Lab, Shanghai, Peoples R China; [Wei, Linda] CUHK SenseCare Joint Lab, Hong Kong, Peoples R China; [Rui, Shaohao] Shanghai Innovat Inst, Shanghai, Peoples R China; [Yuan, Yifan] Fudan Univ, Huashan Hosp, Dept Neurosurg, Shanghai, Peoples R China; [Zhang, Xialing; Du, Zunguo] Fudan Univ, Huashan Hosp, Dept Pathol, Shanghai, Peoples R China; [He, Ping; Wang, Yu] Shanghai Hosp Dev Ctr, Link Healthcare Project &amp; Artificial Intelligence, Shanghai, Peoples R China; [Wang, Yu] Shanghai First Matern &amp; Infant Hosp, Shanghai, Peoples R China; [Zhou, Mu] Rutgers State Univ, Dept Comp Sci, New Brunswick, NJ 08854 USA</t>
  </si>
  <si>
    <t>Fudan University; Shanghai Artificial Intelligence Laboratory; Fudan University; Fudan University; Rutgers University System; Rutgers University New Brunswick</t>
  </si>
  <si>
    <t>OmniPathoVQA: Benchmarking pathology vision-language models with Encyclopedia-scale knowledge</t>
  </si>
  <si>
    <t>MEDICAL IMAGE ANALYSIS</t>
  </si>
  <si>
    <t>Pathology vision question answering; Vision-language model; Medical benchmark</t>
  </si>
  <si>
    <t>1361-8415</t>
  </si>
  <si>
    <t>1361-8423</t>
  </si>
  <si>
    <t>MED IMAGE ANAL</t>
  </si>
  <si>
    <t>Med. Image Anal.</t>
  </si>
  <si>
    <t>SEP 2026</t>
  </si>
  <si>
    <t>113</t>
  </si>
  <si>
    <t>104196</t>
  </si>
  <si>
    <t>10.1016/j.media.2026.104196</t>
  </si>
  <si>
    <t>http://dx.doi.org/10.1016/j.media.2026.104196</t>
  </si>
  <si>
    <t>Computer Science, Artificial Intelligence; Computer Science, Interdisciplinary Applications; Engineering, Biomedical; Radiology, Nuclear Medicine &amp; Medical Imaging</t>
  </si>
  <si>
    <t>Computer Science; Engineering; Radiology, Nuclear Medicine &amp; Medical Imaging</t>
  </si>
  <si>
    <t>LF3FR</t>
  </si>
  <si>
    <t>42431152</t>
  </si>
  <si>
    <t>WOS:001823236600001</t>
  </si>
  <si>
    <t>Lv, HX; Haq, I; Du, J; Ma, JX; Zhu, BN; Dang, XB; Liang, CA; Du, RX; Zhang, YJ; Saqib, M</t>
  </si>
  <si>
    <t>The advancement of artificial intelligence in oral healthcare relies on the availability of large-scale multimodal datasets that capture the complexity of clinical practice. In this paper, we present a comprehensive multimodal dataset, comprising 8775 dental checkups from 4800 patients collected over eight years (2018-2025), with patients ranging from 10 to 90 years of age. The dataset includes 50000 intraoral photographs, 8056 radiographs, and detailed textual records, including diagnoses, treatment plans, and follow-up notes. The data were collected under standard ethical guidelines and annotated for benchmarking. To demonstrate its utility, we fine-tuned state-of-the-art large vision-language models, Qwen-VL 3B and 7B, and evaluated them on two tasks: classification of six oro-dental anomalies and generation of complete diagnostic reports from multimodal inputs. We compared the fine-tuned models with their base counterparts and GPT-4o. The fine-tuned models achieved substantial gains over these baselines, validating the dataset and underscoring its effectiveness in advancing AI-driven oro-dental healthcare solutions. The dataset is publicly available, providing an essential resource for future research in AI dentistry.</t>
  </si>
  <si>
    <t>Lv, Haoxin; Haq, Ijazul; Du, Jin; Ma, Jiaxin; Zhu, Binnian; Dang, Xiaobing; Liang, Chaoan; Du, Ruxu; Zhang, Yingjie; Saqib, Muhammad</t>
  </si>
  <si>
    <t>Haq, I (corresponding author), South China Univ Technol, Shien Ming Wu Sch Intelligent Mfg, Guangzhou 511442, Peoples R China.; Haq, I (corresponding author), Guangdong CAS Angels Biotechnol Co Ltd, Artificial Intelligence Dept, Foshan 528200, Peoples R China.</t>
  </si>
  <si>
    <t>hanjie@sjtu.edu.cn</t>
  </si>
  <si>
    <t>[Lv, Haoxin] Dept Oral Implantol, Suzhou Dent Clin Co Ltd, Suzhou 215000, Peoples R China; [Haq, Ijazul; Zhang, Yingjie] South China Univ Technol, Shien Ming Wu Sch Intelligent Mfg, Guangzhou 511442, Peoples R China; [Haq, Ijazul] Guangdong CAS Angels Biotechnol Co Ltd, Artificial Intelligence Dept, Foshan 528200, Peoples R China; [Du, Jin; Dang, Xiaobing; Du, Ruxu] Guangdong Janus Biotechnol Co Ltd, Guangzhou 511400, Peoples R China; [Ma, Jiaxin; Zhu, Binnian] Zhejiang CAS Angels Biotechnol Co, Ltd, Zhejiang 314200, Peoples R China; [Ma, Jiaxin] OMRON SIN X Corp, Tokyo 1130033, Japan; [Liang, Chaoan] MingZheng Dent Clin, Guangzhou 511400, Peoples R China; [Saqib, Muhammad] Univ Engn &amp; Technol, Dept Software Engn, Peshawar 25000, Pakistan</t>
  </si>
  <si>
    <t>South China University of Technology; University of Engineering &amp; Technology Peshawar</t>
  </si>
  <si>
    <t>A benchmark multimodal oro-dental dataset for large vision-language models</t>
  </si>
  <si>
    <t>SCIENTIFIC DATA</t>
  </si>
  <si>
    <t>Haq, Ijazul/HKV-9993-2023</t>
  </si>
  <si>
    <t>2052-4463</t>
  </si>
  <si>
    <t>SCI DATA</t>
  </si>
  <si>
    <t>Sci. Data</t>
  </si>
  <si>
    <t>990</t>
  </si>
  <si>
    <t>10.1038/s41597-026-07342-9</t>
  </si>
  <si>
    <t>http://dx.doi.org/10.1038/s41597-026-07342-9</t>
  </si>
  <si>
    <t>KS4YH</t>
  </si>
  <si>
    <t>42062311</t>
  </si>
  <si>
    <t>WOS:001814539800003</t>
  </si>
  <si>
    <t>Nan, Y; Zhou, HC; Xing, XD; Yang, G</t>
  </si>
  <si>
    <t>Recent advancements in large vision-language models (LVLMs) have demonstrated remarkable capabilities across diverse tasks, garnering significant attention in AI communities. However, their performance and reliability in specialized domains such as medicine remain insufficiently assessed. In particular, most assessments overconcentrate on evaluating VLMs based on simple visual question answering (VQA) on multimodality data while ignoring the in-depth characteristics of LVLMs. In this study, we introduce RadVUQA, a novel radiological visual understanding and question answering benchmark, to comprehensively evaluate existing LVLMs. RadVUQA mainly validates LVLMs across five dimensions: 1) anatomical understanding, assessing the models' ability to visually identify biological structures; 2) multimodal comprehension, which involves the capability of interpreting linguistic and visual instructions to produce desired outcomes; 3) quantitative and spatial reasoning, evaluating the models' spatial awareness and proficiency in combining quantitative analysis with visual and linguistic information; 4) physiological knowledge, measuring the models' capability to comprehend functions and mechanisms of organs and systems; and 5) robustness, which assesses the models' capabilities against unharmonized and synthetic data. The results indicate that both generalized LVLMs and medical-specific LVLMs have critical deficiencies with weak multimodal comprehension and quantitative reasoning capabilities. Our findings reveal the large gap between existing LVLMs and clinicians, highlighting the urgent need for more robust and intelligent LVLMs. The code is available at https://github.com/Nandayang/RadVUQA</t>
  </si>
  <si>
    <t>Nan, Yang; Zhou, Huichi; Xing, Xiaodan; Yang, Guang</t>
  </si>
  <si>
    <t>Nan, Y; Yang, G (corresponding author), Imperial Coll London, Bioengn Dept &amp; Imperial X, London W12 7SL, England.; Yang, G (corresponding author), Royal Brompton Hosp, Cardiovasc Res Ctr, London SW3 6NP, England.; Yang, G (corresponding author), Kings Coll London, Sch Biomed Engn &amp; Imaging Sci, London WC2R 2LS, England.</t>
  </si>
  <si>
    <t>y.nan20@imperial.ac.uk; g.yang@imperial.ac.uk</t>
  </si>
  <si>
    <t>OpenAI Researcher Access Program; ERC IMI [101005122]; H2020 [952172]; MRC [MC/PC/21013]; Royal Society [IEC\NSFC\211235]; NVIDIA Academic Hardware Grant Program; SABER Project of Boehringer Ingelheim Ltd.; NIHR Imperial Biomedical Research Centre [RDA01]; Wellcome Leap Dynamic Resilience; Temasek Trust; UKRI MRC Research Grant, TFS Research [MR/U506710/1]; UKRI guarantee funding for Horizon Europe MSCA Postdoctoral Fellowships [EP/Z002206/1]; UKRI Future Leaders Fellowship [MR/V023799/1]</t>
  </si>
  <si>
    <t>OpenAI Researcher Access Program; ERC IMI (European Research Council (ERC)); H2020 (Horizon 2020); MRC (UK Research &amp; Innovation (UKRI), Medical Research Council UK (MRC)); Royal Society (Royal Society UK); NVIDIA Academic Hardware Grant Program (Nvidia Corporation); SABER Project of Boehringer Ingelheim Ltd.; NIHR Imperial Biomedical Research Centre; Wellcome Leap Dynamic Resilience; Temasek Trust; UKRI MRC Research Grant, TFS Research; UKRI guarantee funding for Horizon Europe MSCA Postdoctoral Fellowships; UKRI Future Leaders Fellowship (UK Research &amp; Innovation (UKRI))</t>
  </si>
  <si>
    <t>This work was supported in part by the OpenAI Researcher Access Program; in part by ERC IMI under Grant 101005122; in part by H2020 under Grant 952172; in part by MRC under Grant MC/PC/21013; in part by the Royal Society under Grant IEC\NSFC\211235; in part by the NVIDIA Academic Hardware Grant Program; in part by the SABER Project of Boehringer Ingelheim Ltd.; in part by the NIHR Imperial Biomedical Research Centre under Grant RDA01; in part by the Wellcome Leap Dynamic Resilience (co-funded by Temasek Trust); in part by the UKRI MRC Research Grant, TFS Research Grant MR/U506710/1; in part by the UKRI guarantee funding for Horizon Europe MSCA Postdoctoral Fellowships under Grant EP/Z002206/1; and in part by the UKRI Future Leaders Fellowship under Grant MR/V023799/1.</t>
  </si>
  <si>
    <t>[Nan, Yang; Zhou, Huichi; Yang, Guang] Imperial Coll London, Bioengn Dept &amp; Imperial X, London W12 7SL, England; [Xing, Xiaodan] GSK, London WC1A 1DG, England; [Yang, Guang] Royal Brompton Hosp, Cardiovasc Res Ctr, London SW3 6NP, England; [Yang, Guang] Kings Coll London, Sch Biomed Engn &amp; Imaging Sci, London WC2R 2LS, England</t>
  </si>
  <si>
    <t>Imperial College London; GlaxoSmithKline; Glaxosmithkline United Kingdom; Royal Brompton Hospital; University of London; King's College London</t>
  </si>
  <si>
    <t>Beyond the Hype: A Dispassionate Look at Vision-Language Models in Medical Scenario</t>
  </si>
  <si>
    <t>IEEE TRANSACTIONS ON NEURAL NETWORKS AND LEARNING SYSTEMS</t>
  </si>
  <si>
    <t>Large foundation model; medical vision question answering; vision-language models (VLMs); Large foundation model; medical vision question answering; vision-language models (VLMs)</t>
  </si>
  <si>
    <t>Xing, Xiaodan/GWU-8228-2022; Yang, Guang/S-5032-2016; Nan, Yang/GYD-5196-2022</t>
  </si>
  <si>
    <t>Nan, Yang/0000-0002-4542-3336; Xing, Xiaodan/0000-0002-2468-9266</t>
  </si>
  <si>
    <t>2162-237X</t>
  </si>
  <si>
    <t>2162-2388</t>
  </si>
  <si>
    <t>IEEE T NEUR NET LEAR</t>
  </si>
  <si>
    <t>IEEE Trans. Neural Netw. Learn. Syst.</t>
  </si>
  <si>
    <t>17623</t>
  </si>
  <si>
    <t>17634</t>
  </si>
  <si>
    <t>10.1109/TNNLS.2025.3558857</t>
  </si>
  <si>
    <t>http://dx.doi.org/10.1109/TNNLS.2025.3558857</t>
  </si>
  <si>
    <t>APR 2025</t>
  </si>
  <si>
    <t>Computer Science, Artificial Intelligence; Computer Science, Hardware &amp; Architecture; Computer Science, Theory &amp; Methods; Engineering, Electrical &amp; Electronic</t>
  </si>
  <si>
    <t>8JE4K</t>
  </si>
  <si>
    <t>40272956</t>
  </si>
  <si>
    <t>WOS:001480290200001</t>
  </si>
  <si>
    <t>Abdelkader, M</t>
  </si>
  <si>
    <t>Automated object detection systems require robust quality assessment mechanisms to maintain performance when deployed in environments that deviate from training distributions. While traditional monitoring relies on statistical drift detection, these approaches lack semantic understanding necessary for triggering appropriate model adaptations. This paper presents the first comprehensive benchmarking of Vision-Language Models (VLMs) for semantic-level quality assessment of multi-domain object detection outputs. We systematically evaluate nine state-of-the-art VLM models across five diverse domains spanning medical imaging (Brain Tumor, HAM10000), aerial surveillance (VisDrone), industrial inspection (Carparts), and general detection (COCO) using ground-truth-annotated samples. Our rigorous statistical evaluation employs multi-class classification where VLMs assess the semantic correctness of detection outputs, with comprehensive analysis including accuracy metrics, coefficient of variation, and Kruskal-Wallis testing. Results reveal substantial performance heterogeneity across models and domains, with overall accuracy ranging from 8.5% to 82.8% (mean: 45.7%, SD: 18.5%). LLaVA-13B achieves the highest overall performance (48.6% accuracy, CV: 23.8%), while medical domains prove most challenging (HAM10000: 7.3% mean accuracy vs. VisDrone: 55.9%). Statistical analysis reveals significant inter-model differences within all domains (p&lt;0.001, effect sizes =0.82-0.96), confirming meaningful performance distinctions despite substantial cross-domain variation. Based on deployment criticality requirements, we establish three operational tiers: production-assistants (medical 80%, industrial 70%, surveillance 60%), supervised deployment, and research-stage systems. Our findings demonstrate that current VLMs are suitable for supervised rather than fully autonomous deployment, providing essential benchmarks and evidence-based guidelines for implementing VLM-based quality control in production computer vision systems. The benchmark code is open-source and available at .</t>
  </si>
  <si>
    <t>Abdelkader, Mohamed</t>
  </si>
  <si>
    <t>Abdelkader, M (corresponding author), Prince Sultan Univ, Robot &amp; Internet Things Lab, Riyadh, Saudi Arabia.</t>
  </si>
  <si>
    <t>mabdelkader@psu.edu.sa</t>
  </si>
  <si>
    <t>Prince Sultan University for paying the Article Processing Charges (APC)</t>
  </si>
  <si>
    <t>The author gratefully acknowledges the support provided by Prince Sultan University for paying the Article Processing Charges (APC) for this publication.</t>
  </si>
  <si>
    <t>[Abdelkader, Mohamed] Prince Sultan Univ, Robot &amp; Internet Things Lab, Riyadh, Saudi Arabia</t>
  </si>
  <si>
    <t>Prince Sultan University</t>
  </si>
  <si>
    <t>Vision-Language Models for automated quality control: a benchmarking framework and comprehensive study</t>
  </si>
  <si>
    <t>Intelligent sensing; AI-based sensing; Vision-Language Models; Quality control; Benchmarking; Real-time object detection; Autonomous systems; Multi-modal AI</t>
  </si>
  <si>
    <t>MAY 26 2026</t>
  </si>
  <si>
    <t>24047</t>
  </si>
  <si>
    <t>10.1038/s41598-026-55179-4</t>
  </si>
  <si>
    <t>http://dx.doi.org/10.1038/s41598-026-55179-4</t>
  </si>
  <si>
    <t>MG3SH</t>
  </si>
  <si>
    <t>42191872</t>
  </si>
  <si>
    <t>WOS:001841591800006</t>
  </si>
  <si>
    <t>Cao, ZJ; Deng, Z; Ma, J; Hu, JT; Ma, L</t>
  </si>
  <si>
    <t>Inspired by the recent success of large language models (LLMs) in the general domain, many large multimodal models, such as vision-language models, have been developed to tackle problems across modalities. In the realm of breast cancer, which is now the most deadly cancer worldwide, mammography serves as the primary screening approach for early detection. There is a practical need for patients to have a diagnostic assistant for their follow-up Q&amp;A regarding their mammography screening. We believe large vision-language models have great potential to address this need. However, applying off-the-shelf large models directly in medical scenarios normally provides unsatisfactory results. In this work, we present MammoVLM, a large vision-language model to assist patients with problems related to mammograms. MammoVLM has a sparse visual-MoE module that attends to different encoders based on the densities of the input image. Besides, we build a novel projection module, UMiCon, that leverages unimodal and multimodal contrastive learning training strategies to improve the alignment between visual and textual features. GLM-4 9B, an open-source LLM, is attached after previous multimodal modules to generate answers after supervised fine-tuning. We build our own dataset with 33,630 mammogram studies with diagnostic reports from 30,495 patients. MammoVLM has shown extraordinary potential in multi-round interactive dialogues. Our experimental results show that it has not only beaten other leading VLMs but also shows a professional capability similar to that of a junior radiologist.</t>
  </si>
  <si>
    <t>Cao, Zhenjie; Deng, Zhuo; Ma, Jie; Hu, Jintao; Ma, Lan</t>
  </si>
  <si>
    <t>Ma, L (corresponding author), Tsinghua Univ, Shenzhen Int Grad Sch, Shenzhen 518055, Peoples R China.</t>
  </si>
  <si>
    <t>malan@mails.tsinghua.edu.cn</t>
  </si>
  <si>
    <t>Ping An Technology (Shenzhen) Co., Ltd., China; PAII Inc.; Shenzhen Science and Technology Innovation Bureau, China [GJHZ20220913142613025]; Guangdong Medical Research Foundation, China [A2024506]</t>
  </si>
  <si>
    <t>Ping An Technology (Shenzhen) Co., Ltd., China; PAII Inc.; Shenzhen Science and Technology Innovation Bureau, China; Guangdong Medical Research Foundation, China</t>
  </si>
  <si>
    <t>This work is supported by Ping An Technology (Shenzhen) Co., Ltd., China and PAII Inc. This work is funded by Shenzhen Science and Technology Innovation Bureau, China under GJHZ20220913142613025. This work is also funded by Guangdong Medical Research Foundation, China under A2024506. Zhenjie Cao and Zhuo Deng contribute equally to the article.</t>
  </si>
  <si>
    <t>[Cao, Zhenjie; Deng, Zhuo; Ma, Lan] Tsinghua Univ, Shenzhen Int Grad Sch, Shenzhen 518055, Peoples R China; [Cao, Zhenjie] AI Lab, Pingan Tech, Shenzhen, Peoples R China; [Hu, Jintao] Chinese Univ Hong Kong, Dept Anat &amp; Cellular Pathol, Hong Kong, Peoples R China; [Ma, Jie; Hu, Jintao] Shenzhen Peoples Hosp, Radiol Dept, Shenzhen 518020, Peoples R China</t>
  </si>
  <si>
    <t>Tsinghua University; Chinese University of Hong Kong; Jinan University</t>
  </si>
  <si>
    <t>MammoVLM: A generative large vision-language model for mammography-related diagnostic assistance</t>
  </si>
  <si>
    <t>INFORMATION FUSION</t>
  </si>
  <si>
    <t>Mammogram; Multimodal foundation model; Vision-language model; Breast cancer; Medical Q&amp;A; Diagnostic assistance</t>
  </si>
  <si>
    <t>BREAST DENSITY</t>
  </si>
  <si>
    <t>Cao, Zhenjie/GSN-8699-2022</t>
  </si>
  <si>
    <t>46</t>
  </si>
  <si>
    <t>1566-2535</t>
  </si>
  <si>
    <t>1872-6305</t>
  </si>
  <si>
    <t>INFORM FUSION</t>
  </si>
  <si>
    <t>Inf. Fusion</t>
  </si>
  <si>
    <t>118</t>
  </si>
  <si>
    <t>102998</t>
  </si>
  <si>
    <t>10.1016/j.inffus.2025.102998</t>
  </si>
  <si>
    <t>http://dx.doi.org/10.1016/j.inffus.2025.102998</t>
  </si>
  <si>
    <t>JAN 2025</t>
  </si>
  <si>
    <t>Computer Science, Artificial Intelligence; Computer Science, Theory &amp; Methods</t>
  </si>
  <si>
    <t>X9C5S</t>
  </si>
  <si>
    <t>WOS:001428238900001</t>
  </si>
  <si>
    <t>Chakrabarti, L; Zhang, BY; Tian, HY; Vakanski, A; Xian, M</t>
  </si>
  <si>
    <t>Artificial Intelligence (AI)'s capacity to analyze dermoscopic images promises a groundbreaking leap in skin cancer diagnostics, offering exceptional accuracy and an effortlessly non-invasive image acquisition process. However, this immense potential, which has ignited widespread research enthusiasm, is critically undermined due to the lack of transparency and interpretability. The automated generation of articulate and comprehensive diagnostic reports will bridge this critical gap by not only illuminate the AI's diagnostic rational but also substantially reduce the demanding workload of the medical professionals. This study presents a multimodal vision-language model (VLM) trained using a two-stage knowledge distillation (KD) framework to generate structured medical reports from dermoscopic images, with descriptive features based on the 7-point melanoma checklist. The reports are organized into clinically relevant sections-Findings, Impression, and Differential Diagnosis-aligned with dermatological standards. Experimental evaluation demonstrates the system's ability to produce accurate and interpretable reports. Human feedback from a medical professional, assessing clinical relevance, completeness, and interpretability, supports the utility of the generated reports, while computational metrics validate their accuracy and alignment with reference pseudo-reports, achieving a SacreBLEU score of 55.59, a ROUGE-1 score of 0.5438, a ROUGE-L score of 0.3828, and a BERTScore F1 of 0.9025. These findings underscore the model's ability to generalize effectively to unseen data, enabled by its multimodal design, clinical alignment, and explainability.</t>
  </si>
  <si>
    <t>Chakrabarti, Lawhori; Zhang, Boyu; Tian, Hengyi; Vakanski, Aleksandar; Xian, Min</t>
  </si>
  <si>
    <t>Zhang, BY (corresponding author), Univ Idaho, Dept Comp Sci, Moscow, ID 83844 USA.</t>
  </si>
  <si>
    <t>boyuz@uidaho.edu</t>
  </si>
  <si>
    <t>National Institute of General Medical Sciences of the National Institutes of Health [P20GM104420]</t>
  </si>
  <si>
    <t>National Institute of General Medical Sciences of the National Institutes of Health</t>
  </si>
  <si>
    <t>This work was supported by the National Institute of General Medical Sciences of the National Institutes of Health under Award P20GM104420.</t>
  </si>
  <si>
    <t>[Chakrabarti, Lawhori; Zhang, Boyu; Tian, Hengyi] Univ Idaho, Dept Comp Sci, Moscow, ID 83844 USA; [Vakanski, Aleksandar] Univ Idaho, Dept Nucl Engn &amp; Ind Management, Idaho Falls, ID 83402 USA; [Xian, Min] Univ Idaho, Dept Comp Sci, Idaho Falls, ID 83402 USA</t>
  </si>
  <si>
    <t>University of Idaho; University of Idaho; University of Idaho</t>
  </si>
  <si>
    <t>Automated Skin Cancer Report Generation via a Knowledge-Distilled Vision-Language Model</t>
  </si>
  <si>
    <t>Melanoma; dermoscopy image; explainable AI; explainable AI; medical report generation; medical report generation; skin cancer; skin cancer; vision-language models; vision-language models; knowledge distillation; knowledge distillation; knowledge distillation</t>
  </si>
  <si>
    <t>7-POINT CHECKLIST</t>
  </si>
  <si>
    <t>Xian, Min/AAJ-7659-2020; Vakanski, Aleksandar/AAE-6171-2020</t>
  </si>
  <si>
    <t>ZHANG, BOYU/0000-0002-9401-6163; Tian, Hengyi/0009-0007-7789-2827; Vakanski, Aleksandar/0000-0003-3365-1291</t>
  </si>
  <si>
    <t>92</t>
  </si>
  <si>
    <t>136320</t>
  </si>
  <si>
    <t>136335</t>
  </si>
  <si>
    <t>10.1109/ACCESS.2025.3591750</t>
  </si>
  <si>
    <t>http://dx.doi.org/10.1109/ACCESS.2025.3591750</t>
  </si>
  <si>
    <t>6CC4I</t>
  </si>
  <si>
    <t>40969250</t>
  </si>
  <si>
    <t>WOS:001549816000044</t>
  </si>
  <si>
    <t>Pham, H; Cheng, S</t>
  </si>
  <si>
    <t>Building on advances in promptable segmentation models, this work introduces a framework that integrates Large Vision-Language Model (LVLM) bounding box priors with prototype-based region of interest (ROI) selection to improve zero-shot medical image segmentation. Unlike prior methods such as SaLIP, which often misidentify regions due to reliance on text-image CLIP similarity, the proposed approach leverages visual prototypes to mitigate language bias and enhance ROI ranking, resulting in more accurate segmentation. Bounding box estimation is further strengthened through systematic prompt engineering to optimize LVLM performance across diverse datasets and imaging modalities. Evaluation was conducted on three publicly available benchmark datasets-CC359 (brain MRI), HC18 (fetal head ultrasound), and CXRMAL (chest X-ray)-without any task-specific fine-tuning. The proposed method achieved substantial improvements over prior approaches. On CC359, it reached a Dice score of 0.95 +/- 0.06 and a mean Intersection-over-Union (mIoU) of 0.91 +/- 0.10. On HC18, it attained a Dice score of 0.82 +/- 0.20 and mIoU of 0.74 +/- 0.22. On CXRMAL, the model achieved a Dice score of 0.90 +/- 0.08 and mIoU of 0.83 +/- 0.12. These standard deviations reflect variability across test images within each dataset, indicating the robustness of the proposed zero-shot framework. These results demonstrate that integrating LVLM-derived bounding box priors with prototype-based selection substantially advances zero-shot medical image segmentation.</t>
  </si>
  <si>
    <t>Pham, Huong; Cheng, Samuel</t>
  </si>
  <si>
    <t>Cheng, S (corresponding author), Univ Oklahoma, Sch Elect &amp; Comp Engn, Norman, OK 73019 USA.</t>
  </si>
  <si>
    <t>samuel.cheng@ou.edu; huongnpham@ou.edu</t>
  </si>
  <si>
    <t>Vice President for Research and Partnerhsips, the Data Institute for Societal Challenges, and the Stephenson Cancer Center at the University of Oklahoma [2021 DISC/SCC]</t>
  </si>
  <si>
    <t>Vice President for Research and Partnerhsips, the Data Institute for Societal Challenges, and the Stephenson Cancer Center at the University of Oklahoma</t>
  </si>
  <si>
    <t>This research was funded by the Vice President for Research and Partnerhsips, the Data Institute for Societal Challenges, and the Stephenson Cancer Center at the University of Oklahoma through the 2021 DISC/SCC Seed Grant Award.</t>
  </si>
  <si>
    <t>[Pham, Huong; Cheng, Samuel] Univ Oklahoma, Sch Elect &amp; Comp Engn, Norman, OK 73019 USA</t>
  </si>
  <si>
    <t>University of Oklahoma System; University of Oklahoma - Norman</t>
  </si>
  <si>
    <t>Prototype-Guided Zero-Shot Medical Image Segmentation with Large Vision-Language Models</t>
  </si>
  <si>
    <t>APPLIED SCIENCES-BASEL</t>
  </si>
  <si>
    <t>bounding box estimation; large vision-language model; medical image segmentation; prototype similarity; Segment Anything Model; zero-shot learning</t>
  </si>
  <si>
    <t>2076-3417</t>
  </si>
  <si>
    <t>APPL SCI-BASEL</t>
  </si>
  <si>
    <t>Appl. Sci.-Basel</t>
  </si>
  <si>
    <t>OCT 26 2025</t>
  </si>
  <si>
    <t>11441</t>
  </si>
  <si>
    <t>10.3390/app152111441</t>
  </si>
  <si>
    <t>http://dx.doi.org/10.3390/app152111441</t>
  </si>
  <si>
    <t>Chemistry, Multidisciplinary; Engineering, Multidisciplinary; Materials Science, Multidisciplinary; Physics, Applied</t>
  </si>
  <si>
    <t>Chemistry; Engineering; Materials Science; Physics</t>
  </si>
  <si>
    <t>9QG1T</t>
  </si>
  <si>
    <t>WOS:001612443600001</t>
  </si>
  <si>
    <t>Kurz, CF; Merzhevich, T; Eskofier, BM; Kather, JN; Gmeiner, B</t>
  </si>
  <si>
    <t>The applicability of vision-language models (VLMs) for acute care in emergency and intensive care units remains underexplored. Using a multimodal dataset of diagnostic questions involving medical images and clinical context, we benchmarked several small open-source VLMs against GPT-4o. While open models demonstrated limited diagnostic accuracy (up to 40.4%), GPT-4o significantly outperformed them (68.1%). Findings highlight the need for specialized training and optimization to improve open-source VLMs for acute care applications.</t>
  </si>
  <si>
    <t>Kurz, Christoph F.; Merzhevich, Tatiana; Eskofier, Bjoern M.; Kather, Jakob Nikolas; Gmeiner, Benjamin</t>
  </si>
  <si>
    <t>Kurz, CF (corresponding author), Novartis Pharm GmbH, Nurnberg, Germany.</t>
  </si>
  <si>
    <t>christoph.kurz@novartis.com</t>
  </si>
  <si>
    <t>Novartis Pharma; Novartis Pharma</t>
  </si>
  <si>
    <t>This study was sponsored by Novartis Pharma.</t>
  </si>
  <si>
    <t>[Kurz, Christoph F.; Gmeiner, Benjamin] Novartis Pharm GmbH, Nurnberg, Germany; [Merzhevich, Tatiana; Eskofier, Bjoern M.] Friedrich Alexander Univ Erlangen Nurnberg FAU, Dept Artificial Intelligence Biomed Engn, Machine Learning &amp; Data Analyt MaD Lab, Erlangen, Germany; [Eskofier, Bjoern M.] Helmholtz Zentrum Munchen, Inst AI Hlth, Munich, Germany; [Kather, Jakob Nikolas] TUD Dresden Univ Technol, Fac Med, Else Kroener Fresenius Ctr Digital Hlth, Dresden, Germany; [Kather, Jakob Nikolas] Univ Hosp Carl Gustav Carus, TUD Dresden Univ Technol, Dresden, Germany; [Kather, Jakob Nikolas] TUD Dresden Univ Technol, Fac Med, Dept Med 1, Dresden, Germany; [Kather, Jakob Nikolas] Univ Hosp Heidelberg, Natl Ctr Tumor Dis NCT, Med Oncol, Heidelberg, Germany</t>
  </si>
  <si>
    <t>Novartis; Novartis Germany; University of Erlangen Nuremberg; Helmholtz Association; Helmholtz-Center Munich - German Research Center for Environmental Health; Technische Universitat Dresden; Technische Universitat Dresden; Carl Gustav Carus University Hospital; Technische Universitat Dresden; Ruprecht Karls University Heidelberg; Helmholtz Association; National Center for Tumor Diseases; German Cancer Research Center (DKFZ)</t>
  </si>
  <si>
    <t>Benchmarking vision-language models for diagnostics in emergency and critical care settings</t>
  </si>
  <si>
    <t>Eskofier, Bjoern/ABF-1284-2021; Kather, Jakob Nikolas/D-4279-2015; Kurz, Christoph/AAL-7578-2020</t>
  </si>
  <si>
    <t>Kather, Jakob Nikolas/0000-0002-3730-5348; Kurz, Christoph/0000-0001-9498-8002</t>
  </si>
  <si>
    <t>JUL 10 2025</t>
  </si>
  <si>
    <t>423</t>
  </si>
  <si>
    <t>10.1038/s41746-025-01837-2</t>
  </si>
  <si>
    <t>http://dx.doi.org/10.1038/s41746-025-01837-2</t>
  </si>
  <si>
    <t>4UI0D</t>
  </si>
  <si>
    <t>40640347</t>
  </si>
  <si>
    <t>WOS:001526850900003</t>
  </si>
  <si>
    <t>Holland, R; Taylor, TRP; Holmes, C; Riedl, S; Mai, J; Patsiamanidi, M; Mitsopoulou, D; Hager, P; Müller, P; Paetzold, JC; Scholl, HPN; Bogunovic, H; Schmidt-Erfurth, U; Rueckert, D; Sivaprasad, S; Lotery, AJ; Menten, MJ</t>
  </si>
  <si>
    <t>Clinicians spend significant time reviewing medical images and transcribing findings. By integrating visual and textual data, foundation models have the potential to reduce workloads and boost efficiency, yet their practical clinical value remains uncertain. In this study, we find that OpenAI's ChatGPT-4o and two medical vision-language models (VLMs) significantly underperform ophthalmologists in key tasks for age-related macular degeneration (AMD). To address this, we developed a dedicated training curriculum, designed by domain specialists, to optimize VLMs for tasks related to clinical decision making. The resulting model, RetinaVLM-Specialist, significantly outperforms foundation medical VLMs and ChatGPT-4o in AMD disease staging (F1: 0.63 vs. 0.33) and referral (0.67 vs. 0.50), achieving performance comparable to junior ophthalmologists. In a reader study, two senior ophthalmologists confirmed that RetinaVLM's reports were substantially more accurate than those written by ChatGPT-4o (64.3% vs. 14.3%). Overall, our curriculum-based approach offers a blueprint for adapting foundation models to real-world medical applications.</t>
  </si>
  <si>
    <t>Holland, Robbie; Taylor, Thomas R. P.; Holmes, Christopher; Riedl, Sophie; Mai, Julia; Patsiamanidi, Maria; Mitsopoulou, Dimitra; Hager, Paul; Mueller, Philip; Paetzold, Johannes C.; Scholl, Hendrik P. N.; Bogunovic, Hrvoje; Schmidt-Erfurth, Ursula; Rueckert, Daniel; Sivaprasad, Sobha; Lotery, Andrew J.; Menten, Martin J.</t>
  </si>
  <si>
    <t>Holland, R (corresponding author), Imperial Coll London, Dept Comp, Biomed Image Anal, London, England.</t>
  </si>
  <si>
    <t>robbie.holland@stanford.edu</t>
  </si>
  <si>
    <t>Wellcome Trust Collaborative Award [210572/Z/18/Z]; Wellcome Trust [Deep4MI (884622)]; ERC [EP/Y015665/1]; ERSRC [532139938]; German Research Foundation</t>
  </si>
  <si>
    <t>Wellcome Trust Collaborative Award (Wellcome Trust); Wellcome Trust (Wellcome Trust); ERC (European Research Council (ERC)); ERSRC; German Research Foundation (German Research Foundation (DFG))</t>
  </si>
  <si>
    <t>We thank Angela Cree for her administrative support of this work. This research was funded in whole or in part by the Wellcome Trust [210572/Z/18/Z]. For the purpose of open access, the author has applied a CC- BY public copyright licence to any author accepted manuscript version arising from this submission. The project has also been funded by ERC Advanced Grant Deep4MI (884622) and by ERSRC grant EP/Y015665/1.. M.J.M. is funded by the German Research Foundation under project 532139938.</t>
  </si>
  <si>
    <t>[Holland, Robbie; Paetzold, Johannes C.; Rueckert, Daniel; Menten, Martin J.] Imperial Coll London, Dept Comp, Biomed Image Anal, London, England; [Taylor, Thomas R. P.; Patsiamanidi, Maria; Mitsopoulou, Dimitra; Lotery, Andrew J.] Univ Southampton, Fac Med, Clin &amp; Expt Sci, Southampton, England; [Holmes, Christopher; Sivaprasad, Sobha] Moorfields Eye Hosp NHS Fdn Trust, London, England; [Riedl, Sophie; Mai, Julia; Schmidt-Erfurth, Ursula] Med Univ Vienna, Ophthalm Image Anal Grp OPTIMA, Vienna, Austria; [Riedl, Sophie; Mai, Julia; Hager, Paul; Mueller, Philip] Med Univ Vienna, Dept Ophthalmol &amp; Optometry, Vienna, Austria; [Paetzold, Johannes C.; Rueckert, Daniel; Menten, Martin J.] Tech Univ Munich, Chair AI Healthcare &amp; Med, Munich, Germany; [Scholl, Hendrik P. N.] Inst Mol &amp; Clin Ophthalmol Basel, Basel, Switzerland; [Scholl, Hendrik P. N.] Univ Basel, Dept Ophthalmol, Basel, Switzerland; [Scholl, Hendrik P. N.] Med Univ Vienna, Dept Clin Pharmacol, Vienna, Austria; [Bogunovic, Hrvoje] Med Univ Vienna, Inst Artificial Intelligence, Ctr Med Data Sci, Vienna, Austria; [Rueckert, Daniel; Menten, Martin J.] Munich Ctr Machine Learning, Munich, Germany</t>
  </si>
  <si>
    <t>Imperial College London; University of Southampton; University of London; University College London; Moorfields Eye Hospital NHS Foundation Trust; Medical University of Vienna; Medical University of Vienna; Technical University of Munich; University of Basel; Medical University of Vienna; Medical University of Vienna</t>
  </si>
  <si>
    <t>PINNACLE Consortium</t>
  </si>
  <si>
    <t>Specialized curricula for training vision language models in retinal image analysis</t>
  </si>
  <si>
    <t>MACULAR DEGENERATION; FOUNDATION MODEL; CLASSIFICATION; BURDEN</t>
  </si>
  <si>
    <t>Menten, Martin/JAO-3681-2023; Hager, Paul/KVZ-2285-2024; Paetzold, Johannes/KBD-4403-2024; Holland, Robbie/JQI-5017-2023; Bogunovic, Hrvoje/J-3445-2014; Müller, Philip/HOH-3993-2023</t>
  </si>
  <si>
    <t>Sivaprasad, Sobha/0000-0001-8952-0659; Holland, Robbie/0000-0001-8373-8390; Müller, Philip/0000-0001-8186-6479</t>
  </si>
  <si>
    <t>AUG 19 2025</t>
  </si>
  <si>
    <t>532</t>
  </si>
  <si>
    <t>10.1038/s41746-025-01893-8</t>
  </si>
  <si>
    <t>http://dx.doi.org/10.1038/s41746-025-01893-8</t>
  </si>
  <si>
    <t>6HD6P</t>
  </si>
  <si>
    <t>40830259</t>
  </si>
  <si>
    <t>WOS:001553245200003</t>
  </si>
  <si>
    <t>Catak, FO; Kuzlu, M; Patrick, T; Audette, M</t>
  </si>
  <si>
    <t>In recent years, vision-language models (VLMs) have been applied to various fields, including healthcare, education, finance, and manufacturing, with remarkable performance. However, concerns remain regarding VLMs' consistency and uncertainty, particularly in critical applications such as healthcare, which demand a high level of trust and reliability. This paper proposes a novel approach to evaluate uncertainty in VLMs' responses using a convex hull approach on a healthcare application for visual question answering (VQA). For any VLM, temperature refers to a sampling parameter used in probabilistic generation, which controls the randomness of the model's output. The LLM-CXR model is selected as the medical VLM utilized to generate responses for a given prompt at different temperature settings. According to the results, the LLM-CXR VLM shows high uncertainty at higher temperature settings, which can be characterized geometrically in feature space. Experimental results emphasize the importance of uncertainty in VLMs' responses, especially in healthcare applications.</t>
  </si>
  <si>
    <t>Catak, Ferhat Ozgur; Kuzlu, Murat; Patrick, Taylor; Audette, Michel</t>
  </si>
  <si>
    <t>Catak, FO (corresponding author), Univ Stavanger, Dept Elect Engn &amp; Comp Sci, Stavanger, Norway.</t>
  </si>
  <si>
    <t>maudette@odu.edu; f.ozgur.catak@uis.no; mkuzlu@odu.edu; tpatr004@odu.edu</t>
  </si>
  <si>
    <t>University of Stavanger &amp; Stavanger University Hospital</t>
  </si>
  <si>
    <t>Open access funding provided by University of Stavanger &amp; Stavanger University Hospital</t>
  </si>
  <si>
    <t>[Catak, Ferhat Ozgur] Univ Stavanger, Dept Elect Engn &amp; Comp Sci, Stavanger, Norway; [Kuzlu, Murat; Patrick, Taylor; Audette, Michel] Old Dominion Univ, Batten Coll Engn &amp; Technol, Norfolk, VA USA</t>
  </si>
  <si>
    <t>Universitetet i Stavanger; Old Dominion University</t>
  </si>
  <si>
    <t>Improving Medical Diagnostics with Vision-Language Models: Convex Hull-Based Uncertainty Analysis</t>
  </si>
  <si>
    <t>JOURNAL OF IMAGING INFORMATICS IN MEDICINE</t>
  </si>
  <si>
    <t>Uncertainty quantification; Convex hull; Vision-language models (VLMs)</t>
  </si>
  <si>
    <t>Kuzlu, Murat/H-7156-2016</t>
  </si>
  <si>
    <t>2948-2925</t>
  </si>
  <si>
    <t>2948-2933</t>
  </si>
  <si>
    <t>J IMAGING INFORM MED</t>
  </si>
  <si>
    <t>J. Imaging Inform. Med.</t>
  </si>
  <si>
    <t>10.1007/s10278-026-02111-x</t>
  </si>
  <si>
    <t>http://dx.doi.org/10.1007/s10278-026-02111-x</t>
  </si>
  <si>
    <t>LW8FG</t>
  </si>
  <si>
    <t>42527789</t>
  </si>
  <si>
    <t>WOS:001835101600001</t>
  </si>
  <si>
    <t>Pan, QT; Li, ZR; Qiao, WH; Lou, JJ; Yang, Q; Yang, G; Ji, B</t>
  </si>
  <si>
    <t>Low-quality pseudo labels pose a significant obstacle in semi-supervised medical image segmentation (SSMIS), impeding consistency learning on unlabeled data. Leveraging vision-language model (VLM) holds promise in ameliorating pseudo label quality by employing textual prompts to delineate segmentation regions, but it faces the challenge of cross-modal alignment uncertainty due to multiple correspondences (multiple images/texts tend to correspond to one text/image). Existing VLMs address this challenge by modeling semantics as distributions but such distributions lead to semantic degradation. To address these problems, we propose Alignment-Multiplicity Aware Vision-Language Model (AMVLM), a new VLM pretraining paradigm with two novel similarity metric strategies. (i) Cross-modal Similarity Supervision (CSS) proposes a probability distribution transformer to supervise similarity scores across fine-granularity semantics through measuring cross-modal distribution disparities, thus learning cross-modal multiple alignments. (ii) Intra-modal Contrastive Learning (ICL) takes into account the similarity metric of coarse-fine granularity information within each modality to encourage cross-modal semantic consistency. Furthermore, using the pretrained AMVLM, we propose a pioneering text-guided SSMIS network to compensate for the quality deficiencies of pseudo-labels. This network incorporates a text mask generator to produce multimodal supervision information, enhancing pseudo label quality and the model's consistency learning. Extensive experimentation validates the efficacy of our AMVLM-driven SSMIS, showcasing superior performance across four publicly available datasets. The code will be available at: https://github.com/QingtaoPan/AMVLM</t>
  </si>
  <si>
    <t>Pan, Qingtao; Li, Zhengrong; Qiao, Wenhao; Lou, Jingjiao; Yang, Qing; Yang, Guang; Ji, Bing</t>
  </si>
  <si>
    <t>Ji, B (corresponding author), Shandong Univ, Sch Control Sci &amp; Engn, Jinan 250061, Peoples R China.</t>
  </si>
  <si>
    <t>g.yang@imperial.ac.uk; b.ji@sdu.edu.cn</t>
  </si>
  <si>
    <t>National Natural Science Foundation of China [62173212]; Taishan Scholars Program of Shandong Province [tsqn202306017]; Shandong Province "Double-Hundred Talent Plan" on 100 Foreign Experts and 100 Foreign Expert Teams [WSR2023049]; European Research Council (ERC) Innovative Medicines Initiative (IMI) [101005122]; Horizon 2020 (H2020) [952172]; Medical Research Council (MRC) [MC/PC/21013]; Royal Society [IEC/NSFC/211235]; NVIDIA Academic Hardware Grant Program; SABER project - Boehringer Ingelheim Ltd.; National Institute for Health and Care Research (NIHR) Imperial Biomedical Research Centre [RDA01]; UKRI Future Leaders Fellowship; Wellcome Leap Dynamic Resilience Program (Temasek Trust); U.K. Research and Innovation (UKRI) Guarantee Funding for Horizon Europe Marie Sklodowska-Curie Actions (MSCA) Postdoctoral Fellowships [EP/Z002206/1]; UKRI MRC Research Grant; TFS Research; MR/U506710/1</t>
  </si>
  <si>
    <t>National Natural Science Foundation of China (National Natural Science Foundation of China (NSFC)); Taishan Scholars Program of Shandong Province; Shandong Province "Double-Hundred Talent Plan" on 100 Foreign Experts and 100 Foreign Expert Teams; European Research Council (ERC) Innovative Medicines Initiative (IMI) (European Research Council (ERC)); Horizon 2020 (H2020) (Horizon 2020); Medical Research Council (MRC) (UK Research &amp; Innovation (UKRI), Medical Research Council UK (MRC)); Royal Society (Royal Society UK); NVIDIA Academic Hardware Grant Program (Nvidia Corporation); SABER project - Boehringer Ingelheim Ltd.; National Institute for Health and Care Research (NIHR) Imperial Biomedical Research Centre; UKRI Future Leaders Fellowship (UK Research &amp; Innovation (UKRI)); Wellcome Leap Dynamic Resilience Program (Temasek Trust); U.K. Research and Innovation (UKRI) Guarantee Funding for Horizon Europe Marie Sklodowska-Curie Actions (MSCA) Postdoctoral Fellowships; UKRI MRC Research Grant; TFS Research; MR/U506710/1</t>
  </si>
  <si>
    <t>This work was supported in part by the National Natural Science Foundation of China under Grant 62173212, in part by Taishan Scholars Program of Shandong Province under Grant tsqn202306017, in part by Shandong Province "Double-Hundred Talent Plan" on 100 Foreign Experts and 100 Foreign Expert Teams under Grant WSR2023049. The work of Guang Yang was supported in part by the European Research Council (ERC) Innovative Medicines Initiative (IMI) under Grant 101005122, in part by Horizon 2020 (H2020) under Grant 952172, in part by Medical Research Council (MRC) under Grant MC/PC/21013, in part by the Royal Society under Grant IEC/NSFC/211235, in part by the NVIDIA Academic Hardware Grant Program, in part by SABER project supported by Boehringer Ingelheim Ltd., in part by the National Institute for Health and Care Research (NIHR) Imperial Biomedical Research Centre under Grant RDA01, in part by the Wellcome Leap Dynamic Resilience Program (Temasek Trust), in part by the U.K. Research and Innovation (UKRI) Guarantee Funding for Horizon Europe Marie Sklodowska-Curie Actions (MSCA) Postdoctoral Fellowships under Grant EP/Z002206/1, in part by the UKRI MRC Research Grant, in part by the TFS Research under Grant MR/U506710/1, and in part by the UKRI Future Leaders Fellowship under Grant MR/V023799/1.</t>
  </si>
  <si>
    <t>[Pan, Qingtao; Li, Zhengrong; Qiao, Wenhao; Lou, Jingjiao; Ji, Bing] Shandong Univ, Sch Control Sci &amp; Engn, Jinan 250061, Peoples R China; [Yang, Qing] Shandong First Med Univ, Dept Breast &amp; Thyroid Surg, Shandong Prov Hosp, Jinan 250021, Peoples R China; [Yang, Guang] Imperial Coll London, Bioengn Dept, London W12 7SL, England; [Yang, Guang] Imperial Coll London, Imperial X, London W12 7SL, England; [Yang, Guang] Imperial Coll London, Natl Heart &amp; Lung Inst, London SW7 2AZ, England; [Yang, Guang] Royal Brompton Hosp, Cardiovasc Res Ctr, London SW3 6NP, England; [Yang, Guang] King s Coll London, Sch Biomed Engn &amp; Imaging Sci, London WC2R 2LS, England</t>
  </si>
  <si>
    <t>Shandong University; Shandong First Medical University &amp; Shandong Academy of Medical Sciences; Imperial College London; Imperial College London; Imperial College London; Royal Brompton Hospital; University of London; King's College London</t>
  </si>
  <si>
    <t>AMVLM: Alignment-Multiplicity Aware Vision-Language Model for Semi-Supervised Medical Image Segmentation</t>
  </si>
  <si>
    <t>Semi-supervised learning; medical image segmentation; vision-language model; vision-language model; uncertainty; uncertainty; uncertainty</t>
  </si>
  <si>
    <t>Qiao, Wenhao/JAC-4335-2023</t>
  </si>
  <si>
    <t>Pan, Qingtao/0009-0009-8939-9559</t>
  </si>
  <si>
    <t>68</t>
  </si>
  <si>
    <t>4307</t>
  </si>
  <si>
    <t>4322</t>
  </si>
  <si>
    <t>10.1109/TMI.2025.3573018</t>
  </si>
  <si>
    <t>http://dx.doi.org/10.1109/TMI.2025.3573018</t>
  </si>
  <si>
    <t>40408220</t>
  </si>
  <si>
    <t>WOS:001616144400038</t>
  </si>
  <si>
    <t>Zhong, ZS; Wang, YL; Wu, J; Hsu, WC; Somasundaram, V; Bi, LL; Kulkarni, S; Ma, ZQ; Collins, S; Baird, G; Ahn, SH; Feng, X; Kamel, I; Lin, CT; Greineder, C; Atalay, M; Jiao, ZC; Bai, HRS</t>
  </si>
  <si>
    <t>Accurate and comprehensive interpretation of pulmonary embolism (PE) from Computed Tomography Pulmonary Angiography (CTPA) scans remains a clinical challenge due to the limited specificity and structure of existing AI tools. We propose an agent-based framework that integrates Vision-Language Models (VLMs) for detecting 32 PE-related abnormalities and Large Language Models (LLMs) for structured report generation. Trained on over 69,000 CTPA studies from 24,890 patients across Brown University Health (BUH), Johns Hopkins University (JHU), and the INSPECT dataset from Stanford, the model demonstrates strong performance in abnormality classification and report generation. For abnormality classification, it achieved AUROC scores of 0.788 (BUH), 0.754 (INSPECT), and 0.710 (JHU), with corresponding BERT-F1 scores of 0.891, 0.829, and 0.842. The abnormality-guided reporting strategy consistently outperformed the organ-based and holistic captioning baselines. For survival prediction, a multimodal fusion model that incorporates imaging, clinical variables, diagnostic outputs, and generated reports achieved concordance indices of 0.863 (BUH) and 0.731 (JHU), outperforming traditional PESI scores. This framework provides a clinically meaningful and interpretable solution for end-to-end PE diagnosis, structured reporting, and outcome prediction.</t>
  </si>
  <si>
    <t>Zhong, Zhusi; Wang, Yuli; Wu, Jing; Hsu, Wen-Chi; Somasundaram, Vin; Bi, Lulu; Kulkarni, Shreyas; Ma, Zhuoqi; Collins, Scott; Baird, Grayson; Ahn, Sun Ho; Feng, Xue; Kamel, Ihab; Lin, Cheng Ting; Greineder, Colin; Atalay, Michael; Jiao, Zhicheng; Bai, Harrison</t>
  </si>
  <si>
    <t>Jiao, ZC (corresponding author), Brown Univ Hlth, Dept Diagnost Imaging, Providence, RI 02903 USA.; Jiao, ZC (corresponding author), Brown Univ, Warren Alpert Med Sch, Providence, RI 02912 USA.; Bai, HRS (corresponding author), Johns Hopkins Univ, Sch Med, Dept Radiol &amp; Radiol Sci, Baltimore, MD 21205 USA.; Bai, HRS (corresponding author), Univ Colorado, Sch Med, Dept Radiol, Aurora, CO 80045 USA.</t>
  </si>
  <si>
    <t>hbai7@jhu.edu; zhicheng_jiao@brown.edu</t>
  </si>
  <si>
    <t>Johns Hopkins Department of Radiology's Walter &amp; Mary Ciceric Research Award; Johns Hopkins Department of Radiology's BriteStar Research Award from the Walter &amp; Mary Ciceric family [P30CA006973]; National Institutes of Health / National Cancer Institute</t>
  </si>
  <si>
    <t>Johns Hopkins Department of Radiology's Walter &amp; Mary Ciceric Research Award; Johns Hopkins Department of Radiology's BriteStar Research Award from the Walter &amp; Mary Ciceric family; National Institutes of Health / National Cancer Institute (United States Department of Health &amp; Human Services, National Institutes of Health (NIH) - USA, NIH National Cancer Institute (NCI))</t>
  </si>
  <si>
    <t>This work was partially supported by the Johns Hopkins Department of Radiology's BriteStar Research Award from the Walter &amp; Mary Ciceric family. The IRAT Lab is partially supported by the National Institutes of Health / National Cancer Institute P30CA006973.</t>
  </si>
  <si>
    <t>[Zhong, Zhusi; Somasundaram, Vin; Bi, Lulu; Kulkarni, Shreyas; Ma, Zhuoqi; Collins, Scott; Baird, Grayson; Ahn, Sun Ho; Atalay, Michael; Jiao, Zhicheng] Brown Univ Hlth, Dept Diagnost Imaging, Providence, RI 02903 USA; [Zhong, Zhusi; Somasundaram, Vin; Bi, Lulu; Kulkarni, Shreyas; Ma, Zhuoqi; Collins, Scott; Baird, Grayson; Ahn, Sun Ho; Atalay, Michael; Jiao, Zhicheng] Brown Univ, Warren Alpert Med Sch, Providence, RI 02912 USA; [Wang, Yuli] Johns Hopkins Univ, Sch Med, Dept Biomed Engn, Baltimore, MD USA; [Wu, Jing] Cent South Univ, Xiangya Hosp 2, Changsha, Hunan, Peoples R China; [Hsu, Wen-Chi] Chang Gung Mem Hosp Linkou, Dept Med Imaging &amp; Intervent, Taoyuan, Taiwan; [Hsu, Wen-Chi; Lin, Cheng Ting; Bai, Harrison] Johns Hopkins Univ, Sch Med, Dept Radiol &amp; Radiol Sci, Baltimore, MD 21205 USA; [Feng, Xue] Carina AI, Lexington, KY USA; [Kamel, Ihab; Bai, Harrison] Univ Colorado, Sch Med, Dept Radiol, Aurora, CO 80045 USA; [Greineder, Colin] Univ Michigan, Dept Emergency Med, Ann Arbor, MI USA; [Greineder, Colin] Univ Michigan, Dept Pharmacol, Ann Arbor, MI USA</t>
  </si>
  <si>
    <t>Brown University; Brown University; Johns Hopkins University; Johns Hopkins Medicine; Central South University; Chang Gung Memorial Hospital; Johns Hopkins University; Johns Hopkins Medicine; University of Colorado System; University of Colorado Anschutz; University of Michigan System; University of Michigan; University of Michigan System; University of Michigan</t>
  </si>
  <si>
    <t>Vision-language model for report generation and outcome prediction in CT pulmonary angiogram</t>
  </si>
  <si>
    <t>REGRESSION; EMBOLISM</t>
  </si>
  <si>
    <t>Bi, lulu/AAC-2295-2021; Atalay, Michael/AAE-1600-2021; Baird, Gordon/AAN-8026-2020; Ma, Zhuoqi/IAP-8175-2023; Wang, Yuli/AAD-1244-2021</t>
  </si>
  <si>
    <t>Zhong, Zhusi/0009-0008-5371-1443; Bai, Harrison/0000-0002-7460-8866; Lin, Cheng Ting/0000-0003-0275-8037; Wang, Yuli/0000-0003-3311-2810</t>
  </si>
  <si>
    <t>38</t>
  </si>
  <si>
    <t>JUL 12 2025</t>
  </si>
  <si>
    <t>432</t>
  </si>
  <si>
    <t>10.1038/s41746-025-01807-8</t>
  </si>
  <si>
    <t>http://dx.doi.org/10.1038/s41746-025-01807-8</t>
  </si>
  <si>
    <t>4VR0D</t>
  </si>
  <si>
    <t>40652098</t>
  </si>
  <si>
    <t>WOS:001527765700001</t>
  </si>
  <si>
    <t>Morera, H; Jun, JM; Hilton, C; King, D; Jones, ELS; Marynak, K; Crane, E</t>
  </si>
  <si>
    <t>Introduction The e-cigarette market evolves faster than regulation and enforcement. In recent years, e-cigarette manufacturers have introduced vapes featuring not just addictive, flavored nicotine, but also technological features that appeal to youth. These products with digital screens have the potential to gamify the use of an addictive drug. To keep pace with these developments, automated tools capable of rapidly analyzing the online marketplace could inform regulatory enforcement.Methods The goal of this work is to automatically detect and classify e-cigarette devices with screens. To do this, we first use an object detection model to filter web-scraped images that contain e-cigarettes. Product images and descriptions are then provided to a vision language model (VLM) to determine if the e-cigarette contains a screen. We evaluated the pipeline with images and text descriptions from five e-cigarette online retailers and manually validated predictions.Results The object detection model was trained on approximately 7000 images and tested on 3920 images achieving an accuracy, precision, recall, and F1 score of 0.95, 0.98, 0.94, 0.96 respectively in identifying e-cigarette devices. The VLM was tested on 2401 images and was able to detect screens on e-cigarette devices with an accuracy of 0.92, precision of 0.96, recall of 0.87, and F1 score of 0.92.Conclusions Object detection models and VLMs can be combined to automatically detect and classify e-cigarettes with integrated screens. This method can enable rapid-response pipelines to identify youth-appealing features in emerging e-cigarette products and provide policymakers insights into their proliferation in the online marketplace.Implications New e-cigarettes with potentially youth-appealing technological features, such as integrated screens, continue to be introduced to the US market, challenging timely and effective tobacco product surveillance and regulatory efforts. Digital screens on e-cigarettes offer greater user control and make products that deliver addictive, flavored nicotine resemble entertainment devices, rather than tobacco products. Our automated screen detection pipeline provides a scalable, rapid-response tool for monitoring online e-cigarette retailers in near real-time, quantifying the proliferation of products with specific features. This pipeline could be adapted to accommodate a variety of new features for detection, here we use the presence of screens as a test example. Rapid identification and classification of new tobacco products available online could help inform interventions before the sale and use of such products becomes widespread.</t>
  </si>
  <si>
    <t>Morera, Hunter; Jun, James; Hilton, Charity; King, Dianna; Seaman Jones, Elizabeth L.; Marynak, Kristy; Crane, Elisha</t>
  </si>
  <si>
    <t>Science Citation Index Expanded (SCI-EXPANDED); Social Science Citation Index (SSCI)</t>
  </si>
  <si>
    <t>Morera, H (corresponding author), Georgia Tech Res Inst, 756 W Peachtree St NW, Atlanta, GA 30318 USA.</t>
  </si>
  <si>
    <t>hunter.morera@gtri.gatech.edu</t>
  </si>
  <si>
    <t>Bloomberg Initiative to Reduce Tobacco Use; CDC Foundation</t>
  </si>
  <si>
    <t>Bloomberg Initiative to Reduce Tobacco Use; CDC Foundation (United States Department of Health &amp; Human Services, Centers for Disease Control &amp; Prevention - USA)</t>
  </si>
  <si>
    <t>This work was supported by the Bloomberg Initiative to Reduce Tobacco Use through the CDC Foundation with a grant from Bloomberg Philanthropies.</t>
  </si>
  <si>
    <t>[Morera, Hunter; Jun, James; Hilton, Charity; King, Dianna] Georgia Tech Res Inst, 756 W Peachtree St NW, Atlanta, GA 30318 USA; [Seaman Jones, Elizabeth L.; Marynak, Kristy; Crane, Elisha] CDC Fdn, 600 Peachtree St NE 1000, Atlanta, GA 30308 USA</t>
  </si>
  <si>
    <t>University System of Georgia; Georgia Institute of Technology</t>
  </si>
  <si>
    <t>Automatic detection of e-cigarette screens using object detection and vision language models</t>
  </si>
  <si>
    <t>NICOTINE &amp; TOBACCO RESEARCH</t>
  </si>
  <si>
    <t>electronic cigarettes; medical surveillance; computer vision; machine learning; regulatory; vaping</t>
  </si>
  <si>
    <t>Morera, Hunter/0009-0008-1224-5669</t>
  </si>
  <si>
    <t>OXFORD UNIV PRESS</t>
  </si>
  <si>
    <t>GREAT CLARENDON ST, OXFORD OX2 6DP, ENGLAND</t>
  </si>
  <si>
    <t>1462-2203</t>
  </si>
  <si>
    <t>1469-994X</t>
  </si>
  <si>
    <t>NICOTINE TOB RES</t>
  </si>
  <si>
    <t>Nicotine Tob. Res.</t>
  </si>
  <si>
    <t>10.1093/ntr/ntag125</t>
  </si>
  <si>
    <t>http://dx.doi.org/10.1093/ntr/ntag125</t>
  </si>
  <si>
    <t>Substance Abuse; Public, Environmental &amp; Occupational Health</t>
  </si>
  <si>
    <t>KT3IR</t>
  </si>
  <si>
    <t>42423759</t>
  </si>
  <si>
    <t>WOS:001815109900001</t>
  </si>
  <si>
    <t>Sohail, A; Ganapathi, II; Alawode, B; Javed, S; Bennamoun, M; Mahmood, A</t>
  </si>
  <si>
    <t>Vision-Language Models (VLMs) have recently demonstrated exceptional results across various Computational Pathology (CPath) tasks, such as Whole Slide Image (WSI) classification and survival prediction. These models utilize large-scale datasets to align images and text by incorporating language priors during pre-training. However, the separate training of text and vision encoders in current VLMs leads to only coarse-level alignment, failing to capture the fine-level dependencies between image-text pairs. This limitation restricts their generalization in many downstream CPath tasks. In this paper, we propose a novel approach that enhances the capture of finer-level context through language priors, which better represent the fine-grained tissue morphological structures in histology images. We propose a Context-guided Vision-Language Model (ConVLM) that generates contextually relevant visual embeddings from histology images. ConVLM achieves this by employing context-guided token learning and token enhancement modules to identify and eliminate contextually irrelevant visual tokens, refining the visual representation. These two modules are integrated into various layers of the ConVLM encoders to progressively learn context-guided visual embeddings, enhancing visual-language interactions. The model is trained end-to-end using a context-guided token learning-based loss function. We conducted extensive experiments on 20 histopathology datasets, evaluating both Region of Interest (ROI)-level and cancer subtype WSI-level classification tasks. The results indicate that ConVLM significantly outperforms existing State-of-the-Art (SOTA) vision-language and foundational models. Our source code and pre-trained model is publicly available on: https://github.com/BasitAlawode/ConVLM</t>
  </si>
  <si>
    <t>Sohail, Anabia; Ganapathi, Iyyakutti Iyappan; Alawode, Basit; Javed, Sajid; Bennamoun, Mohammed; Mahmood, Arif</t>
  </si>
  <si>
    <t>Ganapathi, II (corresponding author), Khalifa Univ Sci &amp; Technol, Abu Dhabi 127788, U Arab Emirates.</t>
  </si>
  <si>
    <t>iyyakutti.ganapathi@ku.ac.ae</t>
  </si>
  <si>
    <t>[Sohail, Anabia; Ganapathi, Iyyakutti Iyappan; Alawode, Basit; Javed, Sajid] Khalifa Univ Sci &amp; Technol, Abu Dhabi 127788, U Arab Emirates; [Bennamoun, Mohammed] Univ Western Australia, 35 Stirling Highway, Perth 6009, Australia; [Mahmood, Arif] Informat Technol Univ ITU Punjab, Lahore, Pakistan</t>
  </si>
  <si>
    <t>Khalifa University of Science &amp; Technology; University of Western Australia</t>
  </si>
  <si>
    <t>ConVLM: Context-guided vision-language model for fine-grained histopathology image classification</t>
  </si>
  <si>
    <t>Vision-language models (VLMs); Computational pathology (CPath); Whole slide image (WSI); Histopathology; Fine-grained alignment; Context-guided token learning; Token enhancement; Visual-language interaction</t>
  </si>
  <si>
    <t>FOUNDATION MODEL; COMPUTATIONAL PATHOLOGY; HISTOLOGY</t>
  </si>
  <si>
    <t>Mahmood, Arif/R-7949-2019; Ganapathi, Iyyakutti Iyappan/CAH-5689-2022; Bennamoun, Mohammed/C-2789-2013</t>
  </si>
  <si>
    <t>Bennamoun, Mohammed/0000-0002-6603-3257</t>
  </si>
  <si>
    <t>A</t>
  </si>
  <si>
    <t>103737</t>
  </si>
  <si>
    <t>10.1016/j.inffus.2025.103737</t>
  </si>
  <si>
    <t>http://dx.doi.org/10.1016/j.inffus.2025.103737</t>
  </si>
  <si>
    <t>8CQ3F</t>
  </si>
  <si>
    <t>WOS:001585491000001</t>
  </si>
  <si>
    <t>hybrid; Green Published</t>
  </si>
  <si>
    <t>Meddeb, A; Rangus, I; Pagano, P; Dkhil, I; Jelassi, S; Bressem, K; Scheel, M; Wattjes, MP; Nagi, S; Pierot, L; Soize, S</t>
  </si>
  <si>
    <t>This study evaluates the diagnostic performance of commercial and open-source Vision-Language Models (VLMs) in neuroradiological image interpretation, using a dataset of 100 brain and spine cases from Radiopaedia. Five VLMs (Gemini 2.0, OpenAI o1, Llama 3.2 90b, Qwen 2.5, Grok-2-vision) were compared to expert neuroradiologists in generating differential diagnoses based on brief clinical presentations and imaging. Neuroradiologists achieved a mean accuracy of 86.2%, whereas the best-performing VLM (Gemini 2.0) reached 35%. Evaluation of the top three differentials improved VLM accuracy marginally, but remained inferior to human experts. Clinical harm analysis revealed frequent diagnostic risks, primarily treatment delays, with harmful outputs in up to 45% of cases. Error analysis showed consistent failure modes including incorrect anatomical localization, inaccurate imaging descriptions, and hallucinated findings. These results highlight the current limitations of VLMs and underscore the importance of expert oversight in neuroradiological diagnosis.</t>
  </si>
  <si>
    <t>Meddeb, Aymen; Rangus, Ida; Pagano, Paolo; Dkhil, Insaf; Jelassi, Soumaya; Bressem, Keno; Scheel, Michael; Wattjes, Mike P.; Nagi, Sonia; Pierot, Laurent; Soize, Sebastien</t>
  </si>
  <si>
    <t>Meddeb, A (corresponding author), Univ Reims, CHU Reims, Hop Maison Blanche, Dept Neuroradiol, Reims, France.; Meddeb, A (corresponding author), Charite Univ Med Berlin, Dept Neuroradiol, Berlin, Germany.; Meddeb, A (corresponding author), Charite Univ Med Berlin, Berlin Inst Hlth, Berlin, Germany.</t>
  </si>
  <si>
    <t>aymen.meddeb@charite.de</t>
  </si>
  <si>
    <t>Charite-Universitatsmedizin Berlin; Berlin Institute of Health at Charite (BIH); The "Institut d'Intelligence Artificielle en Sante" (IIAS), University of Reims Champagne-Ardenne</t>
  </si>
  <si>
    <t>A.M. is a fellow of the BIH Charite Digital Clinician Scientist Program funded by the Charite-Universitatsmedizin Berlin and the Berlin Institute of Health at Charite (BIH), and has received a research grant from the "Institut d'Intelligence Artificielle en Sante" (IIAS), University of Reims Champagne-Ardenne.</t>
  </si>
  <si>
    <t>[Meddeb, Aymen; Pagano, Paolo; Pierot, Laurent; Soize, Sebastien] Univ Reims, CHU Reims, Hop Maison Blanche, Dept Neuroradiol, Reims, France; [Meddeb, Aymen; Scheel, Michael; Wattjes, Mike P.] Charite Univ Med Berlin, Dept Neuroradiol, Berlin, Germany; [Meddeb, Aymen] Charite Univ Med Berlin, Berlin Inst Hlth, Berlin, Germany; [Rangus, Ida] Charite Univ Med Berlin, Ctr Stroke Res Berlin, Berlin, Germany; [Dkhil, Insaf; Jelassi, Soumaya; Nagi, Sonia] Natl Inst Mongi Ben Hmida Neurol, Dept Radiol, Res Lab LR18SP04, Tunis, Tunisia; [Bressem, Keno] Tech Univ Munich, Klinikum Rechts Isar, Dept Radiol, Ismaninger Str 22, D-81675 Munich, Germany</t>
  </si>
  <si>
    <t>CHU de Reims; Universite de Reims Champagne-Ardenne; Free University of Berlin; Humboldt University of Berlin; Charite Universitatsmedizin Berlin; Free University of Berlin; Humboldt University of Berlin; Charite Universitatsmedizin Berlin; Berlin Institute of Health; Free University of Berlin; Humboldt University of Berlin; Charite Universitatsmedizin Berlin; Universite de Tunis-El-Manar; Institut National de Neurologie; Technical University of Munich</t>
  </si>
  <si>
    <t>Evaluating the diagnostic accuracy of vision language models for neuroradiological image interpretation</t>
  </si>
  <si>
    <t>Bressem, Keno/AAX-8241-2020; Scheel, Michael/M-2350-2019</t>
  </si>
  <si>
    <t>Meddeb, Aymen/0000-0001-6537-9419; Rangus, Ida/0000-0001-9189-8941; Scheel, Michael/0000-0002-3505-2914</t>
  </si>
  <si>
    <t>NOV 17 2025</t>
  </si>
  <si>
    <t>666</t>
  </si>
  <si>
    <t>10.1038/s41746-025-02047-6</t>
  </si>
  <si>
    <t>http://dx.doi.org/10.1038/s41746-025-02047-6</t>
  </si>
  <si>
    <t>9YS8P</t>
  </si>
  <si>
    <t>41249440</t>
  </si>
  <si>
    <t>WOS:001618214900016</t>
  </si>
  <si>
    <t>Chowdhury, MSI; Au, TC</t>
  </si>
  <si>
    <t>Vision-language models (VLMs) offer transformative potential for robotics, but their deployment is constrained by performance limitations. In safety-critical manipulation, a model must recognize its own limitations to prevent a catastrophic failure. We conduct a systematic study of VLMs for robotic failure detection, evaluating six architectures on real-world trajectories. We put forward a decision-making process that allows a VLM to evaluate whether it can successfully complete a task, and if not, pause its operation and hand over the task to human operators. Our results show that well-calibrated VLMs can be trustworthy partners that know exactly when to ask for help.</t>
  </si>
  <si>
    <t>Chowdhury, Md Sameer Iqbal; Au, Tsz-Chiu</t>
  </si>
  <si>
    <t>Chowdhury, MSI (corresponding author), Texas State Univ, Comp Sci, San Marcos, TX 78666 USA.</t>
  </si>
  <si>
    <t>vsj23@txstate.edu; chiu.au@txstate.edu</t>
  </si>
  <si>
    <t>[Chowdhury, Md Sameer Iqbal] Texas State Univ, Comp Sci, San Marcos, TX 78666 USA; [Au, Tsz-Chiu] Univ Texas Austin, Austin, TX USA; [Au, Tsz-Chiu] Ulsan Natl Inst Sci &amp; Technol UNIST, Agents &amp; Robot Transportat Lab, Ulsan, South Korea; [Au, Tsz-Chiu] Texas State Univ, Dept Comp Sci, San Marcos, TX USA</t>
  </si>
  <si>
    <t>Texas State University System; Texas State University San Marcos; University of Texas System; University of Texas Austin; Ulsan National Institute of Science &amp; Technology (UNIST); Texas State University System; Texas State University San Marcos</t>
  </si>
  <si>
    <t>Assessing Vision-Language Models for Failure Detection in Robotic Manipulation</t>
  </si>
  <si>
    <t>IEEE PULSE</t>
  </si>
  <si>
    <t>Vision language model; Failure analysis; Medical robotics; Computer architecture; Foundation models; Robots; Semantic communication; Visual perception; Safety; Monte Carlo methods; Heuristic algorithms; End effectors; Bayes methods; Calibration</t>
  </si>
  <si>
    <t>Chowdhury, Sameer Iqbal/0009-0007-4372-4366</t>
  </si>
  <si>
    <t>2154-2287</t>
  </si>
  <si>
    <t>2154-2317</t>
  </si>
  <si>
    <t>IEEE Pulse</t>
  </si>
  <si>
    <t>JAN 2026</t>
  </si>
  <si>
    <t>10.1109/MPULS.2026.3659245</t>
  </si>
  <si>
    <t>http://dx.doi.org/10.1109/MPULS.2026.3659245</t>
  </si>
  <si>
    <t>GO0ZP</t>
  </si>
  <si>
    <t>41979933</t>
  </si>
  <si>
    <t>WOS:001740998900007</t>
  </si>
  <si>
    <t>Noman, SM; Henedak, MT; Elattar, M</t>
  </si>
  <si>
    <t>Zero-shot learning with vision-language models (VLMs) has shown promising results in histopathological image classification. However, existing approaches often under-utilize domain-specific adaptations that could enhance performance in specialized medical tasks. In this study, we systematically evaluate three modular, post-hoc enhancements to standard zero-shot VLM pipelines: (1) cosine similarity calibration for affinity matrix construction, (2) prompt template enhancement via diverse clinical prompts, and (3) adaptive hyperparameter tuning using a Gaussian mixture model-based method for adjusting pseudo-labeling weights (lambda) and support set contributions (gamma), following Zanella et al We conduct extensive zero-shot experiments on the NCT-CRC-HE-100 K dataset, using 60 000 patches for validation of inference-time hyperparameters and reserving 40 000 patches as an independent test set. No training or fine-tuning was performed. The evaluation was carried out across five VLMs: CLIP, CONCH, PLIP, Quilt-B16, and Quilt-B32. Results show that each enhancement module yields significant accuracy gains. Cosine calibration improves CLIP (+7.8%), CONCH (+1.53%), PLIP (+14.3%), Quilt-B16 (+16.1%), and Quilt-B32 (+11.4%). Prompt enhancement yields accuracy gains in PLIP (+16.8%) and Quilt-B32 (+29.9%), with limited effect on CLIP or CONCH. Adaptive tuning yields large improvements in PLIP (+28.4%). The best performance is achieved with the full combination of enhancements, with PLIP reaching 87.88% (+27.88%, p &lt; 0.001) and Quilt-B32 reaching 88.38% (+36.1%) over their baselines. CLIP showed significance only with cosine calibration (p &lt; 0.001), reflecting its contrastive learning backbone. Although CONCH reached the highest raw accuracy (92.63%) under the full enhancement setting, this performance appears primarily driven by its histopathology-specific pretraining; statistically significant gains emerged only in cosine-based combinations, indicating limited responsiveness to prompt or tuning. Our findings highlight the critical role of structured modular enhancements in optimizing VLM performance for specialized clinical domains.</t>
  </si>
  <si>
    <t>Noman, Shahd M.; Tarek Henedak, Mayar; Elattar, Mustafa</t>
  </si>
  <si>
    <t>Noman, SM (corresponding author), Nile Univ, Ctr Informat Sci, Med Imaging &amp; Image Proc Res Grp, Giza, Egypt.; Noman, SM (corresponding author), Nile Univ, Sch Informat Technol &amp; Comp Sci, Giza, Egypt.</t>
  </si>
  <si>
    <t>m.henedak@nu.edu.eg; sh.fekry@nu.edu.eg; melattar@nu.edu.eg</t>
  </si>
  <si>
    <t>[Noman, Shahd M.; Tarek Henedak, Mayar; Elattar, Mustafa] Nile Univ, Ctr Informat Sci, Med Imaging &amp; Image Proc Res Grp, Giza, Egypt; [Noman, Shahd M.; Tarek Henedak, Mayar; Elattar, Mustafa] Nile Univ, Sch Informat Technol &amp; Comp Sci, Giza, Egypt</t>
  </si>
  <si>
    <t>Egyptian Knowledge Bank (EKB); Nile University; Egyptian Knowledge Bank (EKB); Nile University</t>
  </si>
  <si>
    <t>Modular post-hoc enhancements for zero-shot histopathology classification using vision-language models</t>
  </si>
  <si>
    <t>MACHINE LEARNING-SCIENCE AND TECHNOLOGY</t>
  </si>
  <si>
    <t>zero-shot learning; vision-language models; histopathology; computational pathology; prompt engineering; inference-time optimization</t>
  </si>
  <si>
    <t>Shahd Mohamed Fekry, Shahd Mohamed Fekry/0009-0003-0606-4355</t>
  </si>
  <si>
    <t>IOP Publishing Ltd</t>
  </si>
  <si>
    <t>Bristol</t>
  </si>
  <si>
    <t>No.2 The Distillery, Glassfields, Avon Street, Bristol, ENGLAND</t>
  </si>
  <si>
    <t>2632-2153</t>
  </si>
  <si>
    <t>MACH LEARN-SCI TECHN</t>
  </si>
  <si>
    <t>Mach. Learn.-Sci. Technol.</t>
  </si>
  <si>
    <t>SEP 30 2025</t>
  </si>
  <si>
    <t>035056</t>
  </si>
  <si>
    <t>10.1088/2632-2153/ae0557</t>
  </si>
  <si>
    <t>http://dx.doi.org/10.1088/2632-2153/ae0557</t>
  </si>
  <si>
    <t>Computer Science, Artificial Intelligence; Computer Science, Interdisciplinary Applications; Multidisciplinary Sciences</t>
  </si>
  <si>
    <t>Computer Science; Science &amp; Technology - Other Topics</t>
  </si>
  <si>
    <t>7NU8R</t>
  </si>
  <si>
    <t>WOS:001575428900001</t>
  </si>
  <si>
    <t>Huemann, Z; Tie, X; Hu, JJ; Bradshaw, TJ</t>
  </si>
  <si>
    <t>Radiology narrative reports often describe characteristics of a patient's disease, including its location, size, and shape. Motivated by the recent success of multimodal learning, we hypothesized that this descriptive text could guide medical image analysis algorithms. We proposed a novel vision-language model, ConTEXTual Net, for the task of pneumothorax segmentation on chest radiographs. ConTEXTual Net extracts language features from physician-generated free-form radiology reports using a pre-trained language model. We then introduced cross-attention between the language features and the intermediate embeddings of an encoder-decoder convolutional neural network to enable language guidance for image analysis. ConTEXTual Net was trained on the CANDID-PTX dataset consisting of 3196 positive cases of pneumothorax with segmentation annotations from 6 different physicians as well as clinical radiology reports. Using cross-validation, ConTEXTual Net achieved a Dice score of 0.716 +/- 0.016, which was similar to the degree of inter-reader variability (0.712 +/- 0.044) computed on a subset of the data. It outperformed vision-only models (Swin UNETR: 0.670 +/- 0.015, ResNet50 U-Net: 0.677 +/- 0.015, GLoRIA: 0.686 +/- 0.014, and nnUNet 0.694 +/- 0.016) and a competing vision-language model (LAVT: 0.706 +/- 0.009). Ablation studies confirmed that it was the text information that led to the performance gains. Additionally, we show that certain augmentation methods degraded ConTEXTual Net's segmentation performance by breaking the image-text concordance. We also evaluated the effects of using different language models and activation functions in the cross-attention module, highlighting the efficacy of our chosen architectural design.</t>
  </si>
  <si>
    <t>Huemann, Zachary; Tie, Xin; Hu, Junjie; Bradshaw, Tyler J.</t>
  </si>
  <si>
    <t>Huemann, Z (corresponding author), Univ Wisconsin Madison, Dept Radiol, Madison, WI 53705 USA.</t>
  </si>
  <si>
    <t>tbradshaw@wisc.edu; junjie.hu@wisc.edu; zhuemann@wisc.edu; xtie@wisc.edu</t>
  </si>
  <si>
    <t>GE Healthcare</t>
  </si>
  <si>
    <t>GE Healthcare (General Electric, GE Healthcare)</t>
  </si>
  <si>
    <t>No Statement Available</t>
  </si>
  <si>
    <t>[Huemann, Zachary; Tie, Xin; Bradshaw, Tyler J.] Univ Wisconsin Madison, Dept Radiol, Madison, WI 53705 USA; [Hu, Junjie] Univ Wisconsin Madison, Dept Biostat &amp; Comp Sci, Madison, WI 53705 USA</t>
  </si>
  <si>
    <t>University of Wisconsin System; University of Wisconsin Madison; University of Wisconsin System; University of Wisconsin Madison</t>
  </si>
  <si>
    <t>ConTEXTual Net: A Multimodal Vision-Language Model for Segmentation of Pneumothorax</t>
  </si>
  <si>
    <t>Multimodal; Fusion; Segmentation; Pneumothorax</t>
  </si>
  <si>
    <t>ATTENTION</t>
  </si>
  <si>
    <t>TIE, XIN/GRO-2880-2022; Hu, Junjie/JYQ-9772-2024</t>
  </si>
  <si>
    <t>Huemann, Zachary/0000-0002-1472-243X; TIE, XIN/0000-0003-3062-5995</t>
  </si>
  <si>
    <t>AUG 2024</t>
  </si>
  <si>
    <t>1652</t>
  </si>
  <si>
    <t>1663</t>
  </si>
  <si>
    <t>10.1007/s10278-024-01051-8</t>
  </si>
  <si>
    <t>http://dx.doi.org/10.1007/s10278-024-01051-8</t>
  </si>
  <si>
    <t>MAR 2024</t>
  </si>
  <si>
    <t>A8E1I</t>
  </si>
  <si>
    <t>38485899</t>
  </si>
  <si>
    <t>WOS:001193751700001</t>
  </si>
  <si>
    <t>Tanno, R; Barrett, DGT; Sellergren, A; Ghaisas, S; Dathathri, S; See, A; Welbl, J; Lau, C; Tu, T; Azizi, S; Singhal, K; Schaekermann, M; May, R; Lee, RY; Man, SW; Mahdavi, S; Ahmed, Z; Matias, Y; Barral, J; Eslami, SMA; Belgrave, D; Liu, Y; Kalidindi, SR; Shetty, S; Natarajan, V; Kohli, P; Huang, PS; Karthikesalingam, A; Ktena, I</t>
  </si>
  <si>
    <t>Automated radiology report generation has the potential to improve patient care and reduce the workload of radiologists. However, the path toward real-world adoption has been stymied by the challenge of evaluating the clinical quality of artificial intelligence (AI)-generated reports. We build a state-of-the-art report generation system for chest radiographs, called Flamingo-CXR, and perform an expert evaluation of AI-generated reports by engaging a panel of board-certified radiologists. We observe a wide distribution of preferences across the panel and across clinical settings, with 56.1% of Flamingo-CXR intensive care reports evaluated to be preferable or equivalent to clinician reports, by half or more of the panel, rising to 77.7% for in/outpatient X-rays overall and to 94% for the subset of cases with no pertinent abnormal findings. Errors were observed in human-written reports and Flamingo-CXR reports, with 24.8% of in/outpatient cases containing clinically significant errors in both report types, 22.8% in Flamingo-CXR reports only and 14.0% in human reports only. For reports that contain errors we develop an assistive setting, a demonstration of clinician-AI collaboration for radiology report composition, indicating new possibilities for potential clinical utility.By engaging a group of 27 certified radiologists in the United States and India, the accuracy and quality of radiology reports generated by a vision-language model is evaluated, exploring synergistic combinations with clinicians.</t>
  </si>
  <si>
    <t>Tanno, Ryutaro; Barrett, David G. T.; Sellergren, Andrew; Ghaisas, Sumedh; Dathathri, Sumanth; See, Abigail; Welbl, Johannes; Lau, Charles; Tu, Tao; Azizi, Shekoofeh; Singhal, Karan; Schaekermann, Mike; May, Rhys; Lee, Roy; Man, SiWai; Mahdavi, Sara; Ahmed, Zahra; Matias, Yossi; Barral, Joelle; Eslami, S. M. Ali; Belgrave, Danielle; Liu, Yun; Kalidindi, Sreenivasa Raju; Shetty, Shravya; Natarajan, Vivek; Kohli, Pushmeet; Huang, Po-Sen; Karthikesalingam, Alan; Ktena, Ira</t>
  </si>
  <si>
    <t>Tanno, R; Barrett, DGT; Ktena, I (corresponding author), Google DeepMind, London, England.; Karthikesalingam, A (corresponding author), Google Res, London, England.</t>
  </si>
  <si>
    <t>iraktena@google.com; barrettdavid@google.com; rtanno@google.com; alankarthi@google.com</t>
  </si>
  <si>
    <t>Google DeepMind and Google Research</t>
  </si>
  <si>
    <t>This research was funded by Google DeepMind and Google Research. We would like to thank many colleagues for useful discussions, suggestions, feedback and advice, including C. Kelly, G. S. Corrado, J. Krause, N. Tomasev, O. Vinyals, S. Mohamed, R. Hadsel, Z. Gharamani, T. Cemgil and Y. Chen.</t>
  </si>
  <si>
    <t>[Tanno, Ryutaro; Barrett, David G. T.; Ghaisas, Sumedh; Dathathri, Sumanth; See, Abigail; Welbl, Johannes; Tu, Tao; Azizi, Shekoofeh; May, Rhys; Mahdavi, Sara; Ahmed, Zahra; Barral, Joelle; Eslami, S. M. Ali; Belgrave, Danielle; Kohli, Pushmeet; Huang, Po-Sen; Ktena, Ira] Google DeepMind, London, England; [Sellergren, Andrew; Lau, Charles; Singhal, Karan; Schaekermann, Mike; Lee, Roy; Man, SiWai; Matias, Yossi; Liu, Yun; Shetty, Shravya; Natarajan, Vivek; Karthikesalingam, Alan] Google Res, London, England; [Kalidindi, Sreenivasa Raju] Apollo Radiol Int, Hyderabad, India; [Singhal, Karan] Open AI, San Francisco, CA USA; [Belgrave, Danielle] GlaxoSmithKline AI, London, England</t>
  </si>
  <si>
    <t>Alphabet Inc.; Google Incorporated; DeepMind; Alphabet Inc.; Google Incorporated</t>
  </si>
  <si>
    <t>Collaboration between clinicians and vision-language models in radiology report generation</t>
  </si>
  <si>
    <t>NATURE MEDICINE</t>
  </si>
  <si>
    <t>CHEST RADIOGRAPHS</t>
  </si>
  <si>
    <t>Azizi, Shekoofeh/T-5465-2019; Natarajan, Vivek/AAG-4944-2021; Dathathri, Sumanth/PUF-8471-2026</t>
  </si>
  <si>
    <t>Lau, Charles/0000-0002-3136-9711; Barrett, David/0009-0004-4678-6691</t>
  </si>
  <si>
    <t>130</t>
  </si>
  <si>
    <t>151</t>
  </si>
  <si>
    <t>1078-8956</t>
  </si>
  <si>
    <t>1546-170X</t>
  </si>
  <si>
    <t>NAT MED</t>
  </si>
  <si>
    <t>Nat. Med.</t>
  </si>
  <si>
    <t>FEB 2025</t>
  </si>
  <si>
    <t>599</t>
  </si>
  <si>
    <t>608</t>
  </si>
  <si>
    <t>10.1038/s41591-024-03302-1</t>
  </si>
  <si>
    <t>http://dx.doi.org/10.1038/s41591-024-03302-1</t>
  </si>
  <si>
    <t>Biochemistry &amp; Molecular Biology; Cell Biology; Medicine, Research &amp; Experimental</t>
  </si>
  <si>
    <t>Biochemistry &amp; Molecular Biology; Cell Biology; Research &amp; Experimental Medicine</t>
  </si>
  <si>
    <t>X4V8E</t>
  </si>
  <si>
    <t>39511432</t>
  </si>
  <si>
    <t>WOS:001349843300001</t>
  </si>
  <si>
    <t>Ma, ZQ; Fang, XZ; Huang, Y; Wen, J; Zhou, GX; Xie, SL</t>
  </si>
  <si>
    <t>Zero-shot anomaly detection (ZSAD) is a challenging task that aims to detect anomalies in images without any prior knowledge of the anomaly classes. This task is especially difficult because anomalies are rare, diverse, and often manifest differently across domains, making it hard for models to generalize when training data is scarce or unavailable. Recently, vision-language models (VLMs), such as CLIP, have shown great potential in ZSAD, but they often struggle to adapt to unseen domains due to the lack of domain-aware knowledge. To address these challenges, we propose the Domain Adaptation CLIP (DACLIP), a novel approach that adapts domain-aware knowledge to the VLM. Specifically, DACLIP leverages a Domain-Aware Knowledge Adaptation (DAKA) strategy to enhance CLIP for ZSAD across different domains. The DAKA strategy comprises multiple experts that specialize in target domains, enabling the model to dynamically select and combine specialized experts tailored to anomaly characteristics, thus improving its ability to generalize and detect a wide range of anomalies. Furthermore, we introduce learnable domain-aware prompts that are jointly learned by and injected into both the CLIP encoders (visual and text) and the DAKA modules. This dual-pathway learning enables the model to capture domain-specific features at multiple levels of the architecture, allowing for more effective adaptation to new domains and anomaly types. We evaluate our approach on several benchmark datasets spanning industrial and medical domains. Extensive experiments demonstrate that DACLIP consistently outperforms state-of-the-art methods in ZSAD, achieving significant improvements in both image-level and pixel-level anomaly detection tasks.</t>
  </si>
  <si>
    <t>Ma, Zeqi; Fang, Xiaozhao; Huang, Yue; Wen, Jie; Zhou, Guoxu; Xie, Shengli</t>
  </si>
  <si>
    <t>Fang, XZ (corresponding author), Guangdong Univ Technol, Sch Automat, Guangzhou 510006, Peoples R China.</t>
  </si>
  <si>
    <t>shlxie@gdut.edu.cn; gx.zhou@gdut.edu.cn; 17324004911@163.com; zeqim18@gmail.com; jiewen_pr@126.com; xzhfang168@126.com</t>
  </si>
  <si>
    <t>National Natural Science Foundation of China [62176065]</t>
  </si>
  <si>
    <t>This work was supported by the National Natural Science Foundationof China under Grant 62176065.</t>
  </si>
  <si>
    <t>[Ma, Zeqi; Fang, Xiaozhao; Huang, Yue; Zhou, Guoxu; Xie, Shengli] Guangdong Univ Technol, Sch Automat, Guangzhou 510006, Peoples R China; [Fang, Xiaozhao] Minist Educ, Key Lab Intelligent Detect &amp; Internet Things Mfg G, Guangzhou 510006, Peoples R China; [Wen, Jie] Harbin Inst Technol, Biocomp Res Ctr, Shenzhen 518055, Peoples R China; [Wen, Jie] Shenzhen Key Lab Visual Object Detect &amp; Recognit, Shenzhen 518055, Peoples R China; [Xie, Shengli] Guangdong Hong Kong Macao Joint Lab Smart Discrete, Guangzhou 510006, Peoples R China</t>
  </si>
  <si>
    <t>Guangdong University of Technology; Harbin Institute of Technology</t>
  </si>
  <si>
    <t>Adapting Domain-Aware Knowledge to Vision-Language Model for Zero-Shot Anomaly Detection</t>
  </si>
  <si>
    <t>IEEE TRANSACTIONS ON IMAGE PROCESSING</t>
  </si>
  <si>
    <t>Anomaly detection; Visualization; Adaptation models; Computational modeling; Semantics; Electronic mail; Biomedical imaging; Automation; Training; Image reconstruction; Zero-shot anomaly detection; vision-language model; domain adaptation</t>
  </si>
  <si>
    <t>Zhou, Guoxu/D-2040-2014; ma, zeqi/HJA-4527-2022; Wen, Jie/AAH-8083-2020</t>
  </si>
  <si>
    <t>66</t>
  </si>
  <si>
    <t>1057-7149</t>
  </si>
  <si>
    <t>1941-0042</t>
  </si>
  <si>
    <t>IEEE T IMAGE PROCESS</t>
  </si>
  <si>
    <t>IEEE Trans. Image Process.</t>
  </si>
  <si>
    <t>2843</t>
  </si>
  <si>
    <t>2856</t>
  </si>
  <si>
    <t>10.1109/TIP.2026.3671665</t>
  </si>
  <si>
    <t>http://dx.doi.org/10.1109/TIP.2026.3671665</t>
  </si>
  <si>
    <t>FI4YB</t>
  </si>
  <si>
    <t>41818000</t>
  </si>
  <si>
    <t>WOS:001719543800007</t>
  </si>
  <si>
    <t>He, YY; Gao, RH; Zhang, SY; Li, QF; Wang, R; Peng, C; Shi, Y; Xu, C</t>
  </si>
  <si>
    <t>Rapid and precise diagnosis of poultry diseases is critical for ensuring biosecurity and mitigating economic losses in large-scale production environments. Traditional diagnostic workflows often rely on scarce veterinary expertise, leading to delayed interventions and subjective assessments. While multimodal large language models (MLLMs) offer promising avenues for automated diagnosis, their practical application in agriculture is hindered by a lack of domain-specific multimodal data and specialized task alignment. In this study, we present ChickVLM, a specialized vision-language model designed for interactive and interpretable chicken disease diagnosis. To empower the model, we developed a knowledge-guided data construction pipeline that integrates expertvalidated veterinary literature with real-world clinical pathological images, resulting in the Chicken Disease Multimodal Diagnostic Dataset (CMDD)-a high-fidelity resource comprising 9,000 image-text pairs of multiturn diagnostic dialogues. Built upon the Qwen2.5VL-7B architecture, ChickVLM is refined through a threestage training pipeline encompassing continued pre-training, concept alignment, and instruction fine-tuning. To ensure high parameter efficiency suitable for agricultural electronic instrumentation, LoRA-based fine-tuning was strategically employed. Experimental results demonstrate that ChickVLM consistently outperforms the state-of-the-art baseline, Med-Flamingo, in both diagnostic reasoning and disease classification. Specifically, ChickVLM achieves relative improvements of 5.56% in BLEU-4, 5.37% in ROUGE-L, 5.05% in accuracy, and 6.30% in F1 score. These findings underscore ChickVLM's potential as a robust decision-support tool for intelligent avian health management at the farm level.</t>
  </si>
  <si>
    <t>He, Yingying; Gao, Ronghua; Zhang, Shuyin; Li, Qifeng; Wang, Rong; Peng, Cheng; Shi, Yan; Xu, Chao</t>
  </si>
  <si>
    <t>Zhang, SY (corresponding author), Northwest A&amp;F Univ, Coll Informat Engn, Yangling 712100, Peoples R China.; Gao, RH (corresponding author), Beijing Acad Agr &amp; Forestry Sci, Res Ctr Informat Technol, Beijing 100097, Peoples R China.; Gao, RH (corresponding author), Natl Engn Res Ctr Informat Technol Agr, Beijing 100097, Peoples R China.</t>
  </si>
  <si>
    <t>gaorh@nercita.org.cn; zhangsy217@nwafu.edu.cn</t>
  </si>
  <si>
    <t>[He, Yingying; Zhang, Shuyin; Shi, Yan; Xu, Chao] Northwest A&amp;F Univ, Coll Informat Engn, Yangling 712100, Peoples R China; [He, Yingying; Gao, Ronghua; Li, Qifeng; Wang, Rong; Peng, Cheng; Shi, Yan] Beijing Acad Agr &amp; Forestry Sci, Res Ctr Informat Technol, Beijing 100097, Peoples R China; [Gao, Ronghua; Li, Qifeng; Wang, Rong; Peng, Cheng] Natl Engn Res Ctr Informat Technol Agr, Beijing 100097, Peoples R China</t>
  </si>
  <si>
    <t>Northwest A&amp;F University - China; Beijing Academy of Agriculture &amp; Forestry Sciences (BAAFS); Beijing Academy of Agriculture &amp; Forestry Sciences (BAAFS)</t>
  </si>
  <si>
    <t>ChickVLM: Domain-Adaptive vision-language model for interactive chicken disease diagnosis</t>
  </si>
  <si>
    <t>SMART AGRICULTURAL TECHNOLOGY</t>
  </si>
  <si>
    <t>Poultry disease diagnosis; Vision-language models; Smart farming; Domain adaptation; Multimodal diagnostic dialogue</t>
  </si>
  <si>
    <t>2772-3755</t>
  </si>
  <si>
    <t>SMART AGR TECHNOL</t>
  </si>
  <si>
    <t>Smart Agric. Technol.</t>
  </si>
  <si>
    <t>102006</t>
  </si>
  <si>
    <t>10.1016/j.atech.2026.102006</t>
  </si>
  <si>
    <t>http://dx.doi.org/10.1016/j.atech.2026.102006</t>
  </si>
  <si>
    <t>Agricultural Engineering; Agriculture, Multidisciplinary; Agronomy</t>
  </si>
  <si>
    <t>Agriculture</t>
  </si>
  <si>
    <t>FM6OT</t>
  </si>
  <si>
    <t>WOS:001722376500001</t>
  </si>
  <si>
    <t>Zhou, YY; Yan, HP; Ding, K; Cai, TT; Zhang, Y</t>
  </si>
  <si>
    <t>Accurate crop disease classification is crucial for ensuring food security and enhancing agricultural productivity. However, the existing crop disease classification algorithms primarily focus on a single image modality and typically require a large number of samples. Our research counters these issues by using pre-trained Vision-Language Models (VLMs), which enhance the multimodal synergy for better crop disease classification than the traditional unimodal approaches. Firstly, we apply the multimodal model Qwen-VL to generate meticulous textual descriptions for representative disease images selected through clustering from the training set, which will serve as prompt text for generating classifier weights. Compared to solely using the language model for prompt text generation, this approach better captures and conveys fine-grained and image-specific information, thereby enhancing the prompt quality. Secondly, we integrate cross-attention and SE (Squeeze-and-Excitation) Attention into the training-free mode VLCD(Vision-Language model for Crop Disease classification) and the training-required mode VLCD-T (VLCD-Training), respectively, for prompt text processing, enhancing the classifier weights by emphasizing the key text features. The experimental outcomes conclusively prove our method's heightened classification effectiveness in few-shot crop disease scenarios, tackling the data limitations and intricate disease recognition issues. It offers a pragmatic tool for agricultural pathology and reinforces the smart farming surveillance infrastructure.</t>
  </si>
  <si>
    <t>Zhou, Yueyue; Yan, Hongping; Ding, Kun; Cai, Tingting; Zhang, Yan</t>
  </si>
  <si>
    <t>Yan, HP (corresponding author), China Univ Geosci, Sch Informat Engn, Beijing 100083, Peoples R China.</t>
  </si>
  <si>
    <t>kun.ding@ia.ac.cn; yanhp@cugb.edu.cn; caitingting0903@163.com; doublemoon171@gmail.com; cangmiszy@gmail.com</t>
  </si>
  <si>
    <t>National Natural Science Foundation of China</t>
  </si>
  <si>
    <t>This research was supported by the National Natural Science Foundation of China under Grant 62306310.</t>
  </si>
  <si>
    <t>[Zhou, Yueyue; Yan, Hongping; Cai, Tingting; Zhang, Yan] China Univ Geosci, Sch Informat Engn, Beijing 100083, Peoples R China; [Zhou, Yueyue; Ding, Kun; Cai, Tingting; Zhang, Yan] Chinese Acad Sci, Inst Automat, State Key Lab Multimodal Artificial Intelligence S, Beijing 100190, Peoples R China</t>
  </si>
  <si>
    <t>China University of Geosciences; Chinese Academy of Sciences; Institute of Automation, CAS</t>
  </si>
  <si>
    <t>Few-Shot Image Classification of Crop Diseases Based on Vision-Language Models</t>
  </si>
  <si>
    <t>SENSORS</t>
  </si>
  <si>
    <t>few-shot learning; crop disease classification; vision-language models; attention mechanisms</t>
  </si>
  <si>
    <t>yueyue, Zhou/PXW-1570-2026</t>
  </si>
  <si>
    <t>周, 月月/0009-0001-3624-5443; Ding, Kun/0000-0002-2256-8815</t>
  </si>
  <si>
    <t>29</t>
  </si>
  <si>
    <t>32</t>
  </si>
  <si>
    <t>55</t>
  </si>
  <si>
    <t>1424-8220</t>
  </si>
  <si>
    <t>SENSORS-BASEL</t>
  </si>
  <si>
    <t>Sensors</t>
  </si>
  <si>
    <t>6109</t>
  </si>
  <si>
    <t>10.3390/s24186109</t>
  </si>
  <si>
    <t>http://dx.doi.org/10.3390/s24186109</t>
  </si>
  <si>
    <t>Chemistry, Analytical; Engineering, Electrical &amp; Electronic; Instruments &amp; Instrumentation</t>
  </si>
  <si>
    <t>Chemistry; Engineering; Instruments &amp; Instrumentation</t>
  </si>
  <si>
    <t>H5I8O</t>
  </si>
  <si>
    <t>39338855</t>
  </si>
  <si>
    <t>WOS:001323785900001</t>
  </si>
  <si>
    <t>Yang, H; Zhou, HY; Liu, JR; Huang, WJ; Li, C; Li, ZH; Gao, YX; Liu, QG; Liang, Y; Yang, Q; Wu, S; Tan, T; Zheng, HR; Zhang, K; Wang, SS</t>
  </si>
  <si>
    <t>Existing deep learning models for defining pathology from clinical imaging data rely on expert annotations and lack generalization capabilities in open clinical environments. Here we present a generalizable vision-language model for Annotation-Free pathology Localization (AFLoc). The core strength of AFLoc is extensive multilevel semantic structure-based contrastive learning, which comprehensively aligns multigranularity medical concepts with abundant image features to adapt to the diverse expressions of pathologies without the reliance on expert image annotations. We conducted primary experiments on a dataset of 220,000 pairs of image-report chest X-ray images and performed validation across 8 external datasets encompassing 34 types of chest pathology. The results demonstrate that AFLoc outperforms state-of-the-art methods in both annotation-free localization and classification tasks. In addition, we assessed the generalizability of AFLoc on other modalities, including histopathology and retinal fundus images. We show that AFLoc exhibits robust generalization capabilities, even surpassing human benchmarks in localizing five different types of pathological image. These results highlight the potential of AFLoc in reducing annotation requirements and its applicability in complex clinical environments.</t>
  </si>
  <si>
    <t>Yang, Hao; Zhou, Hong-Yu; Liu, Jiarun; Huang, Weijian; Li, Cheng; Li, Zhihuan; Gao, Yuanxu; Liu, Qiegen; Liang, Yong; Yang, Qi; Wu, Song; Tan, Tao; Zheng, Hairong; Zhang, Kang; Wang, Shanshan</t>
  </si>
  <si>
    <t>Wang, SS (corresponding author), Chinese Acad Sci, Shenzhen Inst Adv Technol, Paul C Lauterbur Res Ctr Biomed Imaging, Shenzhen, Peoples R China.; Zhang, K (corresponding author), Macau Univ Sci &amp; Technol, Inst AI Med, Macau, Peoples R China.; Zhang, K (corresponding author), Macau Univ Sci &amp; Technol, Fac Med, Macau, Peoples R China.; Zhang, K (corresponding author), Wenzhou Med Univ, Eye Hosp, Inst Clin Data Sci, State Key Lab Eye Hlth, Wenzhou, Peoples R China.; Zhang, K (corresponding author), Wenzhou Med Univ, Inst Adv Study Eye Hlth &amp; Dis, Inst Clin Data Sci, Wenzhou, Peoples R China.; Zhang, K (corresponding author), Guangzhou Natl Lab, Guangzhou, Peoples R China.</t>
  </si>
  <si>
    <t>kang.zhang@gmail.com; ss.wang@siat.ac.cn</t>
  </si>
  <si>
    <t>Shenzhen Medical Research Fund (B2402047), Key Laboratory for Magnetic Resonance and Multimodality Imaging of Guangdong Province (2023B1212060052),Youth Innovation Promotion Association CAS.; the major key project of Pengcheng Laboratory under grant PCL2024A06.; the Macau Science and Technology Development Fund, Macao (0007/2020/AFJ to K.Z., 0070/2020/A2 to K.Z. and 0003/2021/AKP to K.Z.); National Natural Science Foundation of China (National Science Foundation of China) [62222118, U22A2040, W2431057]</t>
  </si>
  <si>
    <t>Shenzhen Medical Research Fund (B2402047), Key Laboratory for Magnetic Resonance and Multimodality Imaging of Guangdong Province (2023B1212060052),Youth Innovation Promotion Association CAS.; the major key project of Pengcheng Laboratory under grant PCL2024A06.; the Macau Science and Technology Development Fund, Macao (0007/2020/AFJ to K.Z., 0070/2020/A2 to K.Z. and 0003/2021/AKP to K.Z.); National Natural Science Foundation of China (National Science Foundation of China) (National Natural Science Foundation of China (NSFC))</t>
  </si>
  <si>
    <t>This research was partly supported by the National Natural Science Foundation of China (62222118 and U22A2040 to S. Wang, W2431057 to K.Z.); the Shenzhen Medical Research Fund (B2402047 to S. Wang); the major key project of Pengcheng Laboratory under grant PCL2024A06 (to H.Y., J.L. and W.H.); the Key Laboratory for Magnetic Resonance and Multimodality Imaging of Guangdong Province (2023B1212060052 to S. Wang); the Youth Innovation Promotion Association CAS (to S. Wang); the Macau Science and Technology Development Fund, Macao (0007/2020/AFJ, 0070/2020/A2 and 0003/2021/AKP to K.Z.); Macau University of Science and Technology; and the State Key Laboratory for Eye Health, Eye Hospital and Institute for Advanced Study on Eye Health and Diseases, Wenzhou Medical University.</t>
  </si>
  <si>
    <t>[Yang, Hao; Liu, Jiarun; Huang, Weijian; Li, Cheng; Zheng, Hairong; Wang, Shanshan] Chinese Acad Sci, Shenzhen Inst Adv Technol, Paul C Lauterbur Res Ctr Biomed Imaging, Shenzhen, Peoples R China; [Yang, Hao; Liu, Jiarun; Huang, Weijian; Liang, Yong] Pengcheng Lab, Shenzhen, Peoples R China; [Yang, Hao; Liu, Jiarun; Huang, Weijian] Univ Chinese Acad Sci, Beijing, Peoples R China; [Zhou, Hong-Yu] Tsinghua Univ, Sch Biomed Engn, Tsinghua Med, Beijing, Peoples R China; [Li, Zhihuan; Gao, Yuanxu; Zhang, Kang] Macau Univ Sci &amp; Technol, Inst AI Med, Macau, Peoples R China; [Li, Zhihuan; Gao, Yuanxu; Zhang, Kang] Macau Univ Sci &amp; Technol, Fac Med, Macau, Peoples R China; [Li, Zhihuan; Zhang, Kang] Wenzhou Med Univ, Eye Hosp, Inst Clin Data Sci, State Key Lab Eye Hlth, Wenzhou, Peoples R China; [Li, Zhihuan; Zhang, Kang] Wenzhou Med Univ, Inst Adv Study Eye Hlth &amp; Dis, Inst Clin Data Sci, Wenzhou, Peoples R China; [Liu, Qiegen] Nanchang Univ, Dept Elect Informat Engn, Nanchang, Peoples R China; [Liang, Yong] Chinese Med Guangdong Lab, Hengqin, Peoples R China; [Yang, Qi] Capital Med Univ, Beijing Chaoyang Hosp, Beijing, Peoples R China; [Yang, Qi] Minist Educ, Key Lab Med Engn Cardiovasc Dis, Beijing, Peoples R China; [Wu, Song] Shenzhen Univ, South China Hosp, Med Sch, Dept Urol, Shenzhen, Peoples R China; [Tan, Tao] Macao Polytech Univ, Fac Appl Sci, Macau, Peoples R China; [Zhang, Kang] Guangzhou Natl Lab, Guangzhou, Peoples R China</t>
  </si>
  <si>
    <t>Chinese Academy of Sciences; Shenzhen Institute of Advanced Technology, CAS; Chinese Academy of Sciences; University of Chinese Academy of Sciences, CAS; Tsinghua University; Macau University of Science and Technology; Macau University of Science and Technology; Wenzhou Medical University; Wenzhou Medical University; Nanchang University; Capital Medical University; Shenzhen University; Macao Polytechnic University; Guangzhou Laboratory</t>
  </si>
  <si>
    <t>A multimodal vision-language model for generalizable annotation-free pathology localization</t>
  </si>
  <si>
    <t>NATURE BIOMEDICAL ENGINEERING</t>
  </si>
  <si>
    <t>Wang, Shanshan/T-6972-2017; Gao, Yuanxu/GMW-9983-2022; Zhou, Hong-Yu/ADF-2386-2022; Huang, Weijian/AEX-0851-2022</t>
  </si>
  <si>
    <t>Huang, Weijian/0000-0003-4835-8266; Wang, Shanshan/0000-0002-0575-6523; Zhou, Hong-Yu/0000-0002-1256-7050; Liu, Jiarun/0000-0002-6921-1549</t>
  </si>
  <si>
    <t>33</t>
  </si>
  <si>
    <t>2157-846X</t>
  </si>
  <si>
    <t>NAT BIOMED ENG</t>
  </si>
  <si>
    <t>Nat. Biomed. Eng</t>
  </si>
  <si>
    <t>10.1038/s41551-025-01574-7</t>
  </si>
  <si>
    <t>http://dx.doi.org/10.1038/s41551-025-01574-7</t>
  </si>
  <si>
    <t>MR8VX</t>
  </si>
  <si>
    <t>41495192</t>
  </si>
  <si>
    <t>WOS:001654887200001</t>
  </si>
  <si>
    <t>Alsabbagh, AR; Mansour, T; Al-Kharabsheh, M; Ebdah, AS; Al-Emaryeen, R; Al-Nahhas, S; Mahafza, W; Al-Kadi, O</t>
  </si>
  <si>
    <t>While Large Vision-Language Models (LVLMs) like GPT-4 and Gemini demonstrate significant potential, utilization in the medical domain remains largely unexplored. This is due to challenges attributed to prolonged training and language generation issues. Imbalances within medical Visual Question Answering (VQA) datasets further complicate the integration of LVLMs. In this paper, we present a novel approach named MiniMedGPT (Mini Medical Generative Pretrained Transformer). Inspired by MiniGPT4-v2, MiniMedGPT is specifically designed for efficient medical VQA. The framework of MiniMedGPT is built upon both medical and pretrained Large Language Models and features an end-to-end versatile fine-tuning pipeline that enables alignment of medical VQA data in just 30 min within a single-stage framework. To address language generation shortcomings and dataset imbalances, we employ Gemini Vision Pro and MediCap using them as an auxiliary component. Through comprehensive benchmarking and evaluations against 6 prominent medical VQA across 2 well-known datasets, our approach brings an improved performance with the least number of trainable parameters against competitors across various performance metrics. This work can help train junior clinicians and has the potential to serve as a decision support tool for experienced radiologists.1</t>
  </si>
  <si>
    <t>Alsabbagh, Abdel Rahman; Mansour, Tariq; Al-Kharabsheh, Mohammad; Ebdah, Abdel Salam; Al-Emaryeen, Roa'a; Al-Nahhas, Sara; Mahafza, Waleed; Al-Kadi, Omar</t>
  </si>
  <si>
    <t>Al-Kadi, O (corresponding author), Univ Jordan, King Abdullah Sch Informat Technol 2, Amman 11942, Jordan.</t>
  </si>
  <si>
    <t>abd0200811@ju.edu.jo; o.alkadi@ju.edu.jo; abd8221729@ju.edu.jo; wmahafza@ju.edu.jo; tar0205865@ju.edu.jo; roa0194961@ju.edu.jo; sar0187721@ju.edu.jo</t>
  </si>
  <si>
    <t>[Alsabbagh, Abdel Rahman; Mansour, Tariq; Al-Emaryeen, Roa'a; Al-Nahhas, Sara; Mahafza, Waleed; Al-Kadi, Omar] Univ Jordan, King Abdullah Sch Informat Technol 2, Amman 11942, Jordan; [Al-Kharabsheh, Mohammad; Ebdah, Abdel Salam; Mahafza, Waleed] Jordan Univ Hosp, Diagnost Radiol Dept, Amman 11942, Jordan</t>
  </si>
  <si>
    <t>University of Jordan; University of Jordan</t>
  </si>
  <si>
    <t>MiniMedGPT: Efficient Large Vision-Language Model for medical Visual Question Answering</t>
  </si>
  <si>
    <t>PATTERN RECOGNITION LETTERS</t>
  </si>
  <si>
    <t>Medical VQA; Large Vision-Language Model; MedGPT; Generative pre-trained transformers; Natural language processing</t>
  </si>
  <si>
    <t>Mahafza, Waleed/L-8247-2016; Al-Kadi, Omar/B-5287-2009</t>
  </si>
  <si>
    <t>Al-Kadi, Omar/0000-0002-6346-0106; khraheh, mohammed/0009-0004-5262-6248</t>
  </si>
  <si>
    <t>0167-8655</t>
  </si>
  <si>
    <t>1872-7344</t>
  </si>
  <si>
    <t>PATTERN RECOGN LETT</t>
  </si>
  <si>
    <t>Pattern Recognit. Lett.</t>
  </si>
  <si>
    <t>189</t>
  </si>
  <si>
    <t>10.1016/j.patrec.2025.01.001</t>
  </si>
  <si>
    <t>http://dx.doi.org/10.1016/j.patrec.2025.01.001</t>
  </si>
  <si>
    <t>W6R9N</t>
  </si>
  <si>
    <t>WOS:001419833100001</t>
  </si>
  <si>
    <t>Zhuo, HS; Zhou, Y; Wen, DL; Wang, Y; Li, ZH; Liu, ZY; Wu, G; Ma, Y; Nei, L; Liao, GL; Shi, TL</t>
  </si>
  <si>
    <t>Bone age assessment is critical for diagnosing pediatric growth disorders, yet traditional methods face challenges in subjectivity, data scarcity, and annotation inconsistency, and current deep-learning approaches struggle with false positives in joint extraction and indistinguishable epiphyseal features in maturity classification. This study pioneers the integration of logic-calibrated multi-scale detection, semi-supervised contrastive language-image pretraining-based pseudo-labeling, and linear discriminant analysis and normalization-based global attention mechanism enhanced model to address these limitations. The cooperative dynamics of confidence-ranked joint extraction are explored to optimize joint extraction, obtaining a 99.98% detection rate, and surpassing the original tenth version of you only look once model by 4.12%. The proposed classification model enhances feature separability, with 81.8% average classification accuracy. Validated on 1,000 public images of the Radiological Society of North America and 9,577 clinical radiographs, our system attains unprecedented clinical reliability, low false positives, and achieves a mean absolute error of 0.25 years and a root mean square error of 0.29 years. This work provides a scalable, annotation-efficient paradigm, advancing bone age assessment toward precision diagnostics in pediatric endocrinology and orthopaedics.</t>
  </si>
  <si>
    <t>Zhuo, Huasheng; Zhou, Yue; Wen, Donglin; Wang, Yi; Li, Zihan; Liu, Zhiyong; Wu, Gang; Ma, Yan; Nei, Lei; Liao, Guanglan; Shi, Tielin</t>
  </si>
  <si>
    <t>Liu, ZY (corresponding author), Huazhong Univ Sci &amp; Technol, State Key Lab Digital Mfg Equipment &amp; Technol, Wuhan 430074, Peoples R China.; Wu, G (corresponding author), Huazhong Univ Sci &amp; Technol, Dept Radiol, Tongji Hosp, Tongji Med Coll, Wuhan 430030, Peoples R China.</t>
  </si>
  <si>
    <t>42292815@qq.com; zhiyong_liu@hust.edu.cn</t>
  </si>
  <si>
    <t>National Natural Science Foundation of China [52275562]; Shenzhen Science and Technology Program [JCYJ20230807143603007]; National Key R &amp; D Program of China [2024YFC2417700]</t>
  </si>
  <si>
    <t>National Natural Science Foundation of China (National Natural Science Foundation of China (NSFC)); Shenzhen Science and Technology Program (Shenzhen Science and Technology Program); National Key R &amp; D Program of China (National Key Research &amp; Development Program of China)</t>
  </si>
  <si>
    <t>The authors acknowledge the financial support from the National Natural Science Foundation of China (No. 52275562) , the Shenzhen Science and Technology Program (No. JCYJ20230807143603007) , and the National Key R &amp; D Program of China (No. 2024YFC2417700) .</t>
  </si>
  <si>
    <t>[Zhuo, Huasheng; Zhou, Yue; Liu, Zhiyong; Liao, Guanglan; Shi, Tielin] Huazhong Univ Sci &amp; Technol, State Key Lab Digital Mfg Equipment &amp; Technol, Wuhan 430074, Peoples R China; [Wen, Donglin; Wang, Yi; Wu, Gang] Huazhong Univ Sci &amp; Technol, Dept Radiol, Tongji Hosp, Tongji Med Coll, Wuhan 430030, Peoples R China; [Wang, Yi] Wuhan Univ, Dept Radiol, Renmin Hosp, Wuhan 430060, Peoples R China; [Li, Zihan; Nei, Lei; Liao, Guanglan] Hubei Univ Technol, Sch Mech Engn, Wuhan 430068, Peoples R China; [Ma, Yan] Inst Blood Transfus Hubei Prov, Wuhan Blood Ctr, Wuhan 430030, Peoples R China</t>
  </si>
  <si>
    <t>Huazhong University of Science &amp; Technology; Huazhong University of Science &amp; Technology; Wuhan University; Hubei University of Technology</t>
  </si>
  <si>
    <t>Bone age assessment via joint feature learning, epiphyseal evaluation, and hybrid vision-language modeling</t>
  </si>
  <si>
    <t>Joint extracting; Epiphyseal maturity classification; Multi-scale detection; Semi-supervised; Linear discriminant analysis; Normalization-based global attention mechanism</t>
  </si>
  <si>
    <t>ADULT HEIGHT; PREDICTION; NETWORK</t>
  </si>
  <si>
    <t>54</t>
  </si>
  <si>
    <t>111142</t>
  </si>
  <si>
    <t>10.1016/j.bspc.2026.111142</t>
  </si>
  <si>
    <t>http://dx.doi.org/10.1016/j.bspc.2026.111142</t>
  </si>
  <si>
    <t>MB4DG</t>
  </si>
  <si>
    <t>WOS:001838225000001</t>
  </si>
  <si>
    <t>Clusmann, J; Ferber, D; Wiest, IC; Schneider, CV; Brinker, TJ; Foersch, S; Truhn, D; Kather, JN</t>
  </si>
  <si>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t>
  </si>
  <si>
    <t>Clusmann, Jan; Ferber, Dyke; Wiest, Isabella C.; Schneider, Carolin V.; Brinker, Titus J.; Foersch, Sebastian; Truhn, Daniel; Kather, Jakob Nikolas</t>
  </si>
  <si>
    <t>Kather, JN (corresponding author), Tech Univ Dresden, Else Kroener Fresenius Ctr Digital Hlth, Dresden, Germany.; Kather, JN (corresponding author), Heidelberg Univ Hosp, Natl Ctr Tumor Dis NCT, Dept Med Oncol, Heidelberg, Germany.; Kather, JN (corresponding author), Univ Hosp Dresden, Dept Med 1, Dresden, Germany.</t>
  </si>
  <si>
    <t>Jakob.Kather@ukdd.de</t>
  </si>
  <si>
    <t>JC is supported by the Mildred-Scheel-Postdoktorandenprogramm of the German Cancer Aid (grant #70115730). C.V.S is supported by a grant from the Interdisciplinary Centre for Clinical Research within the faculty of Medicine at the RWTH Aachen University (PT [70115730]; Mildred-Scheel-Postdoktorandenprogramm of the German Cancer Aid [PTD 1-13/IA 532313]; Interdisciplinary Centre for Clinical Research within the Faculty of Medicine at the RWTH Aachen University; Junior Principal Investigator Fellowship program of RWTH Aachen Excellence strategy [CRC 1382, 403224013]; Ministry of Culture and Science of the German State of North Rhine-Westphalia; Deutsche Forschungsgesellschaft (DFG, German Research Foundation) [01KD2215A]; German Federal Ministry of Education and Research (SWAG) [70115166]; German Cancer Aid [504101714]; German Research Foundation [01KD2215A, 01KD2104C, 01EO2101, 031L0312A, 01KT2302, 16DKZ2044A, 031L0315A]; German Federal Ministry of Education and Research [101057091]; European Union's Horizon Europe and Innovation program [01KD2215B]; German Federal Ministry of Health (SWAG) [57616814]; German Academic Exchange Service [01VSF21048]; German Federal Joint Committee; European Union [101114631]; European Research Council (ERC) [R01 CA263318]; National Institutes of Health (EPICO) [NIHR203331]; National Institute for Health and Care Research (NIHR)</t>
  </si>
  <si>
    <t>JC is supported by the Mildred-Scheel-Postdoktorandenprogramm of the German Cancer Aid (grant #70115730). C.V.S is supported by a grant from the Interdisciplinary Centre for Clinical Research within the faculty of Medicine at the RWTH Aachen University (PT; Mildred-Scheel-Postdoktorandenprogramm of the German Cancer Aid; Interdisciplinary Centre for Clinical Research within the Faculty of Medicine at the RWTH Aachen University; Junior Principal Investigator Fellowship program of RWTH Aachen Excellence strategy; Ministry of Culture and Science of the German State of North Rhine-Westphalia; Deutsche Forschungsgesellschaft (DFG, German Research Foundation) (German Research Foundation (DFG)); German Federal Ministry of Education and Research (SWAG); German Cancer Aid (Deutsche Krebshilfe); German Research Foundation (German Research Foundation (DFG)); German Federal Ministry of Education and Research (Federal Ministry of Education &amp; Research (BMBF)); European Union's Horizon Europe and Innovation program; German Federal Ministry of Health (SWAG); German Academic Exchange Service (Deutscher Akademischer Austausch Dienst (DAAD)); German Federal Joint Committee; European Union (European Union (EU)); European Research Council (ERC) (European Research Council (ERC)); National Institutes of Health (EPICO) (United States Department of Health &amp; Human Services, National Institutes of Health (NIH) - USA); National Institute for Health and Care Research (NIHR) (National Institutes of Health Research (NIHR))</t>
  </si>
  <si>
    <t>The results generated in our study are in part based upon data provided by Radiopaedia.org, with case courtesy of Di Muzio B (https://doi.org/10.53347/rID-70007), Keshavamurthy J (https://doi.org/10.53347/rID-68460) and Lawson A. Further, images used in this study were sourced from Wikimedia Commons, all licensed under CC BY-SA 4.0. References and further details see Supplementary Table 2. J.C. is supported by the Mildred-Scheel-Postdoktorandenprogramm of the German Cancer Aid (grant #70115730). C.V.S is supported by a grant from the Interdisciplinary Centre for Clinical Research within the Faculty of Medicine at the RWTH Aachen University (PTD 1-13/IA 532313), the Junior Principal Investigator Fellowship program of RWTH Aachen Excellence strategy, the NRW Rueckkehr Programme of the Ministry of Culture and Science of the German State of North Rhine-Westphalia and by the CRC 1382 (ID 403224013) funded by Deutsche Forschungsgesellschaft (DFG, German Research Foundation). S.F. is supported by the German Federal Ministry of Education and Research (SWAG, 01KD2215A), the German Cancer Aid (DECADE, 70115166 and TargHet, 70115995) and the German Research Foundation (504101714). D.T. is funded by the German Federal Ministry of Education and Research (TRANSFORM LIVER, 031L0312A), the European Union's Horizon Europe and Innovation program (ODELIA, 101057091), and the German Federal Ministry of Health (SWAG, 01KD2215B). J.N.K. is supported by the German Cancer Aid (DECADE, 70115166), the German Federal Ministry of Education and Research (PEARL, 01KD2104C; CAMINO, 01EO2101; SWAG, 01KD2215A; TRANSFORM LIVER, 031L0312A; TANGERINE, 01KT2302 through ERA-NET Transcan; Come2Data, 16DKZ2044A; DEEP-HCC, 031L0315A), the German Academic Exchange Service (SECAI, 57616814), the German Federal Joint Committee (TransplantKI, 01VSF21048) the European Union's Horizon Europe and innovation program (ODELIA, 101057091; GENIAL, 101096312), the European Research Council (ERC; NADIR, 101114631), the National Institutes of Health (EPICO, R01 CA263318) and the National Institute for Health and Care Research (NIHR, NIHR203331) Leeds Biomedical Research Centre.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t>
  </si>
  <si>
    <t>[Clusmann, Jan; Ferber, Dyke; Wiest, Isabella C.; Schneider, Carolin V.; Kather, Jakob Nikolas] Tech Univ Dresden, Else Kroener Fresenius Ctr Digital Hlth, Dresden, Germany; [Clusmann, Jan; Schneider, Carolin V.] Univ Hosp RWTH Aachen, Dept Med 3, Aachen, Germany; [Ferber, Dyke; Kather, Jakob Nikolas] Heidelberg Univ Hosp, Natl Ctr Tumor Dis NCT, Dept Med Oncol, Heidelberg, Germany; [Wiest, Isabella C.] Heidelberg Univ, Med Fac Mannheim, Dept Med 2, Mannheim, Germany; [Brinker, Titus J.] German Canc Res Ctr, Digital Biomarkers Oncol Grp, Heidelberg, Germany; [Foersch, Sebastian] Univ Med Ctr Mainz, Inst Pathol, Mainz, Germany; [Truhn, Daniel] Univ Hosp Aachen, Dept Diagnost &amp; Intervent Radiol, Aachen, Germany; [Kather, Jakob Nikolas] Univ Hosp Dresden, Dept Med 1, Dresden, Germany</t>
  </si>
  <si>
    <t>Technische Universitat Dresden; RWTH Aachen University; RWTH Aachen University Hospital; Ruprecht Karls University Heidelberg; Helmholtz Association; National Center for Tumor Diseases; German Cancer Research Center (DKFZ); Ruprecht Karls University Heidelberg; Helmholtz Association; German Cancer Research Center (DKFZ); Johannes Gutenberg University of Mainz; RWTH Aachen University; RWTH Aachen University Hospital; Technische Universitat Dresden; Carl Gustav Carus University Hospital</t>
  </si>
  <si>
    <t>Prompt injection attacks on vision language models in oncology</t>
  </si>
  <si>
    <t>NATURE COMMUNICATIONS</t>
  </si>
  <si>
    <t>Truhn, Daniel/AAG-9359-2021; Clusmann, Jan/LSK-6626-2024; Kather, Jakob Nikolas/D-4279-2015; Schneider, Carolin/AAZ-4832-2021</t>
  </si>
  <si>
    <t>Foersch, Sebastian/0000-0002-4740-6900; Kather, Jakob Nikolas/0000-0002-3730-5348</t>
  </si>
  <si>
    <t>2041-1723</t>
  </si>
  <si>
    <t>NAT COMMUN</t>
  </si>
  <si>
    <t>Nat. Commun.</t>
  </si>
  <si>
    <t>FEB 1 2025</t>
  </si>
  <si>
    <t>1239</t>
  </si>
  <si>
    <t>10.1038/s41467-024-55631-x</t>
  </si>
  <si>
    <t>http://dx.doi.org/10.1038/s41467-024-55631-x</t>
  </si>
  <si>
    <t>U2Y3I</t>
  </si>
  <si>
    <t>39890777</t>
  </si>
  <si>
    <t>WOS:001410505900006</t>
  </si>
  <si>
    <t>Wang, SS; Jin, ZC; Hu, MZ; Safari, M; Gao, Y; Zhao, F; Chang, CW; Qiu, RL; Roper, J; Yu, DS; Baciak, JE; Yang, XF</t>
  </si>
  <si>
    <t>Contrastive Language-Image Pretraining (CLIP) models, which are pretrained on natural images with billions of image-text pairs, exhibit strong zero-shot and cross-modal capabilities. However, their application in biomedicine remains challenging due to limited large-scale image-text data and heterogeneous imaging modalities. Here we show that a generalist biomedical foundation model can be effectively built via multimodal medical knowledge distillation. We introduce MMKD-CLIP, which integrates complementary knowledge from nine biomedical CLIP models. Our two-stage pipeline combines CLIP-style pretraining on 2.9 million biomedical image-text pairs across 26 modalities with large-scale feature-level distillation. We evaluate MMKD-CLIP on 58 datasets spanning nine modalities and six tasks, including classification, retrieval, visual question answering, survival prediction, and cancer diagnosis. MMKD-CLIP performs favorably relative to the teacher models, with results supporting its robustness and cross-domain generalization.</t>
  </si>
  <si>
    <t>Wang, Shansong; Jin, Zhecheng; Hu, Mingzhe; Safari, Mojtaba; Gao, Yuan; Zhao, Feng; Chang, Chih-Wei; Qiu, Richard L. J.; Roper, Justin; Yu, David S.; Baciak, James Edward; Yang, Xiaofeng</t>
  </si>
  <si>
    <t>Yang, XF (corresponding author), Univ Chicago, Dept Radiat &amp; Cellular Oncol, Chicago, IL 60637 USA.; Yang, XF (corresponding author), Georgia Inst Technol, Coll Engn, Dept Biomed Engn, Atlanta, GA 30332 USA.; Yang, XF (corresponding author), Emory Univ, Winship Canc Inst, Sch Med, Dept Radiat Oncol, Atlanta, GA 30322 USA.; Yang, XF (corresponding author), Emory Univ, Laney Grad Sch, Dept Comp Sci &amp; Math, Atlanta, GA 30322 USA.</t>
  </si>
  <si>
    <t>xfyang@uchicago.edu</t>
  </si>
  <si>
    <t>Foundation for the National Institutes of Health (Foundation for the National Institutes of Health, Inc.) [R01DE033512, R01EB032680, R01CA272991, R56EB033332]</t>
  </si>
  <si>
    <t>Foundation for the National Institutes of Health (Foundation for the National Institutes of Health, Inc.) (United States Department of Health &amp; Human Services, National Institutes of Health (NIH) - USA)</t>
  </si>
  <si>
    <t>This research is supported by the National Institutes of Health under Award Number R01EB032680 (Grant Recipient: X. Y.), R01DE033512 (Grant Recipient: X. Y.), and R01CA272991 (Grant Recipient: X. Y.).</t>
  </si>
  <si>
    <t>[Wang, Shansong; Safari, Mojtaba; Yang, Xiaofeng] Univ Chicago, Dept Radiat &amp; Cellular Oncol, Chicago, IL 60637 USA; [Jin, Zhecheng; Yang, Xiaofeng] Georgia Inst Technol, Coll Engn, Dept Biomed Engn, Atlanta, GA 30332 USA; [Hu, Mingzhe; Gao, Yuan; Chang, Chih-Wei; Qiu, Richard L. J.; Roper, Justin; Yu, David S.; Yang, Xiaofeng] Emory Univ, Winship Canc Inst, Sch Med, Dept Radiat Oncol, Atlanta, GA 30322 USA; [Hu, Mingzhe; Yang, Xiaofeng] Emory Univ, Laney Grad Sch, Dept Comp Sci &amp; Math, Atlanta, GA 30322 USA; [Zhao, Feng] Georgia Inst Technol, Coll Engn, Sch Elect &amp; Comp Engn, Atlanta, GA USA; [Baciak, James Edward] Univ Florida, Dept Mat Sci &amp; Engn, Gainesville, FL USA</t>
  </si>
  <si>
    <t>University of Chicago; University System of Georgia; Georgia Institute of Technology; Emory University; Emory University; University System of Georgia; Georgia Institute of Technology; State University System of Florida; University of Florida</t>
  </si>
  <si>
    <t>A generalist biomedical vision-language model via multi-CLIP knowledge distillation</t>
  </si>
  <si>
    <t>Safari, Mojtaba/LAE-5800-2024; Qiu, Lei/D-2150-2014; Yang, Xiaofeng/AAN-9258-2020</t>
  </si>
  <si>
    <t>Qiu, Lei/0000-0002-7877-1900</t>
  </si>
  <si>
    <t>JUN 10 2026</t>
  </si>
  <si>
    <t>7352</t>
  </si>
  <si>
    <t>10.1038/s41467-026-74120-x</t>
  </si>
  <si>
    <t>http://dx.doi.org/10.1038/s41467-026-74120-x</t>
  </si>
  <si>
    <t>LQ9LZ</t>
  </si>
  <si>
    <t>42270629</t>
  </si>
  <si>
    <t>WOS:001831119100015</t>
  </si>
  <si>
    <t>Zhang, Y; Wang, SH; Meng, J; Hou, JH; Overton, C; Moraros, J</t>
  </si>
  <si>
    <t>With the rapid advancement of Vision-Language Models (VLMs), there is a growing interest in adapting these models to the medical domain. However, the majority of VLMs treat medical tasks as straightforward questionanswering problems, neglecting the need for step-by-step reasoning, which is essential for handling complex medical information and gaining clinical trust. To address these limitations, we develop a Multi-modal Medical Reasoning Model (MMRM), which augments visual-language models (VLMs) by incorporating structured Chain of Thought (CoT) reasoning mechanism for better simulating the real clinical diagnosis process. During the development process, we first propose an Ortho Enhanced Training Framework to optimize the critical visual encoder of the VLM. Secondly, we leverage a Black-box knowledge distillation method to transfer the medical Chain of Thought reasoning capabilities into the large language model, which serves as another key component of the VLM. Finally, we construct a unique multi-modal medical Chain of Thought dataset for training the entire VLM, allowing the model to explicitly learn diagnostic reasoning. Extensive experiments demonstrate that our proposed model achieves state-of-the-art performance on standard medical VQA benchmarks, including SLAKE outperforming existing methods in both diagnostic accuracy and explanation. Critically, the model not only draws conclusions in medical diagnosis but also presents interpretable reasoning pathway strengthens clinical trustworthiness, and ultimately paving the way for deploying AI-assisted healthcare solutions in real-world clinical setting.</t>
  </si>
  <si>
    <t>Zhang, Yu; Wang, Shuihua; Meng, Jia; Hou, Jiahe; Overton, Christopher; Moraros, John</t>
  </si>
  <si>
    <t>Wang, SH (corresponding author), Xian Jiaotong Liverpool Univ, Sch Sci, Dept Biosci &amp; Bioinformat, Suzhou Municipal key Lab AI4Health, Suzhou 215000, Peoples R China.</t>
  </si>
  <si>
    <t>Shuihua.Wang@xjtlu.edu.cn</t>
  </si>
  <si>
    <t>Basic Research Program of Jiangsu [BK20241815]; Research Development Fund of Xi'an Jiaotong-Liverpool University [RDF-23-02-004]</t>
  </si>
  <si>
    <t>Basic Research Program of Jiangsu; Research Development Fund of Xi'an Jiaotong-Liverpool University</t>
  </si>
  <si>
    <t>This work was funded by Basic Research Program of Jiangsu, BK20241815 and Research Development Fund of Xi'an Jiaotong-Liverpool University, RDF-23-02-004.</t>
  </si>
  <si>
    <t>[Zhang, Yu; Wang, Shuihua; Meng, Jia; Hou, Jiahe; Moraros, John] Xian Jiaotong Liverpool Univ, Sch Sci, Dept Biosci &amp; Bioinformat, Suzhou Municipal key Lab AI4Health, Suzhou 215000, Peoples R China; [Zhang, Yu; Wang, Shuihua; Meng, Jia; Hou, Jiahe; Moraros, John] Univ Liverpool, Dept Math Sci, Liverpool, England; [Overton, Christopher] Univ Liverpool, Fac Sci &amp; Engn, Sch Phys Sci, Dept Math Sci, Liverpool, England</t>
  </si>
  <si>
    <t>Xi'an Jiaotong-Liverpool University; University of Liverpool; University of Liverpool</t>
  </si>
  <si>
    <t>Enhancing vision-language model with pretraining for reasoning medical applications</t>
  </si>
  <si>
    <t>COMPUTERIZED MEDICAL IMAGING AND GRAPHICS</t>
  </si>
  <si>
    <t>Visual language models; Multi-modal Chain-of-Thought; Medical Image analysis</t>
  </si>
  <si>
    <t>0895-6111</t>
  </si>
  <si>
    <t>1879-0771</t>
  </si>
  <si>
    <t>COMPUT MED IMAG GRAP</t>
  </si>
  <si>
    <t>Comput. Med. Imaging Graph.</t>
  </si>
  <si>
    <t>132</t>
  </si>
  <si>
    <t>102765</t>
  </si>
  <si>
    <t>10.1016/j.compmedimag.2026.102765</t>
  </si>
  <si>
    <t>http://dx.doi.org/10.1016/j.compmedimag.2026.102765</t>
  </si>
  <si>
    <t>Engineering, Biomedical; Radiology, Nuclear Medicine &amp; Medical Imaging</t>
  </si>
  <si>
    <t>Engineering; Radiology, Nuclear Medicine &amp; Medical Imaging</t>
  </si>
  <si>
    <t>HQ0AL</t>
  </si>
  <si>
    <t>42066516</t>
  </si>
  <si>
    <t>WOS:001759940300001</t>
  </si>
  <si>
    <t>Cheng, ZJ; Ong, AY; Wagner, SK; Merle, DA; Ju, L; Zhang, HY; Chen, RN; Pang, LZ; Li, BX; He, TT; Ran, AR; Jiang, HY; Yang, DG; Zou, K; Goh, JHL; Srinivasan, S; Altmann, A; Alexander, DC; Cheung, CY; Tham, YC; Keane, PA; Zhou, YK</t>
  </si>
  <si>
    <t>Vision-language models (VLMs) show promise for answering clinically relevant questions, but their robustness to medical image artefacts remains unclear. We evaluated VLMs' robustness through their performance on images with and without weak artefacts across five artefact categories, as well as their ability to detect images with strong artefacts. We built evaluation benchmarks using brain MRI scans, Chest X-ray, and retinal images, involving four real-world medical datasets. VLMs achieved moderate accuracy on original unaltered images (0.645, 0.602 and 0.604 for MRI, OCT, and X-ray applications, respectively). Accuracy declined with weak artefacts (-3.34%, -9.06% and -10.46%), while strong artefacts were detected at low rates (0.194, 0.128 and 0.115). Our findings indicated that VLMs are not yet capable of performing tasks on medical images with artefacts, underscoring the need to establish uniform benchmark thoroughly examining model robustness to image artefacts, and explicitly incorporate artefact-aware method design and robustness tests into VLM development.</t>
  </si>
  <si>
    <t>Cheng, Zijie; Ong, Ariel Yuhan; Wagner, Siegfried K.; Merle, David A.; Ju, Lie; Zhang, Hanyuan; Chen, Ruinian; Pang, Linze; Li, Boxuan; He, Tiantian; Ran, Anran; Jiang, Hongyang; Yang, Dawei Gabriel; Zou, Ke; Goh, Jocelyn Hui Lin; Srinivasan, Sahana; Altmann, Andre; Alexander, Daniel C.; Cheung, Carol Y.; Tham, Yih Chung; Keane, Pearse A.; Zhou, Yukun</t>
  </si>
  <si>
    <t>Cheng, ZJ (corresponding author), UCL, Dept Med Phys &amp; Biomed Engn, London, England.; Zhou, YK (corresponding author), UCL, Inst Ophthalmol, London, England.; Zhou, YK (corresponding author), Moorfields Eye Hosp NHS Fdn Trust, NIHR Biomed Res Ctr, London, England.; Zhou, YK (corresponding author), UCL, UCL Hawkes Inst, London, England.; Zhou, YK (corresponding author), UCL, Dept Comp Sci, London, England.</t>
  </si>
  <si>
    <t>zijie.cheng.23@ucl.ac.uk; yukun.zhou.19@ucl.ac.uk</t>
  </si>
  <si>
    <t>Wellcome Trust Early-Career [318987/Z/24/Z]</t>
  </si>
  <si>
    <t>Wellcome Trust Early-Career (Wellcome Trust)</t>
  </si>
  <si>
    <t>Y.Z. is supported by a Wellcome Trust Early-Career Award (grant no. 318987/Z/24/Z). P.A.K. is supported by a Moorfields Eye Charity Career Development Award (grant no. R190028A) and a UK Research &amp; Innovation Future Leaders Fellowship (grant no. MR/T019050/1). For the purpose of open access, the author has applied a Creative Commons Attribution (CC BY) licence to any Author Accepted Manuscript version arising. We acknowledge the computational resources supported by the UCL Computer Science Cluster and the Advanced Research Computing UAI platform.</t>
  </si>
  <si>
    <t>[Cheng, Zijie; Zhang, Hanyuan; Li, Boxuan; Altmann, Andre] UCL, Dept Med Phys &amp; Biomed Engn, London, England; [Ong, Ariel Yuhan; Wagner, Siegfried K.; Merle, David A.; Ju, Lie; Keane, Pearse A.; Zhou, Yukun] UCL, Inst Ophthalmol, London, England; [Ong, Ariel Yuhan; Wagner, Siegfried K.; Merle, David A.; Ju, Lie; Keane, Pearse A.; Zhou, Yukun] Moorfields Eye Hosp NHS Fdn Trust, NIHR Biomed Res Ctr, London, England; [Zhang, Hanyuan; He, Tiantian; Altmann, Andre; Alexander, Daniel C.; Zhou, Yukun] UCL, UCL Hawkes Inst, London, England; [Chen, Ruinian; He, Tiantian; Alexander, Daniel C.; Zhou, Yukun] UCL, Dept Comp Sci, London, England; [Pang, Linze] Beijing Jiaotong Univ, Sch Comp Sci &amp; Technol, Beijing, Peoples R China; [Ran, Anran; Jiang, Hongyang; Yang, Dawei Gabriel; Cheung, Carol Y.] Chinese Univ Hong Kong, Dept Ophthalmol &amp; Visual Sci, Hong Kong, Peoples R China; [Yang, Dawei Gabriel; Goh, Jocelyn Hui Lin; Srinivasan, Sahana; Tham, Yih Chung] Singapore Natl Eye Ctr, Singapore Eye Res Inst, Singapore, Singapore; [Zou, Ke; Goh, Jocelyn Hui Lin; Tham, Yih Chung] Natl Univ Singapore, Ctr Innovat &amp; Precis Eye Hlth, Yong Loo Lin Sch Med, Singapore, Singapore; [Zou, Ke; Goh, Jocelyn Hui Lin; Tham, Yih Chung] Natl Univ Singapore, Yong Loo Lin Sch Med, Dept Ophthalmol, Singapore, Singapore; [Goh, Jocelyn Hui Lin; Tham, Yih Chung] Duke NUS Med Sch, Ophthalmol &amp; Visual Sci Acad Clin Program, Singapore, Singapore</t>
  </si>
  <si>
    <t>University of London; University College London; University of London; University College London; University of London; University College London; Moorfields Eye Hospital NHS Foundation Trust; University of London; University College London; University of London; University College London; Beijing Jiaotong University; Chinese University of Hong Kong; National University of Singapore; Singapore National Eye Center; National University of Singapore; National University of Singapore; National University of Singapore</t>
  </si>
  <si>
    <t>Understanding the robustness of vision-language models to medical image artefacts</t>
  </si>
  <si>
    <t>OPTICAL COHERENCE TOMOGRAPHY; PITFALLS</t>
  </si>
  <si>
    <t>Altmann, Andre/ABF-1675-2020; Alexander, Daniel/OHR-9471-2025; Cheung, Carol/G-7895-2016; Ran, Anran/AAF-3977-2020; Cheng, Zijie/LDE-6706-2024; Li, Bo-Xuan/HHZ-8916-2022; Wagner, Siegfried/HNR-9338-2023; Chung, Yih/AIF-2414-2022; Keane, Pearse/AAE-5709-2019</t>
  </si>
  <si>
    <t>Altmann, Andre/0000-0002-9265-2393; Zhou, Yukun/0000-0002-0840-6422; Alexander, Daniel/0000-0003-2439-350X; Ong, Yu Han/0000-0001-9300-573X; Keane, Pearse/0000-0002-9239-745X</t>
  </si>
  <si>
    <t>61</t>
  </si>
  <si>
    <t>NOV 27 2025</t>
  </si>
  <si>
    <t>727</t>
  </si>
  <si>
    <t>10.1038/s41746-025-02108-w</t>
  </si>
  <si>
    <t>http://dx.doi.org/10.1038/s41746-025-02108-w</t>
  </si>
  <si>
    <t>J4349</t>
  </si>
  <si>
    <t>41309994</t>
  </si>
  <si>
    <t>WOS:001627546500001</t>
  </si>
  <si>
    <t>Zhuang, LT; Tabatabaei, SMH; Salehi-Rad, R; Tran, LM; Aberle, DR; Prosper, AE; Hsu, WL</t>
  </si>
  <si>
    <t>Objective: Machine learning models have utilized semantic features, deep features, or both to assess lung nodule malignancy. However, their reliance on manual annotation during inference, limited interpretability, and sensitivity to imaging variations hinder their application in real-world clinical settings. Thus, this research aims to integrate semantic features derived from radiologists' assessments of nodules, guiding the model to learn clinically relevant, robust, and explainable imaging features for predicting lung cancer. Methods: We obtained 938 low-dose CT scans from the National Lung Screening Trial (NLST) with 1,261 nodules and semantic features. Additionally, the Lung Image Database Consortium dataset contains 1,018 CT scans, with 2,625 lesions annotated for nodule characteristics. Three external datasets were obtained from UCLA Health, the LUNGx Challenge, and the Duke Lung Cancer Screening. For imaging input, we obtained 2D nodule slices in nine directions from 50 &amp; times; 50 &amp; times; 50 mm nodule crop. We converted structured semantic features into sentences using Gemini. We fine-tuned a pretrained Contrastive Language-Image Pretraining (CLIP) model with a parameter-efficient fine-tuning approach to align imaging and semantic text features and predict the one-year lung cancer diagnosis. Results: Our model outperformed the state-of-the-art (SOTA) models in the NLST test set with an AUROC of 0.901 and AUPRC of 0.776. It also showed robust results in external datasets. Using CLIP, we also obtained predictions on semantic features through zero-shot inference, such as nodule margin (AUROC: 0.807), nodule consistency (0.812), and pleural attachment (0.840). Conclusion: By incorporating semantic features into the vision-language model, our approach surpasses the SOTA models in predicting lung cancer from CT scans collected from diverse clinical settings. It provides explainable outputs, aiding clinicians in comprehending the underlying meaning of model predictions. The code is available at https://github.com/luotingzhuang/CLIP_nodule.</t>
  </si>
  <si>
    <t>Zhuang, Luoting; Tabatabaei, Seyed Mohammad Hossein; Salehi-Rad, Ramin; Tran, Linh M.; Aberle, Denise R.; Prosper, Ashley E.; Hsu, William</t>
  </si>
  <si>
    <t>Hsu, WL (corresponding author), UCLA, Dept Radiol Sci, Med &amp; Imaging Informat, David Geffen Sch Med, Los Angeles, CA 90095 USA.</t>
  </si>
  <si>
    <t>whsu@mednet.ucla.edu</t>
  </si>
  <si>
    <t>National Institutes of Health/National Cancer Institute [U2C CA271898, U01 CA233370]; V Foundation; Department of Veterans Affairs Merit Review [I01BX005721]; National Cancer Institute; Foundation for the National Institutes of Health; SPIE; NCI/NIH; AAPM; University of Chicago</t>
  </si>
  <si>
    <t>National Institutes of Health/National Cancer Institute (United States Department of Health &amp; Human Services, National Institutes of Health (NIH) - USA, NIH National Cancer Institute (NCI)); V Foundation; Department of Veterans Affairs Merit Review (US Department of Veterans Affairs); National Cancer Institute (United States Department of Health &amp; Human Services, National Institutes of Health (NIH) - USA, NIH National Cancer Institute (NCI)); Foundation for the National Institutes of Health; SPIE; NCI/NIH (United States Department of Health &amp; Human Services, National Institutes of Health (NIH) - USA, NIH National Cancer Institute (NCI)); AAPM; University of Chicago (University of Chicago)</t>
  </si>
  <si>
    <t>We gratefully acknowledge the support of National Institutes of Health/National Cancer Institute U2C CA271898 (to R.S-R., L.T., D.A., A.P., W.H.) , U01 CA233370 (to L.Z., D.A., A.P., W.H.) , the V Foundation (to D.A., W.H.) , and the Department of Veterans Affairs Merit Review I01BX005721 (to L.T.) . The content is solely the responsibility of the authors and does not necessarily represent the official views of the National Institutes of Health. The authors acknowledge the National Cancer Institute and the Foundation for the National Institutes of Health, and their critical role in the creation of the free publicly available LIDC/IDRI Database used in this study. LUNGx data used in this research were obtained from The Cancer Imaging Archive (TCIA) sponsored by the SPIE, NCI/NIH, AAPM, and The University of Chicago.</t>
  </si>
  <si>
    <t>[Zhuang, Luoting; Tabatabaei, Seyed Mohammad Hossein; Aberle, Denise R.; Prosper, Ashley E.; Hsu, William] UCLA, Dept Radiol Sci, Med &amp; Imaging Informat, David Geffen Sch Med, Los Angeles, CA 90095 USA; [Salehi-Rad, Ramin; Tran, Linh M.] UCLA, Dept Med, Div Pulmonol &amp; Crit Care, David Geffen Sch Med, Los Angeles, CA 90095 USA; [Salehi-Rad, Ramin; Tran, Linh M.] VA Greater Los Angeles Healthcare Syst, Los Angeles, CA 90073 USA</t>
  </si>
  <si>
    <t>University of California System; University of California Los Angeles; David Geffen School of Medicine at UCLA; University of California Los Angeles Medical Center; University of California System; University of California Los Angeles; David Geffen School of Medicine at UCLA; University of California Los Angeles Medical Center; US Department of Veterans Affairs; Veterans Health Administration (VHA); VA Greater Los Angeles Healthcare System</t>
  </si>
  <si>
    <t>Vision-language model-based semantic-guided imaging biomarker for lung nodule malignancy prediction</t>
  </si>
  <si>
    <t>Lung cancer early detection; Computed tomography; Vision-language model; Semantic features</t>
  </si>
  <si>
    <t>ZHUANG, LUOTING/OCL-3644-2025; Prosper, Ashley/IWV-3737-2023; Aberle, Denise/D-5699-2014; Hsu, William/AAA-1935-2021</t>
  </si>
  <si>
    <t>Tran, Linh/0000-0001-8597-643X</t>
  </si>
  <si>
    <t>41</t>
  </si>
  <si>
    <t>DEC 2025</t>
  </si>
  <si>
    <t>172</t>
  </si>
  <si>
    <t>104947</t>
  </si>
  <si>
    <t>10.1016/j.jbi.2025.104947</t>
  </si>
  <si>
    <t>http://dx.doi.org/10.1016/j.jbi.2025.104947</t>
  </si>
  <si>
    <t>FO0WP</t>
  </si>
  <si>
    <t>41161557</t>
  </si>
  <si>
    <t>WOS:001723350100001</t>
  </si>
  <si>
    <t>Zhu, HY; Huang, JH; Shen, YX; Rudinac, S; Kanoulas, E</t>
  </si>
  <si>
    <t>Image search is a pivotal task in multi-media and computer vision, finding applications across diverse domains, ranging from internet search to medical diagnostics. Conventional image search systems operate by accepting textual or visual queries and retrieving the top-relevant candidate results from the database. However, prevalent methods often rely on single-turn procedures, introducing potential inaccuracies and limited recall. These methods also face challenges, such as vocabulary mismatch and the semantic gap, constraining their overall effectiveness. To address these issues, we propose an interactive image retrieval system capable of refining queries based on user relevance feedback in a multi-turn setting. This system incorporates an image captioner based on a vision-language model (VLM) to enhance the quality of text-based queries, resulting in more informative queries with each iteration. Moreover, we introduce a denoiser based on a large language model (LLM) to refine text-based query expansions, mitigating inaccuracies in image descriptions generated by captioning models. To evaluate our system, we curate a new dataset by adapting the MSR-VTT and MSVD video retrieval datasets to the image retrieval task, offering multiple relevant ground-truth images for each query. Through comprehensive experiments, we validate the effectiveness of our proposed system against baseline methods, achieving state-of-the-art performance with a notable 10% improvement in terms of recall. Our contributions encompass the development of an innovative interactive image retrieval system, the integration of an LLM-based denoiser, the curation of a meticulously designed evaluation dataset, and thorough experimental validation.</t>
  </si>
  <si>
    <t>Zhu, Hongyi; Huang, Jia-hong; Shen, Yixian; Rudinac, Stevan; Kanoulas, Evangelos</t>
  </si>
  <si>
    <t>Zhu, HY (corresponding author), Univ Amsterdam, Amsterdam, Netherlands.</t>
  </si>
  <si>
    <t>h.zhu@uva.nl; s.rudinac@uva.nl; j.huang@uva.nl; y.shen@uva.nl; e.kanoulas@uva.nl</t>
  </si>
  <si>
    <t>[Zhu, Hongyi; Huang, Jia-hong; Shen, Yixian; Rudinac, Stevan; Kanoulas, Evangelos] Univ Amsterdam, Amsterdam, Netherlands</t>
  </si>
  <si>
    <t>University of Amsterdam</t>
  </si>
  <si>
    <t>Interactive Image Retrieval Meets Query Rewriting with Large Language and Vision Language Models</t>
  </si>
  <si>
    <t>ACM TRANSACTIONS ON MULTIMEDIA COMPUTING COMMUNICATIONS AND APPLICATIONS</t>
  </si>
  <si>
    <t>Interactive Image Retrieval; Query Rewriting; Vision Language Models; Large Language Models</t>
  </si>
  <si>
    <t>Zhu, Hongyi/K-3411-2019</t>
  </si>
  <si>
    <t>106</t>
  </si>
  <si>
    <t>ASSOC COMPUTING MACHINERY</t>
  </si>
  <si>
    <t>1601 Broadway, 10th Floor, NEW YORK, NY USA</t>
  </si>
  <si>
    <t>1551-6857</t>
  </si>
  <si>
    <t>1551-6865</t>
  </si>
  <si>
    <t>ACM T MULTIM COMPUT</t>
  </si>
  <si>
    <t>ACM Trans. Multimed. Comput. Commun. Appl.</t>
  </si>
  <si>
    <t>286</t>
  </si>
  <si>
    <t>10.1145/3744910</t>
  </si>
  <si>
    <t>http://dx.doi.org/10.1145/3744910</t>
  </si>
  <si>
    <t>Computer Science, Information Systems; Computer Science, Software Engineering; Computer Science, Theory &amp; Methods</t>
  </si>
  <si>
    <t>9UR8R</t>
  </si>
  <si>
    <t>WOS:001615467400001</t>
  </si>
  <si>
    <t>Green Published; Green Submitted</t>
  </si>
  <si>
    <t>Fime, AA; Samiha, TZ; Hossain, MZ; Zaman, S; Shibli, AM; Shahid, AR; Ni, Z; Imteaj, A</t>
  </si>
  <si>
    <t>Vision-Language Models (VLMs) enable powerful multimodal reasoning for medical image analysis, while federated learning allows collaborative training across institutions without sharing patient data. However, the adversarial robustness of federated medical VLMs remains largely unexplored. This work systematically evaluates the vulnerability of CLIP-based VLMs trained with four federated optimization strategies, FedAvg, FedProx, FedPer, and FedBN, on multiple medical datasets. We assess robustness under FGSM, PGD, BIM, and MI-FGSM attacks at varying strengths and show that client-level adversarial perturbations propagate through federated aggregation, causing severe accuracy degradation and high attack success rates, specially under iterative attacks. We further benchmark two training-free test-time defenses, Test-Time Counter-Attack (TTC) and CLIPure, and demonstrate that both mitigate adversarial effects, with CLIPure providing more consistent improvements across datasets and attack intensities. These results highlight fundamental robustness limitations of federated medical VLMs and underscore the need for effective defense mechanisms in distributed clinical deployments.</t>
  </si>
  <si>
    <t>Fime, Awal Ahmed; Samiha, Tasfia Zaman; Hossain, Md Zarif; Zaman, Saika; Shibli, Ashfak Md; Shahid, Abdur R.; Ni, Zhen; Imteaj, Ahmed</t>
  </si>
  <si>
    <t>Imteaj, A (corresponding author), Florida Atlantic Univ, Dept Elect Engn &amp; Comp Sci, Boca Raton, FL 33431 USA.</t>
  </si>
  <si>
    <t>aimteaj@fau.edu</t>
  </si>
  <si>
    <t>[Fime, Awal Ahmed; Hossain, Md Zarif; Zaman, Saika; Ni, Zhen; Imteaj, Ahmed] Florida Atlantic Univ, Dept Elect Engn &amp; Comp Sci, Boca Raton, FL 33431 USA; [Samiha, Tasfia Zaman] Khulna Univ Engn &amp; Technol, Comp Sci &amp; Engn, Khulna 9203, Bangladesh; [Shibli, Ashfak Md] Athlete Den, Westbury, NY 11590 USA; [Shahid, Abdur R.] Southern Illinois Univ, Comp Sci, Carbondale, IL 62901 USA</t>
  </si>
  <si>
    <t>State University System of Florida; Florida Atlantic University; Khulna University of Engineering &amp; Technology (KUET); Southern Illinois University System; Southern Illinois University</t>
  </si>
  <si>
    <t>Secure yet fragile: adversarial vulnerabilities of federated vision-language models in medical AI</t>
  </si>
  <si>
    <t>Imteaj, Ahmed/GXV-2746-2022; Bin Shahid, Abdur/U-2941-2019; Hossain, MdZarif/LIF-7311-2024</t>
  </si>
  <si>
    <t>APR 16 2026</t>
  </si>
  <si>
    <t>17701</t>
  </si>
  <si>
    <t>10.1038/s41598-026-48102-4</t>
  </si>
  <si>
    <t>http://dx.doi.org/10.1038/s41598-026-48102-4</t>
  </si>
  <si>
    <t>JF4OP</t>
  </si>
  <si>
    <t>41991958</t>
  </si>
  <si>
    <t>WOS:001788060200020</t>
  </si>
  <si>
    <t>Chen, K; Li, YX; Zhu, XW; Zhang, WT; Hu, BT</t>
  </si>
  <si>
    <t>The rapid expansion of radiological imaging data has placed a significant burden on radiologists, increasing the risk of diagnostic errors. Vision-language models offer a promising solution to alleviate this workload and improve diagnostic accuracy within the medical imaging domain. However, most current models rely solely on training data to activate general-purpose performance, which often results in inadequate understanding and generation of high-quality outputs in complex and specialized medical scenarios due to insufficient domain knowledge. To address this limitation, we propose a Vision-Language Model with Multi-Granular Knowledge Fusion (MGKF) that integrates diverse sources of knowledge to enhance performance across medical imaging tasks. Our model dynamically incorporates multi-granular knowledge, including medical entities, their definitions, and retrieved auxiliary knowledge. We improve the semantic alignment of visual and textual information through fine-tuning, introduce a pre-generation mechanism to incorporate this multi-granular knowledge, and ultimately enhance the model's ability to apply medical knowledge during inference. Experimental results across multiple medical imaging tasks, including Medical Report Generation, Medical Image Captioning, and Medical Visual Question Answering, demonstrate the effectiveness of the proposed MGKF model. This work provides valuable insights into the integration of specialized knowledge in medical imaging and contributes to reducing diagnostic errors.</t>
  </si>
  <si>
    <t>Chen, Kai; Li, Yunxin; Zhu, Xiwen; Zhang, Wentai; Hu, Baotian</t>
  </si>
  <si>
    <t>Hu, BT (corresponding author), Harbin Inst Technol Shenzhen, Sch Comp Sci &amp; Technol, 6 Pingshan 1st Rd Nanshan Dist, Shenzhen 518055, Guangdong, Peoples R China.</t>
  </si>
  <si>
    <t>liyunxin987@163.com; hubaotian@hit.edu.cn; chenkai.hqu@gmail.com; 200110319@stu.hit.edu.cn; zhangwt2020@163.com</t>
  </si>
  <si>
    <t>Natural Science Foundation of China [62376067]; Scientific Research Funds of Huaqiao University</t>
  </si>
  <si>
    <t>Natural Science Foundation of China (National Natural Science Foundation of China (NSFC)); Scientific Research Funds of Huaqiao University</t>
  </si>
  <si>
    <t>This work is supported by grants: Natural Science Foundation of China (No. 62376067) and the Scientific Research Funds of Huaqiao University</t>
  </si>
  <si>
    <t>[Chen, Kai] Huaqiao Univ, Sch Comp Sci &amp; Technol, 668 Jimei Ave, Xiamen 361021, Fujian, Peoples R China; [Li, Yunxin; Zhu, Xiwen; Hu, Baotian] Harbin Inst Technol Shenzhen, Sch Comp Sci &amp; Technol, 6 Pingshan 1st Rd Nanshan Dist, Shenzhen 518055, Guangdong, Peoples R China; [Zhang, Wentai] Peking Univ First Hosp, Dept Thorac Surg, 8 Xishiku St, Beijing 100034, Peoples R China</t>
  </si>
  <si>
    <t>A vision-language model with multi-granular knowledge fusion in medical imaging</t>
  </si>
  <si>
    <t>WORLD WIDE WEB-INTERNET AND WEB INFORMATION SYSTEMS</t>
  </si>
  <si>
    <t>Medical imaging; Vision-language model; Multi-granular knowledge fusion</t>
  </si>
  <si>
    <t>Hu, Baotian/AAA-4102-2022</t>
  </si>
  <si>
    <t>Zhang, Wentai/0009-0001-7182-116X</t>
  </si>
  <si>
    <t>60</t>
  </si>
  <si>
    <t>1386-145X</t>
  </si>
  <si>
    <t>1573-1413</t>
  </si>
  <si>
    <t>WORLD WIDE WEB</t>
  </si>
  <si>
    <t>World Wide Web</t>
  </si>
  <si>
    <t>DEC 7 2024</t>
  </si>
  <si>
    <t>10.1007/s11280-024-01315-x</t>
  </si>
  <si>
    <t>http://dx.doi.org/10.1007/s11280-024-01315-x</t>
  </si>
  <si>
    <t>Computer Science, Information Systems; Computer Science, Software Engineering</t>
  </si>
  <si>
    <t>O5M1Q</t>
  </si>
  <si>
    <t>WOS:001371555600001</t>
  </si>
  <si>
    <t>Zou, YZ; Yuan, SJ; Liu, HY; Cheng, X; Zhu, T; Yang, L</t>
  </si>
  <si>
    <t>In the cardiac operating room, physicians interpret patients' vital signs from medical equipment to make critical decisions, such as administering blood transfusions. However, the absence of automated data acquisition in these devices significantly complicates the documentation of surgical information. Existing text recognition methods are often limited to single applications and lack broad generalization capabilities, with inconsistent detection and recognition times. We present a novel medical device screen recognition framework based on pretrained Vision Language Models (VLMs). The structure based on the vision language model significantly enhances the flexibility of the application scenario, and the multi-round dialogue is more humanized, allowing for a better understanding of the surgeon's needs. Considering the existence of unclear image information acquired by a head-mounted camera, for the acquisition of screen data, we propose Medical Screen Data Acquisition-VLM (MSDA-VLM) with a pre-filtering module to detect image blur. This module detects heavy ghost images via Local Binary Pattern (LBP) based texture block matching and assesses image sharpness through the variance of deep feature maps. Trained by thousands of screen images on the pretrained VLM, we achieve a 17.07% improvement in precision and a 17.05% improvement in recall. Furthermore, the experiment results demonstrate notable enhancements in medical screen data recognition.</t>
  </si>
  <si>
    <t>Zou, Yizhi; Yuan, Shuangjie; Liu, Haoyu; Cheng, Xu; Zhu, Tao; Yang, Lu</t>
  </si>
  <si>
    <t>Yang, L (corresponding author), Univ Elect Sci &amp; Technol China, 2006 Xiyuan Ave, Chengdu, Peoples R China.</t>
  </si>
  <si>
    <t>yanglu@uestc.edu.cn</t>
  </si>
  <si>
    <t>[Zou, Yizhi; Yuan, Shuangjie; Liu, Haoyu; Yang, Lu] Univ Elect Sci &amp; Technol China, 2006 Xiyuan Ave, Chengdu, Peoples R China; [Cheng, Xu; Zhu, Tao] Sichuan Univ, West China Hosp, Dept Anesthesiol, Chengdu, Sichuan, Peoples R China</t>
  </si>
  <si>
    <t>University of Electronic Science &amp; Technology of China; Sichuan University</t>
  </si>
  <si>
    <t>Vision language model based panel digit recognition for medical screen data acquisition</t>
  </si>
  <si>
    <t>DISPLAYS</t>
  </si>
  <si>
    <t>Vision language model; Fine tuning; Image blur; Text recognition; Data acquisition</t>
  </si>
  <si>
    <t>BLUR</t>
  </si>
  <si>
    <t>Cheng, Xu/HPB-6054-2023</t>
  </si>
  <si>
    <t>Yang, Lu/0000-0001-5072-1955; zou, yizhi/0009-0001-2860-7950; Yuan, Shuangjie/0000-0003-4788-212X</t>
  </si>
  <si>
    <t>0141-9382</t>
  </si>
  <si>
    <t>1872-7387</t>
  </si>
  <si>
    <t>Displays</t>
  </si>
  <si>
    <t>103282</t>
  </si>
  <si>
    <t>10.1016/j.displa.2025.103282</t>
  </si>
  <si>
    <t>http://dx.doi.org/10.1016/j.displa.2025.103282</t>
  </si>
  <si>
    <t>Computer Science, Hardware &amp; Architecture; Engineering, Electrical &amp; Electronic; Instruments &amp; Instrumentation; Optics</t>
  </si>
  <si>
    <t>Computer Science; Engineering; Instruments &amp; Instrumentation; Optics</t>
  </si>
  <si>
    <t>9ZJ3W</t>
  </si>
  <si>
    <t>WOS:001618646500001</t>
  </si>
  <si>
    <t>Yeasin, M; Moinuddin, KA; Havugimana, F; Wang, LJ; Park, P</t>
  </si>
  <si>
    <t>Background: Lumbar spinal stenosis (LSS) is a major cause of chronic lower back and leg pain, and is traditionally diagnosed through labor-intensive analysis of magnetic resonance imaging (MRI) scans by radiologists. This study aims to streamline the diagnostic process by developing an automated radiology report generation (ARRG) system using a vision-language (VL) model. Methods: We utilized a Generative Image-to-Text (GIT) model, originally designed for visual question answering (VQA) and image captioning. The model was fine-tuned to generate diagnostic reports directly from lumbar spine MRI scans using a modest set of annotated data. Additionally, GPT-4 was used to convert semistructured text into coherent paragraphs for better comprehension by the GIT model. Results: The model effectively generated semantically accurate and grammatically coherent reports. The performance was evaluated using METEOR (0.37), BERTScore (0.886), and ROUGE-L (0.3), indicating its potential to produce clinically relevant content. Conclusions: This study highlights the feasibility of using vision-language models to automate report generation from medical imaging, potentially reducing the diagnostic workload for radiologists.</t>
  </si>
  <si>
    <t>Yeasin, Mohammed; Moinuddin, Kazi Ashraf; Havugimana, Felix; Wang, Lijia; Park, Paul</t>
  </si>
  <si>
    <t>Yeasin, M; Moinuddin, KA (corresponding author), Univ Memphis, Dept EECE, Memphis, TN 38152 USA.</t>
  </si>
  <si>
    <t>myeasin@memphis.edu; ppark4@uthsc.edu; kmnuddin@memphis.edu; lwang3@memphis.edu</t>
  </si>
  <si>
    <t>[Yeasin, Mohammed; Moinuddin, Kazi Ashraf; Havugimana, Felix; Wang, Lijia] Univ Memphis, Dept EECE, Memphis, TN 38152 USA; [Park, Paul] Univ Tennessee Hlth Sci, Coll Med, Dept Neurosurg, Memphis, TN 38163 USA</t>
  </si>
  <si>
    <t>University of Memphis; University of Tennessee Health Science Center; University of Tennessee System; University of Tennessee Health Science Center</t>
  </si>
  <si>
    <t>Auto-Rad: End-to-End Report Generation from Lumber Spine MRI Using Vision-Language Model</t>
  </si>
  <si>
    <t>JOURNAL OF CLINICAL MEDICINE</t>
  </si>
  <si>
    <t>lumber spine MRI; lumbar spinal stenosis; vision-language model; Generative Image-to-Text; automated radiology report generation</t>
  </si>
  <si>
    <t>DISC HERNIATION; DIAGNOSIS; STENOSIS; IMAGES</t>
  </si>
  <si>
    <t>Moinuddin, Kazi Ashraf/0000-0001-8742-2019; Yeasin/0000-0002-8713-8189; Yeasin, Mohammed/0000-0003-0579-3030</t>
  </si>
  <si>
    <t>2077-0383</t>
  </si>
  <si>
    <t>J CLIN MED</t>
  </si>
  <si>
    <t>J. Clin. Med.</t>
  </si>
  <si>
    <t>7092</t>
  </si>
  <si>
    <t>10.3390/jcm13237092</t>
  </si>
  <si>
    <t>http://dx.doi.org/10.3390/jcm13237092</t>
  </si>
  <si>
    <t>Medicine, General &amp; Internal</t>
  </si>
  <si>
    <t>General &amp; Internal Medicine</t>
  </si>
  <si>
    <t>P2W3J</t>
  </si>
  <si>
    <t>39685549</t>
  </si>
  <si>
    <t>WOS:001376572000001</t>
  </si>
  <si>
    <t>Shah, MH; Cuayáhuitl, H</t>
  </si>
  <si>
    <t>General-purpose vision-language models (VLMs) are increasingly applied to imaging tasks, yet their reliability on medical visual question answering (Med-VQA) remains unclear. We investigate how three state-of-the-art VLMs-ViLT, BLIP, and MiniCPM-V-2-perform on radiology-focused Med-VQA when evaluated in a modality-aware manner. Using SLAKE and OmniMedVQA-Mini, we construct harmonised subsets for computed tomography (CT), magnetic resonance imaging (MRI), and X-ray, standardising schema and answer processing. We first benchmark all models in a strict zero-shot setting, then perform supervised fine-tuning on modality-specific data splits, and finally add a post-hoc semantic option-selection layer that maps free-text predictions to multiple-choice answers. Zero-shot performance is modest (exact match approximate to 20% for ViLT/BLIP and 0% for MiniCPM-V-2), confirming that off-the-shelf deployment is inadequate. Fine-tuning substantially improves all models, with ViLT reaching approximate to 80% exact match and BLIP approximate to 50%, while MiniCPM-V-2 lags behind. When coupled with option selection, ViLT and BLIP achieve 90-93% exact match and F1 across all modalities, corresponding to 95-97% BERTScore-F1. Our novel results show that (i) modality-specific supervision is essential for Med-VQA, and (ii) post-hoc option selection can transform strong but imperfect generative predictions into highly reliable discrete decisions on harmonised radiology benchmarks. The latter is useful for medical VLMs that combine generative responses with option or sentence selection.</t>
  </si>
  <si>
    <t>Shah, Muhammad Haseeb; Cuayahuitl, Heriberto</t>
  </si>
  <si>
    <t>Shah, MH; Cuayáhuitl, H (corresponding author), Univ Lincoln, Sch Engn &amp; Phys Sci, Lincoln LN6 7TS, England.</t>
  </si>
  <si>
    <t>hcuayahuitl@lincoln.ac.uk; 29629060@students.lincoln.ac.uk</t>
  </si>
  <si>
    <t>[Shah, Muhammad Haseeb; Cuayahuitl, Heriberto] Univ Lincoln, Sch Engn &amp; Phys Sci, Lincoln LN6 7TS, England</t>
  </si>
  <si>
    <t>University of Lincoln</t>
  </si>
  <si>
    <t>Systematic Analysis of Vision-Language Models for Medical Visual Question Answering</t>
  </si>
  <si>
    <t>MULTIMODAL TECHNOLOGIES AND INTERACTION</t>
  </si>
  <si>
    <t>medical visual question answering; multimodal large language models; ViLT; BLIP; MiniCPM-V-2; radiology; CT; MRI; X-ray; multiple-choice calibration</t>
  </si>
  <si>
    <t>2414-4088</t>
  </si>
  <si>
    <t>MULTIMODAL TECHNOLOG</t>
  </si>
  <si>
    <t>Multimodal Technol. Interaction</t>
  </si>
  <si>
    <t>FEB 3 2026</t>
  </si>
  <si>
    <t>10.3390/mti10020016</t>
  </si>
  <si>
    <t>http://dx.doi.org/10.3390/mti10020016</t>
  </si>
  <si>
    <t>Computer Science, Artificial Intelligence; Computer Science, Cybernetics; Computer Science, Information Systems</t>
  </si>
  <si>
    <t>EG7XS</t>
  </si>
  <si>
    <t>WOS:001700723900001</t>
  </si>
  <si>
    <t>Pan, QT; Li, ZR; Yang, G; Yang, Q; Ji, B</t>
  </si>
  <si>
    <t>The disparity between image and text representations, often referred to as the modality gap, remains a significant obstacle for Vision Language Models (VLMs) in medical image segmentation. This gap complicates multi-modal fusion, thereby restricting segmentation performance. To address this challenge, we propose Evidence-driven Vision Language Model (EviVLM)-a novel paradigm that integrates Evidential Learning (EL) into VLMs to systematically measure and mitigate the modality gap for enhanced multi-modal fusion. To drive this paradigm, an Evidence Affinity Map Generator (EAMG) is proposed to collect complementary cross-modal evidences by learning a global cross-modal affinity map, thus refining modality-specific evidence embedding. An Evidence Differential Similarity Learning (EDSL) is further proposed to collect consistent cross-modal evidences by performing Bias-Variance Decomposition on differential matrix derived from bidirectional similarity matrices between image and text evidence embeddings. Finally, the subjective logic is used for mapping the collected evidences to opinions, and the Dempster-Shafer's theory based combination rule is introduced for opinion aggregation, thereby quantifying the modality gap and facilitating effective multi-modal integration. Experimental results on three public medical image segmentation datasets validate that the proposed EviVLM can achieve state-of-the-art performance. Code is available at: https://github.com/QingtaoPan/EviVLM</t>
  </si>
  <si>
    <t>Pan, Qingtao; Li, Zhengrong; Yang, Guang; Yang, Qing; Ji, Bing</t>
  </si>
  <si>
    <t>g.yang@imperial.ac.uk; b.ji@sdu.edu.cn; qingtaopan33@gmail.com; yangqingsdu@163.com; 202434886@mail.sdu.edu.cn</t>
  </si>
  <si>
    <t>European Research Council (ERC) Innovative Medicines Initiative (IMI) [101005122]; Horizon 2020 (H2020) [952172]; Medical Research Council (MRC) [MC/PC/21013]; Royal Society [IEC/NSFC/211235]; NVIDIA Academic Hardware Grant Program; SABER Project through the Boehringer Ingelheim Ltd.; National Institute for Health and Care Research (NIHR) Imperial Biomedical Research Centre [RDA01]; Wellcome Leap Dynamic resilience program (Temasek Trust); U.K. Research and Innovation (UKRI) Guarantee Funding for Horizon Europe Marie Sklodowska-Curie Actions (MSCA) Postdoctoral Fellowships [EP/Z002206/1]; UKRI MRC Research Grant; TFS Research [MR/U506710/1]; UKRI Future Leaders Fellowship [MR/V023799/1]; National Natural Science Foundation of China [62173212]; Taishan Scholars Program of Shandong Province [tsqn202306017]; Shandong Province "Double-Hundred Talent Plan" on 100 Foreign Experts and 100 Foreign Expert Teams [WSR2023049]</t>
  </si>
  <si>
    <t>European Research Council (ERC) Innovative Medicines Initiative (IMI) (European Research Council (ERC)); Horizon 2020 (H2020) (Horizon 2020); Medical Research Council (MRC) (UK Research &amp; Innovation (UKRI), Medical Research Council UK (MRC)); Royal Society (Royal Society UK); NVIDIA Academic Hardware Grant Program (Nvidia Corporation); SABER Project through the Boehringer Ingelheim Ltd.; National Institute for Health and Care Research (NIHR) Imperial Biomedical Research Centre; Wellcome Leap Dynamic resilience program (Temasek Trust); U.K. Research and Innovation (UKRI) Guarantee Funding for Horizon Europe Marie Sklodowska-Curie Actions (MSCA) Postdoctoral Fellowships; UKRI MRC Research Grant; TFS Research; UKRI Future Leaders Fellowship (UK Research &amp; Innovation (UKRI)); National Natural Science Foundation of China (National Natural Science Foundation of China (NSFC)); Taishan Scholars Program of Shandong Province; Shandong Province "Double-Hundred Talent Plan" on 100 Foreign Experts and 100 Foreign Expert Teams</t>
  </si>
  <si>
    <t>This work of Guang Yang was supported in part by the European Research Council (ERC) Innovative Medicines Initiative (IMI) under Grant 101005122, in part by Horizon 2020 (H2020) under Grant 952172, in part by Medical Research Council (MRC) under Grant MC/PC/21013, in part by the Royal Society under Grant IEC/NSFC/211235, in part by the NVIDIA Academic Hardware Grant Program, in part by the SABER Project through the Boehringer Ingelheim Ltd., in part by the National Institute for Health and Care Research (NIHR) Imperial Biomedical Research Centre under Grant RDA01, in part by the Wellcome Leap Dynamic resilience program (co-funded by Temasek Trust), in part by the U.K. Research and Innovation (UKRI) Guarantee Funding for Horizon Europe Marie Sklodowska-Curie Actions (MSCA) Postdoctoral Fellowships under Grant EP/Z002206/1, in part by the UKRI MRC Research Grant, in part by the TFS Research under Grant MR/U506710/1, and in part by the UKRI Future Leaders Fellowship under Grant MR/V023799/1. This work of Bing Ji was supported in part by the National Natural Science Foundation of China under Grant 62173212, in part by the Taishan Scholars Program of Shandong Province under Grant tsqn202306017, and in part by Shandong Province "Double-Hundred Talent Plan" on 100 Foreign Experts and 100 Foreign Expert Teams under Grant WSR2023049.</t>
  </si>
  <si>
    <t>[Pan, Qingtao; Li, Zhengrong; Ji, Bing] Shandong Univ, Sch Control Sci &amp; Engn, Jinan 250061, Peoples R China; [Yang, Guang] Imperial Coll London, Bioengn Dept, London W12 7SL, England; [Yang, Guang] Imperial Coll London, Imperial X, London, England; [Yang, Guang] Imperial Coll London, Natl Heart &amp; Lung Inst, London SW7 2AZ, England; [Yang, Guang] Royal Brompton Hosp, Cardiovasc Res Ctr, London SW3 6NP, England; [Yang, Guang] Kings Coll London, Sch Biomed Engn &amp; Imaging Sci, London WC2R 2LS, England; [Yang, Qing] Shandong First Med Univ, Dept Breast &amp; Thyroid Surg, Shandong Prov Hosp, Jinan 250117, Peoples R China</t>
  </si>
  <si>
    <t>Shandong University; Imperial College London; Imperial College London; Imperial College London; Royal Brompton Hospital; University of London; King's College London; Shandong First Medical University &amp; Shandong Academy of Medical Sciences</t>
  </si>
  <si>
    <t>EviVLM: When Evidential Learning Meets Vision Language Model for Medical Image Segmentation</t>
  </si>
  <si>
    <t>Biomedical imaging; Image segmentation; Feature extraction; Semantics; Estimation; Logic; Matrix decomposition; Bridges; Visualization; Reliability theory; Evidential learning; medical image segmentation; vision-language model; modality gap</t>
  </si>
  <si>
    <t>1369</t>
  </si>
  <si>
    <t>1382</t>
  </si>
  <si>
    <t>10.1109/TMI.2025.3622492</t>
  </si>
  <si>
    <t>http://dx.doi.org/10.1109/TMI.2025.3622492</t>
  </si>
  <si>
    <t>GC7VB</t>
  </si>
  <si>
    <t>41100249</t>
  </si>
  <si>
    <t>WOS:001733307400016</t>
  </si>
  <si>
    <t>Kirti, R; Deshmukh, AS; Dugana, KK; Rathore, Y; Shriparn, S; Saha, S; Ramnani, RR; Maitra, A</t>
  </si>
  <si>
    <t>Persuasion has long been considered a unique human skill, rooted in emotion, context and intent. However, with rapid advances in communication technologies, particularly in Artificial Intelligence (AI), machines are beginning to replicate persuasive behaviour in more advanced ways. As AI becomes increasingly integrated into our daily lives, through virtual assistants and chatbots in areas ranging from customer service to healthcare consultations, a crucial question emerges: can language models not only inform but also persuade? Despite their widespread adoption, little is known about how effectively these models can influence human thinking, or how different prompting methods shape their responses. This paper presents an evaluation of state-of-the-art Large Language Models (LLMs) and Vision-Language Models (VLMs) in the domain of conversational AI. We assess seven LLMs and five VLMs by generating conversations based on gold-standard, human-written responses drawn from three persuasion datasets. Each model is evaluated using four distinct prompting techniques: zero-shot, one-shot, few-shot, and chain-of-thought prompting. Our goal is to analyse how these methods influence the models' capabilities in generating persuasive responses. Both automatic and human evaluations are conducted to compare performance across models and prompting strategies. Our findings reveal that model architecture and prompt design significantly impact persuasive effectiveness. Among prompting strategies, few-shot prompting consistently produces strong results across models and tasks. While current models exhibit potential for generating persuasive dialogue, their effectiveness varies across domains. Structured prompting thus emerges as a vital factor for enhancing persuasive success in practical applications.</t>
  </si>
  <si>
    <t>Kirti, Rohan; Deshmukh, Atharva S.; Dugana, Kiran K.; Rathore, Yash; Shriparn, Shipra; Saha, Sriparna; Ramnani, Roshni R.; Maitra, Anutosh</t>
  </si>
  <si>
    <t>Kirti, R (corresponding author), Indian Inst Technol Patna, Dept Comp Sci &amp; Engn, Patna, India.</t>
  </si>
  <si>
    <t>rohan_2421cs09@iitp.ac.in</t>
  </si>
  <si>
    <t>Accenture Labs, Bangalore, India</t>
  </si>
  <si>
    <t>This research was conducted as part of the project "Conversational Agents with Negotiation and Influencing Ability" funded by Accenture Labs, Bangalore, India.</t>
  </si>
  <si>
    <t>[Kirti, Rohan; Dugana, Kiran K.; Rathore, Yash; Shriparn, Shipra; Saha, Sriparna] Indian Inst Technol Patna, Dept Comp Sci &amp; Engn, Patna, India; [Ramnani, Roshni R.; Maitra, Anutosh] Accenture Labs, Bangalore, India</t>
  </si>
  <si>
    <t>Indian Institute of Technology (IIT) - Patna; Indian Institute of Technology System (IIT System)</t>
  </si>
  <si>
    <t>Can language models persuade? Exploring the persuasive efficacy of Large Language and Vision Language models</t>
  </si>
  <si>
    <t>COMPUTER SPEECH AND LANGUAGE</t>
  </si>
  <si>
    <t>Benchmarking; Prompting techniques; Large Language Model; Vision Language Model; Persuasiveness</t>
  </si>
  <si>
    <t>RATHORE, YASH/OLQ-9075-2025</t>
  </si>
  <si>
    <t>RATHORE, YASH/0000-0001-7753-309X</t>
  </si>
  <si>
    <t>ACADEMIC PRESS LTD- ELSEVIER SCIENCE LTD</t>
  </si>
  <si>
    <t>24-28 OVAL RD, LONDON NW1 7DX, ENGLAND</t>
  </si>
  <si>
    <t>0885-2308</t>
  </si>
  <si>
    <t>1095-8363</t>
  </si>
  <si>
    <t>COMPUT SPEECH LANG</t>
  </si>
  <si>
    <t>Comput. Speech Lang.</t>
  </si>
  <si>
    <t>JAN 2027</t>
  </si>
  <si>
    <t>2027</t>
  </si>
  <si>
    <t>101</t>
  </si>
  <si>
    <t>101991</t>
  </si>
  <si>
    <t>10.1016/j.csl.2026.101991</t>
  </si>
  <si>
    <t>http://dx.doi.org/10.1016/j.csl.2026.101991</t>
  </si>
  <si>
    <t>HB7DW</t>
  </si>
  <si>
    <t>WOS:001750244600001</t>
  </si>
  <si>
    <t>Tu, CH; Chang, FH; Cheng, CH; Fu, LC</t>
  </si>
  <si>
    <t>The paper introduces "Environment Question Answering (EnvQA)," an advanced task derived from Embodied Question Answering (EQA), aiming to enhance the practicality of robotic systems in real-world scenarios. Unlike EQA, which involves repeated exploration of familiar environments for answering questions, EnvQA integrates spatial memory and user feedback to address these limitations. The EnvQA system is designed to autonomously navigate, answer queries, and store environmental information using a cognition-inspired cognitive map with intermediate features of Vision-language models (VLMs). Additionally, the paper presents a new zero-shot image-image matching method, ViTPR, which utilizes large-scale vision transformers to achieve state-of-the-art performance in Visual Place Recognition (VPR) on the highly challenging Nordland dataset. Experimental results also demonstrate the effectiveness of global localization and question-answering in both simulated and physical environments. In summary, we successfully use VLMs to enhance the robot's ability to understand and associate human questions with the environment. Note to Practitioners-This work aims to develop an autonomous mobile robot system that allows people to use natural language to have the robot assist in confirming the status of various people, objects, and events in different home environments, and to respond in natural language as well. Our approach utilizes autonomously constructed cognitive maps to directly answer questions, eliminating the need for repeated exploration for each user query. The robot will navigate to the relevant location and provide responses based on current observations only when the user requests re-verification. We believe this system can serve as a convenient platform to provide effective assistance in long-term care, hospital rounds, and even general home caregiving environments, demonstrating significant potential in healthcare. It is important to note that current limitations include the system's dependency on the quality of VLMs and the need for more robust real-time processing capabilities. Future research should focus on addressing these limitations and exploring scalable applications across diverse environments.</t>
  </si>
  <si>
    <t>Tu, Chih-Hung; Chang, Fu-Hao; Cheng, Chih-Hsiang; Fu, Li-Chen</t>
  </si>
  <si>
    <t>Fu, LC (corresponding author), Natl Taiwan Univ, NTU Ctr Artificial Intelligence &amp; Adv Robot, Taipei 106319, Taiwan.</t>
  </si>
  <si>
    <t>lichen@ntu.edu.tw</t>
  </si>
  <si>
    <t>National Taiwan University [NTU-ICRP-115L7505, NTU-CC-115L893401]; National Science and Technology Council [NSTC 114-2223-E002-002, NSTC 114-2622-E-002-022, NSTC 114-2634-F-002 -005]</t>
  </si>
  <si>
    <t>National Taiwan University (National Taiwan University); National Science and Technology Council</t>
  </si>
  <si>
    <t>This work was supported in part by the National Taiwan University under Grant NTU-ICRP-115L7505 and Grant NTU-CC-115L893401; and in part by the National Science and Technology Council under Grant NSTC 114-2223-E002-002, Grant NSTC 114-2622-E-002-022, and Grant NSTC 114-2634-F-002-005.</t>
  </si>
  <si>
    <t>[Tu, Chih-Hung; Chang, Fu-Hao; Cheng, Chih-Hsiang] Natl Taiwan Univ, Dept Elect Engn, Taipei, Taiwan; [Fu, Li-Chen] Natl Taiwan Univ, NTU Ctr Artificial Intelligence &amp; Adv Robot, Taipei 106319, Taiwan</t>
  </si>
  <si>
    <t>National Taiwan University; National Taiwan University</t>
  </si>
  <si>
    <t>A Robot System for Indoor Environment Question Answering With Cognitive Map Leveraging Vision-Language Models</t>
  </si>
  <si>
    <t>IEEE TRANSACTIONS ON AUTOMATION SCIENCE AND ENGINEERING</t>
  </si>
  <si>
    <t>Robots; Question answering (information retrieval); Navigation; Visual place recognition; Visualization; Feature extraction; Laser radar; Three-dimensional displays; Robot kinematics; Context modeling; Environment question answering; embodied question answering; cognitive map; visual place recognition; cognitive robot</t>
  </si>
  <si>
    <t>1545-5955</t>
  </si>
  <si>
    <t>1558-3783</t>
  </si>
  <si>
    <t>IEEE T AUTOM SCI ENG</t>
  </si>
  <si>
    <t>IEEE Trans. Autom. Sci. Eng.</t>
  </si>
  <si>
    <t>6090</t>
  </si>
  <si>
    <t>6101</t>
  </si>
  <si>
    <t>10.1109/TASE.2026.3671848</t>
  </si>
  <si>
    <t>http://dx.doi.org/10.1109/TASE.2026.3671848</t>
  </si>
  <si>
    <t>Automation &amp; Control Systems</t>
  </si>
  <si>
    <t>FF5KA</t>
  </si>
  <si>
    <t>WOS:001717538400011</t>
  </si>
  <si>
    <t>Zhang, J; Feng, BJ; Cheng, Y; Zhou, FF; Lu, XX; Zhu, XL; Wang, XJ; Xu, CK; Chen, L</t>
  </si>
  <si>
    <t>Objectives To develop and evaluate a deep learning and vision-language model (VLM) system for automated quality assessment of mid-trimester fetal ultrasound examinations. Methods This multicenter retrospective study included 22,544 ultrasound planes from 273 internal and 29 external examinations, combined with public data. A SonoNet-based convolutional neural network (CNN) was developed to identify standard planes and key anatomical structures, while a fine-tuned VLM synthesized CNN-derived image descriptions to evaluate overall examination completeness. Six obstetric sonographers with different experience levels participated in a two-phase reader study to assess the effect of AI assistance on diagnostic performance. Results The fine-tuned VLMs demonstrated consistent accuracy in overall examination assessment, achieving F1-scores up to 0.944 on the internal and 0.922 on the external test sets, consistently outperforming both the CNN baseline and zero-shot models. In individual plane analysis, the best-performing VLM reached an overall F1-score of 0.820 and performed robustly across all error categories. In the reader study, AI assistance improved overall diagnostic consistency and recall across all experience levels, while also showing shorter reading times during case review. The system also provided interpretable feedback by identifying missing or low-quality planes. Conclusions A combined CNN-VLM system enables accurate and interpretable automated quality assessment of fetal ultrasound examinations and enhances reader performance in detecting incomplete or poor-quality scans.</t>
  </si>
  <si>
    <t>Zhang, Jin; Feng, Bojian; Cheng, Yan; Zhou, Fangfang; Lu, Xiaoxi; Zhu, Xiaoling; Wang, Xiaojian; Xu, Chenke; Chen, Lei</t>
  </si>
  <si>
    <t>Chen, L (corresponding author), Hangzhou Womens Hosp, Hangzhou Matern &amp; Child Hlth Care Hosp, Dept Ultrasound Med, 369 Kunpeng Rd, Hangzhou 310008, Peoples R China.; Xu, CK (corresponding author), Westlake Univ, Affiliated Hangzhou Peoples Hosp 1, Sch Med, Dept Ultrasound, Hangzhou 310006, Peoples R China.; Xu, CK (corresponding author), Zhejiang Chinese Med Univ, Affiliated Hangzhou Peoples Hosp 1, Sch Med, Dept Ultrasound,Clin Med Coll 4, Hangzhou 310006, Peoples R China.</t>
  </si>
  <si>
    <t>chenlei_19831230@163.com; muerxck@163.com</t>
  </si>
  <si>
    <t>the Construction Fund of Key Medical Disciplines of Hangzhou [2025HZGF03]; the Research Program of Zhejiang Provincial Department of Health [2024KY1333]</t>
  </si>
  <si>
    <t>the Construction Fund of Key Medical Disciplines of Hangzhou; the Research Program of Zhejiang Provincial Department of Health</t>
  </si>
  <si>
    <t>This study was funded by the Research Program of Zhejiang Provincial Department of Health (2024KY1333) and the Construction Fund of Key Medical Disciplines of Hangzhou (2025HZGF03). The funder played no role in study design, data collection, analysis and interpretation of data, or the writing of this manuscript.</t>
  </si>
  <si>
    <t>[Zhang, Jin; Cheng, Yan; Zhou, Fangfang; Lu, Xiaoxi; Zhu, Xiaoling; Wang, Xiaojian; Chen, Lei] Hangzhou Womens Hosp, Hangzhou Matern &amp; Child Hlth Care Hosp, Dept Ultrasound Med, 369 Kunpeng Rd, Hangzhou 310008, Peoples R China; [Feng, Bojian] Zhejiang Canc Hosp, Dept Ultrasound, Hangzhou 310022, Peoples R China; [Xu, Chenke] Westlake Univ, Affiliated Hangzhou Peoples Hosp 1, Sch Med, Dept Ultrasound, Hangzhou 310006, Peoples R China; [Xu, Chenke] Zhejiang Chinese Med Univ, Affiliated Hangzhou Peoples Hosp 1, Sch Med, Dept Ultrasound,Clin Med Coll 4, Hangzhou 310006, Peoples R China</t>
  </si>
  <si>
    <t>Zhejiang Cancer Hospital; Westlake University; Zhejiang Chinese Medical University</t>
  </si>
  <si>
    <t>Artificial intelligence-assisted quality assessment of mid-trimester ultrasound examinations using large vision-language models</t>
  </si>
  <si>
    <t>BMC PREGNANCY AND CHILDBIRTH</t>
  </si>
  <si>
    <t>Ultrasonography, prenatal; Pregnancy trimester, second; Fetal anomaly; Artificial intelligence; Decision support systems, clinical</t>
  </si>
  <si>
    <t>Feng, Bojian/JCN-9615-2023</t>
  </si>
  <si>
    <t>Feng, Bojian/0000-0002-4559-0775</t>
  </si>
  <si>
    <t>BMC</t>
  </si>
  <si>
    <t>CAMPUS, 4 CRINAN ST, LONDON N1 9XW, ENGLAND</t>
  </si>
  <si>
    <t>1471-2393</t>
  </si>
  <si>
    <t>BMC PREGNANCY CHILDB</t>
  </si>
  <si>
    <t>BMC Pregnancy Childbirth</t>
  </si>
  <si>
    <t>APR 22 2026</t>
  </si>
  <si>
    <t>614</t>
  </si>
  <si>
    <t>10.1186/s12884-026-09073-6</t>
  </si>
  <si>
    <t>http://dx.doi.org/10.1186/s12884-026-09073-6</t>
  </si>
  <si>
    <t>Obstetrics &amp; Gynecology</t>
  </si>
  <si>
    <t>JA2RZ</t>
  </si>
  <si>
    <t>42021182</t>
  </si>
  <si>
    <t>WOS:001784543800005</t>
  </si>
  <si>
    <t>Wang, BH; Wang, YQ; Chu, YH; Zhang, K; Liu, L; Zhang, KX; Zhu, BW; Wang, D; Jiang, TN</t>
  </si>
  <si>
    <t>Background Abdominal ultrasound is non-invasive and efficient, yet acquiring standard planes remains challenging due to operator dependency and procedural complexity. We propose AbVLM-Q, a vision-language framework for automated quality assessment of abdominal ultrasound standard planes. Methods In this study, we assembled a multi-center dataset comprising 7,766 abdominal ultrasound scans, which were randomly divided into training (70%), validation (15%), and testing (15%) subsets. The proposed method, AbVLM-Q, was developed using a three-step approach: (1) hierarchical prompting that incorporates spatially aware querying and sequential reasoning; (2) a quantifiable scoring mechanism based on multi-level clinical penalty criteria; and (3) LoRA (Low-Rank Adaptation)-based fine-tuning of a pretrained vision-language model. Performance was evaluated using mean recall, precision, label accuracy, subset accuracy, and confusion matrix analysis. Results The system achieved key structure detection with 88.90% mean recall and 98.10% precision, showing higher precision and comparable recall to Faster R-CNN (89.77% recall, 88.64% precision at a 0.5 confidence threshold). Plane classification yielded 98.96% label accuracy and 96.28% subset accuracy, surpassing the best CNN (97.84%, 94.29%; P &lt; 0.05). Image scoring accuracy for the clinically critical "Excellent" grade (scores 8-10) reached 85.11% with the best-performing backbone. Confusion matrix analysis confirmed consistent performance across different backbones, with discrepancies primarily observed at grade boundaries. Conclusions AbVLM-Q provides a novel method for automated ultrasound quality assessment, functioning as both an evaluation tool and a training platform for standardized scanning. It bridges AI-driven imaging analysis with clinical workflows, enhancing quality control in ultrasound diagnostics.</t>
  </si>
  <si>
    <t>Wang, Baohua; Wang, Yaqian; Chu, Yanhua; Zhang, Ke; Liu, Lei; Zhang, Kexin; Zhu, Bowen; Wang, Dong; Jiang, Tianan</t>
  </si>
  <si>
    <t>Jiang, TN (corresponding author), Zhejiang Univ, Affiliated Hosp 1, Sch Med, Dept Ultrasound Med, Hangzhou, Zhejiang, Peoples R China.</t>
  </si>
  <si>
    <t>baohuawang@zju.edu.cn; kexin.zhang@yizhun-ai.com; Bowen.Zhu@yizhun-ai.com; tiananjiang@zju.edu.cn; yaqian.wang@yizhun-ai.com; zhang.ke@zju.edu.cn; dong.wang@yizhun-ai.com; 42215534@qq.com; cleveregg2008@163.com</t>
  </si>
  <si>
    <t>This study has received funding by the Development Project of National Major Scientific Research Instrument (82027803)</t>
  </si>
  <si>
    <t>The authors would like to acknowledge the Department of Ultrasound Medicine, The First Affiliated Hospital, Zhejiang University School of Medicine, and Nanchang People's Hospital for data provision, and gratefully acknowledge the algorithmic support from Yizhun Medical AI Co.</t>
  </si>
  <si>
    <t>[Wang, Baohua; Chu, Yanhua; Zhang, Ke; Jiang, Tianan] Zhejiang Univ, Affiliated Hosp 1, Sch Med, Dept Ultrasound Med, Hangzhou, Zhejiang, Peoples R China; [Wang, Yaqian; Zhang, Kexin; Zhu, Bowen; Wang, Dong] Yizhun Med AI Co Ltd, Beijing, Peoples R China; [Liu, Lei] Nanchang Peoples Hosp, Nanchang, Jiangxi, Peoples R China</t>
  </si>
  <si>
    <t>Zhejiang University</t>
  </si>
  <si>
    <t>AbVLM-Q: intelligent quality assessment for abdominal ultrasound standard planes via vision-language modeling</t>
  </si>
  <si>
    <t>BMC MEDICAL IMAGING</t>
  </si>
  <si>
    <t>Vision-language models; Quality assessment; Hierarchical prompting; Abdominal ultrasound; Standard plane</t>
  </si>
  <si>
    <t>Wang, aqian/0000-0003-2714-0110</t>
  </si>
  <si>
    <t>1471-2342</t>
  </si>
  <si>
    <t>BMC MED IMAGING</t>
  </si>
  <si>
    <t>BMC Med. Imag.</t>
  </si>
  <si>
    <t>AUG 23 2025</t>
  </si>
  <si>
    <t>344</t>
  </si>
  <si>
    <t>10.1186/s12880-025-01885-w</t>
  </si>
  <si>
    <t>http://dx.doi.org/10.1186/s12880-025-01885-w</t>
  </si>
  <si>
    <t>6OW8G</t>
  </si>
  <si>
    <t>40849615</t>
  </si>
  <si>
    <t>WOS:001558507000001</t>
  </si>
  <si>
    <t>Wang, RQ; Gao, PQ; Lynch, P; Liu, TJ; Lee, Y; Baum, CM; Connor, LT; Lu, CY</t>
  </si>
  <si>
    <t>Minimally obtrusive support for individuals with subjective cognitive decline (SCD) is important for fostering independence in completing daily tasks. In overseeing these tasks, occupational therapists may choose to help as errors arise and provide corrective courses of action. To accomplish this, therapists must be able to recognize task-specific actions, as well as the appropriate sequence for them to occur. However, manual monitoring by therapists is not always feasible in real-world environments, motivating the need for automated systems capable of recognizing actions and detecting sequencing errors. To address this, we present CHEF-VL, an online Cognitive Human Error Detection Framework with Vision-Language Models in smart kitchen environments. CHEF-VL combines two novel vision-language models, with one fine-tuned for online human action recognition and the other specially engineered to track key environmental states. An Action-State Merger integrates these two streams of information to reduce prediction noise and correct misrecognized actions. A two-year occupational therapy project of over 100 participants with and without SCD was organized to collect video data for task evaluation. Empirical results demonstrate that CHEF-VL improves both action recognition and sequencing error detection performance, offering a promising solution for real-world assistive technologies in smart home settings.</t>
  </si>
  <si>
    <t>Wang, Ruiqi; Gao, Peiqi; Lynch, Patrick; Liu, Tingjun; Lee, Yejin; Baum, Carolyn M.; Connor, Lisa Tabor; Lu, Chenyang</t>
  </si>
  <si>
    <t>Wang, RQ (corresponding author), Washington Univ, St Louis, MO 63130 USA.</t>
  </si>
  <si>
    <t>peiqi@wustl.edu; l.tingjun@wustl.edu; ruiqi.w@wustl.edu; lconnor@wustl.edu; patricklynch@wustl.edu; baumc@wustl.edu; lu@wustl.edu; yejin.l@wustl.edu</t>
  </si>
  <si>
    <t>Fullgraf Foundation; Here and Next Seed Grant (Tier 2: Interdisciplinary Project Support) from Washington University in St. Louis</t>
  </si>
  <si>
    <t>Fullgraf Foundation (ACEV Foundation); Here and Next Seed Grant (Tier 2: Interdisciplinary Project Support) from Washington University in St. Louis</t>
  </si>
  <si>
    <t>This work was supported, in part, by the Fullgraf Foundation and by a Here and Next Seed Grant (Tier 2: Interdisciplinary Project Support) from Washington University in St. Louis.</t>
  </si>
  <si>
    <t>[Wang, Ruiqi; Gao, Peiqi; Lynch, Patrick; Liu, Tingjun; Lu, Chenyang] Washington Univ, St Louis, MO 63130 USA; [Lee, Yejin; Baum, Carolyn M.; Connor, Lisa Tabor] Washington Univ, Sch Med, St Louis, MO USA</t>
  </si>
  <si>
    <t>Washington University (WUSTL); Washington University (WUSTL)</t>
  </si>
  <si>
    <t>CHEF-VL: Detecting Cognitive Sequencing Errors in Cooking with Vision-language Models</t>
  </si>
  <si>
    <t>PROCEEDINGS OF THE ACM ON INTERACTIVE MOBILE WEARABLE AND UBIQUITOUS TECHNOLOGIES-IMWUT</t>
  </si>
  <si>
    <t>Human Action Recognition; Sequencing Error Detection; Vision-language Models; Subjective Cognitive Decline; Smart Kitchen; AI for Health</t>
  </si>
  <si>
    <t>FUNCTION PERFORMANCE-TEST; EXECUTIVE FUNCTION; CLINICAL UTILITY; RELIABILITY; VALIDITY</t>
  </si>
  <si>
    <t>Wang, Ruiqi/OSI-5561-2025</t>
  </si>
  <si>
    <t>Connor, Lisa/0000-0002-9776-8328; Lu, Chenyang/0000-0003-1709-6769; Wang, Ruiqi/0000-0003-3430-5411; Liu, Tingjun/0009-0002-7849-4867; Lynch, Patrick/0009-0006-4844-3304; Gao, Peiqi/0009-0006-2755-104X</t>
  </si>
  <si>
    <t>2474-9567</t>
  </si>
  <si>
    <t>PROC ACM INTERACT MO</t>
  </si>
  <si>
    <t>Proc. ACM Interact. Mob. Wearable Ubiquitous Technol.</t>
  </si>
  <si>
    <t>220</t>
  </si>
  <si>
    <t>10.1145/3770714</t>
  </si>
  <si>
    <t>http://dx.doi.org/10.1145/3770714</t>
  </si>
  <si>
    <t>AK7JG</t>
  </si>
  <si>
    <t>WOS:001650435600001</t>
  </si>
  <si>
    <t>hybrid</t>
  </si>
  <si>
    <t>Huang, RL; Lin, HW; Zhuo, WP; Cheung, YM; Cai, HM; Su, WF</t>
  </si>
  <si>
    <t>Pre-trained vision-language (V-L) models exhibit promising performance across various general-domain tasks. However, they fall short in medical pathology due to the critical need for fine-grained semantic alignment, which is essential for distinguishing subtle visual patterns across categories. This limitation is not merely due to domain gaps but stems from the inability to capture detailed, pathology-specific semantics. Previous efforts leveraging large language models (LLMs) or cross-modal training often introduce redundant or ambiguous cues, ultimately weakening generalization. To explicitly enhance fine-grained alignment, we propose a Variational Distillation framework tailored for Medical Pathology V-L models. This method introduces a dual-loop optimization mechanism that jointly distills and aligns semantic signals from both textual inputs and external LLM knowledge. Specifically, we use variational latent distributions to model semantic ambiguity and apply a KL-based loss to reduce differences between signals. This encourages the model to retain robust and generalizable features, enabling improved sensitivity to subtle semantic variations critical in pathology image understanding. During cross-modal alignment, the proposed method further amplifies modality-shared semantics while suppressing modality-specific noise and task-irrelevant factors, yielding more precise and pathology-aware image-text matching. Extensive experiments on five pathology benchmarks across three settings, including class generalization, few-shot learning, and cross-organ transfer, demonstrate that the proposed method consistently outperforms the existing approaches.</t>
  </si>
  <si>
    <t>Huang, Runlin; Lin, Haowei; Zhuo, Weipeng; Cheung, Yiu-ming; Cai, Hongmin; Su, Weifeng</t>
  </si>
  <si>
    <t>Su, WF (corresponding author), Beijing Normal Hong Kong Baptist Univ, Guangdong Prov Key Lab Interdisciplinary Res &amp; App, Zhuhai 519087, Guangdong, Peoples R China.</t>
  </si>
  <si>
    <t>wfsu@bnbu.edu.cn</t>
  </si>
  <si>
    <t>[Huang, Runlin; Lin, Haowei; Cheung, Yiu-ming] Hong Kong Baptist Univ, Dept Comp Sci, Hong Kong, Peoples R China; [Huang, Runlin; Lin, Haowei; Zhuo, Weipeng; Su, Weifeng] Beijing Normal Hong Kong Baptist Univ, Fac Sci &amp; Technol, Zhuhai 519087, Guangdong, Peoples R China; [Zhuo, Weipeng; Su, Weifeng] Beijing Normal Hong Kong Baptist Univ, Guangdong Prov Key Lab Interdisciplinary Res &amp; App, Zhuhai 519087, Guangdong, Peoples R China; [Cai, Hongmin] South China Univ Technol, Sch Comp Sci &amp; Engn, Guangzhou 510006, Guangdong, Peoples R China</t>
  </si>
  <si>
    <t>Hong Kong Baptist University; South China University of Technology</t>
  </si>
  <si>
    <t>Fine-grained alignment in medical pathology vision-language models via variational distillation</t>
  </si>
  <si>
    <t>PATTERN RECOGNITION</t>
  </si>
  <si>
    <t>Vision-language model; Medical image; Domain generalization</t>
  </si>
  <si>
    <t>Cheung, Yiu-ming/E-2050-2015</t>
  </si>
  <si>
    <t>0031-3203</t>
  </si>
  <si>
    <t>1873-5142</t>
  </si>
  <si>
    <t>PATTERN RECOGN</t>
  </si>
  <si>
    <t>Pattern Recognit.</t>
  </si>
  <si>
    <t>DEC 2026</t>
  </si>
  <si>
    <t>180</t>
  </si>
  <si>
    <t>C</t>
  </si>
  <si>
    <t>114283</t>
  </si>
  <si>
    <t>10.1016/j.patcog.2026.114283</t>
  </si>
  <si>
    <t>http://dx.doi.org/10.1016/j.patcog.2026.114283</t>
  </si>
  <si>
    <t>KM1JA</t>
  </si>
  <si>
    <t>WOS:001810218800001</t>
  </si>
  <si>
    <t>Zavras, A; Michail, D; Demir, B; Papoutsis, I</t>
  </si>
  <si>
    <t>Deep Learning (DL) is undergoing a paradigm shift with the emergence of foundation models. In this work, we focus on Contrastive Language-Image Pre-training (CLIP), a Vision-Language foundation model that achieves high accuracy across various image classification tasks and often rivals fully supervised baselines, despite not being explicitly trained for those tasks. Nevertheless, there are still domains where zero-shot CLIP performance is far from optimal, such as Remote Sensing (RS) and medical imagery. These domains do not only exhibit fundamentally different distributions compared to natural images, but also commonly rely on complementary modalities, beyond RGB, to derive meaningful insights. To this end, we propose a methodology to align distinct RS image modalities with the visual and textual modalities of CLIP. Our two-stage procedure addresses the aforementioned distribution shift, extends the zero-shot capabilities of CLIP and enriches CLIP's shared embedding space with domain-specific knowledge. Initially, we robustly fine-tune CLIP according to the PAINT (Ilharco et al., 2022) patching protocol, in order to deal with the distribution shift. Building upon this foundation, we facilitate the cross-modal alignment of a RS modality encoder by distilling knowledge from the CLIP visual and textual encoders. We empirically show that both patching and cross-modal alignment translate to significant performance gains, across several RS imagery classification and cross-modal retrieval benchmark datasets. Patching dramatically improves RS imagery (RGB) classification (BigEarthNet-5: +39.76% mAP, BigEarthNet-19: +56.86% mAP, BigEarthNet-43: +28.43% mAP, SEN12MS: +20.61% mAP, EuroSAT: +5.98% Acc), while it maintains performance on the representative supported task (ImageNet), and most critically it outperforms existing RS-specialized CLIP variants such as RemoteCLIP (Liu et al., 2023a) and SkyCLIP (Wang et al., 2024). Cross-modal alignment extends zero-shot capabilities to multi-spectral data, surpassing our patched CLIP classification performance and establishing strong cross-modal retrieval baselines. Linear probing further confirms the quality of learned representations of our aligned multi-spectral encoder, outperforming existing RS foundation models such as SatMAE (Cong et al., 2022). Notably, these enhancements are achieved without the reliance on textual descriptions, without introducing any task-specific parameters, without training from scratch and without catastrophic forgetting. Our work highlights the potential of leveraging existing VLMs' large-scale pre-training and extending their zero-shot capabilities to specialized fields, paving the way for resource efficient establishment of in-domain multi-modal foundation models in RS and beyond. We make our code implementation and weights for all experiments publicly available on our project's GitHub repository https://github.com/Orion-AI-Lab/MindTheModalityGap.</t>
  </si>
  <si>
    <t>Zavras, Angelos; Michail, Dimitrios; Demir, Beguem; Papoutsis, Ioannis</t>
  </si>
  <si>
    <t>Zavras, A (corresponding author), Harokopio Univ Athens, Dept Informat &amp; Telemat, Athens, Greece.</t>
  </si>
  <si>
    <t>azavras@hua.gr</t>
  </si>
  <si>
    <t>European Union's Horizon Europe research and innovation project [101130544]</t>
  </si>
  <si>
    <t>European Union's Horizon Europe research and innovation project</t>
  </si>
  <si>
    <t>This work has received funding from the European Union's Horizon Europe research and innovation project ThinkingEarth under grant agreement number 101130544.</t>
  </si>
  <si>
    <t>[Zavras, Angelos; Papoutsis, Ioannis] Natl Observ Athens, Or Lab, Athens, Greece; [Zavras, Angelos; Papoutsis, Ioannis] Natl Tech Univ Athens, Athens, Greece; [Zavras, Angelos; Michail, Dimitrios] Harokopio Univ Athens, Dept Informat &amp; Telemat, Athens, Greece; [Demir, Beguem] Tech Univ Berlin, Fac Elect Engn &amp; Comp Sci, Berlin, Germany; [Demir, Beguem] BIFOLD Berlin Inst Fdn Learning &amp; Data, Berlin, Germany</t>
  </si>
  <si>
    <t>National Observatory of Athens; National Technical University of Athens; Harokopio University Athens; Technical University of Berlin</t>
  </si>
  <si>
    <t>Mind the modality gap: Towards a remote sensing vision-language model via cross-modal alignment</t>
  </si>
  <si>
    <t>ISPRS JOURNAL OF PHOTOGRAMMETRY AND REMOTE SENSING</t>
  </si>
  <si>
    <t>Vision-language model; Foundation model; Multi-modal learning; Cross-modal alignment; Cross-modal retrieval; Cross-modal distillation; Satellite representation learning; Remote sensing</t>
  </si>
  <si>
    <t>BENCHMARK-ARCHIVE; LARGE-SCALE; BIGEARTHNET</t>
  </si>
  <si>
    <t>Papoutsis, Ioannis/L-5072-2013</t>
  </si>
  <si>
    <t>Zavras, Angelos/0009-0008-2788-1940; Michail, Dimitrios/0000-0002-5316-6704; Papoutsis, Ioannis/0000-0002-2845-9791</t>
  </si>
  <si>
    <t>112</t>
  </si>
  <si>
    <t>0924-2716</t>
  </si>
  <si>
    <t>1872-8235</t>
  </si>
  <si>
    <t>ISPRS J PHOTOGRAMM</t>
  </si>
  <si>
    <t>ISPRS-J. Photogramm. Remote Sens.</t>
  </si>
  <si>
    <t>228</t>
  </si>
  <si>
    <t>270</t>
  </si>
  <si>
    <t>287</t>
  </si>
  <si>
    <t>10.1016/j.isprsjprs.2025.06.019</t>
  </si>
  <si>
    <t>http://dx.doi.org/10.1016/j.isprsjprs.2025.06.019</t>
  </si>
  <si>
    <t>JUL 2025</t>
  </si>
  <si>
    <t>Geography, Physical; Geosciences, Multidisciplinary; Remote Sensing; Imaging Science &amp; Photographic Technology</t>
  </si>
  <si>
    <t>Physical Geography; Geology; Remote Sensing; Imaging Science &amp; Photographic Technology</t>
  </si>
  <si>
    <t>5PF4W</t>
  </si>
  <si>
    <t>WOS:001541052000002</t>
  </si>
  <si>
    <t>Hoque, M; Chowdhury, RN; Hasan, MR; Peter, OOE; Khalifa, F; Rahman, MM</t>
  </si>
  <si>
    <t>Rapidly growing medical imaging volumes have increased radiologist workloads, creating demand for automated tools that support interpretation and reduce reporting delays. Vision-language models (VLMs) can generate clinically relevant captions to accelerate report drafting, yet their varying parameter scales require systematic evaluation for clinical utility. This study evaluated ten multimodal models fine-tuned on the Radiology Objects in Context version 2 (ROCOv2) dataset containing 116,635 images across eight modalities. We compared four Large VLMs (LVLMs) including LLaVA variants and IDEFICS-9B against four Small VLMs (SVLMs) including MoonDream2, Qwen variants, and SmolVLM, alongside two fully fine-tuned baseline architectures (VisionGPT2 and CNN-Transformer). Low-Rank Adaptation (LoRA), applied to fewer than 1% of selected model parameters, proved optimal among adaptation strategies, outperforming broader LoRA configurations. Models were assessed on relevance (semantic similarity) and factuality (concept-level correctness) metrics. Performance showed clear stratification: LVLMs (0.273 to 0.317 overall), SVLMs (0.188 to 0.279), and baselines (0.154 to 0.177). LLaVA-Mistral-7B achieved the highest performance with relevance and factuality scores of 0.516 and 0.118, respectively, substantially exceeding the VisionGPT2 baseline (0.325, 0.028). Among the SVLMs, MoonDream2 demonstrated competitive relevance (0.466), approaching the performance of some LVLMs despite its smaller size. To investigate performance enhancement strategies for underperforming SVLMs, we prepended predicted imaging modality labels at inference time, which yielded variable results. These findings provide quantitative benchmarks for VLM selection in medical imaging, demonstrating that while model scale influences performance, architectural design and targeted adaptation enable select compact models to achieve competitive results.</t>
  </si>
  <si>
    <t>Hoque, Mahmudul; Chowdhury, Raisa Nusrat; Hasan, Md Rakibul; Peter, Ojonugwa Oluwafemi Ejiga; Khalifa, Fahmi; Rahman, Md Mahmudur</t>
  </si>
  <si>
    <t>Rahman, MM (corresponding author), Morgan State Univ, Dept Comp Sci, Baltimore, MD 21251 USA.</t>
  </si>
  <si>
    <t>md.rahman@morgan.edu</t>
  </si>
  <si>
    <t>Advanced Cyberinfrastructure Coordination Ecosystem: Services &amp; Support (ACCESS) program [#2138259, #2138286, #2138307, #2137603, #2138296]; National Science Foundation (NSF) [2131307]</t>
  </si>
  <si>
    <t>Advanced Cyberinfrastructure Coordination Ecosystem: Services &amp; Support (ACCESS) program; National Science Foundation (NSF) (National Science Foundation (NSF))</t>
  </si>
  <si>
    <t>This work was supported by the National Science Foundation (NSF) grant (ID. 2131307) "CISE-MSI: DP: IIS: III: Deep Learning-Based Automated Concept and Caption Generation of Medical Images Towards Developing an Effective Decision Support System." We also thank the Advanced Cyberinfrastructure Coordination Ecosystem: Services &amp; Support (ACCESS) program (supported by NSF grants #2138259, #2138286, #2138307, #2137603, and #2138296) for awarding computational infrastructure through allocation CIS251271.</t>
  </si>
  <si>
    <t>[Hoque, Mahmudul; Chowdhury, Raisa Nusrat; Peter, Ojonugwa Oluwafemi Ejiga; Rahman, Md Mahmudur] Morgan State Univ, Dept Comp Sci, Baltimore, MD 21251 USA; [Hasan, Md Rakibul] Univ Texas San Antonio, Dept Informat Syst &amp; Cybersecur, San Antonio, TX 78249 USA; [Khalifa, Fahmi] Morgan State Univ, Dept Elect &amp; Comp Engn, Baltimore, MD 21251 USA</t>
  </si>
  <si>
    <t>Morgan State University; University of Texas System; University of Texas at San Antonio; Morgan State University</t>
  </si>
  <si>
    <t>An Empirical Evaluation of Low-Rank Adapted Vision-Language Models for Radiology Image Captioning</t>
  </si>
  <si>
    <t>vision-language models; medical image captioning; radiology report generation; Low-Rank Adaptation; ROCOv2 dataset; caption quality; parameter-efficient fine-tuning</t>
  </si>
  <si>
    <t>Ejiga Peter, Ojonugwa Oluwafemi/OOK-2770-2025; Hoque, Mahmudul/NBX-5562-2025; Khalifa, Fahmi/I-5663-2018</t>
  </si>
  <si>
    <t>Hasan, Rakibul/0000-0002-6179-2238; Ejiga Peter, Ojonugwa Oluwafemi/0009-0003-2039-3075; Hoque, Mahmudul/0009-0006-5532-4135; Khalifa, Fahmi/0000-0003-3318-2851</t>
  </si>
  <si>
    <t>DEC 5 2025</t>
  </si>
  <si>
    <t>1330</t>
  </si>
  <si>
    <t>10.3390/bioengineering12121330</t>
  </si>
  <si>
    <t>http://dx.doi.org/10.3390/bioengineering12121330</t>
  </si>
  <si>
    <t>AF4WA</t>
  </si>
  <si>
    <t>41463627</t>
  </si>
  <si>
    <t>WOS:001646886000001</t>
  </si>
  <si>
    <t>Aljaddouh, B; Malathi, D; Alaswad, F</t>
  </si>
  <si>
    <t>Multimodal vision-language models (VLMs) are increasingly applied to medical imaging, yet systematic evaluations comparing them with unimodal models across datasets, supervision regimes, and clinical domains remain scarce. Prior studies often focus on a single dataset, specific pathologies, or one supervision setting, leaving unclear how these models generalize under realistic variability. We conduct a systematic evaluation of six leading unimodal and multimodal models for chest X-ray (CXR) classification using four widely adopted datasets: MIMIC-CXR, CheXpert, NIH-14, and PadChest. We assess model behavior in both zero-shot (ZS) and fine-tuned (FT) configurations, with a focus on generalization across pathologies, datasets, and linguistic domains. Our findings show that pretrained multimodal models such as CheXzero and CXR-LLaVA perform strongly in zero-shot scenarios, especially on out-of-distribution data, reflecting their capacity for semantic generalization. However, their performance tends to decline after fine-tuning in cross-lingual or noisy-label contexts, indicating susceptibility to overfitting. In contrast, unimodal models gain substantially from supervised fine-tuning, especially on in-domain data. Limitations include evaluation on seven shared pathologies, CXR imaging only, and use of publicly available pretrained models, which may restrict generalization to other clinical tasks. These findings highlight key trade-offs between generalization, robustness, and adaptability, and suggest promise in hybrid training strategies that integrate multimodal priors with targeted domain supervision.</t>
  </si>
  <si>
    <t>Aljaddouh, Batoul; Malathi, D.; Alaswad, Feisal</t>
  </si>
  <si>
    <t>Aljaddouh, B (corresponding author), SRM Inst Sci &amp; Technol, Dept Comp Technol, Kattankulathur 603203, Tamil Nadu, India.</t>
  </si>
  <si>
    <t>feisal.alaswad@hotmail.com; batoul.aljaddouh@gmail.com; malathid@srmist.edu.in</t>
  </si>
  <si>
    <t>[Aljaddouh, Batoul; Malathi, D.; Alaswad, Feisal] SRM Inst Sci &amp; Technol, Dept Comp Technol, Kattankulathur 603203, Tamil Nadu, India</t>
  </si>
  <si>
    <t>SRM Institute of Science &amp; Technology Chennai</t>
  </si>
  <si>
    <t>Multimodal vision-language models in chest x-ray analysis: a study of generalization, supervision, and robustness</t>
  </si>
  <si>
    <t>BIOMEDICAL ENGINEERING LETTERS</t>
  </si>
  <si>
    <t>Multimodal learning; Vision-language models; Chest X-ray classification; Zero-shot learning; Fine-tuning; Cross-domain generalization</t>
  </si>
  <si>
    <t>Alaswad, Feisal/0000-0001-7489-3401</t>
  </si>
  <si>
    <t>CAMPUS, 4 CRINAN ST, LONDON, N1 9XW, ENGLAND</t>
  </si>
  <si>
    <t>2093-9868</t>
  </si>
  <si>
    <t>2093-985X</t>
  </si>
  <si>
    <t>BIOMED ENG LETT</t>
  </si>
  <si>
    <t>Biomed. Eng. Lett.</t>
  </si>
  <si>
    <t>SI</t>
  </si>
  <si>
    <t>517</t>
  </si>
  <si>
    <t>537</t>
  </si>
  <si>
    <t>10.1007/s13534-025-00535-y</t>
  </si>
  <si>
    <t>http://dx.doi.org/10.1007/s13534-025-00535-y</t>
  </si>
  <si>
    <t>FN2DL</t>
  </si>
  <si>
    <t>41890265</t>
  </si>
  <si>
    <t>WOS:001622418000001</t>
  </si>
  <si>
    <t>Martvel, G; Zamansky, A; Auer, U</t>
  </si>
  <si>
    <t>Pain assessment in equines is particularly challenging, as they naturally suppress visible signs of discomfort in the presence of potential threats, including humans, which often leads to their pain being underestimated or overlooked. Subtle changes in how a horse distributes its time across key behaviours such as resting or foraging can provide valuable indicators of pain, but reliably capturing these patterns requires continuous observation over extended periods, which is rarely feasible in clinical practice. To address this gap, we propose a novel, noninvasive and scalable approach that uses computer vision to derive time budgets from video. This study aimed to evaluate whether Large Vision Language Models (LVLMs) can automatically analyze equine time budgets from stall videos and, on this basis, distinguish between painful and non-painful states. We hypothesised that zero-shot LVLM-derived time budgets would be sufficiently accurate to support clinically useful pain classification by detection of behaviours including resting, lying, moving, feeding or foraging. We used 24-h stall surveillance footage from 16 hospitalised horses admitted to a university equine hospital for at least three consecutive days and scored for musculoskeletal pain using the Musculoskeletal Pain Scale (MPS). LVLMs (such as GPT-4.1-mini) processed clips in a sliding-window fashion to predict the behaviour occurring in each window; these predictions were then aggregated into clip-level time budgets, which served as input to conventional machine-learning classifiers for binary pain vs no-pain classification. The pipeline achieved an F1 score of 0.8, precision 0.8 and recall 0.8 for pain detection, despite the LVLM operating in a zero-shot regime and without task-specific retraining. These findings demonstrate that LVLMs can extract clinically meaningful time-budget information from unprocessed equine stall videos and, when coupled with simple classifiers, yield pain detection performance comparable to many supervised approaches, without additional annotation or model retraining.</t>
  </si>
  <si>
    <t>Martvel, George; Zamansky, Anna; Auer, Ulrike</t>
  </si>
  <si>
    <t>Auer, U (corresponding author), Univ Vet Med Vienna, Univ Equine Hosp, Dept Compan Anim &amp; Horses, Equine Surg Unit, A-1210 Vienna, Austria.</t>
  </si>
  <si>
    <t>Ulrike.Auer@vetmeduni.ac.at</t>
  </si>
  <si>
    <t>SNSF-ISF binational project Switzerland-Israel [1050/24]</t>
  </si>
  <si>
    <t>SNSF-ISF binational project Switzerland-Israel</t>
  </si>
  <si>
    <t>The second author was funded by the SNSF-ISF binational project Switzerland-Israel (grant number 1050/24) .</t>
  </si>
  <si>
    <t>[Martvel, George; Zamansky, Anna] Univ Haifa, Lab Tech4Animals, Haifa, Israel; [Martvel, George] Jonkoping Univ, Dept Comp, Jonkoping, Sweden; [Auer, Ulrike] Univ Vet Med Vienna, Univ Equine Hosp, Dept Compan Anim &amp; Horses, Equine Surg Unit, A-1210 Vienna, Austria</t>
  </si>
  <si>
    <t>University of Haifa; Jonkoping University; University of Veterinary Medicine Vienna</t>
  </si>
  <si>
    <t>Time budget analysis with large vision language models for automated pain assessment in horses</t>
  </si>
  <si>
    <t>APPLIED ANIMAL BEHAVIOUR SCIENCE</t>
  </si>
  <si>
    <t>Equine pain; Pain detection; Behaviour; Machine learning; LVLMs</t>
  </si>
  <si>
    <t>0168-1591</t>
  </si>
  <si>
    <t>1872-9045</t>
  </si>
  <si>
    <t>APPL ANIM BEHAV SCI</t>
  </si>
  <si>
    <t>Appl. Anim. Behav. Sci.</t>
  </si>
  <si>
    <t>299</t>
  </si>
  <si>
    <t>106969</t>
  </si>
  <si>
    <t>10.1016/j.applanim.2026.106969</t>
  </si>
  <si>
    <t>http://dx.doi.org/10.1016/j.applanim.2026.106969</t>
  </si>
  <si>
    <t>Agriculture, Dairy &amp; Animal Science; Behavioral Sciences; Veterinary Sciences</t>
  </si>
  <si>
    <t>Agriculture; Behavioral Sciences; Veterinary Sciences</t>
  </si>
  <si>
    <t>FG5WS</t>
  </si>
  <si>
    <t>WOS:001718251200001</t>
  </si>
  <si>
    <t>Alilou, M; Mozaffari, J; Amirkhani, A; Shokouhi, SB; Khafaf, A</t>
  </si>
  <si>
    <t>Colorectal Cancer (CRC) is caused by malignant polyps that develop on the colon walls, and early detection is crucial for prevention. Colonoscopy is one of the most effective methods for the detection of polyps, and deep learning algorithms can be utilized for colonoscopy image processing. The main challenge with using deep learning models is the lack of suitable data to train the models. To address this, we introduce a colorectal polyp dataset with a larger statistical population than previous datasets. Moreover, we provide the first clinical reports of colonoscopy related to patients that can be used for the purpose of training visual-language models. To enhance segmentation accuracy, we propose a deep learning model that integrates a Global Attention Module (GAM) for improved feature extraction and a Multi-Scale Aggregation Module (MSAM) for efficient fusion of information. The GAM is designed to extract features from different scales while utilizing low-level features to enhance high-level feature extraction. Furthermore, we employ a vision-language model to analyze the impact of different textual information on performance, which is crucial for report generation tasks and multimodal learning. Results indicate that the proposed model performs better than state-of-the-art studies by 2.7% and 2.5%, respectively, in mDice and mIoU. The dataset and code are available at: https://github.com/javadmozaffari/PolypDataset.</t>
  </si>
  <si>
    <t>Alilou, Mahdiyeh; Mozaffari, Javad; Amirkhani, Abdollah; Shokouhi, Shahriar B.; Khafaf, Alireza</t>
  </si>
  <si>
    <t>Amirkhani, A (corresponding author), Iran Univ Sci &amp; Technol, Sch Automot Engn, Tehran 1684613114, Iran.</t>
  </si>
  <si>
    <t>amirkhani@iust.ac.ir</t>
  </si>
  <si>
    <t>[Alilou, Mahdiyeh; Mozaffari, Javad; Shokouhi, Shahriar B.] Iran Univ Sci &amp; Technol, Sch Elect Engn, Tehran 1684613114, Iran; [Amirkhani, Abdollah] Iran Univ Sci &amp; Technol, Sch Automot Engn, Tehran 1684613114, Iran; [Khafaf, Alireza] Shahid Beheshti Univ Med Sci, Gastroenterol &amp; Liver Dis Res Ctr, Tehran 1983963113, Iran</t>
  </si>
  <si>
    <t>Iran University Science &amp; Technology; Iran University Science &amp; Technology; Shahid Beheshti University Medical Sciences</t>
  </si>
  <si>
    <t>A Novel Dataset for Polyp Segmentation and Detection Using a Vision-Language Model</t>
  </si>
  <si>
    <t>Image segmentation; Feature extraction; Colonoscopy; Solid modeling; Deep learning; Transformers; Training; YOLO; Colorectal cancer; Biomedical imaging; Clinical report; colonoscopy; colorectal cancer; deep learning; polyp segmentation</t>
  </si>
  <si>
    <t>Amirkhani, Abdollah/C-6743-2019; Mozaffari, Javad/OZE-1893-2025; Shokouhi, shahriar/T-5578-2018</t>
  </si>
  <si>
    <t>Mozaffari, Javad/0009-0007-4490-6532</t>
  </si>
  <si>
    <t>50807</t>
  </si>
  <si>
    <t>50820</t>
  </si>
  <si>
    <t>10.1109/ACCESS.2025.3552613</t>
  </si>
  <si>
    <t>http://dx.doi.org/10.1109/ACCESS.2025.3552613</t>
  </si>
  <si>
    <t>0QO2O</t>
  </si>
  <si>
    <t>WOS:001453644600044</t>
  </si>
  <si>
    <t>Wang, LY; Tian, F; Li, F; Wu, M; Hou, LX; Wang, JT; Zhao, J; Feng, XB; Li, CQ; Wang, XJ; Xia, HM; Du, KX; Liao, XH; Jin, ML; Hu, XL; Liu, RS; Feng, X; Cao, JM; Hu, ZC; Cai, JB; Yang, SZ; Dong, JH</t>
  </si>
  <si>
    <t>Background Pathological evaluation of hepatocellular carcinoma (HCC) traditionally relies on surgical resection, posing risks of infection and complications while failing to provide comprehensive pathological insights preoperatively. This study aims to develop HepaPathGPT, which utilises preoperative imaging to deliver detailed pathological interpretations, enabling non-invasive, real-time pathological assessments for patients with HCC. Methods A retrospective study of 1091 patients with HCC from 10 independent cohorts was used. SegFormer-b5 segmented tumour regions, and vision-language alignment mapped imaging features to pathology descriptions. We fine-tuned four pretrained frameworks using Low-Rank Adaptation (LoRA) to efficiently translate imaging features into structured histological reports, enabling real-time evaluation via an interactive interface. Findings HepaPathGPT showed robust tumour segmentation (mean Intersection over Union: 0.883 +/- 0.007, Dice: 0.934 +/- 0.006) and an average accuracy of 0.697 +/- 0.024 for six pathological markers in external validation (n = 109). For text generation, BLEU-4 and ROUGE-1 scores were 62.7 +/- 1.7 and 84.2 +/- 1.1. Five pathologists rated 92.5% and 87.4% of reports as acceptable for accuracy and completeness. Interpretation HepaPathGPT offers a approach for non-invasive pathological analysis in patients with HCC. This technology holds significant clinical value for decision-making in patients with HCC and promises scalability to other diseases in the future.</t>
  </si>
  <si>
    <t>Wang, Liyang; Tian, Fa; Li, Fan; Wu, Min; Hou, Lingxuan; Wang, Jitao; Zhao, Jing; Feng, Xiaobin; Li, Chengquan; Wang, Xiaojuan; Xia, Haoming; Du, Kaixin; Liao, Xuehong; Jin, Mingli; Hu, Xiaoli; Liu, Ruishan; Feng, Xu; Cao, Jinming; Hu, Zhichao; Cai, Jiabin; Yang, Shizhong; Dong, Jiahong</t>
  </si>
  <si>
    <t>Yang, SZ; Dong, JH (corresponding author), Tsinghua Univ, Hepatopancreatobiliary Ctr, Key Lab Digital Intelligence Hepatol,Inst Precis M, Minist Educ,Beijing Tsinghua Changgung Hosp, Beijing 102218, Peoples R China.; Cai, JB (corresponding author), Fudan Univ, Zhongshan Hosp, Liver Canc Inst, Dept Liver Surg &amp; Transplantat, Shanghai, Peoples R China.; Cai, JB (corresponding author), Zhongshan Hosp, Key Lab Carcinogenesis &amp; Canc Invas, Shanghai Key Lab Organ Transplantat, Shanghai, Peoples R China.</t>
  </si>
  <si>
    <t>cai.jiabin@zs-hospital.sh.cn; dongjiahong@mail.tsinghua.edu.cn; ysza02008@btch.edu.cn</t>
  </si>
  <si>
    <t>National Natural Science Foundation of China [82090053, 82090052, 12326618, 82272703, 82473201]; Tsinghua University Initiative Scientific Research Program of Precision Medicine [2022ZLA007]; CAMS Innovation Fund for Medical Sciences [2019-I2M-5-056]; Elite Youth Project of Natural Science Foundation of Fujian Province [2023J06056]; Science-Health Joint Medical Scientific Research Project of Chongqing [2023MSXM092]</t>
  </si>
  <si>
    <t>National Natural Science Foundation of China (National Natural Science Foundation of China (NSFC)); Tsinghua University Initiative Scientific Research Program of Precision Medicine (Tsinghua University); CAMS Innovation Fund for Medical Sciences (CAMS Innovation Fund for Medical Sciences (CIFMS)); Elite Youth Project of Natural Science Foundation of Fujian Province; Science-Health Joint Medical Scientific Research Project of Chongqing</t>
  </si>
  <si>
    <t>National Natural Science Foundation of China (82090053, 82090052, 12326618, 82272703, 82473201); Tsinghua University Initiative Scientific Research Program of Precision Medicine (2022ZLA007); CAMS Innovation Fund for Medical Sciences (2019-I2M-5-056); Elite Youth Project of Natural Science Foundation of Fujian Province (2023J06056); Science-Health Joint Medical Scientific Research Project of Chongqing (2023MSXM092).</t>
  </si>
  <si>
    <t>[Wang, Liyang; Dong, Jiahong] Tsinghua Univ, Sch Biomed Engn, Beijing, Peoples R China; [Wang, Liyang; Wang, Jitao; Feng, Xiaobin; Li, Chengquan; Wang, Xiaojuan; Xia, Haoming; Yang, Shizhong; Dong, Jiahong] Tsinghua Univ, Hepatopancreatobiliary Ctr, Key Lab Digital Intelligence Hepatol,Inst Precis M, Minist Educ,Beijing Tsinghua Changgung Hosp, Beijing 102218, Peoples R China; [Wang, Liyang; Wang, Jitao; Feng, Xiaobin; Li, Chengquan; Wang, Xiaojuan; Xia, Haoming; Yang, Shizhong; Dong, Jiahong] Chinese Acad Med Sci, Res Unit Precis Hepatobiliary Surg Paradigm, Beijing, Peoples R China; [Tian, Fa] Sichuan Agr Univ, Coll Informat Engn, Yaan, Sichuan, Peoples R China; [Li, Fan; Liu, Ruishan] Third Hosp Mianyang, Sichuan Mental Hlth Ctr, Dept Radiol, Mianyang, Sichuan, Peoples R China; [Wu, Min] Peoples Hosp Yubei Dist Chongqing City, Dept Radiol, Chongqing, Peoples R China; [Hou, Lingxuan] Natl Univ Singapore, Dept Biomed Engn, Opt Bioimaging Lab, 15 Kent Ridge Crescent, Singapore 119276, Singapore; [Zhao, Jing] Chifeng Municipal Hosp, Dept Radiol, Chifeng, Inner Mongolia, Peoples R China; [Feng, Xiaobin; Li, Chengquan; Wang, Xiaojuan; Xia, Haoming; Dong, Jiahong] Tsinghua Univ, Sch Clin Med, Beijing, Peoples R China; [Du, Kaixin] Xiamen Hongai Hosp, Oncol Ctr, Xiamen, Fujian, Peoples R China; [Liao, Xuehong] Sapporo Med Univ, Dept Pathol, Sapporo, Hokkaido, Japan; [Jin, Mingli] Southwest Med Univ, Dept Radiol, Affiliated Hosp, Luzhou, Sichuan, Peoples R China; [Hu, Xiaoli] Chongqing Med Univ, Affiliated Hosp 3, Dept Radiol, 1,Shuanghu Branch Rd,Huixing St, Chongqing, Peoples R China; [Feng, Xu] Second Peoples Hosp YiBin, Dept Intervent Med Ctr, 96 Beida St, Yibin 644000, Sichuan, Peoples R China; [Cao, Jinming] Capital Med Univ, Beijing Anzhen Nanchong Hosp, Dept Radiol, Chengdu, Sichuan, Peoples R China; [Hu, Zhichao] Nanyang Technol Univ, Dept Informat Syst &amp; Operat Management, Singapore 639798, Singapore; [Cai, Jiabin] Fudan Univ, Zhongshan Hosp, Dept liver Surg, Xiamen Branch, Xiamen, Fujian, Peoples R China; [Cai, Jiabin] Fudan Univ, Zhongshan Hosp, Liver Canc Inst, Dept Liver Surg &amp; Transplantat, Shanghai, Peoples R China; [Cai, Jiabin] Zhongshan Hosp, Key Lab Carcinogenesis &amp; Canc Invas, Shanghai Key Lab Organ Transplantat, Shanghai, Peoples R China</t>
  </si>
  <si>
    <t>Tsinghua University; Tsinghua University; Chinese Academy of Medical Sciences - Peking Union Medical College; Sichuan Agricultural University; National University of Singapore; Tsinghua University; Sapporo Medical University; Southwest Medical University; Chongqing Medical University; Capital Medical University; Nanyang Technological University; Fudan University; Fudan University; Fudan University</t>
  </si>
  <si>
    <t>A generative vision-language model for holistic pathological assessment using preoperative imaging in hepatocellular carcinoma</t>
  </si>
  <si>
    <t>EBIOMEDICINE</t>
  </si>
  <si>
    <t>Hepatocellular carcinoma; Vision-language model; Generative AI; Imaging-pathology integration</t>
  </si>
  <si>
    <t>PATTERNS; PREDICT; BIOPSY</t>
  </si>
  <si>
    <t>Cao, Jinming/GLS-4140-2022; Du, Kaixin/KBB-3302-2024</t>
  </si>
  <si>
    <t>Wu, Min/0000-0001-6729-2261</t>
  </si>
  <si>
    <t>2352-3964</t>
  </si>
  <si>
    <t>EBioMedicine</t>
  </si>
  <si>
    <t>122</t>
  </si>
  <si>
    <t>106060</t>
  </si>
  <si>
    <t>10.1016/j.ebiom.2025.106060</t>
  </si>
  <si>
    <t>http://dx.doi.org/10.1016/j.ebiom.2025.106060</t>
  </si>
  <si>
    <t>Medicine, General &amp; Internal; Medicine, Research &amp; Experimental</t>
  </si>
  <si>
    <t>General &amp; Internal Medicine; Research &amp; Experimental Medicine</t>
  </si>
  <si>
    <t>S1317</t>
  </si>
  <si>
    <t>41337935</t>
  </si>
  <si>
    <t>WOS:001636287700001</t>
  </si>
  <si>
    <t>gold; Green Submitted; Green Published</t>
  </si>
  <si>
    <t>Dai, DW; Zhang, YH; Yang, QL; Xu, L; Shen, XJ; Xia, SY; Wang, GY</t>
  </si>
  <si>
    <t>The previous advancements in pathology image understanding primarily involved developing models tailored to specific tasks. Recent studies have demonstrated that the large vision-language model can enhance the performance of various downstream tasks in medical image understanding. In this study, we developed a domain-specific large vision-language model (PathologyVLM) for pathology image understanding. Specifically, (1) we first construct a human pathology image-text dataset by cleaning the public medical image-text data for domain-specific alignment; (2) Using the proposed image-text data, we first train a pathology language-image pretraining (PLIP) model as the specialized visual encoder to extract the features of pathology image, and then we developed scale-invariant connector to avoid the information loss caused by image scaling; (3) We adopt two-stage learning to train PathologyVLM, first stage for domain alignment, and second stage for end to end visual question &amp; answering (VQA) task. In experiments, we evaluate our PathologyVLM on both supervised and zero-shot VQA datasets, our model achieved the best overall performance among multimodal models of similar scale. The ablation experiments also confirmed the effectiveness of our design. We posit that our PathologyVLM model and the datasets presented in this work can promote research in field of computational pathology. All codes are available at: https://github.com/ddw2AIGROUP2CQUPT/PA-LLaVA</t>
  </si>
  <si>
    <t>Dai, Dawei; Zhang, Yuanhui; Yang, Qianlan; Xu, Long; Shen, Xiaojing; Xia, Shuyin; Wang, Guoyin</t>
  </si>
  <si>
    <t>Dai, DW (corresponding author), Chongqing Univ Posts &amp; Telecommun, Chongqing Key Lab Computat Intelligence, Chongqing 400065, Peoples R China.; Yang, QL (corresponding author), Tongji Univ, Shanghai Matern &amp; Infant Hosp 1, Sch Med, Shanghai 200092, Peoples R China.</t>
  </si>
  <si>
    <t>dw_dai@163.com; qlyang2013@126.com</t>
  </si>
  <si>
    <t>National Key R&amp;D Program of China</t>
  </si>
  <si>
    <t>National Key R&amp;D Program of China (National Key Research &amp; Development Program of China)</t>
  </si>
  <si>
    <t>This work was sponsored by the National Key R&amp;D Program of China under grant number 2021YFF0704100.</t>
  </si>
  <si>
    <t>[Dai, Dawei; Zhang, Yuanhui; Xu, Long; Xia, Shuyin; Wang, Guoyin] Chongqing Univ Posts &amp; Telecommun, Chongqing Key Lab Computat Intelligence, Chongqing 400065, Peoples R China; [Yang, Qianlan; Shen, Xiaojing] Tongji Univ, Shanghai Matern &amp; Infant Hosp 1, Sch Med, Shanghai 200092, Peoples R China; [Wang, Guoyin] Chongqing Normal Univ, Coll Comp &amp; Informat Sci, Chongqing 401331, Peoples R China</t>
  </si>
  <si>
    <t>Chongqing University of Posts &amp; Telecommunications; Tongji University; Chongqing Normal University</t>
  </si>
  <si>
    <t>Pathologyvlm: a large vision-language model for pathology image understanding</t>
  </si>
  <si>
    <t>ARTIFICIAL INTELLIGENCE REVIEW</t>
  </si>
  <si>
    <t>Pathology image understanding; VQA; VLM; Multi-modal</t>
  </si>
  <si>
    <t>Shen, Xiaojing/H-2332-2011</t>
  </si>
  <si>
    <t>DORDRECHT</t>
  </si>
  <si>
    <t>VAN GODEWIJCKSTRAAT 30, 3311 GZ DORDRECHT, NETHERLANDS</t>
  </si>
  <si>
    <t>0269-2821</t>
  </si>
  <si>
    <t>1573-7462</t>
  </si>
  <si>
    <t>ARTIF INTELL REV</t>
  </si>
  <si>
    <t>Artif. Intell. Rev.</t>
  </si>
  <si>
    <t>MAR 28 2025</t>
  </si>
  <si>
    <t>186</t>
  </si>
  <si>
    <t>10.1007/s10462-025-11190-1</t>
  </si>
  <si>
    <t>http://dx.doi.org/10.1007/s10462-025-11190-1</t>
  </si>
  <si>
    <t>0TU4Y</t>
  </si>
  <si>
    <t>WOS:001455847800001</t>
  </si>
  <si>
    <t>Zhu, QK; Lin, YY; Fu, WT; Tang, WH; Li, JX; Zhang, Y; Li, B; Guo, XL; Wang, F; Qi, HY; Sun, CK; Zhu, XK; Liu, ZH; He, L; Zheng, ZG; Du, B; Yang, J; Bian, Z; Meng, LY</t>
  </si>
  <si>
    <t>Panoramic radiography is indispensable for dental diagnosis; however, the high demand for interpretation and limited radiologist availability often lead to reports that are incomplete, focused on the chief complaint or unavailable, thereby limiting comprehensive clinical assessment. We present DentFound, a vision-language model (VLM) for panoramic radiography diagnosis and report generation. To support its development, we assembled a large-scale dataset comprising more than 101,000 patients aged 2-98 years, spanning all dentition stages and covering 98 diseases and 11 post-treatment categories. Across multi-centre cohorts, DentFound outperformed state-of-the-art VLMs in both report generation and diagnosis. Expert evaluation by 12 dentists and radiologists showed that DentFound-generated reports were superior or comparable to human-written reports, owing to their broader diagnostic coverage and greater support for comprehensive clinical assessment. These results underscore the gap between existing VLMs and the demands of real-world dental practice, while highlighting the potential of DentFound in clinical practice.</t>
  </si>
  <si>
    <t>Zhu, Qikui; Lin, Yeyu; Fu, Weitao; Tang, Wenhui; Li, Jiaxing; Zhang, Ying; Li, Bo; Guo, Xiaolong; Wang, Fang; Qi, Haiyan; Sun, Chongke; Zhu, Xiangkui; Liu, Zhonghao; He, Li; Zheng, Zhiguo; Du, Bo; Yang, Jie; Bian, Zhuan; Meng, Liuyan</t>
  </si>
  <si>
    <t>Meng, LY (corresponding author), Wuhan Univ, State Key Lab Oral &amp; Maxillofacial Reconstruct &amp; R, Sch &amp; Hosp Stomatol, Minist Educ,Key Lab Oral Biomed,Hubei Key Lab Stom, Wuhan, Peoples R China.; Meng, LY (corresponding author), Wuhan Univ, Sch &amp; Hosp Stomatol, Dept Cariol &amp; Endodont, Wuhan, Peoples R China.</t>
  </si>
  <si>
    <t>mengliuyan@whu.edu.cn</t>
  </si>
  <si>
    <t>Department of Science and Technology, Hubei Provincial People's Government (Hubei Provincial Department of Science and Technology) [2023BCB134]; School and Hospital of Stomatology Wuhan University (Grant No. ZW202404);; National Natural Science Foundation of China (National Science Foundation of China) [82571079]</t>
  </si>
  <si>
    <t>Department of Science and Technology, Hubei Provincial People's Government (Hubei Provincial Department of Science and Technology); School and Hospital of Stomatology Wuhan University (Grant No. ZW202404);; National Natural Science Foundation of China (National Science Foundation of China) (National Natural Science Foundation of China (NSFC))</t>
  </si>
  <si>
    <t>L.M. discloses support for the research of this work from the National Natural Science Foundation of China (grant number 82571079), the Key Research and Development Project of The Development of Science and Technology of Hubei Province (grant number 2023BCB134) and the Research Project of School and Hospital of Stomatology, Wuhan University (grant number ZW202404).</t>
  </si>
  <si>
    <t>[Zhu, Qikui; Lin, Yeyu; Fu, Weitao; Tang, Wenhui; Li, Jiaxing; Zhang, Ying; Li, Bo; Guo, Xiaolong; Wang, Fang; Bian, Zhuan; Meng, Liuyan] Wuhan Univ, State Key Lab Oral &amp; Maxillofacial Reconstruct &amp; R, Sch &amp; Hosp Stomatol, Minist Educ,Key Lab Oral Biomed,Hubei Key Lab Stom, Wuhan, Peoples R China; [Lin, Yeyu; Fu, Weitao; Tang, Wenhui; Li, Jiaxing; Zhang, Ying; Bian, Zhuan; Meng, Liuyan] Wuhan Univ, Sch &amp; Hosp Stomatol, Dept Cariol &amp; Endodont, Wuhan, Peoples R China; [Li, Bo; Guo, Xiaolong; Wang, Fang] Wuhan Univ, Sch &amp; Hosp Stomatol, Dept Oral Radiol, Wuhan, Peoples R China; [Qi, Haiyan] Wuhan Univ, Sch &amp; Hosp Stomatol, Dept Informat Ctr, Wuhan, Peoples R China; [Sun, Chongke; Zhu, Xiangkui; Liu, Zhonghao] Binzhou Med Univ, Affiliated Yantai Stomatol Hosp, Yantai 264000, Peoples R China; [Sun, Chongke; Zhu, Xiangkui; Liu, Zhonghao] Binzhou Med Univ, Yantai Engn Res Ctr Digital Technol Stomatol, Yantai, Peoples R China; [Sun, Chongke; Zhu, Xiangkui; Liu, Zhonghao] Binzhou Med Univ, Characterist Labs Coll &amp; Univ Shandong Prov Digita, Yantai, Peoples R China; [He, Li] Hubei Univ Med, Renmin Hosp, Dept Stomatol, Shiyan, Peoples R China; [Zheng, Zhiguo] Nanchang Univ, Affiliated Stomatol Hosp, Jiangxi Med Coll, Sch Stomatol, Nanchang, Peoples R China; [Zheng, Zhiguo] Jiangxi Prov Clin Res Ctr Oral Dis, Jiangxi Prov Key Lab Oral Dis, Nanchang, Peoples R China; [Du, Bo] Wuhan Univ, Sch Comp Sci, Wuhan, Peoples R China; [Yang, Jie] Temple Univ, Kornberg Sch Dent, Div Oral &amp; Maxillofacial Radiol, Philadelphia, PA USA</t>
  </si>
  <si>
    <t>Wuhan University; Wuhan University; Wuhan University; Wuhan University; Shandong Medical &amp; Pharmaceutical University; Shandong Medical &amp; Pharmaceutical University; Shandong Medical &amp; Pharmaceutical University; Hubei University of Medicine; Nanchang University; Wuhan University; Pennsylvania Commonwealth System of Higher Education (PCSHE); Temple University</t>
  </si>
  <si>
    <t>Towards clinical-level interpretation of dental panoramic radiography using an instance-guided vision-language model</t>
  </si>
  <si>
    <t>Guo, Xiao-Long/AAC-7251-2019; Fu, Weitao/PQW-6670-2026; Meng, liuyan/W-4927-2018</t>
  </si>
  <si>
    <t>Guo, Xiao-Long/0000-0002-6636-2333</t>
  </si>
  <si>
    <t>10.1038/s41551-026-01713-8</t>
  </si>
  <si>
    <t>http://dx.doi.org/10.1038/s41551-026-01713-8</t>
  </si>
  <si>
    <t>KD1KY</t>
  </si>
  <si>
    <t>42350625</t>
  </si>
  <si>
    <t>WOS:001804123300001</t>
  </si>
  <si>
    <t>Xu, P; Tsai, CY; Chang, CY; Chih, YT; Roy, DS</t>
  </si>
  <si>
    <t>Large multimodal vision-language models (VLMs) have achieved remarkable success in image and video analysis. However, their inherent black-box nature limits their applicability in medical imaging, where interpretability is critical. Although several existing explainable machine learning techniques partially address this issue, they often suffer from model dependency, interpretability randomness, and high computational complexity. To overcome these challenges, this paper proposes MedExplainer, an innovative explainable ensemble parallel-tree framework. The method first generates a set of perturbed samples by applying fixed masking operations to individual images or video frames, and then obtains prediction scores through the VLM. Using Parallel bagging and boosting strategies, MedExplainer constructs parallel decision trees and visualizes feature importance for local interpretability, while aggregating all sample-level explanations to produce a comprehensive global interpretation. The experiment evaluated the method on multiple medical image and video datasets, and the results demonstrate that the proposed MedExplainer provides stronger and more consistent explanations than existing methods. Interestingly, this design also enables the enhancement of lightweight VLMs for medical image segmentation tasks. In particular, the MedExplainer-augmented medicalGemma-4B model outperforms Google's recently released Gemini Nano Banana on segmentation benchmarks. Demonstration videos are available in the supplementary materials.</t>
  </si>
  <si>
    <t>Xu, Pei; Tsai, Chung-You; Chang, Chih-Yung; Chih, Yu-Ting; Roy, Diptendu Sinha</t>
  </si>
  <si>
    <t>Chang, CY (corresponding author), Tamkang Univ, Dept Comp Sci &amp; Informat Engn, New Taipei, Taiwan.</t>
  </si>
  <si>
    <t>143221@o365.tku.edu.tw; xupei@hfuu.edu.cn; diptendu.sr@nitm.ac.in; pgtsai@gmail.com; cychang@mail.tku.edu.tw</t>
  </si>
  <si>
    <t>National Science and Technology Council of Taiwan through the Republic of China [NSTC 112-2622-E032-005.]</t>
  </si>
  <si>
    <t>National Science and Technology Council of Taiwan through the Republic of China</t>
  </si>
  <si>
    <t>This article is very grateful for the suggestions from Wen-dong Jiang, who has been dedicated to making explainable machine learning great again.</t>
  </si>
  <si>
    <t>[Xu, Pei] Hefei Univ, Sch Artificial Intelligence &amp; Big Data, Hefei, Peoples R China; [Tsai, Chung-You] Far Eastern Mem Hosp, New Taipei, Taiwan; [Tsai, Chung-You] Yuan Ze Univ, Dept Elect Engn, Taoyuan, Taiwan; [Chang, Chih-Yung] Tamkang Univ, Dept Comp Sci &amp; Informat Engn, New Taipei, Taiwan; [Chih, Yu-Ting] Tamkang Univ, Dept Artificial Intelligence, New Taipei, Taiwan; [Roy, Diptendu Sinha] Natl Inst Technol Meghalaya, Dept Comp Sci &amp; Engn, Shillong, India</t>
  </si>
  <si>
    <t>Hefei University; Far Eastern Memorial Hospital; Yuan Ze University; Tamkang University; Tamkang University; National Institute of Technology (NIT System); National Institute of Technology Meghalaya</t>
  </si>
  <si>
    <t>MedExplainer: an interpretable ensemble parallel-tree framework for interpreting vision-language models in medical imaging</t>
  </si>
  <si>
    <t>JOURNAL OF KING SAUD UNIVERSITY COMPUTER AND INFORMATION SCIENCES</t>
  </si>
  <si>
    <t>Explain; Interpretable machine learning; Medical-image; Parallel decision trees</t>
  </si>
  <si>
    <t>EXPLANATIONS</t>
  </si>
  <si>
    <t>1319-1578</t>
  </si>
  <si>
    <t>2213-1248</t>
  </si>
  <si>
    <t>J KING SAUD UNIV COM</t>
  </si>
  <si>
    <t>J. King Saud Univ. Comput. Inf. Sci.</t>
  </si>
  <si>
    <t>FEB 11 2026</t>
  </si>
  <si>
    <t>126</t>
  </si>
  <si>
    <t>10.1007/s44443-026-00507-x</t>
  </si>
  <si>
    <t>http://dx.doi.org/10.1007/s44443-026-00507-x</t>
  </si>
  <si>
    <t>Computer Science, Information Systems</t>
  </si>
  <si>
    <t>GG1EO</t>
  </si>
  <si>
    <t>WOS:001735579500001</t>
  </si>
  <si>
    <t>Chen, YH; Tao, HK; Yang, Z; Cao, YK; Jiang, C; Hu, LH; Xiong, PW; Qiu, HB</t>
  </si>
  <si>
    <t>With the rapid advancement of diagnostic technology, the ability to detect pathological areas such as tumors and polyps has significantly improved. This progress provides medical imaging specialists with more precise visual information to support anomaly identification, diagnosis, treatment planning, and patient monitoring. However, existing unsupervised and semi-supervised anomaly detection methods struggle with data privacy constraints, limited annotated medical datasets, and challenges in generalization. Zero-Shot Anomaly Detection (ZSAD), which enables the detection of unseen categories without requiring class-specific training, has emerged as a promising solution by leveraging the vision-language alignment capabilities of Vision-Language Models (VLMs), such as Contrastive Language-Image Pretraining (CLIP). Despite recent progress, ZSAD remains hindered by high noise levels, sparse targets, and poor adaptability in complex medical imaging scenarios. To address these issues, we propose a novel framework: DiffusionCLIP, a diffusion-based VLM for zero-shot anomaly detection in two-dimensional medical images. Specifically, DiffusionCLIP integrates diffusion models into the VLM to progressively denoise multi-level features extracted from the CLIP visual encoder, enhancing feature robustness and discriminability. A multi-level feature fusion strategy is designed to aggregate multi-scale representations from different depths of the visual encoder, ensuring complementary semantic alignment across layers. In addition, a dynamically modulated weight loss function is introduced to adaptively balance the learning of hard and easy samples, further improving model generalization. Extensive experiments on multiple benchmark medical imaging datasets, demonstrate that the proposed method significantly outperforms existing zero-shot anomaly detection approaches in terms of accuracy, robustness, and generalization.</t>
  </si>
  <si>
    <t>Chen, Yanhui; Tao, Hongkang; Yang, Zan; Cao, Yunkang; Jiang, Chen; Hu, Longhua; Xiong, Pengwen; Qiu, Haobo</t>
  </si>
  <si>
    <t>Tao, HK (corresponding author), Huazhong Univ Sci &amp; Technol, Sch Mech Sci &amp; Engn, Wuhan 430074, Peoples R China.</t>
  </si>
  <si>
    <t>hobbyqiu@163.com; longhuahu@163.com; yangzan@ncu.edu.cn; chenjiang@hust.edu.cn; cyk_hust@hust.edu.cn; steven.xpw@ncu.edu.cn; wossg99@gmail.com</t>
  </si>
  <si>
    <t>National Natural Science Foundation of China [52465029, 52475260]</t>
  </si>
  <si>
    <t>This research was supported by the National Natural Science Foundation of China [grant numbers 52465029; 52475260] .</t>
  </si>
  <si>
    <t>[Chen, Yanhui; Hu, Longhua] Nanchang Univ, Affiliated Hosp 2, Jiangxi Prov Clin Res Ctr Lab Med,Jiangxi Med Coll, Dept Clin Lab,Jiangxi Prov Key Lab Lab Med, Nanchang 330008, Peoples R China; [Yang, Zan; Xiong, Pengwen] Nanchang Univ, Sch Adv Mfg, Nanchang 330031, Peoples R China; [Tao, Hongkang; Cao, Yunkang; Jiang, Chen; Qiu, Haobo] Huazhong Univ Sci &amp; Technol, Sch Mech Sci &amp; Engn, Wuhan 430074, Peoples R China</t>
  </si>
  <si>
    <t>Nanchang University; Nanchang University; Huazhong University of Science &amp; Technology</t>
  </si>
  <si>
    <t>Diffusion-based vision-language model for zero-shot anomaly detection in medical images</t>
  </si>
  <si>
    <t>ENGINEERING APPLICATIONS OF ARTIFICIAL INTELLIGENCE</t>
  </si>
  <si>
    <t>Medical image analysis; Vision-language models; Contrastive language-image pre-training; Zero-shot anomaly detection; Diffusion model</t>
  </si>
  <si>
    <t>Qiu, Haobo/F-2072-2017; Cao, Yunkang/HJJ-0512-2023; Yang, Zan/U-2560-2019; chen, YH/PGU-4161-2026; Xiong, Pengwen/AAX-6577-2021</t>
  </si>
  <si>
    <t>Cao, Yunkang/0000-0001-7619-6618; Yang, Zan/0009-0008-0548-2703; Tao, Hongkang/0009-0001-1553-9856</t>
  </si>
  <si>
    <t>85</t>
  </si>
  <si>
    <t>0952-1976</t>
  </si>
  <si>
    <t>1873-6769</t>
  </si>
  <si>
    <t>ENG APPL ARTIF INTEL</t>
  </si>
  <si>
    <t>Eng. Appl. Artif. Intell.</t>
  </si>
  <si>
    <t>DEC 9 2025</t>
  </si>
  <si>
    <t>161</t>
  </si>
  <si>
    <t>112181</t>
  </si>
  <si>
    <t>10.1016/j.engappai.2025.112181</t>
  </si>
  <si>
    <t>http://dx.doi.org/10.1016/j.engappai.2025.112181</t>
  </si>
  <si>
    <t>Automation &amp; Control Systems; Computer Science, Artificial Intelligence; Engineering, Multidisciplinary; Engineering, Electrical &amp; Electronic</t>
  </si>
  <si>
    <t>Automation &amp; Control Systems; Computer Science; Engineering</t>
  </si>
  <si>
    <t>7EK8Y</t>
  </si>
  <si>
    <t>WOS:001569067600001</t>
  </si>
  <si>
    <t>Wang, ZY; Zhao, LB; Zhang, JZ; Song, R; Song, HY; Meng, JN; Wang, SD</t>
  </si>
  <si>
    <t>Multi-modality image fusion aims to extract complementary features from multiple source images of different modalities, generating a fused image that inherits their advantages. To address challenges in cross-modality shared feature (CMSF) extraction, single-modality specific feature (SMSF) fusion, and the absence of ground truth (GT) images, we propose MTG-Fusion, a multi-text guided model. We leverage the capabilities of large vision-language models to generate text descriptions tailored to the input images, providing novel insights for these challenges. Our model introduces a text-guided CMSF extractor (TGCE) and a text-guided SMSF fusion module (TGSF). TGCE transforms visual features into the text domain using manifold-isometric domain transform techniques and provides effective visual-text interaction based on text-vision and text-text distances. TGSF fuses each dimension of visual features with corresponding text features, creating a weight matrix utilized for SMSF fusion. We also incorporate the constructed textual GT into the loss function for collaborative training. Extensive experiments demonstrate that MTG-Fusion achieves state-of-the-art performance on infrared and visible image fusion and medical image fusion tasks. The code is available at: https://github.com/zhaolb4080/MTG-Fusion.</t>
  </si>
  <si>
    <t>Wang, Zeyu; Zhao, Libo; Zhang, Jizheng; Song, Rui; Song, Haiyu; Meng, Jiana; Wang, Shidong</t>
  </si>
  <si>
    <t>Zhao, LB (corresponding author), Dalian Minzu Univ, Coll Comp Sci &amp; Engn, Liaohe West Rd 18, Dalian 116600, Liaoning, Peoples R China.; Zhao, LB (corresponding author), Jilin Univ, Coll Comp Sci &amp; Technol, Qianjin St 2699, Changchun 130012, Jilin, Peoples R China.</t>
  </si>
  <si>
    <t>Y13084149721@gmail.com; shy@dlnu.edu.cn; Shidong.wang@newcastle.ac.uk; mengjn@dlnu.edu.cn; jizhengzhang@ieee.org; zeyu.wang@ieee.org; ruisong8-c@my.cityu.edu.hk</t>
  </si>
  <si>
    <t>National Natural Science Foundation of China [62401097]; National Natural Science Foundation of China [2024-BS-028]; Natural Science Foundation of Liaoning Province (Doctoral Research Start-up Project) [LJKZ0024]; Scientific Research Funding Program of Liaoning Provincial Department of Education [0854-53]; Fundamental Research Funds for the Central Universities, Dalian Minzu University</t>
  </si>
  <si>
    <t>National Natural Science Foundation of China (National Natural Science Foundation of China (NSFC)); National Natural Science Foundation of China (National Natural Science Foundation of China (NSFC)); Natural Science Foundation of Liaoning Province (Doctoral Research Start-up Project); Scientific Research Funding Program of Liaoning Provincial Department of Education; Fundamental Research Funds for the Central Universities, Dalian Minzu University</t>
  </si>
  <si>
    <t>This work was supported by the National Natural Science Foundation of China [grant number 62401097]; and the Natural Science Foundation of Liaoning Province (Doctoral Research Start-up Project) [grant number: 2024-BS-028]; and the Scientific Research Funding Program of Liaoning Provincial Department of Education [grant number LJKZ0024]; and the Fundamental Research Funds for the Central Universities, Dalian Minzu University (grant number 0854-53).</t>
  </si>
  <si>
    <t>[Wang, Zeyu; Zhao, Libo; Zhang, Jizheng; Song, Haiyu; Meng, Jiana] Dalian Minzu Univ, Coll Comp Sci &amp; Engn, Liaohe West Rd 18, Dalian 116600, Liaoning, Peoples R China; [Zhao, Libo; Zhang, Jizheng] Jilin Univ, Coll Comp Sci &amp; Technol, Qianjin St 2699, Changchun 130012, Jilin, Peoples R China; [Song, Rui] City Univ Hong Kong, Dept Comp Sci, Tat Chee Ave, Hong Kong 999077, Peoples R China; [Wang, Shidong] Newcastle Univ, Sch Engn, Newcastle NE1 7RU, England</t>
  </si>
  <si>
    <t>Dalian Minzu University; Jilin University; City University of Hong Kong; Newcastle University - UK</t>
  </si>
  <si>
    <t>Multi-Text Guidance Is Important: Multi-Modality Image Fusion via Large Generative Vision-Language Model</t>
  </si>
  <si>
    <t>INTERNATIONAL JOURNAL OF COMPUTER VISION</t>
  </si>
  <si>
    <t>Multi-modality image fusion; Multi-text guidance; Vision-language generative model; Vision-text interaction; Manifold-domain transform</t>
  </si>
  <si>
    <t>NETWORK</t>
  </si>
  <si>
    <t>/ABB-3879-2020; Wang, Shidong/QAV-7192-2026; Wang, Zeyu/AFI-7323-2022; Zhao, Libo/NJS-7631-2025</t>
  </si>
  <si>
    <t>Zhang, Jizheng/0000-0003-2062-725X; Wang, Zeyu/0000-0002-1223-1661; Zhao, Libo/0009-0001-3979-8801</t>
  </si>
  <si>
    <t>0920-5691</t>
  </si>
  <si>
    <t>1573-1405</t>
  </si>
  <si>
    <t>INT J COMPUT VISION</t>
  </si>
  <si>
    <t>Int. J. Comput. Vis.</t>
  </si>
  <si>
    <t>133</t>
  </si>
  <si>
    <t>4646</t>
  </si>
  <si>
    <t>4668</t>
  </si>
  <si>
    <t>10.1007/s11263-025-02409-3</t>
  </si>
  <si>
    <t>http://dx.doi.org/10.1007/s11263-025-02409-3</t>
  </si>
  <si>
    <t>3LX8W</t>
  </si>
  <si>
    <t>WOS:001446152100001</t>
  </si>
  <si>
    <t>Kaczmarczyk, R; Pieroh, P; Koob, S; Fröschen, FS; Scheidt, S; Welle, K; Martin, R; Roos, J</t>
  </si>
  <si>
    <t>Background: Vision-language models show promise in medical image interpretation, but their performance in musculoskeletal tumor diagnostics remains underexplored. Objective: To evaluate the diagnostic accuracy of six large language models on orthopedic radiographs for tumor detection, classification, anatomical localization, and X-ray view interpretation, and to assess the impact of demographic context and self-reported certainty. Methods: We retrospectively evaluated six VLMs on 3746 expert-annotated orthopedic radiographs from the Bone Tumor X-ray Radiograph dataset. Each image was analyzed by all models with and without patient age and sex using a standardized prompting scheme across four predefined tasks. Results: Over 48,000 predictions were analyzed. Tumor detection accuracy ranged from 59.9-73.5%, with the Gemini Ensemble achieving the highest F1 score (0.723) and recall (0.822). Benign/malignant classification reached up to 85.2% accuracy; tumor type identification 24.6-55.7%; body region identification 97.4%; and view classification 82.8%. Demographic data improved tumor detection accuracy (+1.8%, p &lt; 0.001) but had no significant effect on other tasks. Certainty scores were weakly correlated with correctness, with Gemini Pro highest (r = 0.089). Conclusion: VLMs show strong potential for basic musculoskeletal radiograph interpretation without task-specific training but remain less accurate than specialized deep learning models for complex classification. Limited calibration, interpretability, and contextual reasoning must be addressed before clinical use. This is the first systematic assessment of image-based diagnosis and self-assessment in LLMs using a real-world radiology dataset.</t>
  </si>
  <si>
    <t>Kaczmarczyk, Robert; Pieroh, Philipp; Koob, Sebastian; Froschen, Frank Sebastian; Scheidt, Sebastian; Welle, Kristian; Martin, Ron; Roos, Jonas</t>
  </si>
  <si>
    <t>Roos, J (corresponding author), Univ Hosp Bonn, Dept Orthoped &amp; Trauma Surg, D-53127 Bonn, Germany.</t>
  </si>
  <si>
    <t>jonas.roos@ukbonn.de</t>
  </si>
  <si>
    <t>Open Access Publication Fund of the University of Bonn</t>
  </si>
  <si>
    <t>This publication was supported by the Open Access Publication Fund of the University of Bonn.</t>
  </si>
  <si>
    <t>[Kaczmarczyk, Robert] Tech Univ Munich, Sch Med, Dept Dermatol &amp; Allergy, D-80802 Munich, Germany; [Pieroh, Philipp] Univ Leipzig, Dept Orthoped Trauma &amp; Plast Surg, Liebigstr 20, D-04103 Leipzig, Germany; [Koob, Sebastian; Froschen, Frank Sebastian; Scheidt, Sebastian; Welle, Kristian; Roos, Jonas] Univ Hosp Bonn, Dept Orthoped &amp; Trauma Surg, D-53127 Bonn, Germany; [Martin, Ron] BG Clin Bergmannstrost, Burn Ctr, Clin Plast Hand &amp; Aesthet Surg, D-06112 Halle An Der Saale, Germany</t>
  </si>
  <si>
    <t>Technical University of Munich; Leipzig University; University of Bonn</t>
  </si>
  <si>
    <t>Application of Vision-Language Models in the Automatic Recognition of Bone Tumors on Radiographs: A Retrospective Study</t>
  </si>
  <si>
    <t>AI</t>
  </si>
  <si>
    <t>vision-language models; bone tumors; radiograph interpretation; artificial intelligence; diagnostic accuracy</t>
  </si>
  <si>
    <t>Scheidt, Sebastian/AAH-7841-2021; Roos, Jonas/MIO-3998-2025</t>
  </si>
  <si>
    <t>Welle, Kristian/0000-0001-9340-9881; Scheidt, Sebastian/0000-0002-7852-2277; Pieroh, Philipp/0000-0003-0906-5479; Roos, Jonas/0000-0001-8843-4695</t>
  </si>
  <si>
    <t>2673-2688</t>
  </si>
  <si>
    <t>AI-BASEL</t>
  </si>
  <si>
    <t>DEC 16 2025</t>
  </si>
  <si>
    <t>327</t>
  </si>
  <si>
    <t>10.3390/ai6120327</t>
  </si>
  <si>
    <t>http://dx.doi.org/10.3390/ai6120327</t>
  </si>
  <si>
    <t>Computer Science, Artificial Intelligence; Computer Science, Interdisciplinary Applications</t>
  </si>
  <si>
    <t>AH2JG</t>
  </si>
  <si>
    <t>WOS:001648069600001</t>
  </si>
  <si>
    <t>Mirhosseini, S; Rai, T; Diaz-Santana, P; La Ragione, R; Bacon, N; Wells, K</t>
  </si>
  <si>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t>
  </si>
  <si>
    <t>Mirhosseini, S.; Rai, T.; Diaz-Santana, P.; La Ragione, R.; Bacon, N.; Wells, K.</t>
  </si>
  <si>
    <t>Mirhosseini, S (corresponding author), Univ Surrey, Ctr Vis Speech &amp; Signal Proc, Guildford GU2 7XH, England.</t>
  </si>
  <si>
    <t>contact@erfan.uk</t>
  </si>
  <si>
    <t>[Mirhosseini, S.; Rai, T.; Wells, K.] Univ Surrey, Ctr Vis Speech &amp; Signal Proc, Guildford GU2 7XH, England; [Rai, T.; Wells, K.] Univ Surrey, Surrey DataHub, Guildford GU2 7AL, England; [Diaz-Santana, P.] Univ Surrey, Vet Pathol Ctr, Guildford GU27AQ, England; [La Ragione, R.; Bacon, N.] Univ Surrey, Sch Vet Med, Guildford GU2 7AL, England; [La Ragione, R.] Univ Surrey, Sch Biosci, Guildford GU2 7XH, England; [Bacon, N.] AURA Vet, Guildford GU2 7AJ, England</t>
  </si>
  <si>
    <t>University of Surrey; University of Surrey; University of Surrey; University of Surrey; University of Surrey</t>
  </si>
  <si>
    <t>IPATH: A Large-Scale Pathology Image-Text Dataset from Instagram for Vision-Language Model Training</t>
  </si>
  <si>
    <t>Digital pathology; Multimodal AI; Image-text datasets; Social media; Zero shot classification; Foundation models; Instagram; CLIP</t>
  </si>
  <si>
    <t>La Ragione, Roberto/Q-9916-2017; Rai, Taranpreet/IWV-2289-2023</t>
  </si>
  <si>
    <t>Mirhosseini, Seyederfan/0009-0003-5405-4063</t>
  </si>
  <si>
    <t>10.1007/s10278-025-01820-z</t>
  </si>
  <si>
    <t>http://dx.doi.org/10.1007/s10278-025-01820-z</t>
  </si>
  <si>
    <t>CK4MQ</t>
  </si>
  <si>
    <t>41578062</t>
  </si>
  <si>
    <t>WOS:001667909100001</t>
  </si>
  <si>
    <t>Liu, RA; Ayoub, M; Wahid, JA</t>
  </si>
  <si>
    <t>Background Cancer subtype classification plays a pivotal role in personalised medicine, requiring the integration of diverse data types. Traditional prompting methods in vision-language models fail to fully leverage multimodal data, particularly when working with minimal labelled data. Methods To address these limitations, we propose a novel framework that introduces the CancerFusionPrompt, a specialised prompting method for integrating imaging and multi-omics data. Our proposed approach extends the few-shot learning paradigm by incorporating in-context learning for cancer subtype classification. Results The proposed method significantly outperforms state-of-the-art techniques in cancer subtype classification, achieving notable improvements in both accuracy and generalisation. These results demonstrate the superior capability of CancerFusionPrompt in handling complex multimodal inputs compared to existing prompting methods. Conclusions The CancerFusionPrompt framework offers a powerful solution for integrating multimodal data in cancer subtype classification tasks. By overcoming the limitations of current prompting methods, CancerFusionPrompt approach enables more accurate and robust predictions with minimal labelled data.</t>
  </si>
  <si>
    <t>Liu, Ruonan; Ayoub, Muhammad; Wahid, Junaid Abdul</t>
  </si>
  <si>
    <t>Ayoub, M (corresponding author), Shanghai Jiatong Univ, Sch Elect Informat &amp; Elect Engn, Shanghai, Peoples R China.</t>
  </si>
  <si>
    <t>ayoubncbae@gmail.com</t>
  </si>
  <si>
    <t>[Liu, Ruonan] Zhengzhou Univ, Dept Med Equipment, Affiliated Hosp 1, Zhengzhou, Henan, Peoples R China; [Ayoub, Muhammad] Shanghai Jiatong Univ, Sch Elect Informat &amp; Elect Engn, Shanghai, Peoples R China; [Wahid, Junaid Abdul] Zhengzhou Univ, Sch Comp Sci &amp; Artificial Intelligence, Zhengzhou, Henan, Peoples R China</t>
  </si>
  <si>
    <t>Zhengzhou University; Shanghai Jiao Tong University; Zhengzhou University</t>
  </si>
  <si>
    <t>CancerFusionPrompt: A Novel Framework for Multimodal Cancer Subtype Classification Using Vision-Language Model</t>
  </si>
  <si>
    <t>EXPERT SYSTEMS</t>
  </si>
  <si>
    <t>CancerFusionPrompt; few-shot learning; multimodal integration; vision-language models cancer subtype classification</t>
  </si>
  <si>
    <t>Ayoub, Muhammad/HNB-3652-2023; Abdul Wahid, Junaid/IAP-0383-2023</t>
  </si>
  <si>
    <t>0266-4720</t>
  </si>
  <si>
    <t>1468-0394</t>
  </si>
  <si>
    <t>EXPERT SYST</t>
  </si>
  <si>
    <t>Expert Syst.</t>
  </si>
  <si>
    <t>MAR 21 2025</t>
  </si>
  <si>
    <t>42</t>
  </si>
  <si>
    <t>e70039</t>
  </si>
  <si>
    <t>10.1111/exsy.70039</t>
  </si>
  <si>
    <t>http://dx.doi.org/10.1111/exsy.70039</t>
  </si>
  <si>
    <t>0KT1B</t>
  </si>
  <si>
    <t>WOS:001449699200001</t>
  </si>
  <si>
    <t>Gu, ZS; Chen, JY; Liu, FL; Yin, CC; Zhang, P</t>
  </si>
  <si>
    <t>Large vision language models (LVLMs) have achieved superior performance on natural image and text tasks, inspiring extensive fine-tuning research. However, their robustness against hallucination in clinical contexts remains understudied. We propose the Medical Visual Hallucination Test (MedVH), a novel evaluation framework assessing hallucination tendencies in both medical-specific and general-purpose LVLMs. MedVH encompasses six tasks targeting medical hallucinations, including two traditional tasks and four novel tasks formatted as multi-choice visual question answering and long response generation. Our extensive experiments with six evaluation metrics reveal that medical LVLMs, despite promising performance on standard medical tasks, are particularly susceptible to hallucinations-often more so than general models. This raises significant concerns about domain-specific model reliability. For real-world applications, medical LVLMs must accurately integrate medical knowledge while maintaining robust reasoning to prevent hallucination. We explore mitigation methods without model-specific fine-tuning, including prompt engineering and collaboration between general and domain-specific models. Our work provides a foundation for future evaluation studies. The dataset is available at PhysioNet: https://physionet.org/content/medvh.</t>
  </si>
  <si>
    <t>Gu, Zishan; Chen, Jiayuan; Liu, Fenglin; Yin, Changchang; Zhang, Ping</t>
  </si>
  <si>
    <t>Zhang, P (corresponding author), Ohio State Univ, Dept Comp Sci &amp; Engn, Columbus, OH 43210 USA.; Zhang, P (corresponding author), Ohio State Univ, Dept Biomed Informat, Columbus, OH 43210 USA.; Zhang, P (corresponding author), Ohio State Univ, Translat Data Analyt Inst, Columbus, OH 43210 USA.</t>
  </si>
  <si>
    <t>zhang.10631@osu.edu</t>
  </si>
  <si>
    <t>National Science Foundation; National Institutes of Health [R01AI188576]; Ohio State University President's Research Excellence Accelerator Grant</t>
  </si>
  <si>
    <t>National Science Foundation (National Science Foundation (NSF)); National Institutes of Health (United States Department of Health &amp; Human Services, National Institutes of Health (NIH) - USA); Ohio State University President's Research Excellence Accelerator Grant</t>
  </si>
  <si>
    <t>This work was funded in part by the National Science Foundation under award number IIS-2145625, by the National Institutes of Health under award number R01AI188576, and by The Ohio State University President's Research Excellence Accelerator Grant.</t>
  </si>
  <si>
    <t>[Gu, Zishan; Chen, Jiayuan; Yin, Changchang; Zhang, Ping] Ohio State Univ, Dept Comp Sci &amp; Engn, Columbus, OH 43210 USA; [Gu, Zishan; Chen, Jiayuan; Yin, Changchang; Zhang, Ping] Ohio State Univ, Dept Biomed Informat, Columbus, OH 43210 USA; [Liu, Fenglin] Univ Oxford, Inst Biomed Engn, Dept Engn Sci, Oxford OX1 2JD, England; [Zhang, Ping] Ohio State Univ, Translat Data Analyt Inst, Columbus, OH 43210 USA</t>
  </si>
  <si>
    <t>University System of Ohio; Ohio State University; University System of Ohio; Ohio State University; University of Oxford; University System of Ohio; Ohio State University</t>
  </si>
  <si>
    <t>MedVH: Toward Systematic Evaluation of Hallucination for Large Vision Language Models in the Medical Context</t>
  </si>
  <si>
    <t>ADVANCED INTELLIGENT SYSTEMS</t>
  </si>
  <si>
    <t>large vision language models; medical hallucination evaluation; multimodal reasoning</t>
  </si>
  <si>
    <t>Chen, Jiayuan/JBS-5463-2023; Gu, Zishan/IAN-8248-2023</t>
  </si>
  <si>
    <t>Gu, Zishan/0000-0002-0168-8658; Zhang, Ping/0000-0002-4601-0779</t>
  </si>
  <si>
    <t>2640-4567</t>
  </si>
  <si>
    <t>ADV INTELL SYST-GER</t>
  </si>
  <si>
    <t>Adv. Intell. Syst.</t>
  </si>
  <si>
    <t>2500255</t>
  </si>
  <si>
    <t>10.1002/aisy.202500255</t>
  </si>
  <si>
    <t>http://dx.doi.org/10.1002/aisy.202500255</t>
  </si>
  <si>
    <t>Automation &amp; Control Systems; Computer Science, Artificial Intelligence; Robotics</t>
  </si>
  <si>
    <t>Automation &amp; Control Systems; Computer Science; Robotics</t>
  </si>
  <si>
    <t>CK2IU</t>
  </si>
  <si>
    <t>40843006</t>
  </si>
  <si>
    <t>WOS:001531939500001</t>
  </si>
  <si>
    <t>Ye, X; Shen, YJ; Chen, Q; He, XY; Lu, X; Grzybowski, A; Jin, K; Xie, WB</t>
  </si>
  <si>
    <t>IntroductionThe aim of this study was to develop an interpretation pipeline for report generation for slit-lamp (SL) images, using vision-language models (VLMs).MethodsAn image-text alignment module (Bootstrapping Language-Image Pretraining [BLIP]) for report generation was developed using a dataset of SL images paired with medical reports from Zhejiang Provincial People's Hospital (Zhaohui Hospital). These data were split into training and internal validation sets to finetune the BLIP frameworks (LLaVA and Qwen2.5-VL). A dataset from Bijie Hospital was used as an external validation dataset for the evaluation of the frameworks.ResultsThe Zhaohui Hospital dataset included 1612 SL images and medical reports. The Bijie Hospital dataset included 100 SL images and medical reports. For the refined LLaVA framework, the BLEU scores (1-4) were 0.560-0.715, ROUGE-L score was 0.731, CIDEr score was 1.712, and SPICE score was 0.329. For the refined Qwen2.5-VL framework, the BLEU scores (1-4) were 0.536-0.696, ROUGE-L score was 0.696, CIDEr score was 1.729, and SPICE score was 0.208. Both models also showed good results in the classification of diseases. The overall accuracy was 0.87 in the refined LLaVA framework and 0.88 in the refined Qwen2.5-VL framework, with high accuracies (&gt;= 0.9) observed for eyelid disease, pterygium, glaucoma, corneal disease, and conjunctivitis. Interobserver agreement among ophthalmologists was substantial, with kappa scores between 0.714 and 0.777. In the evaluation, the 100 reports generated by the LLaVA model demonstrated strong performance across all four metrics-correctness (2.72), completeness (2.79), harmlessness (2.88), and satisfaction (2.73)-with each scoring above 2.7. In comparison, the 100 reports produced by the Qwen model received slightly lower scores than LLaVA in correctness (2.63), completeness (2.70), and satisfaction (2.71).ConclusionsThis study introduced a framework for SL report generation, which enhanced ophthalmic image interpretation and highlighted the potential of VLMs to assist ophthalmologists and patients.</t>
  </si>
  <si>
    <t>Ye, Xin; Shen, Yingjiao; Chen, Qian; He, Xiaoying; Lu, Xue; Grzybowski, Andrzej; Jin, Kai; Xie, Wenbin</t>
  </si>
  <si>
    <t>Xie, WB (corresponding author), Zhejiang Prov Peoples Hosp, Bijie Hosp, Bijie, Guizhou, Peoples R China.; Jin, K (corresponding author), Zhejiang Univ, Affiliated Hosp 2, Eye Ctr, Sch Med, Hangzhou, Peoples R China.</t>
  </si>
  <si>
    <t>yexinsarah@163.com; ae.grzybowski@gmail.com; josie214@163.com; jinkai@zju.edu.cn; Q.q.chen@outlook.com; he_xiaoying@zju.edu.cn; L.x.luxue@outlook.com; EyeDoctorXie@outlook.com</t>
  </si>
  <si>
    <t>Guizhou Provincial Health Commission Science and Technology Fund Project [gzwkj2025-099]; Scientific and Technological Research of Traditional Chinese Medicine and Ethnic Medicine in Guizhou Province [QZYY-2025-225]; Guizhou Provincial Program on Commercialization of Scientific and Technological Achievements [LC-2025-176]</t>
  </si>
  <si>
    <t>Guizhou Provincial Health Commission Science and Technology Fund Project; Scientific and Technological Research of Traditional Chinese Medicine and Ethnic Medicine in Guizhou Province; Guizhou Provincial Program on Commercialization of Scientific and Technological Achievements</t>
  </si>
  <si>
    <t>The authors acknowledge Project on Scientific and Technological Research of Traditional Chinese Medicine and Ethnic Medicine in Guizhou Province (QZYY-2025-225), Guizhou Provincial Health Commission Science and Technology Fund Project (gzwkj2025-099), and Guizhou Provincial Program on Commercialization of Scientific and Technological Achievements (LC-2025-176). The sponsor or funding organization had no role in the design or conduct of this research. The journal's Rapid Service Fee was funded by Zhejiang Provincial People's Hospital.</t>
  </si>
  <si>
    <t>[Ye, Xin; Shen, Yingjiao; He, Xiaoying] Hangzhou Med Coll, Zhejiang Prov Peoples Hosp, Affiliated Peoples Hosp, Dept Ophthalmol, Hangzhou, Zhejiang, Peoples R China; [Chen, Qian; Lu, Xue; Xie, Wenbin] Zhejiang Prov Peoples Hosp, Bijie Hosp, Bijie, Guizhou, Peoples R China; [Grzybowski, Andrzej] Fdn Ophthalmol Dev, Inst Res Ophthalmol, Poznan, Poland; [Grzybowski, Andrzej] Univ Warmia &amp; Mazury, Dept Ophthalmol, Olsztyn, Poland; [Jin, Kai] Zhejiang Univ, Affiliated Hosp 2, Eye Ctr, Sch Med, Hangzhou, Peoples R China</t>
  </si>
  <si>
    <t>Hangzhou Medical College; Zhejiang Provincial People's Hospital; Hangzhou Medical College; Zhejiang Provincial People's Hospital; University of Warmia &amp; Mazury; Zhejiang University</t>
  </si>
  <si>
    <t>Report Generation System for Slit-Lamp Image Interpretation Using Vision-Language Models</t>
  </si>
  <si>
    <t>OPHTHALMOLOGY AND THERAPY</t>
  </si>
  <si>
    <t>Vision-language model; Slit-lamp; Medical report generation</t>
  </si>
  <si>
    <t>Grzybowski, A/E-4486-2010; Jin, Kai/GRS-2857-2022</t>
  </si>
  <si>
    <t>SPRINGER INT PUBL AG</t>
  </si>
  <si>
    <t>CHAM</t>
  </si>
  <si>
    <t>GEWERBESTRASSE 11, CHAM, CH-6330, SWITZERLAND</t>
  </si>
  <si>
    <t>2193-8245</t>
  </si>
  <si>
    <t>2193-6528</t>
  </si>
  <si>
    <t>OPHTHALMOL THER</t>
  </si>
  <si>
    <t>OPHTHALMOL. THER.</t>
  </si>
  <si>
    <t>1509</t>
  </si>
  <si>
    <t>1522</t>
  </si>
  <si>
    <t>10.1007/s40123-026-01352-x</t>
  </si>
  <si>
    <t>http://dx.doi.org/10.1007/s40123-026-01352-x</t>
  </si>
  <si>
    <t>GA4JD</t>
  </si>
  <si>
    <t>41831132</t>
  </si>
  <si>
    <t>WOS:001714211400001</t>
  </si>
  <si>
    <t>Wasi, AT; Anik, MA; Islam, MS; Ahsan, MM</t>
  </si>
  <si>
    <t>Postoperative patient deterioration remains a major challenge in intensive care, often going undetected because of alert fatigue and the cognitive burden of integrating diverse clinical data streams. Vital signs and narrative clinical notes are typically reviewed separately, requiring clinicians to manually connect numeric trends with textual observations under time pressure. Existing predictive models generally rely either on structured physiological data alone or on clinical text without grounding in concurrent physiological dynamics, while many lack transparent, evidence-linked outputs suitable for clinical deployment. To address this gap, we propose GROVE (GROunded Vision-languagE risk model for ICU), a multimodal vision-language framework for early postoperative risk detection. GROVE provides explainable and clinically actionable assessments by jointly modeling quantitative physiological signals and qualitative narrative information during the first 48 h following surgery using MIMIC-IV ICU data. The framework integrates: (1) structured physiological measurements, including heart rate, mean arterial pressure, respiratory rate, oxygen saturation, and temperature, represented as temporal plot images; and (2) unstructured nursing and provider notes. Unlike conventional classifiers, GROVE generates structured natural language assessments linking physiological trends with supporting clinical observations. Evaluation on the MIMIC-IV postoperative ICU cohort shows that GROVE achieves an AUROC of 0.92 for early detection of complications such as sepsis and hemorrhage, while 94% of generated outputs are rated evidence-aligned under clinician adjudication. By bridging quantitative and qualitative patient signals within an interpretable multimodal framework, GROVE reduces clinician cognitive burden and supports timely intervention, providing a scalable foundation for predictive and actionable clinical decision support.</t>
  </si>
  <si>
    <t>Wasi, Azmine Toushik; Anik, Mahfuz Ahmed; Islam, M. D. Shafikul; Ahsan, Md Manjurul</t>
  </si>
  <si>
    <t>Wasi, AT (corresponding author), Computat Intelligence &amp; Operat Lab, Sylhet, Bangladesh.</t>
  </si>
  <si>
    <t>azmine32@student.sust.edu</t>
  </si>
  <si>
    <t>[Wasi, Azmine Toushik; Anik, Mahfuz Ahmed; Islam, M. D. Shafikul; Ahsan, Md Manjurul] Computat Intelligence &amp; Operat Lab, Sylhet, Bangladesh; [Wasi, Azmine Toushik; Anik, Mahfuz Ahmed] Shahjalal Univ Sci &amp; Technol, Dept Ind &amp; Prod Engn, Sylhet, Bangladesh; [Islam, M. D. Shafikul] Louisiana State Univ, Dept Mech &amp; Ind Engn, Baton Rouge, LA USA; [Ahsan, Md Manjurul] Louisiana State Univ Oklahoma, Dept Ind &amp; Syst Engn, Norman, OK USA</t>
  </si>
  <si>
    <t>Shahjalal University of Science &amp; Technology (SUST); Louisiana State University System; Louisiana State University</t>
  </si>
  <si>
    <t>Multimodal vision-language models for automated and explainable postoperative complication risk stratification</t>
  </si>
  <si>
    <t>IISE TRANSACTIONS ON HEALTHCARE SYSTEMS ENGINEERING</t>
  </si>
  <si>
    <t>Multimodal learning; vision-language models; postoperative complications; ICU risk stratification; explainable clinical AI</t>
  </si>
  <si>
    <t>Ahsan, Md Manjurul/KBD-0267-2024; Wasi, Azmine/JWP-2776-2024; Islam, Shafikul/QSP-7250-2026</t>
  </si>
  <si>
    <t>TAYLOR &amp; FRANCIS LTD</t>
  </si>
  <si>
    <t>ABINGDON</t>
  </si>
  <si>
    <t>2-4 PARK SQUARE, MILTON PARK, ABINGDON OR14 4RN, OXON, ENGLAND</t>
  </si>
  <si>
    <t>2472-5579</t>
  </si>
  <si>
    <t>2472-5587</t>
  </si>
  <si>
    <t>IISE T HEALTHC SYST</t>
  </si>
  <si>
    <t>IISE Trans. Healthc. Syst. Eng.</t>
  </si>
  <si>
    <t>10.1080/24725579.2026.2703103</t>
  </si>
  <si>
    <t>http://dx.doi.org/10.1080/24725579.2026.2703103</t>
  </si>
  <si>
    <t>Health Care Sciences &amp; Services; Health Policy &amp; Services; Operations Research &amp; Management Science</t>
  </si>
  <si>
    <t>Health Care Sciences &amp; Services; Operations Research &amp; Management Science</t>
  </si>
  <si>
    <t>LE8VT</t>
  </si>
  <si>
    <t>WOS:001822940400001</t>
  </si>
  <si>
    <t>Huemann, Z; Church, S; Warner, JD; Tran, D; Tie, X; McMillan, AB; Hu, JJ; Cho, SY; Lubner, MG; Bradshaw, TJ</t>
  </si>
  <si>
    <t>Vision-language models can connect the text description of an object to its specific location in an image through visual grounding. This has potential applications in enhanced radiology reporting. However, these models require large annotated image-text datasets, which are lacking for PET/CT. We developed an automated pipeline to generate weak image-text labels and used it to train a 3D visual grounding model. Our weak-labeling pipeline identified sentences describing positive findings in PET/CT reports by searching for mentions of standardized uptake values (SUVmax) and axial slice numbers. These were used to automatically generate lesion masks, which were paired with the corresponding text descriptions. From 25,578 PET/CT exams, we extracted 11,356 sentence-label pairs. Using this data, we trained ConTEXTual Net 3D, which takes as input a description of a lesion and generates a corresponding segmentation mask. The model's performance was evaluated on 251 radiologist-reviewed cases and compared against LLMSeg, a 2.5D version of ConTEXTual Net, and two radiologists. We evaluated detection performance using F1 score. The weak-labeling pipeline accurately identified lesion locations in 98% of cases (246/251). ConTEXTual Net 3D achieved an F1 score of 0.80, outperforming LLMSeg (F1 = 0.22) and the 2.5D model (F1 = 0.53), though it underperformed both radiologists (F1 = 0.94 and 0.91). The model achieved better performance on 18F-fluorodeoxyglucose (F1 = 0.78) and DCFPyL (F1 = 0.75) exams than on DOTATATE (F1 = 0.58) and 18F-fluciclovine (F1 = 0.66) exams. In conclusion, our novel weak labeling pipeline accurately produced an annotated dataset of PET/CT image-text pairs. ConTEXTual Net 3D significantly outperformed other models but fell short of the performance of nuclear medicine physicians. Our study suggests that even larger datasets may be needed to close this performance gap.</t>
  </si>
  <si>
    <t>Huemann, Zachary; Church, Samuel; Warner, Joshua D.; Tran, Daniel; Tie, Xin; McMillan, Alan B.; Hu, Junjie; Cho, Steve Y.; Lubner, Meghan G.; Bradshaw, Tyler J.</t>
  </si>
  <si>
    <t>Bradshaw, TJ (corresponding author), Univ Wisconsin Madison, Dept Radiol, 1111 Highland Ave, Madison, WI 53705 USA.</t>
  </si>
  <si>
    <t>tbradshaw@wisc.edu; zhuemann@wisc.edu</t>
  </si>
  <si>
    <t>National Institute of Biomedical Imaging and Bioengineering [R01EB033782]</t>
  </si>
  <si>
    <t>National Institute of Biomedical Imaging and Bioengineering (United States Department of Health &amp; Human Services, National Institutes of Health (NIH) - USA, NIH National Institute of Biomedical Imaging &amp; Bioengineering (NIBIB))</t>
  </si>
  <si>
    <t>Research reported in this publication was supported by the National Institute of Biomedical Imaging and Bioengineering of the National Institutes of Health under Award No. R01EB033782.</t>
  </si>
  <si>
    <t>[Huemann, Zachary; Church, Samuel; Warner, Joshua D.; Tran, Daniel; Tie, Xin; McMillan, Alan B.; Cho, Steve Y.; Lubner, Meghan G.; Bradshaw, Tyler J.] Univ Wisconsin Madison, Dept Radiol, 1111 Highland Ave, Madison, WI 53705 USA; [Hu, Junjie] Univ Wisconsin Madison, Dept Biostat &amp; Med Informat, Madison, WI USA; [Cho, Steve Y.] Univ Wisconsin, Carbone Canc Ctr, Madison, WI USA</t>
  </si>
  <si>
    <t>University of Wisconsin System; University of Wisconsin Madison; University of Wisconsin System; University of Wisconsin Madison; University of Wisconsin System; University of Wisconsin Madison</t>
  </si>
  <si>
    <t>ConTEXTual Net 3D: Vision-Language Modeling in PET/CT for Visual Grounding of Positive Findings</t>
  </si>
  <si>
    <t>Large language models; Vision-language models; Segmentation; PET/CT; Interactive reporting</t>
  </si>
  <si>
    <t>Tie, Xin/GRO-2880-2022; McMillan, Alan/AGP-5280-2022</t>
  </si>
  <si>
    <t>10.1007/s10278-026-01879-2</t>
  </si>
  <si>
    <t>http://dx.doi.org/10.1007/s10278-026-01879-2</t>
  </si>
  <si>
    <t>GM4BE</t>
  </si>
  <si>
    <t>41979754</t>
  </si>
  <si>
    <t>WOS:001739847400001</t>
  </si>
  <si>
    <t>Mese, CA; Mese, I; D'Antonoli, TA</t>
  </si>
  <si>
    <t>BackgroundGeneral-purpose vision-language models can analyze medical images without task-specific training, but their value for pediatric abdominal ultrasound is unknown.ObjectiveTo investigate the zero-shot performance of a general-purpose vision-language model to diagnose pediatric appendicitis using multimodal inputs, including images, report text, and clinical information.Materials and methodsIn this retrospective study, diagnostic capabilities of Llama 4 Maverick were evaluated on the Regensburg Pediatric Appendicitis Dataset. Five experiments were conducted using the following inputs as well as input combinations: images only, ultrasound report text only, images and ultrasound text, images and clinical data, entire multimodal input. Reference standard of appendicitis was defined based on histopathology in patients who underwent surgical resection and on clinical follow-up in patients managed conservatively. Performance was assessed at the patient level using accuracy, sensitivity, specificity, positive predictive value, negative predictive value, and F1-score. Area under the receiver operating characteristic curve (AUROC) was evaluated secondarily as a measure of discrimination.ResultsOf 782 patients, 294 met inclusion criteria; based on data availability, four experiments are conducted using 293 patients and in the fifth experiment, 284. Images-only experiment showed very low specificity (13.5%) and had the poorest discrimination (AUROC, 0.567). Ultrasound report text improved classification performance, with specificity increasing to 63.5% while maintaining high sensitivity; discrimination was also strong (AUROC, 0.883). Adding images to ultrasound text or combining all available inputs did not yield further meaningful improvement. Differences between images-only experiment and text-containing experiments were statistically significant (P &lt;= 0.002).ConclusionZero-shot visual interpretation of pediatric abdominal ultrasound by a general-purpose vision-language model is inadequate for safe appendicitis diagnosis. Performance is driven primarily by a structured sonographic imaging report, supporting a role for such models as text-based decision support tools rather than autonomous ultrasound image interpreters.</t>
  </si>
  <si>
    <t>Altintas Mese, Ceren; Mese, Ismail; Akinci D'Antonoli, Tugba</t>
  </si>
  <si>
    <t>Mese, I (corresponding author), Uskudar State Hosp, Dept Radiol, Istanbul, Turkiye.</t>
  </si>
  <si>
    <t>drtugbaakinci@gmail.com; cerenaltintass@gmail.com; ismail_mese@yahoo.com</t>
  </si>
  <si>
    <t>[Altintas Mese, Ceren] Haydarpasa Numune Training &amp; Res Hosp, Dept Pediat, Istanbul, Turkiye; [Mese, Ismail] Uskudar State Hosp, Dept Radiol, Istanbul, Turkiye; [Akinci D'Antonoli, Tugba] Univ Basel Hosp, Dept Radiol, Div Diagnost &amp; Intervent Neuroradiol, Basel, Switzerland; [Akinci D'Antonoli, Tugba] Univ Childrens Hosp Basel, Dept Pediat Radiol, Basel, Switzerland</t>
  </si>
  <si>
    <t>Istanbul Haydarpasa Numune Training &amp; Research Hospital; Istanbul Haydarpasa Sultan Abdulhamid Training &amp; Research Hospital; Uskudar State Hospital; University of Basel; University of Basel</t>
  </si>
  <si>
    <t>Zero-shot performance of a general-purpose vision-language model for pediatric appendicitis diagnosis</t>
  </si>
  <si>
    <t>PEDIATRIC RADIOLOGY</t>
  </si>
  <si>
    <t>Large language model; Multimodal artificial intelligence; Pediatric appendicitis; Ultrasound; Vision-language model</t>
  </si>
  <si>
    <t>US</t>
  </si>
  <si>
    <t>Akinci D'Antonoli, Tugba/I-5766-2019; Mese, Ismail/JBJ-1301-2023</t>
  </si>
  <si>
    <t>0301-0449</t>
  </si>
  <si>
    <t>1432-1998</t>
  </si>
  <si>
    <t>PEDIATR RADIOL</t>
  </si>
  <si>
    <t>Pediatr. Radiol.</t>
  </si>
  <si>
    <t>10.1007/s00247-026-06687-y</t>
  </si>
  <si>
    <t>http://dx.doi.org/10.1007/s00247-026-06687-y</t>
  </si>
  <si>
    <t>Pediatrics; Radiology, Nuclear Medicine &amp; Medical Imaging</t>
  </si>
  <si>
    <t>JD7ED</t>
  </si>
  <si>
    <t>42257728</t>
  </si>
  <si>
    <t>WOS:001786880600001</t>
  </si>
  <si>
    <t>Ji, J; Hou, YS; Chen, XY; Pan, YC; Xiang, Y</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</si>
  <si>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</si>
  <si>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Ji, Jia; Hou, Yongshuai; Chen, Xinyu; Pan, Youcheng; Xiang, Yang</t>
  </si>
  <si>
    <t>Pan, YC (corresponding author), Peng Cheng Lab, 2 Xingke 1st St, Shenzhen 518000, Peoples R China.</t>
  </si>
  <si>
    <t>panyoucheng4@gmail.com</t>
  </si>
  <si>
    <t>Research Project of Shenzhen Institute of Information Technology [SZIIT2022KJ050]; China Postdoctoral Science Foundation [2023M741843]; Natural Science Foundation of China [62106115]</t>
  </si>
  <si>
    <t>Research Project of Shenzhen Institute of Information Technology; China Postdoctoral Science Foundation (China Postdoctoral Science Foundation); Natural Science Foundation of China (National Natural Science Foundation of China (NSFC))</t>
  </si>
  <si>
    <t>Acknowledgments This work was jointly supported by grants from the Research Project of Shenzhen Institute of Information Technology (grant SZIIT2022KJ050) , and the project was funded by the China Postdoctoral Science Foundation (grant 2023M741843) , and the Natural Science Foundation of China (grant 62106115) .</t>
  </si>
  <si>
    <t>[Ji, Jia] Shenzhen Inst Informat Technol, Shenzhen, Peoples R China; [Hou, Yongshuai; Pan, Youcheng; Xiang, Yang] Peng Cheng Lab, 2 Xingke 1st St, Shenzhen 518000, Peoples R China; [Chen, Xinyu] Harbin Inst Technol, Shenzhen, Peoples R China</t>
  </si>
  <si>
    <t>Shenzhen University of Information Technology; Peng Cheng Laboratory; Harbin Institute of Technology</t>
  </si>
  <si>
    <t>Vision-Language Model for Generating Textual Descriptions From Clinical Images: Model Development and Validation Study</t>
  </si>
  <si>
    <t>JMIR FORMATIVE RESEARCH</t>
  </si>
  <si>
    <t>clinical image; radiology report generation; vision-language model; multistage fine-tuning; prior knowledge</t>
  </si>
  <si>
    <t>Xiang, Yang/ABI-7171-2020</t>
  </si>
  <si>
    <t>Pan, Youcheng/0000-0002-8270-5455; Chen, Xinyu/0009-0005-9857-1614; Xiang, Yang/0000-0003-1395-6805; Hou, Yongshuai/0000-0001-6994-8295</t>
  </si>
  <si>
    <t>JMIR PUBLICATIONS, INC</t>
  </si>
  <si>
    <t>TORONTO</t>
  </si>
  <si>
    <t>130 QUEENS QUAY East, Unit 1100, TORONTO, ON M5A 0P6, CANADA</t>
  </si>
  <si>
    <t>2561-326X</t>
  </si>
  <si>
    <t>JMIR FORM RES</t>
  </si>
  <si>
    <t>JMIR Form. Res.</t>
  </si>
  <si>
    <t>e32690</t>
  </si>
  <si>
    <t>10.2196/32690</t>
  </si>
  <si>
    <t>http://dx.doi.org/10.2196/32690</t>
  </si>
  <si>
    <t>IG3X9</t>
  </si>
  <si>
    <t>38329788</t>
  </si>
  <si>
    <t>WOS:001165148700001</t>
  </si>
  <si>
    <t>Zhu, J; Hu, RZ; Yang, S; Sun, Q; Zhao, ZZ; Cao, J; Pan, PY; Wang, K; Cui, LY; Tang, HP; Fang, QQ; Jiang, SJ; Lei, LL; Zhang, WJ; Xie, JJ; Kang, S; Xiao, DY; Xiao, M; Zhai, X; Jia, YT; Chen, JY; Yuan, W; Han, X; Lu, L; Zhao, JH; Wang, XY; Li, Y; Xiang, JX; Zhu, BY</t>
  </si>
  <si>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</si>
  <si>
    <t>Zhu, Jin; Hu, Ruizhen; Yang, Sen; Sun, Qing; Zhao, Zhenzhen; Cao, Juan; Pan, Peiying; Wang, Kun; Cui, Liyan; Tang, Hongping; Fang, Qianqian; Jiang, Sijin; Lei, Linli; Zhang, Wenjian; Xie, Jiajun; Kang, Shuo; Xiao, Dongyuan; Xiao, Ming; Zhai, Xuan; Jia, Yuntao; Chen, Junyang; Yuan, Wei; Han, Xiao; Lu, Le; Zhao, Junhan; Wang, Xiyue; Li, Yi; Xiang, Jinxi; Zhu, Biyue</t>
  </si>
  <si>
    <t>Zhu, BY (corresponding author), Chongqing Med Univ, Childrens Hosp,Natl Clin Res Ctr Children &amp; Adoles, Key Lab Child Dev &amp; Disorders,Int Sci &amp; Technol Co, Minist Educ,Chongqing Municipal Hlth Commiss,Key L, Chongqing, Peoples R China.; Li, Y (corresponding author), Tsinghua Univ, Shenzhen Int Grad Sch, Shenzhen, Peoples R China.; Xiang, JX (corresponding author), Stanford Univ, Sch Med, Dept Radiat Oncol, Palo Alto, CA 94305 USA.</t>
  </si>
  <si>
    <t>xiangjx@stanford.edu; biyuezhu@hospital.cqmu.edu.cn; liyi@sz.tsinghua.edu.cn</t>
  </si>
  <si>
    <t>Natural Science Foundation of Chongqing Municipality [CSTB2024NSCQ-MSX0365]; Chongqing Science and Health Joint Medical Research Project [2025MSXM061]</t>
  </si>
  <si>
    <t>Natural Science Foundation of Chongqing Municipality (Natural Science Foundation of Chongqing); Chongqing Science and Health Joint Medical Research Project</t>
  </si>
  <si>
    <t>This work was supported by the Natural Science Foundation of Chongqing Municipality (CSTB2024NSCQ-MSX0365 to B.Z.) and the Chongqing Science and Health Joint Medical Research Project (2025MSXM061 to B.Z.).</t>
  </si>
  <si>
    <t>[Zhu, Jin; Zhao, Zhenzhen; Fang, Qianqian; Jiang, Sijin; Lei, Linli; Zhang, Wenjian; Xie, Jiajun; Kang, Shuo; Xiao, Dongyuan; Zhai, Xuan; Jia, Yuntao; Zhu, Biyue] Chongqing Med Univ, Childrens Hosp,Natl Clin Res Ctr Children &amp; Adoles, Key Lab Child Dev &amp; Disorders,Int Sci &amp; Technol Co, Minist Educ,Chongqing Municipal Hlth Commiss,Key L, Chongqing, Peoples R China; [Zhu, Jin; Xiao, Ming] Chongqing Med Univ, Coll Basic Med, Mol Med Diagnost &amp; Testing Ctr, Dept Pathol, Chongqing, Peoples R China; [Hu, Ruizhen; Chen, Junyang; Li, Yi] Tsinghua Univ, Shenzhen Int Grad Sch, Shenzhen, Peoples R China; [Yang, Sen; Lu, Le] Ant Grp, Sunnyvale, CA USA; [Sun, Qing] Peking Univ First Hosp, Dept Pediat, Beijing, Peoples R China; [Cao, Juan] Shenzhen Childrens Hosp, Dept Pathol, Shenzhen, Peoples R China; [Pan, Peiying; Wang, Kun] Guiyang Maternal &amp; Child Hlth Care Hosp, Dept Pathol, Guiyang, Peoples R China; [Cui, Liyan] Inner Mongolia Matern &amp; Child Hlth Care Hosp, Pathol Dept, Hohhot, Peoples R China; [Tang, Hongping] Southern Med Univ, Shenzhen Matern &amp; Child Healthcare Hosp, Dept Pathol, Shenzhen, Peoples R China; [Yuan, Wei; Han, Xiao] Sichuan Univ, Coll Biomed Engn, Chengdu, Peoples R China; [Zhao, Junhan] Harvard Med Sch, Dept Biomed Informat, Boston, MA USA; [Zhao, Junhan] Univ Chicago, Dept Pediat, Chicago, IL USA; [Zhao, Junhan] Univ Chicago Med, Comprehens Canc Ctr, Chicago, IL USA; [Wang, Xiyue; Xiang, Jinxi] Stanford Univ, Sch Med, Dept Radiat Oncol, Palo Alto, CA 94305 USA</t>
  </si>
  <si>
    <t>Chongqing Medical University; Chongqing Medical University; Tsinghua University; Peking University; Shantou University; Shenzhen Maternity &amp; Child Healthcare Hospital; Southern Medical University - China; Sichuan University; Harvard University; Harvard Medical School; University of Chicago; University of Chicago; Robert H. Lurie Comprehensive Cancer Center; Stanford University</t>
  </si>
  <si>
    <t>A unified vision-language model for precision oncology and biomarker prediction in neuroblastoma</t>
  </si>
  <si>
    <t>FOUNDATION MODEL; RISK GROUP; CLASSIFICATION; SURVIVAL; TUMORS</t>
  </si>
  <si>
    <t>Hu, Ruizhen/0009-0004-7816-3667</t>
  </si>
  <si>
    <t>JUL 9 2026</t>
  </si>
  <si>
    <t>8479</t>
  </si>
  <si>
    <t>10.1038/s41467-026-74865-5</t>
  </si>
  <si>
    <t>http://dx.doi.org/10.1038/s41467-026-74865-5</t>
  </si>
  <si>
    <t>MT0BC</t>
  </si>
  <si>
    <t>42426002</t>
  </si>
  <si>
    <t>WOS:001850159700001</t>
  </si>
  <si>
    <t>Verma, P; Van, MH; Wu, XT</t>
  </si>
  <si>
    <t>Recent advancements in vision language models (VLMs) have opened new avenues for analyzing complex visual data. Models such as ChatGPT, Gemini, Llama and LLaVA have gained prominence for their ability to process both visual and textual data, excelling in tasks like natural image captioning, visual question answering (VQA), and reasoning. Similarly, the Segment Anything Model (SAM) by Meta has demonstrated remarkable segmentation capabilities. Given the importance of microscopy images in fields like biology, medicine, and materials science-where visual data is often analyzed alongside textual information from captions, reports, or literature-it is critical to evaluate the effectiveness of these models on such data. This study assesses the capabilities of ChatGPT-5, Gemini-2.5Pro, Llama-3.2V, LLaVA-1.5 and SAM-2 on classification, segmentation, counting, and VQA tasks using microscopy images. ChatGPT and Gemini excelled in comprehending microscopy images, while SAM performed well in object isolation. Although their performance falls short of domain expert accuracy, particularly when faced with complexities such as impurities, overlaps, and irrelevant artifacts, these models show clear gains compared to prior versions. These findings highlight the promise of VLMs in scientific image analysis and the need for further advancements to meet the demands of expert-level tasks.</t>
  </si>
  <si>
    <t>Verma, Prateek; Van, Minh-Hao; Wu, Xintao</t>
  </si>
  <si>
    <t>Verma, P (corresponding author), Univ Arkansas, Dept Elect Engn &amp; Comp Sci, Fayetteville, AR 72701 USA.</t>
  </si>
  <si>
    <t>prateek@uark.edu</t>
  </si>
  <si>
    <t>National Institute of General Medical Sciences [P20GM139768]; National Science Foundation [1946391]</t>
  </si>
  <si>
    <t>National Institute of General Medical Sciences (United States Department of Health &amp; Human Services, National Institutes of Health (NIH) - USA, NIH National Institute of General Medical Sciences (NIGMS)); National Science Foundation (National Science Foundation (NSF))</t>
  </si>
  <si>
    <t>This work was supported in part by National Science Foundation under awards 1946391, the National Institute of General Medical Sciences of National Institutes of Health under award P20GM139768, and the Arkansas Integrative Metabolic Research Center at University of Arkansas.</t>
  </si>
  <si>
    <t>[Verma, Prateek; Van, Minh-Hao; Wu, Xintao] Univ Arkansas, Dept Elect Engn &amp; Comp Sci, Fayetteville, AR 72701 USA</t>
  </si>
  <si>
    <t>University of Arkansas System; University of Arkansas Fayetteville</t>
  </si>
  <si>
    <t>Vision language models for scientific image analysis: an evaluation highlighting opportunities and challenges</t>
  </si>
  <si>
    <t>NPJ COMPUTATIONAL MATERIALS</t>
  </si>
  <si>
    <t>2057-3960</t>
  </si>
  <si>
    <t>NPJ COMPUT MATER</t>
  </si>
  <si>
    <t>npj Comput. Mater.</t>
  </si>
  <si>
    <t>APR 21 2026</t>
  </si>
  <si>
    <t>218</t>
  </si>
  <si>
    <t>10.1038/s41524-026-02069-y</t>
  </si>
  <si>
    <t>http://dx.doi.org/10.1038/s41524-026-02069-y</t>
  </si>
  <si>
    <t>Chemistry, Physical; Materials Science, Multidisciplinary</t>
  </si>
  <si>
    <t>Chemistry; Materials Science</t>
  </si>
  <si>
    <t>JW2TA</t>
  </si>
  <si>
    <t>42344950</t>
  </si>
  <si>
    <t>WOS:001799472700002</t>
  </si>
  <si>
    <t>Bimbraw, K; Wang, Y; Liu, J; Koike-Akino, T</t>
  </si>
  <si>
    <t>Large vision-language models (LVLMs), such as the Generative Pre-trained Transformer 4-omni (GPT-4o), are emerging multi-modal foundation models which have great potential as powerful artificial-intelligence (AI) assistance tools for a myriad of applications, including healthcare, industrial, and academic sectors. Although such foundation models perform well in a wide range of general tasks, their capability without fine-tuning is often limited in specialized tasks. However, full fine-tuning of large foundation models is challenging due to enormous computation/memory/dataset requirements. Ultrasound data from the forearm has been shown to be used for hand gesture estimation. However, this typically requires training deep learning models with a large quantity of labeled data. We show that GPT-4o can decode hand gestures from forearm ultrasound data even with no fine-tuning, and improves with few-shot, retrieval augmented in-context learning. In our experiments, the average classification accuracy improved from 19.3% (0-shot) to 74.0% (2-shot) for within-session testing, and from 20.0% (0-shot) to 61.3% (3-shot) for cross-session testing. This demonstrates the potential of LVLMs for ultrasound-based gesture recognition by enabling an alternative to prior ultrasound gesture pipelines that require dedicated model training and large labeled datasets. Additionally, we show that few-shot in-context learning and retrieval-augmented selection can substantially improve performance without any model fine-tuning.</t>
  </si>
  <si>
    <t>Bimbraw, Keshav; Wang, Ye; Liu, Jing; Koike-Akino, Toshiaki</t>
  </si>
  <si>
    <t>Bimbraw, K (corresponding author), Worcester Polytech Inst, Worcester, MA 01609 USA.; Bimbraw, K (corresponding author), Mitsubishi Elect Res Labs MERL, Cambridge, MA 02139 USA.</t>
  </si>
  <si>
    <t>bimbrawkeshav@gmail.com</t>
  </si>
  <si>
    <t>[Bimbraw, Keshav] Worcester Polytech Inst, Worcester, MA 01609 USA; [Bimbraw, Keshav; Wang, Ye; Liu, Jing; Koike-Akino, Toshiaki] Mitsubishi Elect Res Labs MERL, Cambridge, MA 02139 USA</t>
  </si>
  <si>
    <t>Worcester Polytechnic Institute</t>
  </si>
  <si>
    <t>GPT Sonography: Hand Gesture Decoding From Forearm Ultrasound Images via a Large Vision-Language Model</t>
  </si>
  <si>
    <t>Filtering; Biomimetics; Filters; Message systems; Amplitude shift keying; Amplitude modulation; Electronic mail; Computer networks; Communication systems; Internet; GPT; AI; LMM; LLM; LVLM; VLM; ultrasound imaging; human-machine interface; gesture recognition</t>
  </si>
  <si>
    <t>Koike-Akino, Toshiaki/T-2062-2019</t>
  </si>
  <si>
    <t>70724</t>
  </si>
  <si>
    <t>70736</t>
  </si>
  <si>
    <t>10.1109/ACCESS.2026.3687477</t>
  </si>
  <si>
    <t>http://dx.doi.org/10.1109/ACCESS.2026.3687477</t>
  </si>
  <si>
    <t>IA8IP</t>
  </si>
  <si>
    <t>WOS:001767284900027</t>
  </si>
  <si>
    <t>Zhang, WT; Yu, T; Wang, RX; Xie, JH; Trucco, E; Zheng, WS; Yang, XB</t>
  </si>
  <si>
    <t>An ideal artificial intelligence (AI) system should have the capability to continually learn like humans. However, when learning new knowledge, AI systems often suffer from catastrophic forgetting of old knowledge. Although many continual learning methods have been proposed, they often ignore the issue of misclassifying similar classes and make insufficient use of textual priors of visual classes to improve continual learning performance. In this study, we propose a continual learning framework based on a pre-trained vision-language model (VLM) that does not require storing old class data. This framework utilizes parameter-efficient fine-tuning of the VLM's text encoder for constructing a shared and consistent semantic textual space throughout the continual learning process. The textual priors of visual classes are encoded by the adapted VLM's text encoder to generate discriminative semantic representations, which are then used to guide the learning of visual classes. Additionally, fake out-of-distribution (OOD) images constructed from each training image further assist in the learning of visual classes. Extensive empirical evaluations on three natural datasets and one medical dataset demonstrate the superiority of the proposed framework.</t>
  </si>
  <si>
    <t>Zhang, Wentao; Yu, Tong; Wang, Ruixuan; Xie, Jianhui; Trucco, Emanuele; Zheng, Wei-Shi; Yang, Xiaobo</t>
  </si>
  <si>
    <t>Wang, RX (corresponding author), Sun Yat Sen Univ, Sch Comp Sci &amp; Engn, Guangzhou 510275, Peoples R China.; Yang, XB (corresponding author), Guangzhou Univ Chinese Med, Affiliated Hosp 2, State Key Lab Dampness Syndrome Chinese Med, Guangzhou 510260, Peoples R China.</t>
  </si>
  <si>
    <t>xiejianhui888@hotmail.com; wszheng@ieee.org; zhangwt65@mail2.sysu.edu.cn; wangruix5@mail.sysu.edu.cn; E.Trucco@dundee.ac.uk; yutong3@mail2.sysu.edu.cn; yangxiaobo39358517@hotmail.com</t>
  </si>
  <si>
    <t>National Natural Science Foundation of China [62071502]; Major Key Project of PCL [PCL2023A09]; Guangdong Excellent Youth Team Program [2023B1515040025]; Guangzhou Science and Technology Planning Project [2024A03J0723]; Traditional Chinese Medicine Bureau of Guangdong Province Research [20225013]</t>
  </si>
  <si>
    <t>National Natural Science Foundation of China (National Natural Science Foundation of China (NSFC)); Major Key Project of PCL; Guangdong Excellent Youth Team Program; Guangzhou Science and Technology Planning Project; Traditional Chinese Medicine Bureau of Guangdong Province Research</t>
  </si>
  <si>
    <t>This work was supported in part by the National Natural Science Foundation of China under Grant 62071502, in part by the Major Key Project of PCL under Grant PCL2023A09, in part by Guangdong Excellent Youth Team Program under Grant 2023B1515040025, in part by Guangzhou Science and Technology Planning Project under Grant 2024A03J0723, and in part by the Traditional Chinese Medicine Bureau of Guangdong Province Research Project under Grant 20225013.</t>
  </si>
  <si>
    <t>[Zhang, Wentao; Yu, Tong; Wang, Ruixuan; Zheng, Wei-Shi] Sun Yat Sen Univ, Sch Comp Sci &amp; Engn, Guangzhou 510275, Peoples R China; [Zhang, Wentao; Yu, Tong; Wang, Ruixuan; Zheng, Wei-Shi] MOE, Key Lab Machine Intelligence &amp; Adv Comp, Guangzhou 510275, Peoples R China; [Wang, Ruixuan] Peng Cheng Lab, Shenzhen 518066, Peoples R China; [Xie, Jianhui; Yang, Xiaobo] Guangzhou Univ Chinese Med, Affiliated Hosp 2, State Key Lab Dampness Syndrome Chinese Med, Guangzhou 510260, Peoples R China; [Xie, Jianhui; Yang, Xiaobo] Guangdong Prov Key Lab Clin Res Tradit Chinese Med, Guangzhou 510120, Peoples R China; [Trucco, Emanuele] Univ Dundee, Sch Sci &amp; Engn, Dundee DD1 4HN, Scotland</t>
  </si>
  <si>
    <t>Sun Yat Sen University; Peng Cheng Laboratory; Guangzhou University of Chinese Medicine; University of Dundee</t>
  </si>
  <si>
    <t>Visual Class Incremental Learning With Textual Priors Guidance Based on an Adapted Vision-Language Model</t>
  </si>
  <si>
    <t>IEEE TRANSACTIONS ON MULTIMEDIA</t>
  </si>
  <si>
    <t>Continuing education; Visualization; Adaptation models; Artificial intelligence; Data models; Training; Biomedical imaging; Semantics; Feature extraction; Computational modeling; Continual learning; OOD detection; vision-language model</t>
  </si>
  <si>
    <t>Zheng, Wei-Shi/J-7661-2016</t>
  </si>
  <si>
    <t>Wang, Ruixuan/0000-0002-8714-0369; Trucco, Emanuele/0000-0002-5055-0794</t>
  </si>
  <si>
    <t>80</t>
  </si>
  <si>
    <t>1520-9210</t>
  </si>
  <si>
    <t>1941-0077</t>
  </si>
  <si>
    <t>IEEE T MULTIMEDIA</t>
  </si>
  <si>
    <t>IEEE Trans. Multimedia</t>
  </si>
  <si>
    <t>5426</t>
  </si>
  <si>
    <t>5438</t>
  </si>
  <si>
    <t>10.1109/TMM.2025.3543109</t>
  </si>
  <si>
    <t>http://dx.doi.org/10.1109/TMM.2025.3543109</t>
  </si>
  <si>
    <t>Computer Science, Information Systems; Computer Science, Software Engineering; Telecommunications</t>
  </si>
  <si>
    <t>Computer Science; Telecommunications</t>
  </si>
  <si>
    <t>6RR7D</t>
  </si>
  <si>
    <t>WOS:001560412200011</t>
  </si>
  <si>
    <t>Safavi-Naini, SAA; Ali, S; Shahab, O; Shahhoseini, Z; Savage, T; Rafiee, S; Samaan, JS; Al Shabeeb, R; Ladak, F; Yang, JO; Echavarria, J; Babar, S; Shaukat, A; Margolis, S; Tatonetti, NP; Nadkarni, G; El Kurdi, B; Soroush, A</t>
  </si>
  <si>
    <t>This study evaluated the effectiveness of large language models (LLMs) and vision-language models (VLMs) in gastroenterology. We used board-style multiple-choice questions to assess the performance of both proprietary and open-source LLMs and VLMs-including GPT, Claude, Gemini, Mistral, Llama, Mixtral, Phi, and Qwen, across different interfaces, computing environments, and levels of compression (quantization). Among the proprietary models, o1-preview (82.0%) and Claude3.5-Sonnet (74.0%) had the highest accuracy, outperforming the top open-source models: Llama3.3-70b (65.7%) and Qwen-2.5-72b (61.0%). Among the small quantized open-source models, the 8-bit Llama 3.2-11b (51.7%) and 6-bit Phi3-14b (48.7%) performed the best, with scores comparable to their full-precision counterparts. Notably, VLM accuracy on image-containing questions improved (similar to 10%) when given human-generated captions, remained unchanged with original images, and declined with LLM-generated captions. Further research is warranted to evaluate model capabilities in real-world clinical decision-making scenarios.</t>
  </si>
  <si>
    <t>Safavi-Naini, Seyed Amir Ahmad; Ali, Shuhaib; Shahab, Omer; Shahhoseini, Zahra; Savage, Thomas; Rafiee, Sara; Samaan, Jamil S.; Al Shabeeb, Reem; Ladak, Farah; Yang, Jamie O.; Echavarria, Juan; Babar, Sumbal; Shaukat, Aasma; Margolis, Samuel; Tatonetti, Nicholas P.; Nadkarni, Girish; El Kurdi, Bara; Soroush, Ali</t>
  </si>
  <si>
    <t>Soroush, A (corresponding author), Icahn Sch Med Mt Sinai, Charles Bronfman Inst Personalized Med, Div Data Driven &amp; Digital Hlth D3M, New York, NY 10029 USA.; Soroush, A (corresponding author), Icahn Sch Med Mt Sinai, Charles Bronfman Inst Personalized Med, New York, NY 10029 USA.; Soroush, A (corresponding author), Icahn Sch Med Mt Sinai, Henry D Janowitz Div Gastroenterol, New York, NY 10029 USA.; El Kurdi, B (corresponding author), Univ Texas Hlth, Dept Med, Div Gastroenterol &amp; Hepatol, San Antonio, TX 78249 USA.</t>
  </si>
  <si>
    <t>baraabayern@gmail.com; Ali.Soroush@mountsinai.org</t>
  </si>
  <si>
    <t>American Gastroenterological Association [AGA2023-32-06]</t>
  </si>
  <si>
    <t>American Gastroenterological Association (American Gastroenterological Association)</t>
  </si>
  <si>
    <t>AS was funded by the American Gastroenterological Association AGA-Amgen Fellowship-to-Faculty Transition Award (AGA2023-32-06). The funder played no role in study design, data collection, analysis and interpretation of data, or the writing of this manuscript. We want to thank the American College of Gastroenterology for kindly providing their valuable question bank, the Hugging Face team for making AI accessible and easy to use, and the Bloke account on Hugging Face for providing quantized versions of open-source LLMs. During the preparation of this work, the author used generative AI to improve the writing style and grammar of the manuscript. After using this tool, the authors reviewed and edited the content as needed and take full responsibility for the content of the publication.</t>
  </si>
  <si>
    <t>[Safavi-Naini, Seyed Amir Ahmad; Nadkarni, Girish; Soroush, Ali] Icahn Sch Med Mt Sinai, Charles Bronfman Inst Personalized Med, Div Data Driven &amp; Digital Hlth D3M, New York, NY 10029 USA; [Safavi-Naini, Seyed Amir Ahmad; Nadkarni, Girish; Soroush, Ali] Icahn Sch Med Mt Sinai, Charles Bronfman Inst Personalized Med, New York, NY 10029 USA; [Safavi-Naini, Seyed Amir Ahmad; Soroush, Ali] Icahn Sch Med Mt Sinai, Henry D Janowitz Div Gastroenterol, New York, NY 10029 USA; [Ali, Shuhaib; Ladak, Farah; Echavarria, Juan; El Kurdi, Bara] Univ Texas Hlth, Dept Med, Div Gastroenterol &amp; Hepatol, San Antonio, TX 78249 USA; [Shahab, Omer] Virginia Hosp Ctr, Div Gastroenterol, Arlington, VA USA; [Shahhoseini, Zahra; Rafiee, Sara] Shahid Beheshti Univ Med Sci, Sch Med, Tehran, Iran; [Savage, Thomas] Stanford Univ, Dept Med, Stanford, CA USA; [Samaan, Jamil S.] Cedars Sinai Med Ctr, Karsh Div Gastroenterol &amp; Hepatol, Los Angeles, CA USA; [Al Shabeeb, Reem] Inova Fairfax Med Campus, Dept Med, Falls Church, VA USA; [Yang, Jamie O.] Univ Calif Los Angeles, Dept Internal Med, Los Angeles, CA USA; [Babar, Sumbal] Univ Texas Hlth, Dept Med, Div Infect Dis, San Antonio, TX USA; [Shaukat, Aasma] NYU, Grossman Sch Med, Dept Med, Div Gastroenterol, New York, NY USA; [Margolis, Samuel] Univ Calif Los Angeles, David Geffen Sch Med, Los Angeles, CA USA; [Tatonetti, Nicholas P.] Cedars Sinai Med Ctr, Dept Computat Biomed, West Hollywood, CA USA; [Tatonetti, Nicholas P.] Cedars Sinai Med Ctr, Los Angeles, CA USA; [Tatonetti, Nicholas P.] Columbia Univ, Dept Biomed Informat, New York, NY USA</t>
  </si>
  <si>
    <t>Icahn School of Medicine at Mount Sinai; Icahn School of Medicine at Mount Sinai; Icahn School of Medicine at Mount Sinai; University of Texas System; University of Texas at San Antonio; Shahid Beheshti University Medical Sciences; Stanford University; Stanford Medicine; Cedars Sinai Medical Center; Inova Fairfax Hospital; University of California System; University of California Los Angeles; David Geffen School of Medicine at UCLA; University of Texas System; University of Texas at San Antonio; New York University; University of California System; University of California Los Angeles; University of California Los Angeles Medical Center; David Geffen School of Medicine at UCLA; Cedars Sinai Medical Center; Cedars Sinai Medical Center; Columbia University</t>
  </si>
  <si>
    <t>Benchmarking proprietary and open-source language and vision-language models for gastroenterology clinical reasoning</t>
  </si>
  <si>
    <t>samaan, jamil/AFQ-9289-2022; Safavi-Naini, Seyed Amir Ahmad/GLU-8262-2022; mirzaei, hamed/X-2374-2018; Soroush, Ali/ABG-5994-2021</t>
  </si>
  <si>
    <t>Rafiee, Sara/0009-0008-5180-7388; Margolis, Samuel/0009-0003-0374-2739</t>
  </si>
  <si>
    <t>797</t>
  </si>
  <si>
    <t>10.1038/s41746-025-02174-0</t>
  </si>
  <si>
    <t>http://dx.doi.org/10.1038/s41746-025-02174-0</t>
  </si>
  <si>
    <t>AL7VY</t>
  </si>
  <si>
    <t>41310206</t>
  </si>
  <si>
    <t>WOS:001651144600001</t>
  </si>
  <si>
    <t>Khalafi, MA; Safavi-Naini, SAA; Salehi, A; Naderi, N; Alijanzadeh, D; Moghadam, PK; Kavousi, K; Golestani, N; Shahrokh, S; Fallah, S; Samaan, JS; Tatonetti, NP; Hoerter, N; Nadkarni, G; Aghdaei, HA; Soroush, A</t>
  </si>
  <si>
    <t>Medical image analysis is central to clinical decision-making, and recent advances in vision-language models (VLMs) have introduced promising capabilities for jointly processing visual and textual data. This study evaluates zero-shot VLMs against convolutional neural networks (CNNs) and classical machine learning (CML) models for polyp detection (CADe) and classification (CADx) using 2,258 colonoscopy images from 428 patients with histopathological labels. We benchmarked 15 approaches including ResNet50, five CMLs (random forest, support vector machine, logistic regression, decision tree, Gaussian naive Bayes), two contrastive vision-language encoders (CLIP, BiomedCLIP), and seven frontier VLMs (GPT-4, GPT-4.1, GPT-4.1-mini, Gemma-3-27b, Qwen-2.5-vl-72b, Gemini-1.5-Pro, Claude-3-Opus). For polyp detection, the highest-performing VLMs (GPT-4.1 F1: 91.98%, GPT-4.1-mini F1: 91.16%) matched CNN performance (ResNet50 F1: 91.35%), though substantial variability existed across VLMs (F1 range: 19.37% to 91.98%). For classification, CNNs substantially outperformed VLMs: ResNet50 achieved weighted F1 of 74.94% versus 55.07% for GPT-4.1-mini, with performance gaps widening dramatically for rare polyp subtypes where VLMs often achieved 0% F1. External validation on 75 images showed that while ResNet50 performance declined substantially, some VLMs demonstrated more stable cross-institutional performance. These findings establish a task-dependent performance hierarchy where VLMs match CNNs for detection but remain limited for classification, suggesting distinct clinical roles for each approach.</t>
  </si>
  <si>
    <t>Khalafi, Mohammad Amin; Safavi-Naini, Seyed Amir Ahmad; Salehi, Ameneh; Naderi, Nariman; Alijanzadeh, Dorsa; Moghadam, Pardis Ketabi; Kavousi, Kaveh; Golestani, Negar; Shahrokh, Shabnam; Fallah, Soltanali; Samaan, Jamil S.; Tatonetti, Nicholas P.; Hoerter, Nicholas; Nadkarni, Girish; Aghdaei, Hamid Asadzadeh; Soroush, Ali</t>
  </si>
  <si>
    <t>Aghdaei, HA (corresponding author), Shahid Beheshti Univ Med Sci, Res Inst Gastroenterol &amp; Liver Dis, Tehran, Iran.; Soroush, A (corresponding author), Icahn Sch Med Mt Sinai, Charles Bronfman Inst Personalized Med, Div Data Driven &amp; Digital Med D3M, New York, NY 10029 USA.; Soroush, A (corresponding author), Icahn Sch Med Mt Sinai, Charles Bronfman Inst Personalized Med, New York, NY 10029 USA.; Soroush, A (corresponding author), Icahn Sch Med Mt Sinai, Henry D Janowitz Div Gastroenterol, New York, NY 10029 USA.</t>
  </si>
  <si>
    <t>hamid.assadzadeh@gmail.com; Ali.Soroush@mountsinai.org</t>
  </si>
  <si>
    <t>[Khalafi, Mohammad Amin; Safavi-Naini, Seyed Amir Ahmad; Salehi, Ameneh; Naderi, Nariman; Alijanzadeh, Dorsa; Moghadam, Pardis Ketabi; Shahrokh, Shabnam; Aghdaei, Hamid Asadzadeh] Shahid Beheshti Univ Med Sci, Res Inst Gastroenterol &amp; Liver Dis, Tehran, Iran; [Safavi-Naini, Seyed Amir Ahmad; Golestani, Negar; Nadkarni, Girish; Soroush, Ali] Icahn Sch Med Mt Sinai, Charles Bronfman Inst Personalized Med, Div Data Driven &amp; Digital Med D3M, New York, NY 10029 USA; [Safavi-Naini, Seyed Amir Ahmad; Nadkarni, Girish; Soroush, Ali] Icahn Sch Med Mt Sinai, Charles Bronfman Inst Personalized Med, New York, NY 10029 USA; [Kavousi, Kaveh] Univ Tehran, Inst Biochem &amp; Biophys IBB, Dept Bioinformat, Lab Complex Biol Syst &amp; Bioinformat CBB, Tehran, Iran; [Fallah, Soltanali] Tehran Milad Hosp, Dept GI Dis, Tehran, Iran; [Samaan, Jamil S.] Cedars Sinai Med Ctr, Karsh Div Gastroenterol &amp; Hepatol, Los Angeles, CA USA; [Tatonetti, Nicholas P.] Cedars Sinai Med Ctr, Dept Computat Biomed, W Hollywood, CA USA; [Tatonetti, Nicholas P.] Cedars Sinai Med Ctr, 8700 Beverly Blvd, Los Angeles, CA USA; [Tatonetti, Nicholas P.] Columbia Univ, Dept Biomed Informat, New York, NY USA; [Hoerter, Nicholas; Soroush, Ali] Icahn Sch Med Mt Sinai, Henry D Janowitz Div Gastroenterol, New York, NY 10029 USA</t>
  </si>
  <si>
    <t>Shahid Beheshti University Medical Sciences; Icahn School of Medicine at Mount Sinai; Icahn School of Medicine at Mount Sinai; University of Tehran; Cedars Sinai Medical Center; Cedars Sinai Medical Center; Cedars Sinai Medical Center; Columbia University; Icahn School of Medicine at Mount Sinai</t>
  </si>
  <si>
    <t>Vision language models versus machine learning models performance on polyp detection and classification in colonoscopy images</t>
  </si>
  <si>
    <t>Vision language models; Gastroenterology; Computer aided detection; Colonoscopy; Computer aided diagnosis</t>
  </si>
  <si>
    <t>MISS RATE</t>
  </si>
  <si>
    <t>Golestani, Negar/I-8554-2019; Kavousi, Kaveh/A-9450-2009; Shahrokh, Shabnam/AAD-4535-2022; samaan, jamil/AFQ-9289-2022; Safavi-Naini, Seyed Amir Ahmad/GLU-8262-2022; Soroush, Ali/ABG-5994-2021; Alijanzadeh, Dorsa/ADA-8363-2022; Asadzadeh-Aghdaei, Hamid/AAD-4494-2022; mirzaei, hamed/X-2374-2018; Ketabi Moghadam, Pardis/GRF-3623-2022</t>
  </si>
  <si>
    <t>Soroush, Ali/0000-0001-6900-5596</t>
  </si>
  <si>
    <t>45484</t>
  </si>
  <si>
    <t>10.1038/s41598-025-29566-2</t>
  </si>
  <si>
    <t>http://dx.doi.org/10.1038/s41598-025-29566-2</t>
  </si>
  <si>
    <t>AL9BN</t>
  </si>
  <si>
    <t>41309981</t>
  </si>
  <si>
    <t>WOS:001651226700010</t>
  </si>
  <si>
    <t>Jiang, J; Zhou, Q; Chen, N; He, HY; Zhang, JJ; He, C</t>
  </si>
  <si>
    <t>Medical image segmentation is a fundamental task in computer-aided diagnosis and treatment planning. Fully supervised methods achieve strong performance but rely on large-scale annotated datasets. Semi-supervised learning (SSL) alleviates this limitation by leveraging unlabeled data. However, existing SSL methods often lack effective semantic modeling and suffer from domain gaps between natural image pretraining and medical imaging. In this paper, we propose DAVLMF-Seg, a domain-adaptive vision-language model guided frequency-aware SSL framework. The method aligns medical images and textual descriptions in a shared latent space via parameter-efficient adaptation, providing semantic priors for pseudo-label refinement. We further introduce a frequency-domain conditioned diffusion module to progressively enhance feature fusion and reduce decoding ambiguity. An uncertainty-aware regularization strategy is also designed to improve confidence calibration. Extensive experiments on multiple benchmarks demonstrate consistent improvements over state-of-the-art methods. On ACDC, our method achieves 90.25% Dice with 10% labels (+1.2%) and 90.48% Dice with 20% labels (+0.8%), while HD95 is reduced by 2.3 and 1.0, respectively. On M&amp;Ms and MyoPS, it attains 84.57% (+2.0%) and 75.23% (+1.1%) Dice, with HD95 reduced by 1.1 and 4.9, respectively. These results highlight the effectiveness of the proposed framework, especially under limited supervision and cross-domain scenarios.</t>
  </si>
  <si>
    <t>Jiang, Jiu; Zhou, Qi; Chen, Nuo; He, Haoying; Zhang, Junjian; He, Chu</t>
  </si>
  <si>
    <t>He, C (corresponding author), Wuhan Univ, Elect Informat Sch, Wuhan 430072, Hubei, Peoples R China.</t>
  </si>
  <si>
    <t>chuhe@whu.edu.cn; nuo.chen.2024@whu.edu.cn; zhangjj@whu.edu.cn; hehaoying@whu.edu.cn; jiangjiu@whu.edu.cn; zhouqi@whu.edu.cn</t>
  </si>
  <si>
    <t>National Key Research and Development Program of China [2021YFC2500102, 2016YFC0803000]; National Natural Science Foundation of China [41371342, 82571371]</t>
  </si>
  <si>
    <t>National Key Research and Development Program of China; National Natural Science Foundation of China (National Natural Science Foundation of China (NSFC))</t>
  </si>
  <si>
    <t>This work was supported in part by the National Key Research and Development Program of China under Grants 2021YFC2500102 and 2016YFC0803000, and in part by the National Natural Science Foundation of China under Grants 41371342 and 82571371.</t>
  </si>
  <si>
    <t>[Jiang, Jiu; Zhou, Qi; Chen, Nuo; He, Chu] Wuhan Univ, Elect Informat Sch, Wuhan 430072, Hubei, Peoples R China; [He, Haoying; Zhang, Junjian] Wuhan Univ, Zhongnan Hosp, Dept Neurol, Wuhan 430071, Hubei, Peoples R China</t>
  </si>
  <si>
    <t>Wuhan University; Wuhan University</t>
  </si>
  <si>
    <t>DAVLMF-Seg: Vision-language model guided latent frequency-aware diffusion for semi-supervised medical image segmentation</t>
  </si>
  <si>
    <t>NEURAL NETWORKS</t>
  </si>
  <si>
    <t>Medical image segmentation; Semi-supervised learning; Vision-language model; Diffusion model; Frequency-aware fusion</t>
  </si>
  <si>
    <t>0893-6080</t>
  </si>
  <si>
    <t>1879-2782</t>
  </si>
  <si>
    <t>Neural Netw.</t>
  </si>
  <si>
    <t>205</t>
  </si>
  <si>
    <t>109438</t>
  </si>
  <si>
    <t>10.1016/j.neunet.2026.109438</t>
  </si>
  <si>
    <t>http://dx.doi.org/10.1016/j.neunet.2026.109438</t>
  </si>
  <si>
    <t>Computer Science, Artificial Intelligence; Neurosciences</t>
  </si>
  <si>
    <t>Computer Science; Neurosciences &amp; Neurology</t>
  </si>
  <si>
    <t>MP0BR</t>
  </si>
  <si>
    <t>42574819</t>
  </si>
  <si>
    <t>WOS:001847452200001</t>
  </si>
  <si>
    <t>Ren, GQ; Hou, M; Yang, XP; Huang, YQ; Li, D; Zhang, N; Liu, PF; Ye, HH; Chen, Z; Chen, HP</t>
  </si>
  <si>
    <t>Accurate characterization of atherosclerotic plaques in intravascular ultrasound (IVUS) imaging is essential for evaluating coronary artery disease and guiding clinical interventions. Traditional methods rely on handcrafted features and rule-based algorithms, which lack adaptability to diverse lesion morphologies and offer limited explainability. To address these challenges, this work introduces PlaqueCap, a lesion-centered captioning framework that generates clinically meaningful, natural language descriptions directly from IVUS images. A central challenge is ensuring the generated text is grounded in the specific pathology of the lesion. PlaqueCap solves this by performing high-fidelity segmentation to localize the plaque, then using a Lesion Prompt Injection (LPI) module to inject spatial information into a pre-trained vision-language model, focusing on pathological characteristics. Experimental results on a curated IVUS dataset show PlaqueCap achieves accurate lesion localization and classification, producing detailed, clinically interpretable descriptions surpassing baselines in quantitative metrics and expert evaluation. This offers a paradigm for explainable AI in intravascular imaging and automated reporting in interventional cardiology.</t>
  </si>
  <si>
    <t>Ren, Guoqiang; Hou, Ming; Yang, Xiaoping; Huang, Yanqi; Li, Da; Zhang, Ning; Liu, Pengfei; Ye, Honghua; Chen, Zhen; Chen, Hongping</t>
  </si>
  <si>
    <t>Liu, PF; Ye, HH (corresponding author), Ningbo Univ, Affiliated Lihuili Hosp, Dept Cardiol, Ningbo, Zhejiang, Peoples R China.; Chen, Z (corresponding author), Xuzhou Cent Hosp, Dept Cardiol, Xuzhou, Jiangsu, Peoples R China.; Chen, HP (corresponding author), Xuzhou Med Univ, Inst Cardiovasc Dis Res, Affiliated Hosp, Dept Cardiol, Xuzhou, Jiangsu, Peoples R China.</t>
  </si>
  <si>
    <t>xiaomi0129@163.com; chenzhen114@126.com; lhlyehonghua@nbu.edu.cn; lhlliupengfei@nbu.edu.cn</t>
  </si>
  <si>
    <t>China Postdoctoral Science Foundation [2024M762614]; Medical Science and Technology Innovation Project of Xuzhou Municipal Health Commission [XWKYHT2024112]; the Ningbo Key Research and Development Program [2024Z232]; the 2023-SZZ Key Specialized Construction Project in Cardiology Department of Zhejiang Province [2023-SZZ]; Medical and Health Science and Technology Projects of Zhejiang Province [2024KY281]</t>
  </si>
  <si>
    <t>China Postdoctoral Science Foundation (China Postdoctoral Science Foundation); Medical Science and Technology Innovation Project of Xuzhou Municipal Health Commission; the Ningbo Key Research and Development Program; the 2023-SZZ Key Specialized Construction Project in Cardiology Department of Zhejiang Province; Medical and Health Science and Technology Projects of Zhejiang Province</t>
  </si>
  <si>
    <t>This work was supported by the China Postdoctoral Science Foundation (2024M762614), the 2023-SZZ Key Specialized Construction Project in Cardiology Department of Zhejiang Province (2023-SZZ), the Ningbo Key Research and Development Program (2024Z232), the Medical and Health Science and Technology Projects of Zhejiang Province (2024KY281), and the Medical Science and Technology Innovation Project of Xuzhou Municipal Health Commission (XWKYHT2024112).</t>
  </si>
  <si>
    <t>[Ren, Guoqiang; Yang, Xiaoping; Huang, Yanqi; Li, Da; Liu, Pengfei; Ye, Honghua] Ningbo Univ, Affiliated Lihuili Hosp, Dept Cardiol, Ningbo, Zhejiang, Peoples R China; [Hou, Ming; Zhang, Ning] North Sichuan Med Coll, Affiliated Hosp, Dept Cardiac Macrovasc Surg, Nanchong, Sichuan, Peoples R China; [Chen, Zhen] Xuzhou Cent Hosp, Dept Cardiol, Xuzhou, Jiangsu, Peoples R China; [Chen, Hongping] Xuzhou Med Univ, Inst Cardiovasc Dis Res, Affiliated Hosp, Dept Cardiol, Xuzhou, Jiangsu, Peoples R China</t>
  </si>
  <si>
    <t>Ningbo University; North Sichuan Medical University; Southeast University - China; Xuzhou Medical University</t>
  </si>
  <si>
    <t>PlaqueCap: lesion-centered captioning of atherosclerotic plaques in intravascular ultrasound using vision-language models and prompt injection</t>
  </si>
  <si>
    <t>IVUS</t>
  </si>
  <si>
    <t>Yanqi, Huang/MNO-5102-2025; Hou, Ming-Feng/D-5506-2009; Ren, Guoqiang/HZL-4936-2023</t>
  </si>
  <si>
    <t>Ren, Guoqiang/0000-0001-9126-3890</t>
  </si>
  <si>
    <t>NOV 20 2025</t>
  </si>
  <si>
    <t>702</t>
  </si>
  <si>
    <t>10.1038/s41746-025-02044-9</t>
  </si>
  <si>
    <t>http://dx.doi.org/10.1038/s41746-025-02044-9</t>
  </si>
  <si>
    <t>C3935</t>
  </si>
  <si>
    <t>41266555</t>
  </si>
  <si>
    <t>WOS:001620479800004</t>
  </si>
  <si>
    <t>Zhong, LF; Huang, ZY; Liu, Y; Liao, WJ; Zhang, SC; Wang, GT; Zhang, ST</t>
  </si>
  <si>
    <t>Classification of pathological images is the basis for automatic cancer diagnosis. Despite that deep learning methods have achieved remarkable performance, they heavily rely on labeled data, demanding extensive human annotation efforts. In this study, we present a novel human annotation-free method by leveraging pre-trained Vision-Language Models (VLMs). Without human annotation, pseudo-labels of the training set are obtained by utilizing the zero-shot inference capabilities of VLM, which may contain a lot of noise due to the domain gap between the pre-training and target datasets. To address this issue, we introduce VLM-CPL, a novel approach that contains two noisy label filtering techniques with a semi-supervised learning strategy. Specifically, we first obtain prompt-based pseudo-labels with uncertainty estimation by zero-shot inference with the VLM using multiple augmented views of an input. Then, by leveraging the feature representation ability of VLM, we obtain feature-based pseudo-labels via sample clustering in the feature space. Prompt-feature consensus is introduced to select reliable samples based on the consensus between the two types of pseudo-labels. We further propose High-confidence Cross Supervision by to learn from samples with reliable pseudo-labels and the remaining unlabeled samples. Additionally, we present an innovative open-set prompting strategy that filters irrelevant patches from whole slides to enhance the quality of selected patches. Experimental results on five public pathological image datasets for patch-level and slide-level classification showed that our method substantially outperformed zero-shot classification by VLMs, and was superior to existing noisy label learning methods. The code is publicly available at https://github.com/HiLab-git/VLM-CPL</t>
  </si>
  <si>
    <t>Zhong, Lanfeng; Huang, Zongyao; Liu, Yang; Liao, Wenjun; Zhang, Shichuan; Wang, Guotai; Zhang, Shaoting</t>
  </si>
  <si>
    <t>Wang, GT (corresponding author), Univ Elect Sci &amp; Technol China, Sch Mech &amp; Elect Engn, Chengdu 611731, Peoples R China.; Wang, GT (corresponding author), Shanghai Artificial Intelligence Lab, Shanghai 200030, Peoples R China.</t>
  </si>
  <si>
    <t>huangzongyao@scszlyy.org.cn; guotai.wang@uestc.edu.cn; 875319538@qq.com; liuyang@scszlyy.org.cn; lwjpsy@163.com; 1426449091@qq.com; zhangshaoting@uestc.edu.cn</t>
  </si>
  <si>
    <t>National Natural Science Foundation of China [62271115]</t>
  </si>
  <si>
    <t>This workwas supported by the National Natural Science Foundation of China under Grant 62271115.</t>
  </si>
  <si>
    <t>[Zhong, Lanfeng; Wang, Guotai; Zhang, Shaoting] Univ Elect Sci &amp; Technol China, Sch Mech &amp; Elect Engn, Chengdu 611731, Peoples R China; [Zhong, Lanfeng; Wang, Guotai; Zhang, Shaoting] Shanghai Artificial Intelligence Lab, Shanghai 200030, Peoples R China; [Huang, Zongyao; Liu, Yang] Univ Elect Sci &amp; Technol China, Sichuan Canc Hosp &amp; Inst, Sichuan Clin Res Ctr Canc, Dept Pathol,Affiliated Canc Hosp, Chengdu 610042, Peoples R China; [Liao, Wenjun; Zhang, Shichuan] Univ Elect Sci &amp; Technol China, Sichuan Canc Hosp &amp; Inst, Dept Radiat Oncol, Chengdu 610042, Peoples R China</t>
  </si>
  <si>
    <t>University of Electronic Science &amp; Technology of China; Shanghai Artificial Intelligence Laboratory; University of Electronic Science &amp; Technology of China; University of Electronic Science &amp; Technology of China</t>
  </si>
  <si>
    <t>VLM-CPL: Consensus Pseudo-Labels From Vision-Language Models for Annotation-Free Pathological Image Classification</t>
  </si>
  <si>
    <t>Training; Pathology; Noise measurement; Image classification; Annotations; Reliability; Cancer; Accuracy; Feature extraction; Noise; Pathological image classification; foundation model; pseudo-label; noisy label learning</t>
  </si>
  <si>
    <t>FOUNDATION MODEL; SEGMENTATION</t>
  </si>
  <si>
    <t>liao, wenjun/OSH-6883-2025</t>
  </si>
  <si>
    <t>4023</t>
  </si>
  <si>
    <t>4036</t>
  </si>
  <si>
    <t>10.1109/TMI.2025.3595111</t>
  </si>
  <si>
    <t>http://dx.doi.org/10.1109/TMI.2025.3595111</t>
  </si>
  <si>
    <t>40758498</t>
  </si>
  <si>
    <t>WOS:001606201000012</t>
  </si>
  <si>
    <t>Wang, M; Lin, T; Lin, AD; Yu, K; Peng, YY; Wang, LY; Chen, C; Zou, K; Liang, HY; Chen, M; Yao, X; Zhang, MQ; Huang, BW; Zheng, CX; Zhang, PX; Chen, W; Luo, YL; Chen, YF; Xia, HH; Shi, TK; Zhang, Q; Guo, JM; Chen, XL; Wang, JC; Tham, YC; Liu, DB; Wong, WY; Thakur, S; Fenner, BJ; Fang, DQ; Liu, SY; Liu, QY; Huang, YQ; Zeng, HQ; Meng, YD; Zhou, YK; Jiang, ZH; Qiu, MH; Zhang, CQ; Chen, XJ; Wang, SY; Lee, CS; Sobrin, L; Cheung, CY; Pang, CP; Keane, PA; Cheng, CY; Chen, HY; Fu, HZ</t>
  </si>
  <si>
    <t>Previous foundation models for fundus images were pre-trained with limited disease categories and knowledge base. Here we introduce RetiZero, a vision-language model that incorporates knowledge from over 400 fundus diseases. The model is pre-trained on 341,896 fundus images with accompanying text descriptions gathered from diverse sources across multiple ethnicities and countries. RetiZero demonstrates exceptional performance across various downstream tasks including zero-shot disease recognition, image-to-image retrieval, clinical diagnosis assistance, few-shot fine-tuning, and cross-domain disease identification. In zero-shot scenarios, it achieves Top-5 accuracies of 0.843 for 15 diseases and 0.756 for 52 diseases, while for image-to-image retrieval, it scores 0.950 and 0.886 respectively. Notably, RetiZero's Top-3 zero-shot performance exceeds the average diagnostic accuracy of 19 ophthalmologists from Singapore, China, and the United States. The model particularly enhances clinicians' ability to diagnose rare fundus conditions, highlighting its potential value for integration into clinical settings where diverse eye diseases are encountered.</t>
  </si>
  <si>
    <t>Wang, Meng; Lin, Tian; Lin, Aidi; Yu, Kai; Peng, Yuanyuan; Wang, Lianyu; Chen, Cheng; Zou, Ke; Liang, Huiyu; Chen, Man; Yao, Xue; Zhang, Meiqin; Huang, Binwei; Zheng, Chaoxin; Zhang, Peixin; Chen, Wei; Luo, Yilong; Chen, Yifan; Xia, Honghe; Shi, Tingkun; Zhang, Qi; Guo, Jinming; Chen, Xiaolin; Wang, Jingcheng; Tham, Yih Chung; Liu, Dianbo; Wong, Wendy; Thakur, Sahil; Fenner, Beau J.; Fang, Danqi; Liu, Siying; Liu, Qingyun; Huang, Yuqiang; Zeng, Hongqiang; Meng, Yanda; Zhou, Yukun; Jiang, Zehua; Qiu, Minghui; Zhang, Changqing; Chen, Xinjian; Wang, Sophia Y.; Lee, Cecilia S.; Sobrin, Lucia; Cheung, Carol Y.; Pang, Chi Pui; Keane, Pearse A.; Cheng, Ching-Yu; Chen, Haoyu; Fu, Huazhu</t>
  </si>
  <si>
    <t>Cheng, CY (corresponding author), Natl Univ Singapore, Ctr Innovat &amp; Precis Eye Hlth, Yong Loo Lin Sch Med, Singapore, Singapore.; Cheng, CY (corresponding author), Natl Univ Singapore, Yong Loo Lin Sch Med, Dept Ophthalmol, Singapore, Singapore.; Chen, HY (corresponding author), Shantou Univ, Joint Shantou Int Eye Ctr, Shantou, Guangdong, Peoples R China.; Chen, HY (corresponding author), Chinese Univ Hong Kong, Shantou, Guangdong, Peoples R China.; Cheng, CY (corresponding author), Singapore Natl Eye Ctr, Singapore Eye Res Inst, Singapore, Singapore.; Cheng, CY (corresponding author), Duke NUS Med Sch, Ophthalmol &amp; Visual Sci Acad Clin Program EYE ACP, Singapore, Singapore.; Fu, HZ (corresponding author), Inst High Performance Comp IHPC, Agcy Sci Technol &amp; Res ASTAR, Singapore, Singapore.</t>
  </si>
  <si>
    <t>chingyu.cheng@nus.edu.sg; drchenhaoyu@gmail.com; hzfu@ieee.org</t>
  </si>
  <si>
    <t>A*STAR Central Research Fund ("Robust and Trustworthy AI system for Multi-modality Healthcare); Advanced Manufacturing and Engineering (AME) Programmatic Fund [A20H4b0141]; National Medical Research Council, Singapore [MOH-CSASI22jul-0001]; Department of Education of Guangdong Province [2024ZDZX2024]; Shantou Science and Technology Program [190917085269835]; National Key R&amp;D Program of China [2018YFA0701703]; National Natural Science Foundation of China [62376193]; NIH [R01AG060942, OT2OD032644]</t>
  </si>
  <si>
    <t>A*STAR Central Research Fund ("Robust and Trustworthy AI system for Multi-modality Healthcare) (Agency for Science Technology &amp; Research (A*STAR)); Advanced Manufacturing and Engineering (AME) Programmatic Fund; National Medical Research Council, Singapore (National Medical Research Council, Singapore); Department of Education of Guangdong Province (National Natural Science Foundation of Guangdong Province); Shantou Science and Technology Program; National Key R&amp;D Program of China (National Key Research &amp; Development Program of China); National Natural Science Foundation of China (National Natural Science Foundation of China (NSFC)); NIH (United States Department of Health &amp; Human Services, National Institutes of Health (NIH) - USA)</t>
  </si>
  <si>
    <t>H.F. discloses support for the research described in this study from the A*STAR Central Research Fund ("Robust and Trustworthy AI system for Multi-modality Healthcare"). C-.Y.C. discloses support for the research described in this study from the Advanced Manufacturing and Engineering (AME) Programmatic Fund (A20H4b0141) and the National Medical Research Council, Singapore (MOH-CSASI22jul-0001). H. C. discloses support for the research described in this study from Department of Education of Guangdong Province (2024ZDZX2024), Shantou Science and Technology Program (190917085269835), and National Key R&amp;D Program of China (2018YFA0701703). C.Q.Z. discloses support for the research described in this study from the National Natural Science Foundation of China (62376193). C.S.L. discloses support for the research described in this study from NIH (R01AG060942, OT2OD032644).</t>
  </si>
  <si>
    <t>[Wang, Meng; Tham, Yih Chung; Liu, Dianbo; Wong, Wendy; Cheng, Ching-Yu] Natl Univ Singapore, Ctr Innovat &amp; Precis Eye Hlth, Yong Loo Lin Sch Med, Singapore, Singapore; [Wang, Meng; Tham, Yih Chung; Liu, Dianbo; Wong, Wendy; Cheng, Ching-Yu] Natl Univ Singapore, Yong Loo Lin Sch Med, Dept Ophthalmol, Singapore, Singapore; [Lin, Tian; Lin, Aidi; Liang, Huiyu; Chen, Man; Yao, Xue; Zhang, Meiqin; Huang, Binwei; Zheng, Chaoxin; Zhang, Peixin; Chen, Wei; Luo, Yilong; Chen, Yifan; Xia, Honghe; Shi, Tingkun; Zhang, Qi; Guo, Jinming; Chen, Xiaolin; Huang, Yuqiang; Pang, Chi Pui; Chen, Haoyu] Shantou Univ, Joint Shantou Int Eye Ctr, Shantou, Guangdong, Peoples R China; [Lin, Tian; Lin, Aidi; Liang, Huiyu; Chen, Man; Yao, Xue; Zhang, Meiqin; Huang, Binwei; Zheng, Chaoxin; Zhang, Peixin; Chen, Wei; Luo, Yilong; Chen, Yifan; Xia, Honghe; Shi, Tingkun; Zhang, Qi; Guo, Jinming; Chen, Xiaolin; Huang, Yuqiang; Pang, Chi Pui; Chen, Haoyu] Chinese Univ Hong Kong, Shantou, Guangdong, Peoples R China; [Yu, Kai] Univ Penn, Dept Radiol, Philadelphia, PA USA; [Peng, Yuanyuan] Anhui Med Univ, Sch Biomed Engn, Hefei, Anhui, Peoples R China; [Wang, Lianyu] Nanjing Univ Aeronaut &amp; Astronaut, Coll Comp Sci &amp; Technol, Nanjing, Jiangsu, Peoples R China; [Chen, Cheng] Univ Hong Kong, Dept Elect &amp; Elect Engn, Hong Kong, Peoples R China; [Zou, Ke] Sichuan Univ, Natl Key Lab Fundamental Sci Synthet Vis, Chengdu, Sichuan, Peoples R China; [Zou, Ke] Sichuan Univ, Coll Comp Sci, Chengdu, Sichuan, Peoples R China; [Wang, Jingcheng] Big Vis Med Technol Ltd, Suzhou, Peoples R China; [Thakur, Sahil; Fenner, Beau J.; Cheng, Ching-Yu] Singapore Natl Eye Ctr, Singapore Eye Res Inst, Singapore, Singapore; [Fenner, Beau J.; Cheng, Ching-Yu] Duke NUS Med Sch, Ophthalmol &amp; Visual Sci Acad Clin Program EYE ACP, Singapore, Singapore; [Fang, Danqi; Cheung, Carol Y.; Pang, Chi Pui] Chinese Univ Hong Kong, Dept Ophthalmol &amp; Visual Sci, Hong Kong, Peoples R China; [Liu, Siying; Liu, Qingyun] Shenzhen Longgang ENT Hosp, Shenzhen, Guangdong, Peoples R China; [Zeng, Hongqiang] Dongguan Songshan Lake Cent Hosp, Dongguan, Guangdong, Peoples R China; [Meng, Yanda] Univ Exeter, Dept Comp Sci, Exeter, England; [Zhou, Yukun] UCL, Ctr Med Image Comp, London, England; [Zhou, Yukun; Keane, Pearse A.] Moorfields Eye Hosp NHS Fdn Trust, NIHR Biomed Res Ctr, London, England; [Zhou, Yukun; Keane, Pearse A.] UCL, Inst Ophthalmol, London, England; [Jiang, Zehua] Tsinghua Univ, Tsinghua Med, Beijing, Peoples R China; [Jiang, Zehua] Beijing Tsinghua Changgung Hosp, Sch Clin Med, Dept Dermatol, Beijing 100190, Peoples R China; [Qiu, Minghui] Foshan Aier Zhuoyue Eye Hosp, Foshan, Guangdong, Peoples R China; [Zhang, Changqing] Tianjin Univ, Coll Intelligence &amp; Comp, Tianjin, Peoples R China; [Chen, Xinjian] Soochow Univ, Sch Elect &amp; Informat Engn, Suzhou, Jiangsu, Peoples R China; [Chen, Xinjian] Soochow Univ, State Key Lab Radiat Med &amp; Protect, Suzhou, Peoples R China; [Wang, Sophia Y.] Stanford Univ, Sch Med, Byers Eye Inst, Dept Ophthalmol, Palo Alto, CA USA; [Lee, Cecilia S.] Univ Washington, Dept Ophthalmol, Seattle, WA USA; [Lee, Cecilia S.] Roger H &amp; Angie Karalis Johnson Retina Ctr, Seattle, WA USA; [Sobrin, Lucia] Harvard Med Sch, Dept Ophthalmol, Massachusetts Eye &amp; Ear, Boston, MA USA; [Fu, Huazhu] Inst High Performance Comp IHPC, Agcy Sci Technol &amp; Res ASTAR, Singapore, Singapore</t>
  </si>
  <si>
    <t>National University of Singapore; National University of Singapore; Shantou University; University of Pennsylvania; Pennsylvania Medicine; Anhui Medical University; Nanjing University of Aeronautics &amp; Astronautics; University of Hong Kong; Sichuan University; Sichuan University; National University of Singapore; Singapore National Eye Center; National University of Singapore; Chinese University of Hong Kong; Longgang ENT Hospital, Shenzhen; University of Exeter; University of London; University College London; University of London; University College London; Moorfields Eye Hospital NHS Foundation Trust; University of London; University College London; Tsinghua University; Tianjin University; Soochow University - China; Soochow University - China; Stanford Medicine; Stanford University; University of Washington; University of Washington Seattle; Harvard University; Harvard Medical School; Harvard University Medical Affiliates; Massachusetts Eye &amp; Ear Infirmary; Agency for Science Technology &amp; Research (A*STAR); A*STAR - Institute of High Performance Computing (IHPC)</t>
  </si>
  <si>
    <t>Enhancing diagnostic accuracy in rare and common fundus diseases with a knowledge-rich vision-language model</t>
  </si>
  <si>
    <t>ARTIFICIAL-INTELLIGENCE; DIABETIC-RETINOPATHY; IMAGE; METHODOLOGY; EYE</t>
  </si>
  <si>
    <t>Chen, Haoyu/A-7432-2013; Chen, Cheng/ABK-4605-2022; Huang, Yuqiang/NRY-4699-2025; Chen, Xinjian/E-8592-2016; Tham, Yih Chung/IUP-0091-2023; Zhang, Peixin/KFQ-6229-2024; LIANG, HUIYU/LRT-5758-2024; Meng, Yanda/IUQ-7187-2023; Chen, Man/LVS-3565-2024; Keane, Pearse/AAE-5709-2019; Thakur, Sahil/AAW-1203-2020; Pang, Chi/I-5388-2014; Zou, Ke/POS-7721-2026; zheng, chaoxin/LVR-1915-2024; chen, yifan/PCR-7954-2025; Lin, Tian/KYR-1715-2024; lee, cecilia/AEP-6583-2022; Cheung, Carol/G-7895-2016; Wang, Lianyu/HSD-5649-2023; Fu, Huazhu/A-1411-2014; Fenner, Beau/AEX-7515-2022</t>
  </si>
  <si>
    <t>Chen, Haoyu/0000-0003-0676-4610; Chen, Cheng/0000-0002-6040-6833; Keane, Pearse/0000-0002-9239-745X; shi, Tingkun/0000-0003-2382-817X; Thakur, Sahil/0000-0002-7948-6992; Zou, Ke/0000-0002-2025-9859; Zheng, Chaoxin/0009-0000-4651-6326; Chen, Man/0009-0005-1616-7467; Lin, Tian/0000-0002-6415-5381; Wang, Sophia Y/0000-0003-0916-9403; Zhou, Yukun/0000-0002-0840-6422; Fu, Huazhu/0000-0002-9702-5524; Fenner, Beau/0000-0002-5356-7604</t>
  </si>
  <si>
    <t>5528</t>
  </si>
  <si>
    <t>10.1038/s41467-025-60577-9</t>
  </si>
  <si>
    <t>http://dx.doi.org/10.1038/s41467-025-60577-9</t>
  </si>
  <si>
    <t>4PH8M</t>
  </si>
  <si>
    <t>40592857</t>
  </si>
  <si>
    <t>WOS:001523450300007</t>
  </si>
  <si>
    <t>Arteaga-Arteaga, HB; Giraldo-Arias, JA; Bravo-Ortíz, MA; Landín, CJ; Guillen-Rondon, P; Tabares-Soto, R</t>
  </si>
  <si>
    <t>Quantifying the Ki-67 proliferation index is crucial for the prognosis of breast cancer. However, manual scoring remains subjective and labor-intensive. This study presents the first benchmarking of proprietary vision-language models (VLMs), including those from OpenAI, Google, xAI, and Anthropic, applied to breast cancer histopathology. Eight commercial models were evaluated in a strict zero-shot setting, using a unified, guideline-based prompt across two available, annotated datasets (BCData, n = 402; SHIDC-B-Ki-67, n = 700). Results show substantial differences between providers: on BCData, OpenAI's GPT-4.5 achieved the best concordance with expert annotations (R2 = 0.8570, RMSE=7.9708) and reached a macro-F1 of 74.56% for three-class cut-off classification (Low: Ki-67 &lt; 16 % (less proliferative), Medium: 16 % &lt;= Ki-67 &lt;30 % (intermediate proliferation), High: Ki-67 &gt;= 30 % (highly proliferative)); on SHIDC-B-Ki-67, GPT-4.1 mini led with R2 = 0.5465, RMSE=16.8202, and macro-F1 of 66.86% across the same ranges. Inference times ranged from 1.67 to 6.84 s per image. Our findings highlight that closed VLMs can deliver an accurate process for index calculation and rapidly deployable Ki-67 quantification, while revealing significant vendor-specific variability and potential use as a complementary tool for medical professionals. This work establishes a new zero-shot benchmarking framework, using vision-language models guided by human instructions, as a reference baseline for future Ki-67 quantification studies.</t>
  </si>
  <si>
    <t>Arteaga-Arteaga, Harold Brayan; Giraldo-Arias, Juan Andres; Bravo-Ortiz, Mario Alejandro; Landin, Cristina Juarez; Guillen-Rondon, Pablo; Tabares-Soto, Reinel</t>
  </si>
  <si>
    <t>Arteaga-Arteaga, HB (corresponding author), Univ Autonoma Manizales, Dept Elect &amp; Automatizac, Manizales 170001, Caldas, Colombia.; Arteaga-Arteaga, HB (corresponding author), Univ Caldas, Dept Sistemas Informat, Manizales 170002, Caldas, Colombia.; Arteaga-Arteaga, HB (corresponding author), Ariadna Commun Grp, CDI Interact, Manizales 170001, Caldas, Colombia.</t>
  </si>
  <si>
    <t>guillenrondonp@uhd.edu; cjuarezl@uaemex.mx; reinel.tabares@ucaldas.edu.co; giraldoariasjuanandres@gmail.com; mario.bravoo@autonoma.edu.co; harold.arteagaa@autonoma.edu.co</t>
  </si>
  <si>
    <t>Convocatoria 22 OCAD for Science, Technology, and Innovation of the Sistema General de Regalias de Colombia; Ministerio de Ciencia, Tecnologia e Innovacion de Colombia</t>
  </si>
  <si>
    <t>Harold Brayan Arteaga-Arteaga is supported by a Ph.D. grant Convocatoria 22 OCAD for Science, Technology, and Innovation of the Sistema General de Regalias de Colombia and the Ministerio de Ciencia, Tecnologia e Innovacion de Colombia.</t>
  </si>
  <si>
    <t>[Arteaga-Arteaga, Harold Brayan; Bravo-Ortiz, Mario Alejandro; Tabares-Soto, Reinel] Univ Autonoma Manizales, Dept Elect &amp; Automatizac, Manizales 170001, Caldas, Colombia; [Arteaga-Arteaga, Harold Brayan; Giraldo-Arias, Juan Andres; Tabares-Soto, Reinel] Univ Caldas, Dept Sistemas Informat, Manizales 170002, Caldas, Colombia; [Arteaga-Arteaga, Harold Brayan] Ariadna Commun Grp, CDI Interact, Manizales 170001, Caldas, Colombia; [Landin, Cristina Juarez] Univ Autonoma Estado Mexico, Ctr Univ UAEM Valle Chalco, Valle Chalco 56615, Mexico; [Guillen-Rondon, Pablo] Univ Houston Downtown, Dept Comp Sci, Houston, TX 77002 USA; [Guillen-Rondon, Pablo] Biomed &amp; Energy Solut LLC, Houston, TX 77001 USA; [Tabares-Soto, Reinel] Univ Adolfo Ibanez, GobLab &amp; Fac Engn &amp; Sci, Santiago 7941169, Chile</t>
  </si>
  <si>
    <t>Universidad Autonoma de Manizales; Universidad de Caldas; University of Houston; University of Houston System; University of Houston; University of Houston Downtown; Universidad Adolfo Ibanez</t>
  </si>
  <si>
    <t>Benchmarking of closed vision-language models for Ki-67 index prediction in breast cancer histopathology images</t>
  </si>
  <si>
    <t>Vision-language models; Breast cancer; Histopathology; Ki-67 index; Deep learning; Benchmarking</t>
  </si>
  <si>
    <t>NET</t>
  </si>
  <si>
    <t>Tabares-Soto, Reinel/AAB-2329-2022; Arteaga-Arteaga, Harold Brayan/JDW-0987-2023; GUILLEN, PABLO/KLC-4787-2024</t>
  </si>
  <si>
    <t>, Juan Andrés Giraldo Arias/0009-0002-1796-1425; GUILLEN, PABLO/0000-0003-3944-2669; Tabares-Soto, Reinel/0000-0002-4978-5211; Arteaga-Arteaga, Harold Brayan/0000-0002-2341-5079; Bravo-Ortiz, Mario Alejandro/0000-0003-3560-1300</t>
  </si>
  <si>
    <t>MAR 1 2026</t>
  </si>
  <si>
    <t>D</t>
  </si>
  <si>
    <t>130196</t>
  </si>
  <si>
    <t>10.1016/j.eswa.2025.130196</t>
  </si>
  <si>
    <t>http://dx.doi.org/10.1016/j.eswa.2025.130196</t>
  </si>
  <si>
    <t>A0772</t>
  </si>
  <si>
    <t>WOS:001619158900006</t>
  </si>
  <si>
    <t>Byra, M; Rachmadi, MF; Skibbe, H</t>
  </si>
  <si>
    <t>Deep learning methods are gaining momentum in radiology. In this work, we investigate the usefulness of vision-language models (VLMs) and large language models for binary few-shot classification of medical images. We utilize the GPT-4 model to generate text descriptors that encapsulate the shape and texture characteristics of objects in medical images. Subsequently, these GPT-4 generated descriptors, alongside VLMs pre-trained on natural images, are employed to classify chest X-rays and breast ultrasound images. Our results indicate that few-shot classification of medical images using VLMs and GPT-4 generated descriptors is a viable approach. However, accurate classification requires the exclusion of certain descriptors from the calculations of the classification scores. Moreover, we assess the ability of VLMs to evaluate shape features in breast mass ultrasound images. This is performed by comparing VLM-based results generated for shape-related text descriptors with the actual values of the shape features calculated using segmentation masks. We further investigate the degree of variability among the sets of text descriptors produced by GPT-4. Our work provides several important insights about the application of VLMs for medical image analysis.</t>
  </si>
  <si>
    <t>Byra, Michal; Rachmadi, Muhammad Febrian; Skibbe, Henrik</t>
  </si>
  <si>
    <t>Byra, M (corresponding author), RIKEN Ctr Brain Sci, Wako, Japan.; Byra, M (corresponding author), Polish Acad Sci, Inst Fundamental Technol Res, Warsaw, Poland.</t>
  </si>
  <si>
    <t>mbyra@ippt.pan.pl</t>
  </si>
  <si>
    <t>Japan Society for the Promotion of Science (JSPS); Japan Agency for Medical Research and Development (AMED) [JP15dm0207001, JP23wm0625001]</t>
  </si>
  <si>
    <t>Japan Society for the Promotion of Science (JSPS) (Ministry of Education, Culture, Sports, Science and Technology, Japan (MEXT), Japan Society for the Promotion of Science); Japan Agency for Medical Research and Development (AMED) (Japan Agency for Medical Research and Development (AMED))</t>
  </si>
  <si>
    <t>The authors do not have any conflicts of interest. This research was partially supported by the Japan Society for the Promotion of Science (JSPS, Fellowship PE21032) and the programs for Brain Mapping by Integrated Neurotechnologies for Disease Studies (Brain/MINDS) and Multidisciplinary Frontier Brain and Neuroscience Discoveries (Brain/MINDS 2.0) from the Japan Agency for Medical Research and Development (AMED) (JP15dm0207001, JP23wm0625001) .</t>
  </si>
  <si>
    <t>[Byra, Michal; Rachmadi, Muhammad Febrian; Skibbe, Henrik] RIKEN Ctr Brain Sci, Wako, Japan; [Byra, Michal] Polish Acad Sci, Inst Fundamental Technol Res, Warsaw, Poland; [Rachmadi, Muhammad Febrian] Univ Indonesia, Fac Comp Sci, Depok, Indonesia</t>
  </si>
  <si>
    <t>RIKEN; Polish Academy of Sciences; Institute of Fundamental Technological Research of the Polish Academy of Sciences; University of Indonesia</t>
  </si>
  <si>
    <t>Few-shot medical image classification with simple shape and texture text descriptors using vision-language models</t>
  </si>
  <si>
    <t>BULLETIN OF THE POLISH ACADEMY OF SCIENCES-TECHNICAL SCIENCES</t>
  </si>
  <si>
    <t>medical image classification; vision-language models; large language models; few-shot learning</t>
  </si>
  <si>
    <t>BREAST-LESIONS</t>
  </si>
  <si>
    <t>Byra, Michał/0000-0002-5759-2516</t>
  </si>
  <si>
    <t>POLSKA AKAD NAUK, POLISH ACAD SCI, DIV IV TECHNICAL SCIENCES PAS</t>
  </si>
  <si>
    <t>WARSZAWA</t>
  </si>
  <si>
    <t>PL DEFILAD 1, WARSZAWA, 00-901, POLAND</t>
  </si>
  <si>
    <t>0239-7528</t>
  </si>
  <si>
    <t>2300-1917</t>
  </si>
  <si>
    <t>B POL ACAD SCI-TECH</t>
  </si>
  <si>
    <t>Bull. Pol. Acad. Sci.-Tech. Sci.</t>
  </si>
  <si>
    <t>MAY 2025</t>
  </si>
  <si>
    <t>e153838</t>
  </si>
  <si>
    <t>10.24425/bpasts.2025.153838</t>
  </si>
  <si>
    <t>http://dx.doi.org/10.24425/bpasts.2025.153838</t>
  </si>
  <si>
    <t>4DT6O</t>
  </si>
  <si>
    <t>WOS:001515607500020</t>
  </si>
  <si>
    <t>Bechar, A; Amira, A; Oulefki, A; Elmir, Y; Himeur, Y</t>
  </si>
  <si>
    <t>The use of vision large language models (VLLMs) for the analysis and diagnosis of respiratory patterns is affected by limited specialist training data and the lack of integrated medical expertise. This article introduces a method that uses a multimodal VLLM to analyze electrocardiogram (ECG) data transformed to Gramian angular fields (GAFs) 2-D image to determine respiratory patterns. Using advanced Shimmer3 sensing, five VLLMs are fine-tuned using four different ECG datasets for training, each containing 5000 samples, to improve the interpretation of ECG signals. VLLMs are then evaluated against an independent set of data to determine normal, rapid, and difficult breathing patterns. The low-rank adaptation method is used to optimize VLLMs for the analysis of ECG signals obtained from the shimmer sensing platform. Results show that Idefics outperforms other fine-tuned VLLMs with a BLEU score of 0.572 for 2-D ECG signals and 0.549 for 1-D ECG signals, which demonstrates that the 2-D image representation of the GAF improves the visualization of ECG respiratory patterns.</t>
  </si>
  <si>
    <t>Bechar, Amine; Amira, Abbes; Oulefki, Adel; Elmir, Youssef; Himeur, Yassine</t>
  </si>
  <si>
    <t>Bechar, A (corresponding author), Univ Sharjah, Dept Comp Sci, Sharjah, U Arab Emirates.</t>
  </si>
  <si>
    <t>aoulefki@ud.ac.ae; aamira@sharjah.ac.ae; abechar@sharjah.ac.ae; yhimeur@ud.ac.ae; elmir@estin.dz</t>
  </si>
  <si>
    <t>University of Sharjah (UoS) Internal Grant</t>
  </si>
  <si>
    <t>This work was supported by the University of Sharjah (UoS) Internal Grant titled "A Smart Noninvasive Assessment, Monitoring, and Prediction Technology for Asthma Attacks."</t>
  </si>
  <si>
    <t>[Bechar, Amine; Amira, Abbes] Univ Sharjah, Dept Comp Sci, Sharjah, U Arab Emirates; [Bechar, Amine; Elmir, Youssef] Ecole Super Sci &amp; Technol Informat &amp; Numer, Lab LITAN, Amizour 06300, Bejaia, Algeria; [Oulefki, Adel] Univ Sharjah, Res Inst Sci &amp; Engn, Sharjah, U Arab Emirates; [Oulefki, Adel; Himeur, Yassine] Univ Dubai, Coll Engn &amp; Informat Technol, Dubai, U Arab Emirates</t>
  </si>
  <si>
    <t>University of Sharjah; University of Sharjah; University of Dubai</t>
  </si>
  <si>
    <t>2-D GAF-Enhanced Multimodal Vision Language Model for Breathing Patterns Analysis via ECG Sensing</t>
  </si>
  <si>
    <t>Electrocardiography; Sensors; Training; Medical diagnostic imaging; Recording; Intelligent sensors; Visualization; Monitoring; Electronic mail; Analytical models; Breathing pattern; electrocardiogram (ECG) analysis; Gramian angular fields (GAFs); Shimmer3 sensing; vision large language models (VLLMs)</t>
  </si>
  <si>
    <t>Elmir, Youssef/HFZ-9190-2022; Oulefki, Adel/NDR-9823-2025; Himeur, Yassine/AAK-7814-2021; Bechar, Amine/JQI-0991-2023</t>
  </si>
  <si>
    <t>Elmir, Youssef/0000-0003-3499-507X; Oulefki, Adel/0000-0003-2930-9215; Bechar, Amine/0009-0002-8047-577X; Himeur, Yassine/0000-0001-8904-5587; Amira, Abbes/0000-0003-1652-0492</t>
  </si>
  <si>
    <t>DEC 1 2025</t>
  </si>
  <si>
    <t>42820</t>
  </si>
  <si>
    <t>42828</t>
  </si>
  <si>
    <t>10.1109/JSEN.2025.3617772</t>
  </si>
  <si>
    <t>http://dx.doi.org/10.1109/JSEN.2025.3617772</t>
  </si>
  <si>
    <t>N1382</t>
  </si>
  <si>
    <t>WOS:001631273800019</t>
  </si>
  <si>
    <t>Güllü, M; Barisçi, N</t>
  </si>
  <si>
    <t>Deploying medical visual question answering (VQA) systems over wireless networks introduces a fundamental challenge: channel-induced image degradation may corrupt the visual representations extracted by large vision-language models (VLMs), leading to unreliable diagnostic decisions. We investigate the robustness of frozen LLaVA-1.6, BLIP-2, and BioViL-T hidden-state features under additive white Gaussian noise (AWGN), Rayleigh fading, and six combined JPEG-compression-plus-channel conditions (quality factors q is an element of{20,50,70} ) across signal-to-noise ratios (SNRs) from -5 to +20 dB. A lightweight MLP classifier is trained exclusively on clean features and evaluated on channel-degraded features, enabling controlled analysis of representation robustness without retraining. We introduce the Feature Robustness Score (FRS), defined as the difference between cosine similarity and normalized L2 drift of clean versus degraded features, together with a validation-set FRS threshold analysis as a label-free retraining criterion. A wavelet sub-band energy analysis further characterizes the spectral distribution of channel-induced feature drift. Experiments on PathVQA and VQA-RAD reveal four key findings: (1) LLaVA-1.6 features maintain cosine similarity above 0.98 across all eight channel conditions and all SNR levels, with statistically significant MLP gains at every tested point ( p&lt;0.05 , McNemar's test); (2) BLIP-2 and BioViL-T features are less stable but still support consistent MLP improvements, with BioViL-T performing competitively on VQA-RAD, suggesting domain alignment matters; (3) JPEG compression quality ( q=20,50,70 ) has negligible impact on feature drift, establishing VLM features as JPEG quality-invariant; and (4) wavelet analysis confirms that channel noise primarily affects high-frequency detail bands while preserving low-frequency semantic content.</t>
  </si>
  <si>
    <t>Gullu, Merve; Barisci, Necaattin</t>
  </si>
  <si>
    <t>Güllü, M (corresponding author), Turk Telekom, R&amp;D Dept, TR-06080 Ankara, Turkiye.; Güllü, M (corresponding author), Gazi Univ, Grad Sch Nat &amp; Appl Sci, TR-06560 Ankara, Turkiye.</t>
  </si>
  <si>
    <t>merve.gullu@turktelekom.com.tr; nbarisci@gazi.edu.tr</t>
  </si>
  <si>
    <t>This research received no external funding.</t>
  </si>
  <si>
    <t>[Gullu, Merve] Turk Telekom, R&amp;D Dept, TR-06080 Ankara, Turkiye; [Gullu, Merve] Gazi Univ, Grad Sch Nat &amp; Appl Sci, TR-06560 Ankara, Turkiye; [Barisci, Necaattin] Gazi Univ, Dept Comp Engn, TR-06560 Ankara, Turkiye</t>
  </si>
  <si>
    <t>Turkish Academy of Sciences; Turk Telekom; Gazi University; Gazi University</t>
  </si>
  <si>
    <t>Robustness of Large Vision Language Model Features Under Wireless Channel Degradation for Medical Visual Question Answering</t>
  </si>
  <si>
    <t>medical visual question answering; large vision-language models; LLaVA; BLIP-2; BioViL-T; wireless channel; AWGN; Rayleigh fading; JPEG compression; feature robustness score; wavelet analysis; PathVQA; VQA-RAD</t>
  </si>
  <si>
    <t>BARIŞÇI, Necaattin/AAU-9854-2020</t>
  </si>
  <si>
    <t>6425</t>
  </si>
  <si>
    <t>10.3390/app16136425</t>
  </si>
  <si>
    <t>http://dx.doi.org/10.3390/app16136425</t>
  </si>
  <si>
    <t>KY8QV</t>
  </si>
  <si>
    <t>WOS:001818860300001</t>
  </si>
  <si>
    <t>Vo, HQ; Wang, L; Wong, KK; Ezeana, CF; Yu, XH; Yang, W; Chang, J; Nguyen, HV; Wong, STC</t>
  </si>
  <si>
    <t>Breast cancer is a pervasive global health concern among women. Leveraging multimodal data from enterprise patient databases-including Picture Archiving and Communication Systems (PACS) and Electronic Health Records (EHRs)-holds promise for improving prediction. This study introduces a multimodal deep-learning model leveraging mammogram datasets to evaluate breast cancer prediction. Our approach integrates frozen large-scale pretrained vision-language models, showcasing superior performance and stability compared to traditional image-tabular models across two public breast cancer datasets. The model consistently outperforms conventional full fine-tuning methods by using frozen pretrained vision-language models alongside a lightweight trainable classifier. The observed improvements are significant. In the CBIS-DDSM dataset, the Area Under the Curve (AUC) increases from 0.867 to 0.902 during validation and from 0.803 to 0.830 for the official test set. Within the EMBED dataset, AUC improves from 0.780 to 0.805 during validation. In scenarios with limited data, using Breast Imaging-Reporting and Data System category three (BI-RADS 3) cases, AUC improves from 0.91 to 0.96 on the official CBIS-DDSM test set and from 0.79 to 0.83 on a challenging validation set. This study underscores the benefits of vision-language models in jointly training diverse image-clinical datasets from multiple healthcare institutions, effectively addressing challenges related to non-aligned tabular features. Combining training data enhances breast cancer prediction on the EMBED dataset, outperforming all other experiments. In summary, our research emphasizes the efficacy of frozen large-scale pretrained vision-language models in multimodal breast cancer prediction, offering superior performance and stability over conventional methods, reinforcing their potential for breast cancer prediction.</t>
  </si>
  <si>
    <t>Vo, Hung Q.; Wang, Lin; Wong, Kelvin K.; Ezeana, Chika F.; Yu, Xiaohui; Yang, Wei; Chang, Jenny; Nguyen, Hien V.; Wong, Stephen T. C.</t>
  </si>
  <si>
    <t>Wong, STC (corresponding author), Houston Methodist Canc Ctr, Dept Syst Med &amp; Biomed Engn, Houston, TX 77030 USA.</t>
  </si>
  <si>
    <t>cfezeana@houstonmethodist.org; xyu2@houstonmethodist.org; jcchang@houstonmethodist.org; kwong@houstonmethodist.org; wyang@mdanderson.org; lwang3@houstonmethodist.org; hvnguy35@central.uh.edu; hqvo2@uh.edu; stwong@houstonmethodist.org</t>
  </si>
  <si>
    <t>National Institute of Health [R01CA251710]; T.T. and W.F. Chao Foundation; John S Dunn Research Foundation</t>
  </si>
  <si>
    <t>National Institute of Health (United States Department of Health &amp; Human Services, National Institutes of Health (NIH) - USA); T.T. and W.F. Chao Foundation; John S Dunn Research Foundation</t>
  </si>
  <si>
    <t>This work was supported in part by National Institute of Health under Grant R01CA251710 and in part by the T.T. and W.F. Chao Foundation and John S Dunn Research Foundation.</t>
  </si>
  <si>
    <t>[Vo, Hung Q.; Nguyen, Hien V.] Univ Houston, Dept Elect &amp; Comp Engn, Houston 77204, TX USA; [Wang, Lin; Wong, Kelvin K.; Ezeana, Chika F.; Yu, Xiaohui; Wong, Stephen T. C.] Houston Methodist Canc Ctr, Dept Syst Med &amp; Biomed Engn, Houston, TX 77030 USA; [Yang, Wei] Univ Texas MD Anderson Canc Ctr, Dept Breast Imaging, Div Diagnost Imaging, Houston, TX 77030 USA; [Chang, Jenny] Houston Methodist Neal Canc Ctr, Dept Med, Houston, TX 77030 USA</t>
  </si>
  <si>
    <t>University of Houston System; University of Houston; Houston Methodist; University of Texas System; UTMD Anderson Cancer Center; Houston Methodist</t>
  </si>
  <si>
    <t>Frozen Large-Scale Pretrained Vision-Language Models are the Effective Foundational Backbone for Multimodal Breast Cancer Prediction</t>
  </si>
  <si>
    <t>Breast cancer; Predictive models; Data models; Visualization; Training; Breast; Biological system modeling; Mammography; Decoding; Adaptation models; BI-RADS 3; breast cancer; electronic health records (EHRs); foundation models; large vision models; large language models; mammograms; multimodal learning; tabular data; vision-language learning</t>
  </si>
  <si>
    <t>MAMMOGRAMS; NETWORK</t>
  </si>
  <si>
    <t>Ezeana, Chika Frank/AGQ-4243-2022; Wong, Kelvin/B-8080-2013</t>
  </si>
  <si>
    <t>Vo, Hung/0000-0002-3764-2803; Wang, Lin/0000-0002-6042-2366; WONG, STEPHEN/0000-0001-9188-6502; Ezeana, Chika Frank/0000-0001-8305-8272; Wong, Kelvin/0000-0001-8329-6123; Yu, Xiaohui/0000-0002-6180-7508</t>
  </si>
  <si>
    <t>95</t>
  </si>
  <si>
    <t>3234</t>
  </si>
  <si>
    <t>3246</t>
  </si>
  <si>
    <t>10.1109/JBHI.2024.3507638</t>
  </si>
  <si>
    <t>http://dx.doi.org/10.1109/JBHI.2024.3507638</t>
  </si>
  <si>
    <t>2JC5Q</t>
  </si>
  <si>
    <t>40030302</t>
  </si>
  <si>
    <t>WOS:001483871500043</t>
  </si>
  <si>
    <t>Lai, YX; Zhong, JK; Li, M; Zhao, ST; Li, YH; Psounis, K; Yang, XF</t>
  </si>
  <si>
    <t>Vision-language models (VLMs) have achieved impressive progress in natural image reasoning, yet their potential in medical imaging remains underexplored. Medical vision-language tasks demand precise understanding and clinically coherent answers, which are difficult to achieve due to complexity of medical data and the scarcity of high-quality expert annotations. These challenges limit the effectiveness of conventional supervised fine-tuning (SFT) and Chain-of-Thought (CoT) strategies that work well in general domains. To address these challenges, we propose Med-R1, a reinforcement learning (RL)-enhanced VLM designed to improve generalization and reliability in medical reasoning. Med-R1 adopts Group Relative Policy Optimization (GRPO) to encourage reward-guided learning beyond static annotations. We comprehensively evaluate Med-R1 across eight distinct medical imaging modalities. Med-R1 achieves a &lt;bold&gt;29.94% improvement&lt;/bold&gt; in average accuracy over its base model Qwen2-VL-2B, and even outperforms Qwen2-VL-72B-a model with $36 imes $ &lt;bold&gt;more parameters&lt;/bold&gt;. To assess cross-task generalization, we further evaluate Med-R1 on five question types. Med-R1 outperforms Qwen2-VL-2B by &lt;bold&gt;32.06%&lt;/bold&gt; in question-type generalization, also surpassing Qwen2-VL-72B. We further explore the thinking process in Med-R1, a crucial component of Deepseek-R1. Our results show that omitting intermediate rationales (No-Thinking Med-R1) not only improves cross-domain generalization with less training, but also challenges the common assumption that more reasoning always helps. Nevertheless, we also find that the Think-After Med-R1 variant further improves performance while maintaining interpretability. These findings suggest that, in medical VQA, the mere presence of explicit reasoning does not guarantee better performance. Instead, performance depends on the quality of the reasoning and the position where the reasoning is generated.</t>
  </si>
  <si>
    <t>Lai, Yuxiang; Zhong, Jike; Li, Ming; Zhao, Shitian; Li, Yuheng; Psounis, Konstantinos; Yang, Xiaofeng</t>
  </si>
  <si>
    <t>Yang, XF (corresponding author), Emory Univ, Dept Comp Sci &amp; Informat, Dept Radiat Oncol, Atlanta, GA 30322 USA.; Yang, XF (corresponding author), Emory Univ, Winship Canc Inst, Atlanta, GA 30322 USA.</t>
  </si>
  <si>
    <t>1506100943@edu.k.u-tokyo.ac.jp; szhao65@jhu.edu; kpsounis@usc.edu; jikezhon@usc.edu; ylai76@emory.edu; yli3445@gatech.edu; xiaofeng.yang@emory.edu</t>
  </si>
  <si>
    <t>National Institutes of Health [R01CA272991, R01EB032680, R01DE033512, U54CA274513]</t>
  </si>
  <si>
    <t>National Institutes of Health (United States Department of Health &amp; Human Services, National Institutes of Health (NIH) - USA)</t>
  </si>
  <si>
    <t>This work was supported in part by the National Institutes of Health under Award R01CA272991, Award R01EB032680, Award R01DE033512, and Award U54CA274513.</t>
  </si>
  <si>
    <t>[Lai, Yuxiang] Emory Univ, Dept Comp Sci &amp; Informat, Atlanta, GA 30322 USA; [Zhong, Jike; Psounis, Konstantinos] Univ Southern Calif, Dept Comp Sci, Los Angeles, CA 90089 USA; [Zhong, Jike; Psounis, Konstantinos] Univ Southern Calif, Dept Elect &amp; Comp Engn, Los Angeles, CA 90089 USA; [Li, Ming] Univ Tokyo, Dept Comp Sci, Tokyo 1138654, Japan; [Zhao, Shitian] Johns Hopkins Univ, Dept Comp Sci, Baltimore, MD 21218 USA; [Li, Yuheng; Yang, Xiaofeng] Emory &amp; Georgia Inst Technol, Dept Biomed Engn, Atlanta, GA 30332 USA; [Yang, Xiaofeng] Emory Univ, Dept Comp Sci &amp; Informat, Dept Radiat Oncol, Atlanta, GA 30322 USA; [Yang, Xiaofeng] Emory Univ, Winship Canc Inst, Atlanta, GA 30322 USA</t>
  </si>
  <si>
    <t>Emory University; University of Southern California; University of Southern California; University of Tokyo; Johns Hopkins University; Emory University; Emory University</t>
  </si>
  <si>
    <t>Med-R1: Reinforcement Learning for Generalizable Medical Reasoning in Vision-Language Models</t>
  </si>
  <si>
    <t>Biomedical imaging; Cognition; Medical diagnostic imaging; Accuracy; Training; Reliability; Reinforcement learning; Magnetic resonance imaging; Computed tomography; Annotations; vision language models; multimodal LLM; post-training; medical reasoning</t>
  </si>
  <si>
    <t>Li, Yuheng/KGM-6048-2024; Yang, Xiaofeng/AAN-9258-2020</t>
  </si>
  <si>
    <t>2727</t>
  </si>
  <si>
    <t>2737</t>
  </si>
  <si>
    <t>10.1109/TMI.2026.3661001</t>
  </si>
  <si>
    <t>http://dx.doi.org/10.1109/TMI.2026.3661001</t>
  </si>
  <si>
    <t>IZ0EU</t>
  </si>
  <si>
    <t>41632678</t>
  </si>
  <si>
    <t>WOS:001783694800001</t>
  </si>
  <si>
    <t>Zhang, JL; Zheng, ST; Liu, XF; Gu, J</t>
  </si>
  <si>
    <t>Reliance on standalone accuracy limits credible assessment of fundus-focused large vision-language models (LVLMs), as high scores often stem from linguistic shortcuts rather than real visual reasoning. This work develops the Cognitive Audit Framework (CAF), a four-module automated auditing pipeline that dissects model reasoning flaws: Visual-Linguistic Decoupling (textual dependency via modality ablation), Hierarchical Logical Consistency (lesion-diagnosis contradiction detection), Reasoning Fidelity Gap (chain-of-thought unfaithfulness scoring), and Contextual Robustness (positional bias under option permutation). Experiments on six 7B-31B LVLMs over FunBench reveal a notable gap between benchmark accuracy and reasoning quality: high accuracy coexists with measurable textual dependency, logical inconsistencies across diagnostic levels, limited chain-of-thought faithfulness, and non-trivial positional sensitivity. CAF serves as a reproducible complement to pure accuracy metrics for validating clinical competence of ophthalmic multimodal models.</t>
  </si>
  <si>
    <t>Zhang, Jingling; Zheng, Shuting; Liu, Xiangfei; Gu, Jia</t>
  </si>
  <si>
    <t>Gu, J (corresponding author), City Univ Macau, Inst Data Sci, Macau 999078, Peoples R China.</t>
  </si>
  <si>
    <t>d24092100224@cityu.edu.mo; fgtear@ptu.edu.cn; jiagu@cityu.edu.mo; d24092100270@cityu.edu.mo</t>
  </si>
  <si>
    <t>Science and Technology Development Fund of Macao [0002/2024/RIA1]; Fujian Province Young and Middle-aged Teachers' Educational Science Research Projects (Science and Technology Category) [JAT232014]</t>
  </si>
  <si>
    <t>Science and Technology Development Fund of Macao; Fujian Province Young and Middle-aged Teachers' Educational Science Research Projects (Science and Technology Category)</t>
  </si>
  <si>
    <t>This work was supported by the Science and Technology Development Fund of Macao under Grant No. 0002/2024/RIA1, and by Fujian Province Young and Middle-aged Teachers' Educational Science Research Projects (Science and Technology Category) under Grant No. JAT232014.</t>
  </si>
  <si>
    <t>[Zhang, Jingling; Liu, Xiangfei; Gu, Jia] City Univ Macau, Inst Data Sci, Macau 999078, Peoples R China; [Zhang, Jingling; Zheng, Shuting] Putian Univ, Inst Artificial Intelligence, Putian 351100, Peoples R China; [Liu, Xiangfei] Chinese Acad Sci, Shenzhen Inst Adv Technol, Shenzhen 518055, Peoples R China</t>
  </si>
  <si>
    <t>City University of Macau; Putian University; Chinese Academy of Sciences; Shenzhen Institute of Advanced Technology, CAS</t>
  </si>
  <si>
    <t>Beyond Accuracy: A Multi-dimensional Cognitive Audit of Medical Large Vision-Language Models in Fundus Image Interpretation</t>
  </si>
  <si>
    <t>large vision-language models; visual reasoning; cognitive audit framework; clinical comprehension</t>
  </si>
  <si>
    <t>DIABETIC-RETINOPATHY; PERFORMANCE</t>
  </si>
  <si>
    <t>zheng, shuting/PJB-7727-2026</t>
  </si>
  <si>
    <t>JUN 15 2026</t>
  </si>
  <si>
    <t>6064</t>
  </si>
  <si>
    <t>10.3390/app16126064</t>
  </si>
  <si>
    <t>http://dx.doi.org/10.3390/app16126064</t>
  </si>
  <si>
    <t>JZ9AO</t>
  </si>
  <si>
    <t>WOS:001801930600001</t>
  </si>
  <si>
    <t>Yang, K; Zhang, ZW; Zhou, YP; Yang, JQ; Guo, JJ; Wen, ST</t>
  </si>
  <si>
    <t>Large vision-language models (LVLM) have demonstrated strong reasoning capabilities in multimodal understanding. However, their application to 3D medical imaging remains limited by the high dimensionality and redundancy of volumetric data. In clinical practice, 3D brain MRI analysis requires not only lesion localization but also anomaly-aware semantic reasoning and interpretable interaction, which existing vision-language models struggle to provide. In this work, we propose a anomaly-guided Large Vision-Language Model Brain3DGPT for anomaly-aware reasoning in 3D brain MRI. Our method leverages a 3D encoder-decoder backbone to extract hierarchical volumetric features and anomaly cues, which are integrated through an anomaly-guided multi-scale dynamic feature fusion mechanism to produce semantically enriched representations. To effectively connect 3D visual representations with LLMs, we design visual and anomaly projection modules that transform visual features and anomaly cues into compact, language-aligned tokens. In addition, we proposed MMBrainMRI-4K Dataset of 4010 3D brain MRI volumes paired with region-aware textual descriptions for training and evaluation. Extensive experiments demonstrate that our framework enables effective anomaly-aware volumetric reasoning and supports interpretable interaction with 3D brain MRI data. To facilitate reproducibility and further research, the code and dataset are publicly available at .</t>
  </si>
  <si>
    <t>Yang, Kun; Zhang, Zhiwang; Zhou, Yipeng; Yang, Jinqiu; Guo, Jiaji; Wen, Shiting</t>
  </si>
  <si>
    <t>Zhang, ZW; Wen, ST (corresponding author), NingboTech Univ, Ningbo, Peoples R China.</t>
  </si>
  <si>
    <t>zhiwang.zhang@nbt.edu.cn; wensht@nbt.edu.cn</t>
  </si>
  <si>
    <t>Ningbo Public Welfare Science and Technology Program Project [2025S181]; Ningbo Special Talent Support Program [2025 S-237-05]; Natural Science Foundation of Zhejiang Province [LQN26F020069]; Key Project of the Zhejiang Provincial Natural Science Foundation [LZ26F020010]; Ningbo Science and Technology Special Projects [2025Z124]; Key Programs of Ningbo Municipal Natural Science Foundationn [2024J021]; Yuyao Key Research and Development Plan [2025JH03010002]; National Natural Science Foundation of China [62541611]; Key R&amp;D Program of Ningbo National High-Tech Zone [2025CX050008]</t>
  </si>
  <si>
    <t>Ningbo Public Welfare Science and Technology Program Project; Ningbo Special Talent Support Program; Natural Science Foundation of Zhejiang Province (Natural Science Foundation of Zhejiang Province); Key Project of the Zhejiang Provincial Natural Science Foundation; Ningbo Science and Technology Special Projects; Key Programs of Ningbo Municipal Natural Science Foundationn; Yuyao Key Research and Development Plan; National Natural Science Foundation of China (National Natural Science Foundation of China (NSFC)); Key R&amp;D Program of Ningbo National High-Tech Zone</t>
  </si>
  <si>
    <t>This work was supported by the National Natural Science Foundation of China (Grant No. 62541611),the Natural Science Foundation of Zhejiang Province (Grant Nos. LQN26F020069 and LZ26F020010), the Key R&amp;D Program of Ningbo National High-tech Zone (Grant No. 2025CX050008), the Yuyao Key Research and Development Plan (Grant No. 2025JH030 10002), the Ningbo Public Welfare Science and Technology Program Project (Grant No. 2025S181), the Ningbo Science and Technology Special Projects (Grant Nos. 2025Z124 and 2024Z263),the Ningbo Special Talent Support Program (Grant Nos. 2024A-392-G and 2025 S-237-05),and the Key Programs of Ningbo Municipal Natural Science Foundation (Grant No. 2024J021).</t>
  </si>
  <si>
    <t>[Yang, Kun] Zhejiang Sci Tech Univ, Hangzhou, Peoples R China; [Zhang, Zhiwang; Yang, Jinqiu; Guo, Jiaji; Wen, Shiting] NingboTech Univ, Ningbo, Peoples R China; [Zhou, Yipeng] Macquarie Univ, Sydney, Australia</t>
  </si>
  <si>
    <t>Zhejiang Sci-Tech University; NingboTech University; Macquarie University</t>
  </si>
  <si>
    <t>3D brain image anomaly detection using anomaly-guided large vision-language models</t>
  </si>
  <si>
    <t>VISUAL COMPUTER</t>
  </si>
  <si>
    <t>3D brain MRI; Anomaly-aware reasoning; Vision-language models; Volumetric representation learning</t>
  </si>
  <si>
    <t>yang, kun/0009-0008-5226-8515</t>
  </si>
  <si>
    <t>0178-2789</t>
  </si>
  <si>
    <t>1432-2315</t>
  </si>
  <si>
    <t>VISUAL COMPUT</t>
  </si>
  <si>
    <t>Visual Comput.</t>
  </si>
  <si>
    <t>JUL 15 2026</t>
  </si>
  <si>
    <t>413</t>
  </si>
  <si>
    <t>10.1007/s00371-026-04622-8</t>
  </si>
  <si>
    <t>http://dx.doi.org/10.1007/s00371-026-04622-8</t>
  </si>
  <si>
    <t>Computer Science, Software Engineering</t>
  </si>
  <si>
    <t>LC3HZ</t>
  </si>
  <si>
    <t>WOS:001821210100002</t>
  </si>
  <si>
    <t>La Rosa, F; Dell'Acqua, P; Fazio, M; Villari, M</t>
  </si>
  <si>
    <t>Despite CNNs' high accuracy in medical image analysis, their opaque nature limits widespread clinical adoption, as practitioners are skeptical of predictions lacking clear rationale. This critical trust barrier necessitates the development of new approaches to provide transparent, reliable, and actionable insights coming from CNN, thus to effectively integrate them into healthcare processes. This paper addresses this issue by proposing a novel hybrid diagnostic pipeline that combines the predictive power of CNNs with the interpretive capabilities of Large Language Models (LLMs). Utilizing the LLM's ability to generate human-like text and drawing clinical reasoning, our solution generates transparent explanations for CNN-based diagnoses. The approach is demonstrated on retinal diseases, where a ConvNeXt V2 model and Contrastive Language-Image Pretraining (CLIP) feature extraction approach are integrated for clinical classification and interpretation. This hybrid Vision-Language strategy aims to deliver both high predictive accuracy and the necessary human-readable accountability to foster clinical trust.</t>
  </si>
  <si>
    <t>La Rosa, Francesco; Dell'Acqua, Pierluigi; Fazio, Maria; Villari, Massimo</t>
  </si>
  <si>
    <t>Dell'Acqua, P (corresponding author), MIFT Univ Messina, Piazza Pugliatti 1, I-98122 Messina, Italy.</t>
  </si>
  <si>
    <t>pidellacqua@unime.it; mvillari@unime.it; mfazio@unime.it; flarosa@unime.it</t>
  </si>
  <si>
    <t>Italian Ministry of University and Research (MUR) [J53D23015080001-IC: P2022YNBHP, CUP J53D23007060006]; Italian Ministry of Health, Piano Operativo Salute (POS) trajectory 2 "eHealth [CUP J43C22000380001]</t>
  </si>
  <si>
    <t>Italian Ministry of University and Research (MUR) (Ministry of Education, Universities and Research (MIUR)); Italian Ministry of Health, Piano Operativo Salute (POS) trajectory 2 "eHealth</t>
  </si>
  <si>
    <t>This work was partially supported by the Italian Ministry of University and Research (MUR) "Research Projects of National Interest Progetti di Rilevante Interesse Nazionale-Piano Nazionale di Ripresa e Resilienza (PRIN-PNRR) " through the projects "Cloud Continuum aimed at On-Demand Services in Smart Sustainable Environments" (CUP: J53D23015080001-IC: P2022YNBHP) , and "Tele-Rehabilitation as a Service (TRaaS) " (CUP J53D23007060006) , and the Italian Ministry of Health, Piano Operativo Salute (POS) trajectory 2 "eHealth, diagnostica avanzata, medical device e mini invasivita" through the project "Rete eHealth: AI e strumenti ICT Innovativi orientati alla Diagnostica Digitale (RAIDD) " (CUP J43C22000380001) .</t>
  </si>
  <si>
    <t>[La Rosa, Francesco; Dell'Acqua, Pierluigi; Fazio, Maria; Villari, Massimo] MIFT Univ Messina, Piazza Pugliatti 1, I-98122 Messina, Italy</t>
  </si>
  <si>
    <t>Hybrid vision-language models for improved transparency in healthcare processes: The retinal diagnosis use case</t>
  </si>
  <si>
    <t>KNOWLEDGE-BASED SYSTEMS</t>
  </si>
  <si>
    <t>Retinal imaging; Diabetic retinopathy; Convolutional neural network; Large language model; Explainable AI</t>
  </si>
  <si>
    <t>DIABETIC-RETINOPATHY; VALIDATION</t>
  </si>
  <si>
    <t>La Rosa, Francesco/PMF-4146-2026</t>
  </si>
  <si>
    <t>La Rosa, Francesco/0000-0003-2712-2609; Fazio, Maria/0000-0003-3574-1848; Dell'Acqua, Pierluigi/0009-0006-7817-4918</t>
  </si>
  <si>
    <t>0950-7051</t>
  </si>
  <si>
    <t>1872-7409</t>
  </si>
  <si>
    <t>KNOWL-BASED SYST</t>
  </si>
  <si>
    <t>Knowledge-Based Syst.</t>
  </si>
  <si>
    <t>MAR 25 2026</t>
  </si>
  <si>
    <t>337</t>
  </si>
  <si>
    <t>115456</t>
  </si>
  <si>
    <t>10.1016/j.knosys.2026.115456</t>
  </si>
  <si>
    <t>http://dx.doi.org/10.1016/j.knosys.2026.115456</t>
  </si>
  <si>
    <t>DO3QN</t>
  </si>
  <si>
    <t>WOS:001688205000001</t>
  </si>
  <si>
    <t>Zhu, YT; Wang, XY; Huang, XJ; Xia, M; Mu, P; Hu, HG; Zhang, XQ</t>
  </si>
  <si>
    <t>Significant progress has been made in applying deep learning for the automatic diagnosis of skin lesions. However, most models remain unexplainable, which severely hinders their application in clinical settings. Concept-based ante-hoc interpretable models have the potential to clarify the decision-making process of diagnosis by learning high-level, human-understandable concepts, while they can only provide numerical values of conceptual contributions. Pre-trained Vision-Language Models (VLMs) can learn rich vision-language correlations from large-scale image-text pairs. Fine-tuning pre-trained VLMs for specific downstream tasks is an effective way to reduce data requirements. Nevertheless, when there is a substantial disparity between the pre-trained model and the target task, existing tuning methods frequently struggle to generalize, necessitating substantial training data to fully adapt VLMs to specialized medical tasks. In this work, we propose a concept adaptive fine-tuning (CptAFT) method based on the pre-trained VLM, BiomedCLIP, to develop a concept-based multi-modal interpretable skin lesion diagnosis model. By incorporating medical texts, such as reports and conceptual terms, our model can recognize fine-grained features and provide robust, natural language-driven interpretability. Moreover, our concept-adaptive method that reconstructs images using concept logits and imposes a consistency loss with the original image, enabling the VLM to quickly adapt to the task with a small amount of training data. Extensive experimental results demonstrate that our approach outperforms state-of-the-art closed box and interpretable models in both classification performance and medically relevant interpretability. In particular, after fine-tuning with a small amount of data, our model outperforms MONET, a model trained on the large Skin Disease Image-Report dataset, by 8.28% in concept recognition ability, demonstrating the interpretability of our model.</t>
  </si>
  <si>
    <t>Zhu, Yating; Wang, Xiaoyan; Huang, Xiaojie; Xia, Ming; Mu, Pan; Hu, Haigen; Zhang, Xiaoqin</t>
  </si>
  <si>
    <t>Wang, XY (corresponding author), ZheJiang Univ Technol, Sch Comp Sci &amp; Technol, Hangzhou 310023, Peoples R China.</t>
  </si>
  <si>
    <t>211122120025@zjut.edu.cn; xiaoyanwang@zjut.edu.cn; xqzhang@zjut.edu.cn; xiaming@zjut.edu.cn; panmu@zjut.edu.cn; hghu@zjut.edu.cn; caicaitu@zju.edu.cn</t>
  </si>
  <si>
    <t>Natural Science Foundation of Zhejiang Province [LY23F030007]; National Natural Science Foundation of China [62273308, 62373324, 62202429, 2025C02160]; Zhejiang Provincial Research Project on the Application of Public Welfare Technologies [LGF22F020023]; National Key Research and Development Program of China [2024YFC3300092]</t>
  </si>
  <si>
    <t>Natural Science Foundation of Zhejiang Province (Natural Science Foundation of Zhejiang Province); National Natural Science Foundation of China (National Natural Science Foundation of China (NSFC)); Zhejiang Provincial Research Project on the Application of Public Welfare Technologies; National Key Research and Development Program of China (National Key Research &amp; Development Program of China)</t>
  </si>
  <si>
    <t>This work was supported in part by the Natural Science Foundation of Zhejiang Province under Grant LY23F030007, in part by the National Natural Science Foundation of China under Grant 62273308, Grant 62373324, Grant 62202429, and Grant 2025C02160, in part by the Zhejiang Provincial Research Project on the Application of Public Welfare Technologies under Grant LGF22F020023, and in part by the National Key Research and Development Program of China under Grant 2024YFC3300092.</t>
  </si>
  <si>
    <t>[Zhu, Yating; Wang, Xiaoyan; Xia, Ming; Mu, Pan; Hu, Haigen; Zhang, Xiaoqin] ZheJiang Univ Technol, Sch Comp Sci &amp; Technol, Hangzhou 310023, Peoples R China; [Huang, Xiaojie] Zhejiang Univ, Affiliated Hosp 2, Sch Med, Hangzhou 310009, Peoples R China</t>
  </si>
  <si>
    <t>Zhejiang University of Technology; Zhejiang University</t>
  </si>
  <si>
    <t>Enhancing the Interpretation of Skin Lesion Diagnosis: Concept Adaptive Fine-Tuning of Vision-Language Models</t>
  </si>
  <si>
    <t>Adaptation models; Medical diagnostic imaging; Biological system modeling; Lesions; Visualization; Skin; Melanoma; Data models; Training data; Numerical models; Concept-based models; interpretability; skin melanoma diagnosis; vision-language models</t>
  </si>
  <si>
    <t>Hu, Haigen/J-1009-2019</t>
  </si>
  <si>
    <t>2010</t>
  </si>
  <si>
    <t>2022</t>
  </si>
  <si>
    <t>10.1109/JBHI.2025.3606881</t>
  </si>
  <si>
    <t>http://dx.doi.org/10.1109/JBHI.2025.3606881</t>
  </si>
  <si>
    <t>ET2HF</t>
  </si>
  <si>
    <t>40920523</t>
  </si>
  <si>
    <t>WOS:001709172500016</t>
  </si>
  <si>
    <t>Kim, D; Lee, YI; Yoon, D; Kim, BJ; Kim, DH</t>
  </si>
  <si>
    <t>Multimodal Emotion Recognition in Conversation (ERC) has attracted attention as a key technology in human-computer interaction, mental healthcare, and intelligent services. However, deploying ERC in real-world settings remains challenging due to reliability gaps across modalities, instability in visual representations, and the high computational cost of large pretrained models. In particular, on resource-constrained edge devices, it is difficult to reduce model size and inference latency while preserving accuracy. To address these challenges, we jointly propose a knowledge-distillation-based multimodal ERC model, called DDVLM, with an edge-optimized Weight-Only Quantization (WOQ) pipeline for efficient edge deployment. DDVLM assigns the textual modality as the teacher and the visual modality as the student, transferring emotion-distribution knowledge to improve non-verbal representations and stabilize multimodal learning. In addition, Exponential Moving Average (EMA)-based self-distillation enhances the consistency and generalization capability of text features. Meanwhile, the proposed WOQ pipeline quantizes linear-layer weights to INT8 while preserving precision-sensitive operations in mixed precision, thereby minimizing accuracy loss and reducing model size, memory usage, and inference latency. Experiments on the MELD dataset demonstrated that the proposed approach achieves state-of-the-art performance while also enabling real-time inference on edge devices such as NVIDIA Jetson. Overall, this work presents a practical ERC framework that jointly considers accuracy and deployability.</t>
  </si>
  <si>
    <t>Kim, DeogHwa; Lee, Yu Il; Yoon, Da Hyun; Kim, Byeong Jun; Kim, Deok-Hwan</t>
  </si>
  <si>
    <t>Kim, DH (corresponding author), Inha Univ, Dept Elect &amp; Comp Engn, Incheon 22212, South Korea.</t>
  </si>
  <si>
    <t>qudwns3149@inha.edu; yoondaah@inha.edu; deokhwan@inha.ac.kr; ejrghk99@inha.edu; dldbdlf00@inha.edu</t>
  </si>
  <si>
    <t>Korean government (MSIT) [RS-2024-00336286]; Inha University</t>
  </si>
  <si>
    <t>Korean government (MSIT); Inha University (Inha University)</t>
  </si>
  <si>
    <t>This research was funded by the National Research Foundation of Korea (NRF) grant funded by the Korean government (MSIT) (No. RS-2024-00336286) and in part by an Inha University Research Grant.</t>
  </si>
  <si>
    <t>[Kim, DeogHwa; Lee, Yu Il; Yoon, Da Hyun; Kim, Byeong Jun; Kim, Deok-Hwan] Inha Univ, Dept Elect &amp; Comp Engn, Incheon 22212, South Korea</t>
  </si>
  <si>
    <t>Inha University</t>
  </si>
  <si>
    <t>Dual-Distillation Vision-Language Model for Multimodal Emotion Recognition in Conversation with Quantized Edge Deployment</t>
  </si>
  <si>
    <t>multimodal emotion recognition in conversation; knowledge distillation; exponential moving average; vision-language model; weight-only quantization</t>
  </si>
  <si>
    <t>MAR 23 2026</t>
  </si>
  <si>
    <t>3103</t>
  </si>
  <si>
    <t>10.3390/app16063103</t>
  </si>
  <si>
    <t>http://dx.doi.org/10.3390/app16063103</t>
  </si>
  <si>
    <t>FQ6MQ</t>
  </si>
  <si>
    <t>WOS:001725088100001</t>
  </si>
  <si>
    <t>Meng, X; Wong, WM; Pushpanathan, K; Srinivasan, S; Xue, CC; Wang, M; Miao, H; Li, HT; Yang, LP; Cen, LP; Chen, LJ; Chan, HW; Tham, YC; Cheng, CY</t>
  </si>
  <si>
    <t>BACKGROUND: To evaluate the clinical applicability of three generic Vision-Large-Language Models (VLLMs) - OpenAI's GPT-4omni, GPT-4V(ision) and Google's Gemini in detecting and diagnosing inherited retinal diseases (IRDs), using fundus photographs. METHODS: The head-to-head comparative study curated 60 ultra-widefield (UWF) fundus images of 30 IRD patients from the National University Hospital, Singapore. Additionally, ten normal, open-sourced UWF fundus images were included for comparison. The 70 fundus images were analysed by the three VLLMs using standardised prompts to generate descriptions of 10 specified retinal features and provide clinical insights. Each VLLM received 2100 scores for descriptions across ten features, rated by three blinded consultant-level graders using three-point scale (0 = poor, 1 = borderline, 2 = good). Clinical insights including disease detection, diagnosis and pathological gene inference evaluated against clinical ground-truth. RESULTS: GPT-4o achieved the highest mean quality score in feature description (1.64 [0.6971, mean [SEM1), outperforming GPT-4V (1.57 [0.7381) and Gemini (1.46 [0.8001; both p &lt; 0.001). All models demonstrated high detection accuracy (&gt;= 81.4%), but Gemini incorrectly classified all normal fundus images as IRD. GPT-4omni (65.7%) outperformed GPT-4V (50%) and Gemini (60%) in diagnosis accuracy. Gene inference precision remained low (&lt;20.3%) across all models. High concordance was observed across all models between feature descriptions and diagnoses (&gt;= 97.1%), between diagnoses and clinical recommendations (100%). CONCLUSIONS: GPT-4omni and GPT-4V demonstrated promising potential in detecting IRDs from fundus photographs, with good feature extraction capabilities and high detection accuracy. Gemini struggled with misidentifying normal fundus images. All three VLLMs require further refinement to improve diagnostic accuracy and gene inference.</t>
  </si>
  <si>
    <t>Meng, Xiang; Wong, Wendy Meihua; Pushpanathan, Krithi; Srinivasan, Sahana; Xue, Cancan; Wang, Meng; Miao, Heng; Li, Hengtong; Yang, Liping; Cen, Ling-Ping; Chen, Li Jia; Chan, Hwei Wuen; Tham, Yih-Chung; Cheng, Ching-Yu</t>
  </si>
  <si>
    <t>Tham, YC; Cheng, CY (corresponding author), Natl Univ Singapore, Yong Loo Lin Sch Med, Ctr Innovat &amp; Precis Eye Hlth, Singapore, Singapore.; Tham, YC; Cheng, CY (corresponding author), Natl Univ Singapore, Yong Loo Lin Sch Med, Dept Ophthalmol, Singapore, Singapore.; Tham, YC (corresponding author), Natl Univ Singapore Hosp, Dept Ophthalmol, Singapore, Singapore.; Cheng, CY (corresponding author), Singapore Eye Res Inst, Singapore Natl Eye Ctr, Singapore, Singapore.</t>
  </si>
  <si>
    <t>thamyc@nus.edu.sg; chingyu.cheng@nus.edu.sg</t>
  </si>
  <si>
    <t>National Medical Research Council, Singapore [MOH-CSASI22jul-0001]; China Scholarship Council program [202306010300]</t>
  </si>
  <si>
    <t>National Medical Research Council, Singapore (National Medical Research Council, Singapore); China Scholarship Council program (China Scholarship Council)</t>
  </si>
  <si>
    <t>FUNDINGThis work was supported by grants from the National Medical Research Council, Singapore (MOH-CSASI22jul-0001; to CYC). XM acknowledge the support of China Scholarship Council program (project ID:202306010300).</t>
  </si>
  <si>
    <t>[Meng, Xiang; Wong, Wendy Meihua; Pushpanathan, Krithi; Wang, Meng; Li, Hengtong; Chan, Hwei Wuen; Tham, Yih-Chung; Cheng, Ching-Yu] Natl Univ Singapore, Yong Loo Lin Sch Med, Ctr Innovat &amp; Precis Eye Hlth, Singapore, Singapore; [Meng, Xiang; Wong, Wendy Meihua; Pushpanathan, Krithi; Wang, Meng; Li, Hengtong; Chan, Hwei Wuen; Tham, Yih-Chung; Cheng, Ching-Yu] Natl Univ Singapore, Yong Loo Lin Sch Med, Dept Ophthalmol, Singapore, Singapore; [Meng, Xiang; Miao, Heng] Peking Univ, Peoples Hosp, Dept Ophthalmol, Beijing, Peoples R China; [Meng, Xiang; Yang, Liping] Peking Univ, Hosp 3, Dept Ophthalmol, Beijing, Peoples R China; [Wong, Wendy Meihua; Chan, Hwei Wuen; Tham, Yih-Chung] Natl Univ Singapore Hosp, Dept Ophthalmol, Singapore, Singapore; [Srinivasan, Sahana; Xue, Cancan; Cheng, Ching-Yu] Singapore Eye Res Inst, Singapore Natl Eye Ctr, Singapore, Singapore; [Miao, Heng] Beijing Key Lab Ocular Dis &amp; Optometry Sci, Beijing, Peoples R China; [Yang, Liping] Peking Univ Third Hosp, Beijing Key Lab Restorat Damaged Ocular Nerve, Beijing, Peoples R China; [Cen, Ling-Ping] Guangdong Med Univ, Sch Med Technol, Guangdong Prov Key Lab Med Immunol &amp; Mol Diagnost, Zhanjiang, Peoples R China; [Chen, Li Jia] Chinese Univ Hong Kong, Dept Ophthalmol &amp; Visual Sci, Hong Kong, Peoples R China</t>
  </si>
  <si>
    <t>National University of Singapore; Peking University; Peking University; National University of Singapore; National University of Singapore; Singapore National Eye Center; Peking University; Chinese University of Hong Kong</t>
  </si>
  <si>
    <t>Comparative analysis of generic vision-language models in detecting and diagnosing inherited retinal diseases using fundus photographs</t>
  </si>
  <si>
    <t>EYE</t>
  </si>
  <si>
    <t>Xue, Can Can/GXG-2544-2022; Cen, Ling-Ping/O-4216-2015; Tham, Yih Chung/IUP-0091-2023; Pushpanathan, Krithi/AAD-3746-2022; WONG, WENDY/HZM-5481-2023</t>
  </si>
  <si>
    <t>Cen, Ling-Ping/0000-0003-3876-0606; Pushpanathan, Krithi/0000-0001-6263-8489; WONG, WENDY/0000-0002-4514-250X</t>
  </si>
  <si>
    <t>0950-222X</t>
  </si>
  <si>
    <t>1476-5454</t>
  </si>
  <si>
    <t>Eye</t>
  </si>
  <si>
    <t>3187</t>
  </si>
  <si>
    <t>3194</t>
  </si>
  <si>
    <t>10.1038/s41433-025-04013-8</t>
  </si>
  <si>
    <t>http://dx.doi.org/10.1038/s41433-025-04013-8</t>
  </si>
  <si>
    <t>9XA1C</t>
  </si>
  <si>
    <t>41057716</t>
  </si>
  <si>
    <t>WOS:001589379800001</t>
  </si>
  <si>
    <t>Bosbach, WA; Clement, CL; Strunz, F; Zangeneh, FA; Gözlügöl, N; Bregenzer, CM; Mingels, C; Koller, P; Zeimpekis, K; Shi, KY; Rominger, A; Seifert, R</t>
  </si>
  <si>
    <t>Background: Tc-99m mercaptoacetyltriglycine (MAG3) studies represent a classic of nuclear medicine. We evaluated the quality of MAG3 reports generated by a vision language model (VLM). The mid-term goal to utilize such systems could be the support of nuclear medicine experts, thereby freeing staff resources currently tied up in administrative and documentation tasks. Results: Human raters generally preferred MAG3 reports written by human authors over those generated using the VLM. Scores for VLM-generated reports improved notably in the subset of cases where the urodynamic curves were correctly identified by the model. Half of the raters found statistically significant differences between human and Qwen-generated reports (Wilcoxon signed-rank test, alpha = 0.05). There was a strong correlation between the assessed text quality and the raters' ability to correctly identify the source of the text (human or Qwen; R-2 = 0.998). Conclusion: The VLM-based approach successfully generated MAG3 reports that, to some extent, resembled those written by human experts. However, assessed quality varied among raters. It remains to be seen whether future language model advancements will reach a performance level sufficient for integration into clinical practice.</t>
  </si>
  <si>
    <t>Bosbach, Wolfram Andreas; Clement, Christoph L.; Strunz, Franziska; Aghapour Zangeneh, Foroud; Gozlugol, Nasir; Bregenzer, Carola Maria; Mingels, Clemens; Koller, Pia; Zeimpekis, Konstantinos; Shi, Kuangyu; Rominger, Axel; Seifert, Robert</t>
  </si>
  <si>
    <t>Bosbach, WA; Seifert, R (corresponding author), Univ Bern, Bern Univ Hosp, Dept Nucl Med, Inselspital, Bern, Switzerland.</t>
  </si>
  <si>
    <t>clement.christoph@icloud.com; WolframAndreas.Bosbach@insel.ch; kuangyu.shi@insel.ch; Franziska.strunz@insel.ch; clemens.mingels@insel.ch; pia.koller@unibe.ch; konstantinos.zeimpekis@insel.ch; Robert.Seifert@insel.ch; carolamaria.bregenzer@insel.ch; nasir.goezluegoel@insel.ch; Foroud.AghapourZangeneh@Insel.ch; axel.rominger@insel.ch</t>
  </si>
  <si>
    <t>[Bosbach, Wolfram Andreas; Clement, Christoph L.; Strunz, Franziska; Aghapour Zangeneh, Foroud; Gozlugol, Nasir; Bregenzer, Carola Maria; Mingels, Clemens; Koller, Pia; Zeimpekis, Konstantinos; Shi, Kuangyu; Rominger, Axel; Seifert, Robert] Univ Bern, Bern Univ Hosp, Dept Nucl Med, Inselspital, Bern, Switzerland</t>
  </si>
  <si>
    <t>University of Bern; University Hospital of Bern</t>
  </si>
  <si>
    <t>Automation of 99mTc mercaptoacetyltriglycine (MAG3) report writing using a vision language model</t>
  </si>
  <si>
    <t>EJNMMI RESEARCH</t>
  </si>
  <si>
    <t>Rominger, Axel/K-5891-2019; Bosbach, Wolfram/AAF-7965-2021; Seifert, Robert/ABJ-9856-2022</t>
  </si>
  <si>
    <t>Bosbach, Wolfram/0000-0003-4182-3516; Gözlügöl, Nasir/0009-0007-4597-2312; Aghapour Zangeneh, Foroud/0009-0006-0565-7054; Shi, Kuangyu/0000-0002-8714-3084</t>
  </si>
  <si>
    <t>2191-219X</t>
  </si>
  <si>
    <t>EJNMMI RES</t>
  </si>
  <si>
    <t>EJNMMI Res.</t>
  </si>
  <si>
    <t>142</t>
  </si>
  <si>
    <t>10.1186/s13550-025-01323-6</t>
  </si>
  <si>
    <t>http://dx.doi.org/10.1186/s13550-025-01323-6</t>
  </si>
  <si>
    <t>P3230</t>
  </si>
  <si>
    <t>41324797</t>
  </si>
  <si>
    <t>WOS:001633467900001</t>
  </si>
  <si>
    <t>Avakian, A</t>
  </si>
  <si>
    <t>Clinical adoption of artificial intelligence (AI) in radiology has matured through task-specific tools for detection, segmentation, triage, and quantitative measurement, yet most deployed systems operate as isolated applications with distinct interfaces and limited clinical context. Vision-language models (VLMs), which jointly represent visual and textual information, offer a potential remedy. This review proposes that VLMs are most plausibly valuable as a downstream semantic layer on top of existing orchestration infrastructure, consuming structured outputs from task-specific models and clinical context to produce clinically interpretable summaries. We position this proposal against rule-based orchestration middleware, structured reporting standards (DICOM SR, HL7 FHIR), and medical knowledge graphs, and identify three capabilities VLMs uniquely add and three where they currently underperform. A critical appraisal of three state-of-the-art systems: MAIRA-2, RadioRAG, and a representative vision-language foundation model, reveals that even the best-performing radiology VLMs exhibit logical precision of only similar to 52-56% on primary benchmarks, model-dependent retrieval gains that can collapse to zero, fourfold latency increases, and systematic demographic bias exceeding that of board-certified radiologists. We discuss technical requirements for implementation: interoperability, conflict arbitration, provenance tagging, hallucination mitigation, latency, and regulatory classification under adaptive-AI frameworks. We argue throughout that most capabilities described remain at research or early-pilot stage, and that the value of VLMs lies in filling a specific coordination gap rather than in subsuming existing integration layers.</t>
  </si>
  <si>
    <t>Avakian, Amy</t>
  </si>
  <si>
    <t>Avakian, A (corresponding author), Southern Hills Hosp &amp; Med Ctr, 9300 Sunset Rd, Las Vegas, NV 89148 USA.</t>
  </si>
  <si>
    <t>amyavakian1@gmail.com</t>
  </si>
  <si>
    <t>[Avakian, Amy] Southern Hills Hosp &amp; Med Ctr, 9300 Sunset Rd, Las Vegas, NV 89148 USA</t>
  </si>
  <si>
    <t>Vision-language models as an integrative layer for clinical artificial intelligence in radiology: A systems-level perspective</t>
  </si>
  <si>
    <t>CLINICAL IMAGING</t>
  </si>
  <si>
    <t>Artificial intelligence; Vision-language models; Workflow integration; Clinical decision support; Orchestration; Retrieval-augmented generation</t>
  </si>
  <si>
    <t>MEDICINE</t>
  </si>
  <si>
    <t>ELSEVIER SCIENCE INC</t>
  </si>
  <si>
    <t>101 Park Avenue, 24th Floor, NEW YORK, NY, UNITED STATES</t>
  </si>
  <si>
    <t>0899-7071</t>
  </si>
  <si>
    <t>1873-4499</t>
  </si>
  <si>
    <t>CLIN IMAG</t>
  </si>
  <si>
    <t>Clin. Imaging</t>
  </si>
  <si>
    <t>136</t>
  </si>
  <si>
    <t>110841</t>
  </si>
  <si>
    <t>10.1016/j.clinimag.2026.110841</t>
  </si>
  <si>
    <t>http://dx.doi.org/10.1016/j.clinimag.2026.110841</t>
  </si>
  <si>
    <t>JL5ND</t>
  </si>
  <si>
    <t>42176405</t>
  </si>
  <si>
    <t>WOS:001792195000001</t>
  </si>
  <si>
    <t>Li, KZ; Nguyen, TT; Moss, HE</t>
  </si>
  <si>
    <t>Introduction Vision language models (VLMs) combine image analysis capabilities with large language models (LLMs). Because of their multimodal capabilities, VLMs offer a clinical advantage over image classification models for the diagnosis of optic disc swelling by allowing a consideration of clinical context. In this study, we compare the performance of non-specialty-trained VLMs with different prompts in the classification of optic disc swelling on fundus photographs.Methods A diagnostic test accuracy study was conducted utilizing an open-sourced dataset. Five different prompts (increasing in context) were used with each of five different VLMs (Llama 3.2-vision, LLaVA-Med, LLaVA, GPT-4o, and DeepSeek-4V), resulting in 25 prompt-model pairs. The performance of VLMs in classifying photographs with and without optic disc swelling was measured using Youden's index (YI), F1 score, and accuracy rate.Results A total of 779 images of normal optic discs and 295 images of swollen discs were obtained from an open-source image database. Among the 25 prompt-model pairs, valid response rates ranged from 7.8% to 100% (median 93.6%). Diagnostic performance ranged from YI: 0.00 to 0.231 (median 0.042), F1 score: 0.00 to 0.716 (median 0.401), and accuracy rate: 27.5 to 70.5% (median 58.8%). The best-performing prompt-model pair was GPT-4o with role-playing with Chain-of-Thought and few-shot prompting. On average, Llama 3.2-vision performed the best (average YI across prompts 0.181). There was no consistent relationship between the amount of information given in the prompt and the model performance.Conclusions Non-specialty-trained VLMs could classify photographs of swollen and normal optic discs better than chance, with performance varying by model. Increasing prompt complexity did not consistently improve performance. Specialty-specific VLMs may be necessary to improve ophthalmic image analysis performance.</t>
  </si>
  <si>
    <t>Li, Kelvin Zhenghao; Nguyen, Tuyet Thao; Moss, Heather E.</t>
  </si>
  <si>
    <t>Moss, HE (corresponding author), Stanford Univ, Dept Ophthalmol, Palo Alto, CA 94305 USA.; Moss, HE (corresponding author), Stanford Univ, Dept Neurol &amp; Neurol Sci, Palo Alto, CA 94305 USA.</t>
  </si>
  <si>
    <t>hemoss@stanford.edu</t>
  </si>
  <si>
    <t>Research to Prevent Blindness</t>
  </si>
  <si>
    <t>Research to Prevent Blindness (Research to Prevent Blindness (RPB))</t>
  </si>
  <si>
    <t>The author(s) declare that financial support was received for the research and/or publication of this article. This study was supported by an unrestricted Grant from Research to Prevent Blindness (NIH P30 EY026877).</t>
  </si>
  <si>
    <t>[Li, Kelvin Zhenghao; Nguyen, Tuyet Thao; Moss, Heather E.] Stanford Univ, Dept Ophthalmol, Palo Alto, CA 94305 USA; [Li, Kelvin Zhenghao] Tan Tock Seng Hosp, Dept Ophthalmol, Singapore, Singapore; [Li, Kelvin Zhenghao] Nanyang Technol Univ, Lee Kong Chian Sch Med, Ctr AI Med, Singapore, Singapore; [Nguyen, Tuyet Thao] Univ Calif Davis, Sch Med, Sacramento, CA USA; [Moss, Heather E.] Stanford Univ, Dept Neurol &amp; Neurol Sci, Palo Alto, CA 94305 USA</t>
  </si>
  <si>
    <t>Stanford University; Stanford Medicine; Tan Tock Seng Hospital; Nanyang Technological University; University of California System; University of California Davis; Stanford Medicine; Stanford University</t>
  </si>
  <si>
    <t>Performance of vision language models for optic disc swelling identification on fundus photographs</t>
  </si>
  <si>
    <t>FRONTIERS IN DIGITAL HEALTH</t>
  </si>
  <si>
    <t>vision language model; disc swelling; papilledema; prompt engineering; artificial intelligence; machine learning</t>
  </si>
  <si>
    <t>Li, Kelvin/KIJ-2961-2024</t>
  </si>
  <si>
    <t>Moss, Heather/0000-0003-4373-447X; Nguyen, Tuyet Thao/0009-0004-5263-1768</t>
  </si>
  <si>
    <t>FRONTIERS MEDIA SA</t>
  </si>
  <si>
    <t>LAUSANNE</t>
  </si>
  <si>
    <t>AVENUE DU TRIBUNAL FEDERAL 34, LAUSANNE, CH-1015, SWITZERLAND</t>
  </si>
  <si>
    <t>2673-253X</t>
  </si>
  <si>
    <t>FRONT DIGIT HEALTH</t>
  </si>
  <si>
    <t>Front. Digit. Health</t>
  </si>
  <si>
    <t>AUG 25 2025</t>
  </si>
  <si>
    <t>1660887</t>
  </si>
  <si>
    <t>10.3389/fdgth.2025.1660887</t>
  </si>
  <si>
    <t>http://dx.doi.org/10.3389/fdgth.2025.1660887</t>
  </si>
  <si>
    <t>6ZA5O</t>
  </si>
  <si>
    <t>40927810</t>
  </si>
  <si>
    <t>WOS:001565407100001</t>
  </si>
  <si>
    <t>Antaki, F; Chopra, R; Keane, PA</t>
  </si>
  <si>
    <t>Importance Vision-language models (VLMs) are a novel artificial intelligence technology capable of processing image and text inputs. While demonstrating strong generalist capabilities, their performance in ophthalmology has not been extensively studied. Objective To assess the performance of the Gemini Pro VLM in expert-level tasks for macular diseases from optical coherence tomography (OCT) scans. Design, Setting, and Participants This was a cross-sectional diagnostic accuracy study evaluating a generalist VLM on ophthalmology-specific tasks using the open-source Optical Coherence Tomography Image Database. The dataset included OCT B-scans from 50 unique patients: healthy individuals and those with macular hole, diabetic macular edema, central serous chorioretinopathy, and age-related macular degeneration. Each OCT scan was labeled for 10 key pathological features, referral recommendations, and treatments. The images were captured using a Cirrus high definition OCT machine (Carl Zeiss Meditec) at Sankara Nethralaya Eye Hospital, Chennai, India, and the dataset was published in December 2018. Image acquisition dates were not specified. Exposures Gemini Pro, using a standard prompt to extract structured responses on December 15, 2023. Main Outcomes and Measures The primary outcome was model responses compared against expert labels, calculating F1 scores for each pathological feature. Secondary outcomes included accuracy in diagnosis, referral urgency, and treatment recommendation. The model's internal concordance was evaluated by measuring the alignment between referral and treatment recommendations, independent of diagnostic accuracy. Results The mean F1 score was 10.7% (95% CI, 2.4-19.2). Measurable F1 scores were obtained for macular hole (36.4%; 95% CI, 0-71.4), pigment epithelial detachment (26.1%; 95% CI, 0-46.2), subretinal hyperreflective material (24.0%; 95% CI, 0-45.2), and subretinal fluid (20.0%; 95% CI, 0-45.5). A correct diagnosis was achieved in 17 of 50 cases (34%; 95% CI, 22-48). Referral recommendations varied: 28 of 50 were correct (56%; 95% CI, 42-70), 10 of 50 were overcautious (20%; 95% CI, 10-32), and 12 of 50 were undercautious (24%; 95% CI, 12-36). Referral and treatment concordance were very high, with 48 of 50 (96%; 95 % CI, 90-100) and 48 of 49 (98%; 95% CI, 94-100) correct answers, respectively. Conclusions and Relevance In this study, a generalist VLM demonstrated limited vision capabilities for feature detection and management of macular disease. However, it showed low self-contradiction, suggesting strong language capabilities. As VLMs continue to improve, validating their performance on large benchmarking datasets will help ascertain their potential in ophthalmology.</t>
  </si>
  <si>
    <t>Antaki, Fares; Chopra, Reena; Keane, Pearse A.</t>
  </si>
  <si>
    <t>Keane, PA (corresponding author), UCL, Inst Ophthalmol, 11-43 Bath St, London EC1V 9EL, England.</t>
  </si>
  <si>
    <t>p.keane@ucl.ac.uk</t>
  </si>
  <si>
    <t>Medical Research Council [MR/T019050/1] Funding Source: Medline</t>
  </si>
  <si>
    <t>Medical Research Council (UK Research &amp; Innovation (UKRI), Medical Research Council UK (MRC))</t>
  </si>
  <si>
    <t>[Antaki, Fares; Chopra, Reena; Keane, Pearse A.] UCL, Inst Ophthalmol, 11-43 Bath St, London EC1V 9EL, England; [Antaki, Fares; Chopra, Reena; Keane, Pearse A.] Moorfields Eye Hosp Natl Hlth Serv Fdn Trust, London, England; [Antaki, Fares] Ctr Hosp Univ Montreal, Sch Artificial Intelligence Healthcare, Montreal, PQ, Canada; [Chopra, Reena; Keane, Pearse A.] Moorfields Eye Hosp Natl Hlth Serv Fdn Trust, Biomed Res Ctr, Natl Inst Hlth &amp; Care Res, London, England</t>
  </si>
  <si>
    <t>University of London; University College London; University of London; University College London; Moorfields Eye Hospital NHS Foundation Trust; Universite de Montreal; University of London; University College London; Moorfields Eye Hospital NHS Foundation Trust</t>
  </si>
  <si>
    <t>Vision-Language Models for Feature Detection of Macular Diseases on Optical Coherence Tomography</t>
  </si>
  <si>
    <t>JAMA OPHTHALMOLOGY</t>
  </si>
  <si>
    <t>Keane, Pearse/AAE-5709-2019; Antaki, Fares/GSI-6622-2022; Chopra, Reena/JLK-9488-2023</t>
  </si>
  <si>
    <t>Keane, Pearse/0000-0002-9239-745X; Antaki, Fares/0000-0001-6679-7276</t>
  </si>
  <si>
    <t>AMER MEDICAL ASSOC</t>
  </si>
  <si>
    <t>CHICAGO</t>
  </si>
  <si>
    <t>330 N WABASH AVE, STE 39300, CHICAGO, IL 60611-5885 USA</t>
  </si>
  <si>
    <t>2168-6165</t>
  </si>
  <si>
    <t>2168-6173</t>
  </si>
  <si>
    <t>JAMA OPHTHALMOL</t>
  </si>
  <si>
    <t>JAMA Ophthalmol.</t>
  </si>
  <si>
    <t>573</t>
  </si>
  <si>
    <t>576</t>
  </si>
  <si>
    <t>10.1001/jamaophthalmol.2024.1165</t>
  </si>
  <si>
    <t>http://dx.doi.org/10.1001/jamaophthalmol.2024.1165</t>
  </si>
  <si>
    <t>MAY 2024</t>
  </si>
  <si>
    <t>WA7H5</t>
  </si>
  <si>
    <t>38696177</t>
  </si>
  <si>
    <t>WOS:001217141100002</t>
  </si>
  <si>
    <t>Chang, TY; Gou, QL; Zhao, LY; Zhou, TC; Chen, HY; Yang, D; Ju, HW; Smith, KE; Sun, CK; Pan, JQ; Huang, Y; He, X; Zhang, XH; Xu, DG; Xu, J; Bian, J; Chen, AK</t>
  </si>
  <si>
    <t>Objective: Lung cancer is the most prevalent cancer and the leading cause of cancer-related death in the United States. Lung cancer screening with low-dose computed tomography (LDCT) helps identify lung cancer at an early stage and thus improves overall survival. The growing adoption of LDCT screening has increased radiologists' workload and demands specialized training to accurately interpret LDCT images and report findings. Advances in artificial intelligence (AI), including large language models (LLMs) and vision models, could help reduce this burden and improve accuracy. Methods: We devised LUMEN (Lung cancer screening with Unified Multimodal Evaluation and Navigation), a multimodal AI framework that mimics the radiologist's workflow by identifying nodules in LDCT images, generating their characteristics, and drafting corresponding radiology reports in accordance with reporting guidelines. LUMEN integrates computer vision, vision-language models (VLMs), and LLMs. To assess our system, we developed a benchmarking framework to evaluate the lung cancer screening reports generated based on the findings and management criteria outlined in the Lung Imaging Reporting and Data System (Lung-RADS). It extracts them from radiology reports and measures clinical accuracy-focusing on information that is clinically important for lung cancer screening-independently of report format. Results: This complement exists LLM/VLM in semantic accuracy metrics and provides a more comprehensive view of system performance. Our lung cancer screening report generation system achieved unparalleled performance compared to contemporary VLM systems, including M3D CT2Report. Furthermore, compared to standard LLM metrics, the clinical metrics we designed for lung cancer screening more accurately reflect the clinical utility of the generated reports. Conclusion: LUMEN demonstrates the feasibility of generating clinically accurate lung nodule reports from LDCT images through a nodule-centric VQA approach, highlighting the potential of integrating VLMs and LLMs to support radiologists in lung cancer screening workflows. Our findings also underscore the importance of applying clinically meaningful evaluation metrics in developing medical AI systems.</t>
  </si>
  <si>
    <t>Chang, Tien-Yu; Gou, Qinglin; Zhao, Leyi; Zhou, Tiancheng; Chen, Hongyu; Yang, Dong; Ju, Huiwen; Smith, Kaleb E.; Sun, Chengkun; Pan, Jinqian; Huang, Yu; He, Xing; Zhang, Xuhong; Xu, Daguang; Xu, Jie; Bian, Jiang; Chen, Aokun</t>
  </si>
  <si>
    <t>Xu, J (corresponding author), Univ Florida, Coll Med, Dept Hlth Outcomes &amp; Biomed Informat, 1889 Museum Rd, Suite 7000, Gainesville, FL 32610 USA.; Bian, J (corresponding author), Indiana Univ, Sch Med, Dept Biostat &amp; Hlth Data Sci, HITS 3000 BSAT, Indianapolis, IN 46202 USA.; Chen, AK (corresponding author), Florida State Univ, Inst Digital Hlth &amp; Innovat, Coll Nursing, Tallahassee, FL 32310 USA.</t>
  </si>
  <si>
    <t>NVIDIA AI Technology Center (NVAITC); University of Florida Research Computing (UFRC); National Cancer Institute of the National Institutes of Health [R01 CA246418, R01 CA284646]</t>
  </si>
  <si>
    <t>NVIDIA AI Technology Center (NVAITC); University of Florida Research Computing (UFRC); National Cancer Institute of the National Institutes of Health (United States Department of Health &amp; Human Services, National Institutes of Health (NIH) - USA, NIH National Cancer Institute (NCI))</t>
  </si>
  <si>
    <t>We would like to thank the NVIDIA AI Technology Center (NVAITC) and the University of Florida Research Computing (UFRC) for their support and the computational resources that made this research possible. This research was supported in by the National Cancer Institute of the National Institutes of Health under Grant number R01 CA246418 and R01 CA284646.</t>
  </si>
  <si>
    <t>[Chang, Tien-Yu] Indiana Univ, Luddy Sch Informat Comp &amp; Engn, Dept Biohlth Informat, Indianapolis, IN 46202 USA; [Gou, Qinglin; Zhou, Tiancheng; Chen, Hongyu; Sun, Chengkun; Pan, Jinqian; Xu, Jie] Univ Florida, Coll Med, Dept Hlth Outcomes &amp; Biomed Informat, 1889 Museum Rd, Suite 7000, Gainesville, FL 32610 USA; [Zhao, Leyi; Zhang, Xuhong] Indiana Univ, Luddy Sch Informat, Dept Comp Sci, Bloomington, IN 47408 USA; [Yang, Dong; Ju, Huiwen; Smith, Kaleb E.; Xu, Daguang] Nvidia, Santa Clara, CA 95051 USA; [Huang, Yu; He, Xing; Bian, Jiang] Indiana Univ, Sch Med, Dept Biostat &amp; Hlth Data Sci, HITS 3000 BSAT, Indianapolis, IN 46202 USA; [Huang, Yu; He, Xing; Bian, Jiang] Regenstreif Inst, Indianapolis, IN 46202 USA; [Chen, Aokun] Florida State Univ, Inst Digital Hlth &amp; Innovat, Coll Nursing, Tallahassee, FL 32310 USA</t>
  </si>
  <si>
    <t>Indiana University System; Indiana University Indianapolis; State University System of Florida; University of Florida; Indiana University System; Indiana University Bloomington; Nvidia Corporation; Indiana University System; Indiana University Indianapolis; Regenstrief Institute Inc; State University System of Florida; Florida State University</t>
  </si>
  <si>
    <t>From image to report: automating lung cancer screening interpretation and reporting with vision-language models</t>
  </si>
  <si>
    <t>Chang, TienYu/LKK-5887-2024; Chen, Hongyu/LIC-9303-2024</t>
  </si>
  <si>
    <t>Pan, Jinqian/0009-0003-0695-9896; Gou, Qinglin/0009-0003-9239-8895; Chen, Hongyu/0000-0001-6259-0833; Bian, Jiang/0000-0002-2238-5429</t>
  </si>
  <si>
    <t>171</t>
  </si>
  <si>
    <t>104931</t>
  </si>
  <si>
    <t>10.1016/j.jbi.2025.104931</t>
  </si>
  <si>
    <t>http://dx.doi.org/10.1016/j.jbi.2025.104931</t>
  </si>
  <si>
    <t>9GY0B</t>
  </si>
  <si>
    <t>41083099</t>
  </si>
  <si>
    <t>WOS:001606093400001</t>
  </si>
  <si>
    <t>Xu, HH; Chen, QS; He, WX; Chen, XY; Gao, HH</t>
  </si>
  <si>
    <t>Medical Visual Question Answering (Med-VQA) is an emerging interdisciplinary task that integrates computer vision and natural language processing to enable automated clinical decision support based on medical images. Recent advances in deep learning have led to two prominent model paradigms: task-specific models (TSMs), which are tailored to specific datasets and clinical tasks, and large vision-language models (VLMs), which leverage large-scale pretraining to achieve strong generalization across modalities. However, a comprehensive and comparative understanding of these two approaches remains lacking. This survey presents the first systematic comparison between TSMs and VLMs in the Med-VQA domain. An unified taxonomy is introduced covering architectural strategies, knowledge integration techniques, pretraining methods, and interpretability mechanisms. Over 50 representative models are reviewed and benchmark their performance across multiple datasets. Furthermore, this paper analyses the trade-offs between accuracy, generalizability, interpretability, and computational efficiency, and examine common challenges such as hallucination, modality bias, and data scarcity. Finally, the paper outlines emerging trends and future directions, including hybrid TSM-VLM systems, instruction tuning, and trustworthy VQA frameworks, to guide the development of clinically viable Med-VQA solutions.</t>
  </si>
  <si>
    <t>Xu, Huahu; Chen, Qishen; He, Wenxuan; Chen, Xingyuan; Gao, Honghao</t>
  </si>
  <si>
    <t>Gao, HH (corresponding author), Shanghai Univ, Sch Comp Engn &amp; Sci, Shanghai 200444, Peoples R China.</t>
  </si>
  <si>
    <t>gaohonghao@shu.edu.cn; salieri@shu.edu.cn; cccxy@shu.edu.cn; qs-chen@shu.edu.cn; hhxu25@shu.edu.cn</t>
  </si>
  <si>
    <t>National Key RD Program China [2022YFF0902500]; Shanghai Technical Service Center of Science and Engineering puting, Shanghai University</t>
  </si>
  <si>
    <t>National Key RD Program China; Shanghai Technical Service Center of Science and Engineering puting, Shanghai University</t>
  </si>
  <si>
    <t>Acknowledgment This work was supported by the National Key R&amp;D Program China under grant No. 2022YFF0902500. This work was also Supported by Shanghai Technical Service Center of Science and Engineering puting, Shanghai University.</t>
  </si>
  <si>
    <t>[Xu, Huahu; Chen, Qishen; He, Wenxuan; Chen, Xingyuan; Gao, Honghao] Shanghai Univ, Sch Comp Engn &amp; Sci, Shanghai 200444, Peoples R China</t>
  </si>
  <si>
    <t>Shanghai University</t>
  </si>
  <si>
    <t>Task-specific models vs. large vision-language models in medical visual question answering: A survey</t>
  </si>
  <si>
    <t>Visual question answering; Medical image; Task-specific model; Vision-language model</t>
  </si>
  <si>
    <t>Gao, Honghao/AAX-4529-2020</t>
  </si>
  <si>
    <t>109</t>
  </si>
  <si>
    <t>318</t>
  </si>
  <si>
    <t>132008</t>
  </si>
  <si>
    <t>10.1016/j.eswa.2026.132008</t>
  </si>
  <si>
    <t>http://dx.doi.org/10.1016/j.eswa.2026.132008</t>
  </si>
  <si>
    <t>FK8JV</t>
  </si>
  <si>
    <t>WOS:001721139800001</t>
  </si>
  <si>
    <t>Zhaksylyk, TM; Abdikenov, BB; Saidnassim, NM; Ayanbayev, BT; Imasheva, AS; Karibekov, TS</t>
  </si>
  <si>
    <t>Breast cancer histopathology classification remains a fundamental challenge in computational pathology due to variations in tissue morphology across magnification levels. Convolutional neural networks (CNNs) have long been the standard for image-based diagnosis, yet recent advances in vision-language models (VLMs) suggest they may provide strong and transferable representations for complex medical images. In this study, we present a systematic comparison between CNN baselines and large VLMs-Qwen2 and SmolVLM-fine-tuned with Low-Rank Adaptation (LoRA; r=16, alpha=32, dropout = 0.05) on the BreakHis dataset. Models were evaluated at 40 &amp; times;, 100 &amp; times;, 200 &amp; times;, and 400 &amp; times; magnifications using accuracy, precision, recall, F1-score, and area under the ROC curve (AUC). While Qwen2 achieved moderate performance across magnifications (e.g., 0.8736 accuracy and 0.9552 AUC at 200 &amp; times;), SmolVLM consistently outperformed Qwen2 and substantially reduced the gap with CNN baselines, reaching up to 0.9453 accuracy and 0.9572 F1-score at 200 &amp; times;-approaching the performance of AlexNet (0.9543 accuracy) at the same magnification. CNN baselines, particularly ResNet34, remained the strongest models overall, achieving the highest performance across all magnifications (e.g., 0.9879 accuracy and 0.9984 AUC at 40 &amp; times;). These findings demonstrate that LoRA fine-tuned VLMs, despite requiring gradient accumulation and memory-efficient optimizers and operating with a significantly smaller number of trainable parameters, can achieve competitive performance relative to traditional CNNs. However, CNN-based architectures still provide the highest accuracy and robustness for histopathology classification. Our results highlight the potential of VLMs as parameter-efficient alternatives for digital pathology tasks, particularly in resource-constrained settings.</t>
  </si>
  <si>
    <t>Zhaksylyk, Tomiris M.; Abdikenov, Beibit B.; Saidnassim, Nurbek M.; Ayanbayev, Birzhan T.; Imasheva, Aruzhan S.; Karibekov, Temirlan S.</t>
  </si>
  <si>
    <t>Abdikenov, BB (corresponding author), Astana IT Univ, Sci &amp; Innovat Ctr Artificial Intelligence, Astana 010000, Kazakhstan.</t>
  </si>
  <si>
    <t>aruzhan.imasheva@astanait.edu.kz; beibit.abdikenov@astanait.edu.kz; t.karibekov@astanait.edu.kz; zhaksylyk.tomiris@astanait.edu.kz; b.ayanbayev@astanait.edu.kz; nurbek.saidnassim@astanait.edu.kz</t>
  </si>
  <si>
    <t>Committee of Science of the Ministry of Science and Higher Education of the Republic of Kazakhstan [BR24993145]</t>
  </si>
  <si>
    <t>Committee of Science of the Ministry of Science and Higher Education of the Republic of Kazakhstan (Government of the Republic of Kazakhstan, Ministry of Science &amp; Higher Education of the Republic of Kazakhstan, Science Committee of the Ministry of Science &amp; Higher Education of the Republic of Kazakhstan)</t>
  </si>
  <si>
    <t>This research was funded by the Committee of Science of the Ministry of Science and Higher Education of the Republic of Kazakhstan, grant number BR24993145.</t>
  </si>
  <si>
    <t>[Zhaksylyk, Tomiris M.; Abdikenov, Beibit B.; Saidnassim, Nurbek M.; Ayanbayev, Birzhan T.; Imasheva, Aruzhan S.; Karibekov, Temirlan S.] Astana IT Univ, Sci &amp; Innovat Ctr Artificial Intelligence, Astana 010000, Kazakhstan</t>
  </si>
  <si>
    <t>Astana IT University</t>
  </si>
  <si>
    <t>Assessing CNNs and LoRA-Fine-Tuned Vision-Language Models for Breast Cancer Histopathology Image Classification</t>
  </si>
  <si>
    <t>JOURNAL OF IMAGING</t>
  </si>
  <si>
    <t>breast cancer; histopathology; deep learning; vision-language models; digital pathology</t>
  </si>
  <si>
    <t>Abdikenov, Beibit/ABG-7882-2021; Zhaksylyk, Tomiris/MDS-5208-2025; Imasheva, Aruzhan/OGN-0925-2025</t>
  </si>
  <si>
    <t>2313-433X</t>
  </si>
  <si>
    <t>J IMAGING</t>
  </si>
  <si>
    <t>J. Imaging</t>
  </si>
  <si>
    <t>APR 14 2026</t>
  </si>
  <si>
    <t>168</t>
  </si>
  <si>
    <t>10.3390/jimaging12040168</t>
  </si>
  <si>
    <t>http://dx.doi.org/10.3390/jimaging12040168</t>
  </si>
  <si>
    <t>Imaging Science &amp; Photographic Technology</t>
  </si>
  <si>
    <t>HB0MR</t>
  </si>
  <si>
    <t>42042511</t>
  </si>
  <si>
    <t>WOS:001749794300001</t>
  </si>
  <si>
    <t>Li, WH; Tang, SG; Liu, HZ; Cheang, CF; Liang, YY; Zhao, XF; Nong, J</t>
  </si>
  <si>
    <t>Early diagnosis of gastrointestinal diseases using deep learning remains challenging due to the limited availability of annotated endoscopic images. Although vision-language models have demonstrated strong performance in natural image understanding, their direct application to medical endoscopy is limited by the semantic discrepancy between natural and clinical domains. To address these issues, we propose an Attribute-Driven Prompt Learning (ADPL) framework that leverages vision-language models to enhance few-shot gastrointestinal disease classification. The proposed ADPL consists of two core components: attribute description generation and cross-modal prompt optimization. Specifically, attribute description generation, which employs large language models to generate standardized medical attribute descriptions (color, shape, texture, and boundary) through visual question answering for semantic guidance. Cross-modal prompt optimization aims to integrate the generated attribute descriptions with learnable visual and attribute prompts via the Attribute-to-Visual Fuser (AVF) and leverages prompt learning to enable domain adaptation to gastrointestinal endoscopy. Experiments were conducted on four gastrointestinal endoscopy datasets under few-shot settings, with each class limited to {1, 2, 4, 8, 16} annotated training samples. The results demonstrate that ADPL achieves state-of-theart performance, significantly outperforms multiple advanced few-shot learning methods in gastrointestinal endoscopy classification. The code will be available at https://github.com/Xqq0qwq/ADPL.</t>
  </si>
  <si>
    <t>Li, Weiheng; Tang, Suigu; Liu, Huazhu; Cheang, Chak Fong; Liang, Yanyan; Zhao, Xiaofang; Nong, Jian</t>
  </si>
  <si>
    <t>Tang, SG (corresponding author), Dongguan Univ Technol, Sch Integrated Circuits, Int Sch Microelect, Dongguan 523808, Peoples R China.</t>
  </si>
  <si>
    <t>nongjian@gxuwz.edu.cn; dgutlwh@dgut.edu.cn; liuhz@dgut.edu.cn; cfcheang@must.edu.mo; tangsuigu@dgut.edu.cn; yyliang@must.edu.mo; zhaoxf@dgut.edu.cn</t>
  </si>
  <si>
    <t>[Li, Weiheng; Tang, Suigu; Liu, Huazhu; Zhao, Xiaofang] Dongguan Univ Technol, Sch Integrated Circuits, Int Sch Microelect, Dongguan 523808, Peoples R China; [Tang, Suigu; Nong, Jian] Wuzhou Univ, Guangxi Coll &amp; Univ Key Lab Intelligent Software, Wuzhou 543002, Peoples R China; [Cheang, Chak Fong; Liang, Yanyan] Macau Univ Sci &amp; Technol, Fac Innovat Engn, Sch Comp Sci &amp; Engn, Taipa 999078, Macao, Peoples R China</t>
  </si>
  <si>
    <t>Dongguan University of Technology; Wuzhou University; Macau University of Science and Technology</t>
  </si>
  <si>
    <t>Attribute-driven prompt learning with vision-language models for few-shot gastrointestinal disease classification</t>
  </si>
  <si>
    <t>Few-shot learning; Vision-language model; Prompt learning; Gastrointestinal endoscopy</t>
  </si>
  <si>
    <t>Liang, Yanyan/ACD-0082-2022</t>
  </si>
  <si>
    <t>AUG 1 2026</t>
  </si>
  <si>
    <t>121</t>
  </si>
  <si>
    <t>110337</t>
  </si>
  <si>
    <t>10.1016/j.bspc.2026.110337</t>
  </si>
  <si>
    <t>http://dx.doi.org/10.1016/j.bspc.2026.110337</t>
  </si>
  <si>
    <t>HF8TO</t>
  </si>
  <si>
    <t>WOS:001753064500001</t>
  </si>
  <si>
    <t>Haghighi, T; Gholami, S; Sokol, JT; Biswas, A; Lim, JI; Leng, T; Thompson, AC; Tabkhi, H; Alam, MN</t>
  </si>
  <si>
    <t>Background Translating the intricate anatomical signatures of retinal disease from optical coherence tomography (OCT) B-scans into clear, accurate clinical narratives demands algorithms that seamlessly fuse visual features with domain expertise. Methods 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 We introduce LO-VLM, a compact (247M parameter) vision-language model (VLM) that infuses anatomical guidance into both encoder and decoder for free-form summary generation and multiclass disease classification. Benchmarking against state-of-the-art RetinaVLM, LLaVA-Med, and a ViT vision only model demonstrates superior performance. Results In a blinded evaluation by three board certified retina specialists, LO-VLM narratives achieves a mean = 8.5 (standard deviation = 1.15) out of 10, compared to a mean = 5.5 (standard 32 deviation = 1.13) for RetinaVLM (p &lt; 0.0001). In quantitative evaluations, LO-VLM achieves an SBERT similarity of 80.3% and a BERTScore F1 of 71.5%, representing improvements of 8.2% and 28.8% over specialized VLM baselines. For disease classification, LO-VLM reaches 96% accuracy (F1 = 96%), outperforming ViT by 13% and exceeding medical VLM benchmarks by over 62% (p &lt; 0.05). Conclusions By reconciling interpretability with computational efficiency, LO-VLM establishes a paradigm for efficient AI models in OCT interpretation.</t>
  </si>
  <si>
    <t>Haghighi, Tania; Gholami, Sina; Sokol, Jared Todd; Biswas, Aayush; Lim, Jennifer I.; Leng, Theodore; Thompson, Atalie C.; Tabkhi, Hamed; Alam, Minhaj Nur</t>
  </si>
  <si>
    <t>Alam, MN (corresponding author), Univ North Carolina Charlotte, Dept Elect &amp; Comp Engn, Charlotte, NC 28223 USA.</t>
  </si>
  <si>
    <t>minhaj.alam@charlotte.edu</t>
  </si>
  <si>
    <t>UNC | University of North Carolina at Charlotte (UNC Charlotte) [AI4Health seed garnt]; U.S. Department of Health &amp; Human Services | NIH | National Eye Institute (NEI) [R15EY035804, R21EY035271]</t>
  </si>
  <si>
    <t>UNC | University of North Carolina at Charlotte (UNC Charlotte); U.S. Department of Health &amp; Human Services | NIH | National Eye Institute (NEI)</t>
  </si>
  <si>
    <t>This work was supported by NEI R15EY035804, R21EY035271 (M.N.A.), and UNC Charlotte Faculty Research Grant (M.N.A.).</t>
  </si>
  <si>
    <t>[Haghighi, Tania; Gholami, Sina; Biswas, Aayush; Tabkhi, Hamed; Alam, Minhaj Nur] Univ North Carolina Charlotte, Dept Elect &amp; Comp Engn, Charlotte, NC 28223 USA; [Sokol, Jared Todd; Leng, Theodore] Stanford Univ, Sch Med, Byers Eye Inst Stanford, Stanford, CA USA; [Lim, Jennifer I.] Univ Illinois, Chicago, IL USA; [Thompson, Atalie C.] Atrium Hlth Wake Forest Baptist, Surg Ophthalmol, Winston Salem, NC USA</t>
  </si>
  <si>
    <t>University of North Carolina; University of North Carolina Charlotte; Stanford Medicine; Stanford University; University of Illinois System; University of Illinois Chicago; University of Illinois Chicago Hospital</t>
  </si>
  <si>
    <t>Compact vision language models enable efficient and interpretable optical coherence tomography through layer-specific multimodal learning</t>
  </si>
  <si>
    <t>COMMUNICATIONS MEDICINE</t>
  </si>
  <si>
    <t>FULLY AUTOMATED DETECTION; MACULAR DEGENERATION; FLUID</t>
  </si>
  <si>
    <t>2730-664X</t>
  </si>
  <si>
    <t>COMMUN MED-LONDON</t>
  </si>
  <si>
    <t>Communications Med.</t>
  </si>
  <si>
    <t>DEC 27 2025</t>
  </si>
  <si>
    <t>10.1038/s43856-025-01293-9</t>
  </si>
  <si>
    <t>http://dx.doi.org/10.1038/s43856-025-01293-9</t>
  </si>
  <si>
    <t>Medicine, Research &amp; Experimental</t>
  </si>
  <si>
    <t>Research &amp; Experimental Medicine</t>
  </si>
  <si>
    <t>CG7DW</t>
  </si>
  <si>
    <t>41455821</t>
  </si>
  <si>
    <t>WOS:001665368600001</t>
  </si>
  <si>
    <t>Zhang, SW; Yilmaz, A; Gencoglan, G; Temelkuran, B</t>
  </si>
  <si>
    <t>Background/Objectives: Vision language models (VLMs) show strong potential for medical image understanding, but their large scale often limits practical deployment. This study investigates whether a compact VLM can be effectively adapted for dermatology, with a focus on explaining bacterial skin disease images. Methods: We curate a dataset derived from PMC-OA using the BIOMEDICA dataset and construct PMC-derma-VQA-bacteria by pairing images with inherited figure captions and synthetically generated question-answer (QA) supervision produced by Google's Gemini model. SmolVLM is fine-tuned under three supervision settings: QA-only, caption-only, and a combined QA+caption strategy. The models are evaluated on a held-out test set for both text-generation quality and diagnostic classification performance. Results: QA-only supervision yields the best report-generation performance, while the combined QA+caption setting achieves the highest classification accuracy (70.20%). Conclusions: Synthetic QA supervision can meaningfully enhance compact VLMs for medical image understanding and diagnostic support in dermatology.</t>
  </si>
  <si>
    <t>Zhang, Shiwan; Yilmaz, Abdurrahim; Gencoglan, Gulsum; Temelkuran, Burak</t>
  </si>
  <si>
    <t>Yilmaz, A; Temelkuran, B (corresponding author), Imperial Coll London, Dept Metab Digest &amp; Reprod, Div Syst Med, London SW7 2AZ, England.</t>
  </si>
  <si>
    <t>a.yilmaz23@imperial.ac.uk; b.temelkuran@imperial.ac.uk</t>
  </si>
  <si>
    <t>Imperial College London</t>
  </si>
  <si>
    <t>Abdurrahim Yilmaz has been funded by the President's PhD Scholarships at Imperial College London. The Imperial College London Open Access Fund paid the open access fee.</t>
  </si>
  <si>
    <t>[Zhang, Shiwan] Imperial Coll London, Hamlyn Ctr, Dept Surg &amp; Canc, London SW7 2AZ, England; [Yilmaz, Abdurrahim; Temelkuran, Burak] Imperial Coll London, Dept Metab Digest &amp; Reprod, Div Syst Med, London SW7 2AZ, England; [Gencoglan, Gulsum] Medicana Atakoy Hosp, Dept Dermatol &amp; Venereol, TR-34158 Istanbul, Turkiye</t>
  </si>
  <si>
    <t>Imperial College London; Imperial College London</t>
  </si>
  <si>
    <t>Fine-Tuning a Small Vision Language Model Using Synthetic Data for Explaining Bacterial Skin Disease Images</t>
  </si>
  <si>
    <t>DIAGNOSTICS</t>
  </si>
  <si>
    <t>vision language models; fine-tuning; bacterial skin diseases; dermatology imaging; visual question answering; synthetic data; medical AI</t>
  </si>
  <si>
    <t>GLOBAL BURDEN; CLASSIFICATION; DIAGNOSIS</t>
  </si>
  <si>
    <t>Yilmaz, Abdurrahim/ADV-4357-2022</t>
  </si>
  <si>
    <t>Zhang, Shiwan/0009-0004-0678-0068; Temelkuran, Burak/0000-0003-2390-5091</t>
  </si>
  <si>
    <t>2075-4418</t>
  </si>
  <si>
    <t>Diagnostics</t>
  </si>
  <si>
    <t>FEB 18 2026</t>
  </si>
  <si>
    <t>603</t>
  </si>
  <si>
    <t>10.3390/diagnostics16040603</t>
  </si>
  <si>
    <t>http://dx.doi.org/10.3390/diagnostics16040603</t>
  </si>
  <si>
    <t>EH9AQ</t>
  </si>
  <si>
    <t>41750751</t>
  </si>
  <si>
    <t>WOS:001701477200001</t>
  </si>
  <si>
    <t>gold; Green Published; Green Submitted</t>
  </si>
  <si>
    <t>Lee, C; Park, S; Shin, CI; Choi, WH; Park, HJ; Lee, JE; Ye, JC</t>
  </si>
  <si>
    <t>Recent medical vision-language models (VLMs) have shown promise in 2D medical image interpretation. However extending them to 3D medical imaging has been challenging due to computational complexities and data scarcity. Although a few recent VLMs specified for 3D medical imaging have emerged, all are limited to learning volumetric representation of a 3D medical image as a set of sub-volumetric features. Such process introduces overly correlated representations along the z-axis that neglect slice-specific clinical details, particularly for 3D medical images where adjacent slices have low redundancy. To address this limitation, we introduce MS-VLM that mimic radiologists' workflow in 3D medical image interpretation. Specifically, radiologists analyze 3D medical images by examining individual slices sequentially and synthesizing information across slices and views. Likewise, MS-VLM leverages self-supervised 2D transformer encoders to learn a volumetric representation that capture inter-slice dependencies from a sequence of slice-specific features. Unbound by sub-volumetric patchification, MS-VLM is capable of obtaining useful volumetric representations from 3D medical images with any slice length and from multiple images acquired from different planes and phases. We evaluate MS-VLM on publicly available chest CT dataset CT-RATE and in-house rectal MRI dataset. In both scenarios, MS-VLM surpasses existing methods in radiology report generation, producing more coherent and clinically relevant reports. These findings highlight the potential of MS-VLM to advance 3D medical image interpretation and improve the robustness of medical VLMs.</t>
  </si>
  <si>
    <t>Lee, Changsun; Park, Sangjoon; Shin, Cheong-Il; Choi, Woo Hee; Park, Hyun Jeong; Lee, Jeong Eun; Ye, Jong Chul</t>
  </si>
  <si>
    <t>Ye, JC (corresponding author), Korea Adv Inst Sci &amp; Technol, Kim Jaechul Grad Sch AI, Daejeon, South Korea.; Lee, JE (corresponding author), Chungnam Natl Univ, Chungnam Natl Univ Hosp, Coll Med, Dept Radiol, Daejeon, South Korea.</t>
  </si>
  <si>
    <t>jong.ye@kaist.ac.kr; leeje290@gmail.com</t>
  </si>
  <si>
    <t>National Research Foundation of Korea (NRF) [RS-2023-00262527]; Korea Health Technology R&amp;D Project through the Korea Health Industry Development Institute (KHIDI) - Ministry of Health &amp; Welfare, Republic of Korea [RS-2025-02213531, RS-2025-02263802]; MSIT (Ministry of Science and ICT) , Korea, under the ITRC (Information Technology Research Center) support program [IITP-2024-2020-0-01461]; Basic Science Research Program through the National Research Foundation of Korea (NRF) - Ministry of Education, Republic of Korea [RS-2023-00242164]</t>
  </si>
  <si>
    <t>National Research Foundation of Korea (NRF) (National Research Foundation of Korea); Korea Health Technology R&amp;D Project through the Korea Health Industry Development Institute (KHIDI) - Ministry of Health &amp; Welfare, Republic of Korea; MSIT (Ministry of Science and ICT) , Korea, under the ITRC (Information Technology Research Center) support program (Ministry of Science &amp; ICT (MMSTI)); Basic Science Research Program through the National Research Foundation of Korea (NRF) - Ministry of Education, Republic of Korea (Ministry of Education (MOE), Republic of Korea, National Research Foundation of Korea)</t>
  </si>
  <si>
    <t>This work was supported by the National Research Foundation of Korea (NRF) (grant number RS-2023-00262527) ; the Korea Health Technology R&amp;D Project through the Korea Health Industry Development Institute (KHIDI) , funded by the Ministry of Health &amp; Welfare, Republic of Korea (grant numbers: RS-2025-02213531 and RS-2025-02263802) ; the MSIT (Ministry of Science and ICT) , Korea, under the ITRC (Information Technology Research Center) support program (IITP-2024-2020-0-01461) supervised by the IITP (Institute for Information &amp; Communications Technology Planning &amp; Evaluation) ; and the Basic Science Research Program through the National Research Foundation of Korea (NRF) , funded by the Ministry of Education, Republic of Korea (grant number RS-2023-00242164) .</t>
  </si>
  <si>
    <t>[Lee, Changsun; Ye, Jong Chul] Korea Adv Inst Sci &amp; Technol, Kim Jaechul Grad Sch AI, Daejeon, South Korea; [Park, Sangjoon] Yonsei Univ, Coll Med, Heavy Ion Therapy Res Inst, Dept Radiat Oncol,Yonsei Canc Ctr, Seoul, South Korea; [Park, Sangjoon] Yonsei Univ, Yonsei Inst Digital Hlth, Seoul, South Korea; [Lee, Jeong Eun] Chungnam Natl Univ, Chungnam Natl Univ Hosp, Coll Med, Dept Radiol, Daejeon, South Korea; [Shin, Cheong-Il] Seoul Natl Univ, Seoul Natl Univ Hosp, Coll Med, Dept Radiol, Seoul, South Korea; [Choi, Woo Hee] Catholic Univ Korea, Div Nucl Med, Dept Radiol, St Vincents Hosp,Coll Med, Suwon, South Korea; [Park, Hyun Jeong] Chung Ang Univ, Chung Ang Univ Hosp, Coll Med, Dept Radiol, Seoul, South Korea</t>
  </si>
  <si>
    <t>Korea Advanced Institute of Science &amp; Technology (KAIST); Yonsei University; Yonsei University Health System; Severance Hospital; Yonsei University; Chungnam National University; Chungnam National University Hospital; Seoul National University (SNU); Seoul National University Hospital; Catholic University of Korea</t>
  </si>
  <si>
    <t>Read like a radiologist: Efficient vision-language model for 3D medical imaging interpretation</t>
  </si>
  <si>
    <t>3D medical imaging; Radiology report generation; Self-supervised learning; Vision transformers; Large language models</t>
  </si>
  <si>
    <t>Ye, Jong/C-1623-2011</t>
  </si>
  <si>
    <t>56</t>
  </si>
  <si>
    <t>111</t>
  </si>
  <si>
    <t>104077</t>
  </si>
  <si>
    <t>10.1016/j.media.2026.104077</t>
  </si>
  <si>
    <t>http://dx.doi.org/10.1016/j.media.2026.104077</t>
  </si>
  <si>
    <t>GX4XR</t>
  </si>
  <si>
    <t>41990528</t>
  </si>
  <si>
    <t>WOS:001747383700001</t>
  </si>
  <si>
    <t>Lee, T; Kim, H; Park, SH; Chae, S; Yoon, SH</t>
  </si>
  <si>
    <t>Background Advances in vision-language models (VLMs) may enable detection and deidentification of burned-in protected health information (PHI) on medical images. Purpose To investigate the ability of commercial and open-source VLMs to detect burned-in PHI on medical images, confirm full deidentification, and obscure PHI where present. Materials and Methods In this retrospective study, records of deceased patients aged 18 years or older who died during admission at a tertiary hospital between January and June 2021 were randomly selected. One study per modality was randomly selected. Images were preprocessed to ensure burned-in PHI and test four scenarios of deidentification conditions: all PHI text is visible, PHI text is redacted using asterisks, PHI text is removed, and all text is removed. Real PHI was replaced with fictitious data to protect privacy. Four VLMs (three commercial: ChatGPT-4o [OpenAI], Gemini 1.5 Pro [Google]), and Claude-3 Haiku [Anthropic]; one open-source: Llama 3.2 Vision 11B [Meta]) were tested on three tasks: task 1, overall confirmation of deidentification; task 2, detection and specification of any identifiable PHI items; and task 3, detection and specification of the five preselected PHI items (name, identification number, date of birth, age, and sex). Text was extracted from images using an open-source Tesseract optical character recognition software and input into the VLMs for the same tasks. Additionally, the capability of each VLM to mask detected PHI fields was evaluated. Statistical comparisons were conducted using chi(2), independent t tests, or generalized estimating equations. Results Data from 100 deceased patients (mean age, 71.1 years +/- 10.1 [SD]; 57 male) with 709 imaging studies were randomly included. Among 6696 PHI occurrences, ChatGPT-4o achieved deidentification verification accuracy of 95.0% (n = 6362) for task 1, 61.2% (n = 4098) for task 2, and 96.2% (n = 6441) for task 3, outperforming Gemini 1.5 Pro (68.1%, 55.2%, and 86.3% for tasks 1-3, respectively), Claude-3 Haiku (75.8%, 86.9%, and 79.4% for tasks 1-3, respectively), and Llama 3.2 Vision 11B (51.6%, 66.9%, and 74.3% for tasks 1-3, respectively) (P &lt; .001 for all). Direct image analysis by ChatGPT-4o and Gemini 1.5 Pro was more accurate than the optical character recognition software for PHI detection across all three deidentification verification tasks (P &lt; .001 for all). Among 375 PHI occurrences on 100 images, ChatGPT-4o successfully obscured 81.1% (n = 304) of them. Conclusion ChatGPT-4o demonstrated substantial potential in detecting, verifying, and obscuring burned-in PHI on medical images.</t>
  </si>
  <si>
    <t>Lee, Taehee; Kim, Hyungjin; Park, Seong Ho; Chae, Seonhye; Yoon, Soon Ho</t>
  </si>
  <si>
    <t>Yoon, SH (corresponding author), Seoul Natl Univ Hosp, Dept Radiol, 101 Daehak Ro, Seoul 03080, South Korea.; Yoon, SH (corresponding author), Coll Med, 101 Daehak ro, Seoul 03080, South Korea.</t>
  </si>
  <si>
    <t>yshoka@gmail.com</t>
  </si>
  <si>
    <t>Naver Digital Bio Innovation Research Fund - Naver [3720230020]</t>
  </si>
  <si>
    <t>Naver Digital Bio Innovation Research Fund - Naver</t>
  </si>
  <si>
    <t>Study supported by the Naver Digital Bio Innovation Research Fund, funded by Naver (grant no. 3720230020). However, the funder had no role in the study design; in the collection, analysis, and interpretation of the data; in the writing of the report; and in the decision to submit the article for publication.</t>
  </si>
  <si>
    <t>[Lee, Taehee; Kim, Hyungjin; Chae, Seonhye; Yoon, Soon Ho] Seoul Natl Univ Hosp, Dept Radiol, 101 Daehak Ro, Seoul 03080, South Korea; [Lee, Taehee; Kim, Hyungjin; Chae, Seonhye; Yoon, Soon Ho] Coll Med, 101 Daehak ro, Seoul 03080, South Korea; [Park, Seong Ho] Univ Ulsan, Coll Med, Asan Med Ctr, Dept Radiol, Seoul, South Korea; [Park, Seong Ho] Univ Ulsan, Res Inst Radiol, Asan Med Ctr, Coll Med, Seoul, South Korea</t>
  </si>
  <si>
    <t>Seoul National University (SNU); Seoul National University Hospital; University of Ulsan; Asan Medical Center; University of Ulsan; Asan Medical Center</t>
  </si>
  <si>
    <t>Evaluation of Vision-Language Models for Detection and Deidentification of Medical Images with Burned-In Protected Health Information</t>
  </si>
  <si>
    <t>RADIOLOGY</t>
  </si>
  <si>
    <t>DE-IDENTIFICATION</t>
  </si>
  <si>
    <t>Park, Seong Ho/HKV-2294-2023; Yoon, Soon Ho/AAL-1640-2020</t>
  </si>
  <si>
    <t>chae, seonhye/0009-0004-3982-7045; Kim, Hyungjin/0000-0003-0722-0033; Lee, Taehee/0000-0002-0592-8268; Park, Seong Ho/0000-0002-1257-8315; Yoon, Soon Ho/0000-0002-3700-0165</t>
  </si>
  <si>
    <t>RADIOLOGICAL SOC NORTH AMERICA (RSNA)</t>
  </si>
  <si>
    <t>OAK BROOK</t>
  </si>
  <si>
    <t>820 JORIE BLVD, SUITE 200, OAK BROOK, ILLINOIS, UNITED STATES</t>
  </si>
  <si>
    <t>0033-8419</t>
  </si>
  <si>
    <t>Radiology</t>
  </si>
  <si>
    <t>315</t>
  </si>
  <si>
    <t>e243664</t>
  </si>
  <si>
    <t>10.1148/radiol.243664</t>
  </si>
  <si>
    <t>http://dx.doi.org/10.1148/radiol.243664</t>
  </si>
  <si>
    <t>4MT7U</t>
  </si>
  <si>
    <t>40552998</t>
  </si>
  <si>
    <t>WOS:001521725600005</t>
  </si>
  <si>
    <t>Lo, CM; Sung, SF</t>
  </si>
  <si>
    <t>Objective. Evaluating large artery atherosclerosis is critical for predicting and preventing ischemic strokes. Ultrasonographic assessment of the carotid arteries is the preferred first-line examination due to its ease of use, noninvasive, and absence of radiation exposure. This study proposed an automated classification model for the common carotid artery (CCA), carotid bulb, internal carotid artery (ICA), and external carotid artery (ECA) to enhance the quantification of carotid artery examinations. Approach. A total of 2943 B-mode ultrasound images (CCA: 1563; bulb: 611; ICA: 476; ECA: 293) from 288 patients were collected. Three distinct sets of embedding features were extracted from artificial intelligence networks including pre-trained DenseNet201, vision transformer, and echo contrastive language-image pre-training models using deep learning architectures for pattern recognition. These features were then combined in a support vector machine classifier to interpret the anatomical structures in B-mode images. Main results. After ten-fold cross-validation, the model achieved an accuracy of 82.3%, which was significantly better than using individual feature sets, with a p-value of &lt;0.001. Significance. The proposed model could make carotid artery examinations more accurate and consistent with the achieved classification accuracy. The source code is available at https://github.com/buddykeywordw/Artery-Segments-Recognition.</t>
  </si>
  <si>
    <t>Lo, Chung-Ming; Sung, Sheng-Feng</t>
  </si>
  <si>
    <t>Lo, CM (corresponding author), Natl Chengchi Univ, Grad Inst Lib Informat &amp; Archival Studies, Taipei, Taiwan.; Sung, SF (corresponding author), Chia Yi Christian Hosp, Ditmanson Med Fdn, Dept Internal Med, Div Neurol, Chiayi, Taiwan.; Sung, SF (corresponding author), Fooyin Univ, Dept Nursing, Kaohsiung, Taiwan.</t>
  </si>
  <si>
    <t>richard.sfsung@gmail.com; buddylo@nccu.edu.tw</t>
  </si>
  <si>
    <t>NSTC; National Science and Technology Council (NSTC) [112-2221-E-004-007-MY3]</t>
  </si>
  <si>
    <t>NSTC; National Science and Technology Council (NSTC)</t>
  </si>
  <si>
    <t>The authors thank the National Science and Technology Council (NSTC 112-2221-E-004-007-MY3, NSTC 112-2622-E-004-001, and NSTC 112-2221-E-705-001-MY2), for financially supporting this study. The authors gratefully acknowledge Ms. Miao-Jen Kuo for creating the illustration in figure 1.</t>
  </si>
  <si>
    <t>[Lo, Chung-Ming] Natl Chengchi Univ, Grad Inst Lib Informat &amp; Archival Studies, Taipei, Taiwan; [Sung, Sheng-Feng] Chia Yi Christian Hosp, Ditmanson Med Fdn, Dept Internal Med, Div Neurol, Chiayi, Taiwan; [Sung, Sheng-Feng] Fooyin Univ, Dept Nursing, Kaohsiung, Taiwan</t>
  </si>
  <si>
    <t>National Chengchi University; Fooyin University</t>
  </si>
  <si>
    <t>Recognizing artery segments on carotid ultrasonography using embedding concatenation of deep image and vision-language models</t>
  </si>
  <si>
    <t>PHYSICS IN MEDICINE AND BIOLOGY</t>
  </si>
  <si>
    <t>neck ultrasound; artificial intelligence; convolutional neural network; vision transformer; vision-language model</t>
  </si>
  <si>
    <t>RISK-ASSESSMENT; ULTRASOUND; RECOGNITION; PREVENTION; STENOSIS; PLAQUE</t>
  </si>
  <si>
    <t>Lo, Chung-Ming/0000-0001-5068-6002</t>
  </si>
  <si>
    <t>0031-9155</t>
  </si>
  <si>
    <t>1361-6560</t>
  </si>
  <si>
    <t>PHYS MED BIOL</t>
  </si>
  <si>
    <t>Phys. Med. Biol.</t>
  </si>
  <si>
    <t>JUN 8 2025</t>
  </si>
  <si>
    <t>115008</t>
  </si>
  <si>
    <t>10.1088/1361-6560/add8db</t>
  </si>
  <si>
    <t>http://dx.doi.org/10.1088/1361-6560/add8db</t>
  </si>
  <si>
    <t>2XW3Z</t>
  </si>
  <si>
    <t>40367970</t>
  </si>
  <si>
    <t>WOS:001493914000001</t>
  </si>
  <si>
    <t>Imran, M; Lee, YG</t>
  </si>
  <si>
    <t>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regulatory pathways. We also curate models, datasets, and benchmarks that support reproducible evaluation and outline a roadmap toward causal, temporally aware, and computationally efficient VLMs suitable for real-world clinical use. To the best of available literature, no prior survey has jointly analyzed retrieval, interpretability, and trust within a unified framework for evaluating the clinical viability of medical VLMs.</t>
  </si>
  <si>
    <t>Imran, Muhammad; Lee, Yugyung</t>
  </si>
  <si>
    <t>Lee, YG (corresponding author), Univ Missouri Kansas City UMKC, Dept Comp Sci, Kansas City, MO 64110 USA.</t>
  </si>
  <si>
    <t>leeyu@umkc.edu</t>
  </si>
  <si>
    <t>[Imran, Muhammad; Lee, Yugyung] Univ Missouri Kansas City UMKC, Dept Comp Sci, Kansas City, MO 64110 USA</t>
  </si>
  <si>
    <t>University of Missouri System; University of Missouri Kansas City</t>
  </si>
  <si>
    <t>Multimodal Vision-Language Models in Medical Imaging: A Survey of Retrieval, Interpretability, and Trust</t>
  </si>
  <si>
    <t>Retrieval augmented generation; Surveys; Medical diagnostic imaging; Cognition; Computational modeling; Accuracy; Visualization; Uncertainty; Taxonomy; Solid modeling; Medical imaging; vision-language models (VLMs); retrieval-augmented generation (RAG); interpretability; uncertainty quantification; trustworthiness; clinical decision support; regulatory</t>
  </si>
  <si>
    <t>ARTIFICIAL-INTELLIGENCE; HEALTH-CARE; SYSTEMS</t>
  </si>
  <si>
    <t>Imran, Muhammad/AAS-9984-2021</t>
  </si>
  <si>
    <t>183</t>
  </si>
  <si>
    <t>19511</t>
  </si>
  <si>
    <t>19535</t>
  </si>
  <si>
    <t>10.1109/ACCESS.2026.3656368</t>
  </si>
  <si>
    <t>http://dx.doi.org/10.1109/ACCESS.2026.3656368</t>
  </si>
  <si>
    <t>DN1VX</t>
  </si>
  <si>
    <t>WOS:001687406600031</t>
  </si>
  <si>
    <t>Chen, XX; Li, YH; Hu, MZ; Salari, E; Chen, XQ; Qiu, RLJ; Zheng, B; Yang, XF</t>
  </si>
  <si>
    <t>Background Although fusion of information from multiple views of mammograms plays an important role to increase accuracy of breast cancer detection, developing multi-view mammograms-based computer-aided diagnosis (CAD) schemes still faces big challenges and no such CAD schemes have been used in clinical practice.Purpose To overcome these challenges, we investigate a new approach based on the concept of contrastive language-image pre-training (CLIP), which has sparked interest across various medical imaging tasks. The aim is to solve the challenges in: (1) effectively adapting the single-view CLIP for multi-view feature fusion and (2) efficiently fine-tuning this parameter-dense model with limited samples and computational resources.Methods We introduce a unique Mammo-CLIP, the first multi-modal framework to process multi-view mammograms and corresponding simple texts. Mammo-CLIP uses an early feature fusion strategy to learn multi-view relationships in four mammograms acquired from the craniocaudal (CC) and mediolateral oblique (MLO) views of the left and right breasts. To enhance learning efficiency, plug-and-play adapters are added into CLIP's image and text encoders for fine-tuning the model efficiently and limiting updates to about 1% of the parameters. For framework evaluation, we assembled two datasets retrospectively. The first dataset, comprising 470 malignant and 479 benign cases, was used for few-shot fine-tuning and internal evaluation of the proposed Mammo-CLIP via 5-fold cross-validation. The second dataset, including 60 malignant and 294 benign cases, was used to test generalizability of Mammo-CLIP.Results Mammo-CLIP outperforms the state-of-the-art (SOTA) cross-view transformer evaluated using areas under ROC curves (AUC = 0.841 +/- 0.017 vs. 0.817 +/- 0.012 and 0.837 +/- 0.034 vs. 0.807 +/- 0.036) on both datasets. It also surpasses previous two CLIP-based methods by 20.3% and 14.3% in AUC.Conclusions The proposed Mammo-CLIP demonstrates superior breast cancer diagnosis performance compared to SOTA methods. This study highlights the potential of applying the finetuned vision-language models for developing multi-view, image-text-based CAD schemes of breast cancer.</t>
  </si>
  <si>
    <t>Chen, Xuxin; Li, Yuheng; Hu, Mingzhe; Salari, Ella; Chen, Xiaoqian; Qiu, Richard L. J.; Zheng, Bin; Yang, Xiaofeng</t>
  </si>
  <si>
    <t>Yang, XF (corresponding author), Emory Univ, Winship Canc Inst, Sch Med, Dept Radiat Oncol, 1365 Clifton Rd NE, Atlanta, GA 30322 USA.</t>
  </si>
  <si>
    <t>xiaofeng.yang@emory.edu</t>
  </si>
  <si>
    <t>National Institutes of Health [R01EB032680, R01CA272991]</t>
  </si>
  <si>
    <t>National Institutes of Health (United States Department of Health &amp; Human Services, National Institutes of Health (NIH) - USA, Office of the Administrator (NIH))</t>
  </si>
  <si>
    <t>This research is supported in part by the National Institutes of Health under Award Numbers R01EB032680 and R01CA272991.</t>
  </si>
  <si>
    <t>[Chen, Xuxin; Li, Yuheng; Hu, Mingzhe; Salari, Ella; Chen, Xiaoqian; Qiu, Richard L. J.; Yang, Xiaofeng] Emory Univ, Dept Radiat Oncol, Atlanta, GA USA; [Chen, Xuxin; Li, Yuheng; Hu, Mingzhe; Salari, Ella; Chen, Xiaoqian; Qiu, Richard L. J.; Zheng, Bin; Yang, Xiaofeng] Emory Univ, Winship Canc Inst, Atlanta, GA USA; [Li, Yuheng; Hu, Mingzhe; Yang, Xiaofeng] Emory Univ, Dept Biomed Engn, Atlanta, GA USA; [Li, Yuheng; Yang, Xiaofeng] Georgia Inst Technol, Atlanta, GA USA; [Zheng, Bin] Univ Oklahoma, Sch Elect &amp; Comp Engn, Norman, OK USA</t>
  </si>
  <si>
    <t>Emory University; Emory University; Emory University; University System of Georgia; Georgia Institute of Technology; University of Oklahoma System; University of Oklahoma - Norman</t>
  </si>
  <si>
    <t>Leveraging pretrained vision-language model for enhanced breast cancer diagnosis with multi-view mammography</t>
  </si>
  <si>
    <t>MEDICAL PHYSICS</t>
  </si>
  <si>
    <t>adapter; breast cancer screening; CLIP; mammography; parameter-efficient transfer learning; vision-language model</t>
  </si>
  <si>
    <t>COMPUTER-AIDED DETECTION; MASSES</t>
  </si>
  <si>
    <t>Qiu, Richard L.J./D-2150-2014; Qiu, Lei/D-2150-2014; Li, Yuheng/KGM-6048-2024; Yang, Xiaofeng/AAN-9258-2020</t>
  </si>
  <si>
    <t>Qiu, Lei/0000-0002-7877-1900; Yang, Xiaofeng/0000-0001-9023-5855</t>
  </si>
  <si>
    <t>0094-2405</t>
  </si>
  <si>
    <t>2473-4209</t>
  </si>
  <si>
    <t>MED PHYS</t>
  </si>
  <si>
    <t>Med. Phys.</t>
  </si>
  <si>
    <t>JAN 14 2026</t>
  </si>
  <si>
    <t>e70261</t>
  </si>
  <si>
    <t>10.1002/mp.70261</t>
  </si>
  <si>
    <t>http://dx.doi.org/10.1002/mp.70261</t>
  </si>
  <si>
    <t>CA7QM</t>
  </si>
  <si>
    <t>41532302</t>
  </si>
  <si>
    <t>WOS:001661323300001</t>
  </si>
  <si>
    <t>Bronze</t>
  </si>
  <si>
    <t>Park, YW; Kang, M; Ryu, H; Han, K; Sim, Y; Park, JE; Chang, JH; Kim, SH; Lee, SK; Park, SH; Ahn, SS</t>
  </si>
  <si>
    <t>We aimed to establish a robust vision-language model ("Glio-LLaMA-Vision") for molecular status prediction and radiology report generation (RRG) in adult-type diffuse gliomas. Multiparametric MRI data and paired radiology reports from 1001 patients with adult-type diffuse gliomas were included in the institutional training set. A vision-language model, Glio-LLaMA-Vision, was developed from LLaMA 3.1 pre-trained on 2.79 million biomedical image-text pairs from PubMed Central and further fine-tuned from the institutional training set. The performance was validated in 100 patients and 75 patients with paired MRI-radiology reports from an institutional validation set and another tertiary institution (AMC), and in 170 and 477 patients with MRI from TCGA and UCSF datasets, respectively. In terms of IDH mutation status prediction, Glio-LLaMA-Vision showed AUCs ranging from 0.85-0.95 in the internal validation and external datasets. In terms of RRG, the BLEU-1 and ROUGE-L scores were 0.50 and 0.49 in the internal validation, respectively, and 0.32 and 0.36 on the AMC dataset, respectively. Overall, 37.8% of generated reports were considered superior or equal to the original reports, while 91.0% of generated reports were considered clinically acceptable by neuroradiologists. In conclusion, Glio-LLaMA-Vision demonstrates promising performance in molecular status prediction and RRG in adult-type diffuse gliomas, showing potential for clinical assistance.</t>
  </si>
  <si>
    <t>Park, Yae Won; Kang, Myeongkyun; Ryu, Huiseung; Han, Kyunghwa; Sim, Yongsik; Park, Ji Eun; Chang, Jong Hee; Kim, Se Hoon; Lee, Seung-Koo; Park, Sang Hyun; Ahn, Sung Soo</t>
  </si>
  <si>
    <t>Ahn, SS (corresponding author), Yonsei Univ, Dept Radiol, Coll Med, Seoul, South Korea.; Ahn, SS (corresponding author), Yonsei Univ, Res Inst Radiol Sci, Coll Med, Seoul, South Korea.; Ahn, SS (corresponding author), Yonsei Univ, Ctr Clin Imaging Data Sci, Coll Med, Seoul, South Korea.; Park, SH (corresponding author), Pohang Univ Sci &amp; Technol POSTECH, Grad Sch Artificial Intelligence, Pohang, South Korea.; Park, SH (corresponding author), Pohang Univ Sci &amp; Technol POSTECH, Dept Comp Sci &amp; Engn, Pohang, South Korea.</t>
  </si>
  <si>
    <t>sungsoo@yuhs.ac; sanghyunpark@postech.ac.kr</t>
  </si>
  <si>
    <t>the National Research Foundation of Korea (NRF) grant funded by the Korea government (MSIT)</t>
  </si>
  <si>
    <t>the National Research Foundation of Korea (NRF) grant funded by the Korea government (MSIT) (National Research Foundation of Korea)</t>
  </si>
  <si>
    <t>This work was supported by the National Research Foundation of Korea (NRF) grant funded by the Korea government (MSIT) (RS-2025-00516124, RS-2025-00515423, and RS-2025-00515536). This study was also supported by a research grant from Yonsei University College of Medicine (4-2022-0828).</t>
  </si>
  <si>
    <t>[Park, Yae Won; Han, Kyunghwa; Lee, Seung-Koo; Ahn, Sung Soo] Yonsei Univ, Dept Radiol, Coll Med, Seoul, South Korea; [Park, Yae Won; Han, Kyunghwa; Lee, Seung-Koo; Ahn, Sung Soo] Yonsei Univ, Res Inst Radiol Sci, Coll Med, Seoul, South Korea; [Park, Yae Won; Han, Kyunghwa; Lee, Seung-Koo; Ahn, Sung Soo] Yonsei Univ, Ctr Clin Imaging Data Sci, Coll Med, Seoul, South Korea; [Kang, Myeongkyun] Daegu Gyeongbuk Inst Sci &amp; Technol DGIST, Dept Robot &amp; Mechatron Engn, Daegu, South Korea; [Ryu, Huiseung; Park, Sang Hyun] Pohang Univ Sci &amp; Technol POSTECH, Grad Sch Artificial Intelligence, Pohang, South Korea; [Sim, Yongsik] Sungkyunkwan Univ, Sch Med, Samsung Med Ctr, Dept Radiol, Seoul, South Korea; [Park, Ji Eun] Johns Hopkins Univ, Dept Radiol, Baltimore, MD USA; [Park, Ji Eun] Univ Ulsan, Coll Med, Asan Med Ctr, Dept Radiol, Seoul, South Korea; [Park, Ji Eun] Univ Ulsan, Res Inst Radiol, Asan Med Ctr, Coll Med, Seoul, South Korea; [Chang, Jong Hee] Yonsei Univ, Coll Med, Dept Neurosurg, Seoul, South Korea; [Kim, Se Hoon] Yonsei Univ, Coll Med, Dept Pathol, Seoul, South Korea; [Park, Sang Hyun] Pohang Univ Sci &amp; Technol POSTECH, Dept Comp Sci &amp; Engn, Pohang, South Korea</t>
  </si>
  <si>
    <t>Yonsei University; Yonsei University Health System; Yonsei University; Yonsei University Health System; Daegu Gyeongbuk Institute of Science &amp; Technology (DGIST); Pohang University of Science &amp; Technology (POSTECH); Sungkyunkwan University (SKKU); Samsung Medical Center; Johns Hopkins University; Johns Hopkins Medicine; University of Ulsan; Asan Medical Center; University of Ulsan; Asan Medical Center; Yonsei University; Yonsei University Health System; Yonsei University; Yonsei University Health System; Pohang University of Science &amp; Technology (POSTECH)</t>
  </si>
  <si>
    <t>A robust vision language model for molecular status prediction and radiology report generation in adult-type diffuse gliomas</t>
  </si>
  <si>
    <t>Ahn, Sungsoo/Z-2799-2019; Kang, Myeongkyun/PQV-6952-2026</t>
  </si>
  <si>
    <t>APR 2 2026</t>
  </si>
  <si>
    <t>406</t>
  </si>
  <si>
    <t>10.1038/s41746-026-02581-x</t>
  </si>
  <si>
    <t>http://dx.doi.org/10.1038/s41746-026-02581-x</t>
  </si>
  <si>
    <t>IQ0BZ</t>
  </si>
  <si>
    <t>41927936</t>
  </si>
  <si>
    <t>WOS:001777578800001</t>
  </si>
  <si>
    <t>Oh, G; Kim, S; Park, S; Kim, BH</t>
  </si>
  <si>
    <t>Background: Test-time scaling has emerged as a promising method to enhance the reasoning capabilities of large language models (LLMs) and vision-language models (VLMs) during inference without additional training. While foundational studies established scaling paradigms in general domains, their applicability to the unique complexities of medical AI remains underexplored. Objective: This study aims to conduct a comprehensive investigation of test-time scaling in the medical domain. We evaluate the impact of scaling across different model sizes and task complexities. Furthermore, we seek to identify domain-specific bottlenecks and assess model robustness against user-driven perturbations, such as misleading clinical authority. Methods: This study evaluated a diverse set of general and medical-specific LLMs and VLMs. Experiments used five textual medical benchmarks comprising over 5500 questions and two multimodal benchmarks comprising 7000 samples. Performance was measured under three scaling conditions: increasing token budgets, iterative sequential scaling, and parallel scaling. Robustness was tested by embedding misleading hints with varying tones and levels of simulated clinical expertise into prompts. Results: For nonreasoning LLMs, accuracy saturated quickly, with token usage often remaining under 500 tokens regardless of budget increases. Reasoning models demonstrated significant performance gains on complex tasks as token budgets increased. Notably, we identified distinct domain-specific behaviors. First, current VLMs showed a structural bottleneck in integrating visual clues and experienced limited benefit from token expansion. Second, medically fine-tuned LLMs excelled in clinical question answering but exhibited degraded scaling efficiency on calculation tasks compared to general-domain models. This reflects a disparity between qualitative clinical alignment and procedural logic. Third, while optimal scaling improved robustness, models exhibited a cognitive vulnerability by readily abandoning correct reasoning when confronted with misleading expert physician hints. Regarding scaling strategies, parallel scaling outperformed sequential scaling on easier tasks. Conversely, extended sequential scaling or increased budgets proved essential for complex problem-solving. Conclusions: Test-time scaling rules from general domains do not perfectly translate to medical AI. Longer reasoning is not universally beneficial. Concise reasoning with parallel scaling is optimal for simpler tasks. An extended chain of thought via sequential scaling or increased budgets is required for complex problems. Furthermore, safe clinical deployment requires addressing fundamental vision-language alignment, balancing clinical and procedural reasoning, and mitigating vulnerabilities to perceived clinical authority.</t>
  </si>
  <si>
    <t>Oh, Gyutaek; Kim, Seoyeon; Park, Sangjoon; Kim, Byung-Hoon</t>
  </si>
  <si>
    <t>Kim, BH (corresponding author), Yonsei Univ, Coll Med, Dept Biomed Syst Informat, 50-1 Yonsei Ro, Seoul 03722, South Korea.</t>
  </si>
  <si>
    <t>egyptdj@yonsei.ac.kr</t>
  </si>
  <si>
    <t>Bio&amp;Medical Technology Development Program of the National Research Foundation (NRF) - Korean government (MSIT) [RS-2025-02263045]; Korean ARPA-H Project through the Korea Health Industry Development Institute (KHIDI) - Ministry of Health &amp; Welfare, Republic of Korea [RS-2025-25455095]; Institute of Information and Communications Technology Planning &amp; Evaluation (IITP) - Korea government (Ministry of Science and ICT [information and communication technology] [RS-2026-25518389]; InnoCORE program of the Ministry of Science and ICT [26-InnoCORE-02]; Institute for AI and Social Innovation at Yonsei University [2025-22-0484]; Severance Hospital Research fund for Clinical excellence (SHRC) [C-2025-0033]; National Research Foundation of Korea (NRF) - Korea government (MSIT) [RS-2026-25485764]; Korea Health Technology R&amp;D (research and development) Project through the Korea Health Industry Development Institute (KHIDI) - Ministry of Health &amp; Welfare, Republic of Korea [RS-2025-02263802]</t>
  </si>
  <si>
    <t>Bio&amp;Medical Technology Development Program of the National Research Foundation (NRF) - Korean government (MSIT) (National Research Foundation of Korea, Ministry of Science &amp; ICT (MMSTI)); Korean ARPA-H Project through the Korea Health Industry Development Institute (KHIDI) - Ministry of Health &amp; Welfare, Republic of Korea; Institute of Information and Communications Technology Planning &amp; Evaluation (IITP) - Korea government (Ministry of Science and ICT [information and communication technology]; InnoCORE program of the Ministry of Science and ICT; Institute for AI and Social Innovation at Yonsei University; Severance Hospital Research fund for Clinical excellence (SHRC); National Research Foundation of Korea (NRF) - Korea government (MSIT) (National Research Foundation of Korea, Ministry of Science &amp; ICT (MMSTI)); Korea Health Technology R&amp;D (research and development) Project through the Korea Health Industry Development Institute (KHIDI) - Ministry of Health &amp; Welfare, Republic of Korea</t>
  </si>
  <si>
    <t>This research was supported by the Bio&amp;Medical Technology Development Program of the National Research Foundation (NRF) funded by the Korean government (MSIT; RS-2025-02263045), a grant of the Korean ARPA-H Project through the Korea Health Industry Development Institute (KHIDI), funded by the Ministry of Health &amp; Welfare, Republic of Korea (RS-2025-25455095), Institute of Information and Communications Technology Planning &amp; Evaluation (IITP) grant funded by the Korea government (Ministry of Science and ICT [information and communication technology]; RS-2026-25518389), the InnoCORE program of the Ministry of Science and ICT (26-InnoCORE-02), a grant from the Institute for AI and Social Innovation at Yonsei University (2025-22-0484), Severance Hospital Research fund for Clinical excellence (SHRC; C-2025-0033), the National Research Foundation of Korea (NRF) grant funded by the Korea government (MSIT; RS-2026-25485764), and a grant of the Korea Health Technology R&amp;D (research and development) Project through the Korea Health Industry Development Institute (KHIDI), funded by the Ministry of Health &amp; Welfare, Republic of Korea (RS-2025-02263802).The funder had no involvement in this study's design, data collection, analysis, interpretation, or the writing of this paper.</t>
  </si>
  <si>
    <t>[Oh, Gyutaek; Kim, Byung-Hoon] Yonsei Univ, Coll Med, Dept Biomed Syst Informat, 50-1 Yonsei Ro, Seoul 03722, South Korea; [Oh, Gyutaek; Park, Sangjoon; Kim, Byung-Hoon] Yonsei Inst Digital Hlth, Seoul, South Korea; [Kim, Seoyeon] Yonsei Univ, Coll Med, Seoul, South Korea; [Park, Sangjoon] Yonsei Univ, Coll Med, Dept Radiat Oncol, Seoul, South Korea; [Park, Sangjoon] Yonsei Univ, Heavy Ion Therapy Res Inst, Coll Med, Seoul, South Korea; [Park, Sangjoon] Yonsei Univ, Coll Med, Yonsei Canc Ctr, Seoul, South Korea; [Kim, Byung-Hoon] Yonsei Univ, Coll Med, Dept Psychiat, Seoul, South Korea; [Kim, Byung-Hoon] Yonsei Univ, Coll Med, Inst Behav Sci Med, Seoul, South Korea</t>
  </si>
  <si>
    <t>Yonsei University; Yonsei University Health System; Yonsei University; Yonsei University Health System; Yonsei University; Yonsei University Health System; Yonsei University; Yonsei University Health System; Yonsei University; Yonsei University Health System; Severance Hospital; Yonsei University; Yonsei University Health System; Yonsei University; Yonsei University Health System</t>
  </si>
  <si>
    <t>Model and Task-Aware Test-Time Scaling Strategies for Large Language and Vision-Language Models in Medicine: Evaluation Study</t>
  </si>
  <si>
    <t>JOURNAL OF MEDICAL INTERNET RESEARCH</t>
  </si>
  <si>
    <t>test-time scaling; large language models; vision-language models; reasoning models; medical AI; clincal reasoning</t>
  </si>
  <si>
    <t>1439-4456</t>
  </si>
  <si>
    <t>1438-8871</t>
  </si>
  <si>
    <t>J MED INTERNET RES</t>
  </si>
  <si>
    <t>J. Med. Internet Res.</t>
  </si>
  <si>
    <t>JUL 23 2026</t>
  </si>
  <si>
    <t>e90693</t>
  </si>
  <si>
    <t>10.2196/90693</t>
  </si>
  <si>
    <t>http://dx.doi.org/10.2196/90693</t>
  </si>
  <si>
    <t>LX9XS</t>
  </si>
  <si>
    <t>42490549</t>
  </si>
  <si>
    <t>WOS:001835897400002</t>
  </si>
  <si>
    <t>Stueker, EH; Kolbinger, FR; Saldanha, OL; Digomann, D; Pistorius, S; Oehme, F; Van Treeck, M; Ferber, D; Löffler, CML; Weitz, J; Distler, M; Kather, JN; Muti, HS</t>
  </si>
  <si>
    <t>Background:The ongoing shortage of medical personnel highlights the urgent need to automate clinical documentation and reduce administrative burden. Large vision-language models (VLMs) offer promising potential for supporting surgical documentation and intraoperative analysis.Methods:We conducted an observational, comparative performance study of two general-purpose VLMs - GPT-4o (OpenAI) and Gemini-1.5-pro (Google) - from June to September 2024, using 15 cholecystectomy and 15 appendectomy videos (1 fps) from the CholecT45 and LapApp datasets. Tasks included object detection (vessel clips, gauze, retrieval bags, bleeding), surgery type classification, appendicitis grading, and surgical report generation. In-context learning (ICL) was evaluated as an enhancement method. Performance was assessed using descriptive accuracy metrics.Results:Both models identified vessel clips with 100% accuracy. GPT-4o outperformed Gemini-1.5-pro in retrieval bag (100% vs. 93.3%) and gauze detection (93.3% vs. 60%), while Gemini-1.5-pro showed better results in bleeding detection (93.3% vs. 86.7%). In surgery classification, Gemini-1.5-pro was more accurate for cholecystectomies (93% vs. 80%), with both models achieving 60% accuracy for appendectomies. Appendicitis grading showed limited performance (GPT-4o: 40%, Gemini-1.5-pro: 26.7%). For surgical reports, GPT-4o produced for CCE more complete outputs (CCE: 90.4%, APE: 80.1%), while Gemini-1.5-pro achieved higher correctness overall (CCE: 71.1%, APE: 69.6%). ICL notably improved tool recognition (e.g., in APE step 4, GPT-4o improved from 69.2% to 80%), though its effect on organ removal step recognition was inconsistent.Conclusion:GPT-4o and Gemini-1.5-pro performed reliably in object detection and procedure classification but showed limitations in grading pathology and accurately describing procedural steps, which could be enhanced through in-context learning. This shows that domain-agnostic VLMs can be applied to surgical video analysis. In the future, VLMs with domain knowledge can be envisioned to enhance the operating room in the form of companions.</t>
  </si>
  <si>
    <t>Stueker, Esther Helene; Kolbinger, Fiona R.; Saldanha, Oliver Lester; Digomann, David; Pistorius, Steffen; Oehme, Florian; Van Treeck, Marko; Ferber, Dyke; Loffler, Chiara Maria Lavinia; Weitz, Jurgen; Distler, Marius; Kather, Jakob Nikolas; Muti, Hannah Sophie</t>
  </si>
  <si>
    <t>Muti, HS (corresponding author), Tech Univ Dresden, Else Kroner Fresenius Ctr Digital Hlth, Dresden, Germany.; Muti, HS (corresponding author), Tech Univ Dresden, Univ Hosp &amp; Fac Med Carl Gustav Carus, Dept Visceral Thorac &amp; Vasc Surg, Dresden, Germany.; Muti, HS (corresponding author), TU Dresden Univ Technol, Fac Med, DKFZ, Natl Ctr Tumor Dis Dresden NCT UCC, Dresden, Germany.; Muti, HS (corresponding author), TU Dresden Univ Technol, Univ Hosp Carl Gustav Carus, Dresden, Germany.; Muti, HS (corresponding author), Helmholtz Zentrum Dresden Rossendorf, Dresden, Germany.; Muti, HS (corresponding author), German Canc Res Ctr, German Canc Consortium DKTK, Partner Site Dresden, Heidelberg, Germany.</t>
  </si>
  <si>
    <t>florian.oehme@ukdd.de; fiona.kolbinger@tu-dresden.de; esther.stueker@tu-dresden.de; mava067e@msx.tu-dresden.de; marius.distler@ukdd.de; jakob-nikolas.kather@tu-dresden.de; hannah-muti@web.de; oliver-lester.saldanha1@tu-dresden.de; juergen.weitz@uniklinikum-dresden.de; David.Digomann@ukdd.de; chiara.loeffler@tu-dresden.de; dyfe751f@msx.tu-dresden.de; s.pistorius@asklepios.com</t>
  </si>
  <si>
    <t>GermanFederalMinistryofEducationandResearch( [01KD2104C]</t>
  </si>
  <si>
    <t>GermanFederalMinistryofEducationandResearch( (Federal Ministry of Education &amp; Research (BMBF))</t>
  </si>
  <si>
    <t>J.N.K.is supportedbytheGermanCancerAid(DECADE,70115166),theGermanFederalMinistryofEducationandResearch(PEARL,01KD2104C;CAMINO,01EO2101;TRANSFORMLIVER,031L0312A;TANGERINE,01KT2302throughERA-NETTranscan;Come2Data,16DKZ2044A;DEEP-HCC,031L0315A;DECIPHER-M,01KD2420A;NextBIG,01ZU2402A),theGermanAcademicExchangeService(SECAI,57616814),theGermanFederalJointCommittee(TransplantKI,01VSF21048),theEuropeanUnion'sHorizonEuroperesearchandinnovationprogramme(ODELIA,101057091;GENIAL,101096312),theEuropeanResearchCouncil(ERC;NADIR,101114631)andtheNationalInstitutesof Health(EPICO,R01CA263318).J.N.K.andH.S.M.aresupportedbytheNationalInstituteforHealthandCareResearch(NIHR,NIHR203331)LeedsBiomedicalResearchCentre.Theviewsexpressedarethoseof theauthor(s)andnotnecessarilythoseof theNHS,theNIHRortheDepartmentof HealthandSocialCare.ThisworkwasfundedbytheEuropeanUnion.Viewsandopinionsexpressedarehow-everthoseof theauthor(s)onlyanddo notnecessarilyreflectthoseof theEuropeanUnion.NeithertheEuropeanUnionnorthegrantingauthoritycanbe heldresponsibleforthem.</t>
  </si>
  <si>
    <t>[Stueker, Esther Helene; Saldanha, Oliver Lester; Van Treeck, Marko; Ferber, Dyke; Loffler, Chiara Maria Lavinia; Kather, Jakob Nikolas; Muti, Hannah Sophie] Tech Univ Dresden, Else Kroner Fresenius Ctr Digital Hlth, Dresden, Germany; [Kolbinger, Fiona R.; Digomann, David; Pistorius, Steffen; Oehme, Florian; Weitz, Jurgen; Distler, Marius; Muti, Hannah Sophie] Tech Univ Dresden, Univ Hosp &amp; Fac Med Carl Gustav Carus, Dept Visceral Thorac &amp; Vasc Surg, Dresden, Germany; [Kolbinger, Fiona R.] Purdue Univ, Weldon Sch Biomed Engn, W Lafayette, IN USA; [Kolbinger, Fiona R.] Indiana Univ, Richard M Fairbanks Sch Publ Hlth, Dept Biostat &amp; Hlth Data Sci, Indianapolis, IN USA; [Digomann, David; Oehme, Florian; Loffler, Chiara Maria Lavinia; Weitz, Jurgen; Distler, Marius; Muti, Hannah Sophie] TU Dresden Univ Technol, Fac Med, DKFZ, Natl Ctr Tumor Dis Dresden NCT UCC, Dresden, Germany; [Digomann, David; Oehme, Florian; Loffler, Chiara Maria Lavinia; Weitz, Jurgen; Distler, Marius; Muti, Hannah Sophie] TU Dresden Univ Technol, Univ Hosp Carl Gustav Carus, Dresden, Germany; [Digomann, David; Oehme, Florian; Loffler, Chiara Maria Lavinia; Weitz, Jurgen; Distler, Marius; Muti, Hannah Sophie] Helmholtz Zentrum Dresden Rossendorf, Dresden, Germany; [Digomann, David; Weitz, Jurgen; Muti, Hannah Sophie] German Canc Res Ctr, German Canc Consortium DKTK, Partner Site Dresden, Heidelberg, Germany; [Pistorius, Steffen] Asklepios ASB Krankenhaus Radeberg, Radeberg, Germany; [Ferber, Dyke; Kather, Jakob Nikolas] Heidelberg Univ Hosp, Natl Ctr Tumor Dis NCT, Dept Med Oncol, Heidelberg, Germany; [Loffler, Chiara Maria Lavinia; Kather, Jakob Nikolas] TUD Dresden Univ Technol, Fac Med, Dept Med 1, Dresden, Germany; [Loffler, Chiara Maria Lavinia; Kather, Jakob Nikolas] TUD Dresden Univ Technol, Univ Hosp Carl Gustav Carus, Dresden, Germany</t>
  </si>
  <si>
    <t>Technische Universitat Dresden; Technische Universitat Dresden; Purdue University System; Purdue University; Indiana University System; Indiana University Indianapolis; Helmholtz Association; Technische Universitat Dresden; German Cancer Research Center (DKFZ); Technische Universitat Dresden; Carl Gustav Carus University Hospital; Helmholtz Association; Helmholtz-Zentrum Dresden-Rossendorf (HZDR); Helmholtz Association; German Cancer Research Center (DKFZ); Ruprecht Karls University Heidelberg; Helmholtz Association; National Center for Tumor Diseases; German Cancer Research Center (DKFZ); Technische Universitat Dresden; Technische Universitat Dresden; Carl Gustav Carus University Hospital</t>
  </si>
  <si>
    <t>Vision-language models for automated video analysis and documentation in laparoscopic surgery: a proof-of-concept study</t>
  </si>
  <si>
    <t>INTERNATIONAL JOURNAL OF SURGERY</t>
  </si>
  <si>
    <t>appendectomy; cholecystectomy; minimally invasive surgery; surgical video analysis; vision-language models</t>
  </si>
  <si>
    <t>TIME</t>
  </si>
  <si>
    <t>Kather, Jakob Nikolas/D-4279-2015; Kolbinger, Fiona R/ABG-4194-2020</t>
  </si>
  <si>
    <t>Kather, Jakob Nikolas/0000-0002-3730-5348; Kolbinger, Fiona R/0000-0003-2265-4809; Stüker, Esther/0009-0001-6354-6639</t>
  </si>
  <si>
    <t>1743-9191</t>
  </si>
  <si>
    <t>1743-9159</t>
  </si>
  <si>
    <t>INT J SURG</t>
  </si>
  <si>
    <t>Int. J. Surg.</t>
  </si>
  <si>
    <t>7777</t>
  </si>
  <si>
    <t>7786</t>
  </si>
  <si>
    <t>10.1097/JS9.0000000000003069</t>
  </si>
  <si>
    <t>http://dx.doi.org/10.1097/JS9.0000000000003069</t>
  </si>
  <si>
    <t>Surgery</t>
  </si>
  <si>
    <t>9YV5D</t>
  </si>
  <si>
    <t>40679978</t>
  </si>
  <si>
    <t>WOS:001618284300006</t>
  </si>
  <si>
    <t>Lameesa, A; Bin Alam, MS; Uddin, KMM; Masum, AKM</t>
  </si>
  <si>
    <t>ObjectivesMedical Visual Question Answering (MedVQA) systems are predominantly evaluated using exact-match accuracy, which fails to account for partially correct or clinically insightful answers, particularly in open-ended question settings. This study aims to investigate the effectiveness of language-based evaluation metrics, specifically BLEU scores at multiple n-gram levels, in providing a more nuanced perspective of model performance beyond strict accuracy.MethodsWe conducted a systematic benchmarking of multimodal vision-language models by combining three transformer-based visual encoders (ViT, BEiT, and DeiT) with three transformer-based text encoders (BERT, RoBERTa, and ALBERT). All model variants were fine-tuned and evaluated on the VQA-Med 2020 and VQA-Med 2021 datasets. Performance was assessed using exact-match accuracy alongside BLEU-1 to BLEU-4 and cumulative BLEU scores to capture varying degrees of lexical and semantic overlap between predicted and reference answers.ResultsExperimental results demonstrate that DeiT-based visual backbones consistently outperform ViT and BEiT across both datasets. On VQA-Med 2020, the DeiT + BERT model achieved the highest accuracy of 52.27% with a cumulative BLEU score of 26.87. On VQA-Med 2021, DeiT + RoBERTa reached the highest accuracy of 54.87%, while DeiT + ALBERT achieved the highest cumulative BLEU score of 25.50. Qualitative analyses further show that BLEU scores effectively capture partial correctness, synonymous terminology, and clinically relevant overlaps that are ignored by accuracy-based evaluation.ConclusionThis study demonstrates that language-based evaluation metrics, particularly BLEU scores, provide important complementary insights beyond accuracy in open-ended MedVQA tasks. By capturing semantic similarity and partial correctness, such language-based metrics support a more clinically meaningful assessment of model outputs. These findings emphasize the need for multi-metric evaluation frameworks, as exact-match accuracy alone is insufficient for open-ended responses.</t>
  </si>
  <si>
    <t>Lameesa, Aiman; Bin Alam, Md Sakib; Uddin, Khandaker Mohammad Mohi; Masum, Abdul Kadar Muhammad</t>
  </si>
  <si>
    <t>Masum, AKM (corresponding author), Southeast Univ, Dept Comp Sci &amp; Engn, 251-A Tejgaon I-A, Dhaka 1208, Bangladesh.</t>
  </si>
  <si>
    <t>akmmasum@yahoo.com</t>
  </si>
  <si>
    <t>[Lameesa, Aiman; Bin Alam, Md Sakib] Griffith Univ, Informat &amp; Commun Technol, Gold Coast, Qld, Australia; [Uddin, Khandaker Mohammad Mohi; Masum, Abdul Kadar Muhammad] Southeast Univ, Dept Comp Sci &amp; Engn, 251-A Tejgaon I-A, Dhaka 1208, Bangladesh</t>
  </si>
  <si>
    <t>Griffith University</t>
  </si>
  <si>
    <t>A linguistic lens into vision-language models for open-ended question-answers in medical visual question answering</t>
  </si>
  <si>
    <t>DIGITAL HEALTH</t>
  </si>
  <si>
    <t>medical visual question-answering; open-ended question-answers; vision-language models; semantic similarity; language-based evaluation</t>
  </si>
  <si>
    <t>Muhammad Masum, Abdul Kadar/K-2493-2013</t>
  </si>
  <si>
    <t>Muhammad Masum, Abdul Kadar/0000-0002-8642-5688</t>
  </si>
  <si>
    <t>SAGE PUBLICATIONS LTD</t>
  </si>
  <si>
    <t>1 OLIVERS YARD, 55 CITY ROAD, LONDON EC1Y 1SP, ENGLAND</t>
  </si>
  <si>
    <t>2055-2076</t>
  </si>
  <si>
    <t>DIGIT HEALTH</t>
  </si>
  <si>
    <t>Digit. Health</t>
  </si>
  <si>
    <t>20552076261450386</t>
  </si>
  <si>
    <t>10.1177/20552076261450386</t>
  </si>
  <si>
    <t>http://dx.doi.org/10.1177/20552076261450386</t>
  </si>
  <si>
    <t>Health Care Sciences &amp; Services; Health Policy &amp; Services; Public, Environmental &amp; Occupational Health; Medical Informatics</t>
  </si>
  <si>
    <t>Health Care Sciences &amp; Services; Public, Environmental &amp; Occupational Health; Medical Informatics</t>
  </si>
  <si>
    <t>HN0LJ</t>
  </si>
  <si>
    <t>42130773</t>
  </si>
  <si>
    <t>WOS:001757931700001</t>
  </si>
  <si>
    <t>Güler, I; Kraus, A; Grieb, G; Satir, T; Eberz, P; Stelling, H</t>
  </si>
  <si>
    <t>Background/Objectives: Accurate differentiation of benign melanocytic nevi from invasive melanoma in dermato-oncology directly informs biopsy decisions and oncological management. Vision-language models (VLMs) are increasingly explored for image-based skin cancer assessment, but their diagnostic reliability and robustness to adversarial input manipulation remain insufficiently characterized. We evaluated three contemporary VLMs for diagnostic performance and susceptibility to single-word adversarial input manipulation (prompt injection) on dermoscopic images of histopathologically confirmed lesions. Methods: Fifty-two dermoscopic images (26 benign melanocytic nevi, 26 invasive melanomas) were analyzed using Claude Opus 4.7, Gemini 3.1 Pro, and GPT-5.4 under four conditions: an unmodified baseline and three adversarial conditions with a single opposite-of-ground-truth label embedded as a visual overlay, in image metadata, or both. Three independent rounds per image &amp; times; model &amp; times; condition yielded 1872 classifications across 52 lesions (independent diagnostic units) and 16,848 structured-output observations in total. Results: Baseline diagnostic accuracy ranged from 58.3% to 62.2%, with asymmetric sensitivity and specificity, including a pronounced benign-labeling bias in one model that missed 22 of 26 invasive melanomas. All adversarial conditions reduced accuracy to near-zero levels (0.0-1.9%; all p &lt; 10(-7) after Bonferroni correction). Repeated queries produced identical incorrect outputs in 98-100% of cases (Fleiss' kappa 0.97-1.00). Non-diagnostic outputs remained largely unchanged, and self-reported confidence did not decrease. Conclusions: Contemporary VLMs show limited baseline performance and marked vulnerability to minimal adversarial input in dermoscopic skin cancer assessment. The failure selectively alters the malignancy decision while preserving surrounding outputs and confidence, indicating that, within the conditions evaluated here, these systems do not currently appear suitable for unsupervised clinical use in dermato-oncology in the absence of input-integrity safeguards and qualified human oversight.</t>
  </si>
  <si>
    <t>Guler, Ibrahim; Kraus, Armin; Grieb, Gerrit; Satir, Tevfik; Eberz, Pascal; Stelling, Henrik</t>
  </si>
  <si>
    <t>Güler, I (corresponding author), Otto von Guericke Univ, Dept Plast Aesthet &amp; Hand Surg, D-39120 Magdeburg, Germany.; Güler, I (corresponding author), Friedrich Alexander Univ Erlangen Nurnberg, Dept Hlth Management, D-90403 Nurnberg, Germany.</t>
  </si>
  <si>
    <t>ibrahim.gueler@med.ovgu.de; henrik.stelling@fau.de; armin.kraus@med.ovgu.de; gerritgrieb@gmx.de; t.satir@st.josefskrankenhaus.de</t>
  </si>
  <si>
    <t>[Guler, Ibrahim; Kraus, Armin] Otto von Guericke Univ, Dept Plast Aesthet &amp; Hand Surg, D-39120 Magdeburg, Germany; [Guler, Ibrahim; Stelling, Henrik] Friedrich Alexander Univ Erlangen Nurnberg, Dept Hlth Management, D-90403 Nurnberg, Germany; [Grieb, Gerrit] Gemeinschaftskrankenhaus Havelhohe, Dept Plast Surg &amp; Hand Surg, D-14089 Berlin, Germany; [Grieb, Gerrit] Rhein Westfal TH Aachen, Med Fac, Dept Plast Surg &amp; Hand Surg, D-52074 Aachen, Germany; [Satir, Tevfik] Heidelberg Univ, Acad Teaching Hosp, Med Fac Mannheim, St Josefskrankenhaus Heidelberg,Ctr Dermatosurg, D-69115 Heidelberg, Germany; [Eberz, Pascal] Practice Skinworld, CH-3008 Bern, Switzerland</t>
  </si>
  <si>
    <t>Otto von Guericke University; University of Erlangen Nuremberg; RWTH Aachen University; Ruprecht Karls University Heidelberg</t>
  </si>
  <si>
    <t>AI in Dermato-Oncology: Diagnostic Performance and Prompt-Injection Vulnerability of Vision-Language Models in Dermoscopic Skin Cancer Assessment</t>
  </si>
  <si>
    <t>CANCERS</t>
  </si>
  <si>
    <t>skin cancer; melanoma; dermoscopy; artificial intelligence; vision-language models; computer-aided diagnosis; cancer detection; diagnostic accuracy; clinical decision support; prompt injection</t>
  </si>
  <si>
    <t>2072-6694</t>
  </si>
  <si>
    <t>Cancers</t>
  </si>
  <si>
    <t>MAY 27 2026</t>
  </si>
  <si>
    <t>1750</t>
  </si>
  <si>
    <t>10.3390/cancers18111750</t>
  </si>
  <si>
    <t>http://dx.doi.org/10.3390/cancers18111750</t>
  </si>
  <si>
    <t>MAY 2026</t>
  </si>
  <si>
    <t>Oncology</t>
  </si>
  <si>
    <t>JI2XQ</t>
  </si>
  <si>
    <t>42279333</t>
  </si>
  <si>
    <t>WOS:001789986800001</t>
  </si>
  <si>
    <t>Ge, CY; Li, YT; Song, GL</t>
  </si>
  <si>
    <t>Medical image classification plays a vital role in healthcare by aiding diagnosis and treatment planning. Vision-language models, such as CLIP, demonstrate promising capabilities in medical imaging by enabling zero-shot learning, which mitigates the need for extensive labeled data. Test-Time Prompt Tuning (TPT) improves CLIP by dynamically refining prompts during inference to enhance performance. Yet, TPT's reliance on entropy minimization can exacerbate overconfidence, impairing the model's calibration, and leading to unreliable predictions. However, traditional calibration methods rely on substantial amounts of labeled data, making them impractical for test-time scenarios. In this work, we propose Information-Theoretic-Based Test-Time Prompt Tuning (I-TPT) to address these calibration challenges. We introduce a novel Mutual Dissimilarity Loss (MDL) inspired by information theory to enhance the separation between prompt embeddings, ensuring minimal overlap between classes. By maximizing dissimilarity, I-TPT reduces overconfidence and improves calibration, ensuring safer and more reliable clinical decision-making. Extensive experiments on multiple medical datasets demonstrate that our approach significantly lowers the Expected Calibration Error (ECE) while maintaining high classification accuracy. I-TPT offers a scalable solution for deploying vision-language models in medical applications, providing both robustness and adaptability without the computational burden of full retraining.</t>
  </si>
  <si>
    <t>Ge, Chenyu; Li, Yitong; Song, Guangle</t>
  </si>
  <si>
    <t>Song, GL (corresponding author), Shandong Jianzhu Univ, Jinan, Peoples R China.</t>
  </si>
  <si>
    <t>yit.li@mail.utoronto.ca; 201800800274@mail.sdu.edu.cn; glsong921@163.com</t>
  </si>
  <si>
    <t>[Ge, Chenyu] Shandong Univ, Jinan, Peoples R China; [Li, Yitong] Univ Toronto, St George Campus, Toronto, ON, Canada; [Song, Guangle] Shandong Jianzhu Univ, Jinan, Peoples R China</t>
  </si>
  <si>
    <t>Shandong University; University of Toronto; Shandong Jianzhu University</t>
  </si>
  <si>
    <t>Calibrated test-time prompt tuning for vision-language models on medicine via information theoretic</t>
  </si>
  <si>
    <t>INTERNATIONAL JOURNAL OF MACHINE LEARNING AND CYBERNETICS</t>
  </si>
  <si>
    <t>Medical image classification; Zero-shot learning; Test-Time Prompt Tuning; Calibration; Reliability</t>
  </si>
  <si>
    <t>Song, Guangle/QAV-5833-2026</t>
  </si>
  <si>
    <t>SPRINGER HEIDELBERG</t>
  </si>
  <si>
    <t>HEIDELBERG</t>
  </si>
  <si>
    <t>TIERGARTENSTRASSE 17, D-69121 HEIDELBERG, GERMANY</t>
  </si>
  <si>
    <t>1868-8071</t>
  </si>
  <si>
    <t>1868-808X</t>
  </si>
  <si>
    <t>INT J MACH LEARN CYB</t>
  </si>
  <si>
    <t>Int. J. Mach. Learn. Cybern.</t>
  </si>
  <si>
    <t>FEB 28 2026</t>
  </si>
  <si>
    <t>156</t>
  </si>
  <si>
    <t>10.1007/s13042-025-02905-5</t>
  </si>
  <si>
    <t>http://dx.doi.org/10.1007/s13042-025-02905-5</t>
  </si>
  <si>
    <t>EK9CO</t>
  </si>
  <si>
    <t>WOS:001703516400034</t>
  </si>
  <si>
    <t>Li, X; Li, LK; Jiang, YC; Wang, H; Qiao, XY; Feng, T; Luo, H; Zhao, Y</t>
  </si>
  <si>
    <t>Vision-Language Model (VLM) is a kind of multi-modality deep learning model that aims to fuse visual information with language information to enhance the understanding and analysis of visual content. VLM was originally used to integrate multi-modality information and improve task accuracy. Then, VLM was further developed in combination with zero-shot and few-shot learning to solve the problem of insufficient medical labels. At present, it is the technical basis of the popular medical general large model. Its role is no longer limited to simple information fusion. This paper makes a comprehensive review for the development and application of VLM-based medical image analysis technology. Specifically, this paper first introduces the basic principle and explains the pre-training and fine-tuning framework. Then, the research progress of medical image classification, segmentation, report generation, question answering, image generation, large model and other application scenarios is introduced. This paper also summarizes seven main characteristics of medical image VLM, and analyzes the specific embodiment of these characteristics in each task. Finally, the challenges, potential solutions and future directions in this field are discussed. VLM is still in a rapid development in the field of medical image analysis, and a continuously updated repository of papers and code has been built, it is available at https://github.com/XiangQA-Q/VLM-in-MIA.</t>
  </si>
  <si>
    <t>Li, Xiang; Li, Like; Jiang, Yuchen; Wang, Hao; Qiao, Xinyu; Feng, Ting; Luo, Hao; Zhao, Yong</t>
  </si>
  <si>
    <t>Li, LK; Feng, T; Zhao, Y (corresponding author), Northeastern Univ, Coll Informat Sci &amp; Engn, Shenyang 110819, Peoples R China.</t>
  </si>
  <si>
    <t>lilike@neuq.edu.cn; zhaoyong@ise.neu.edu.cn; fengting@neuq.edu.cn</t>
  </si>
  <si>
    <t>Natural Science Foundation of Hebei Province [F2024501044]</t>
  </si>
  <si>
    <t>Natural Science Foundation of Hebei Province (Natural Science Foundation of Hebei Province)</t>
  </si>
  <si>
    <t>This work was supported by the Natural Science Foundation of Hebei Province under Grant F2024501044.</t>
  </si>
  <si>
    <t>[Li, Xiang; Li, Like; Feng, Ting; Zhao, Yong] Northeastern Univ, Coll Informat Sci &amp; Engn, Shenyang 110819, Peoples R China; [Li, Xiang; Li, Like; Feng, Ting; Zhao, Yong] Hebei Key Lab Micronano Precis Opt Sensing &amp; Measu, Qinhuangdao 066004, Peoples R China; [Jiang, Yuchen; Wang, Hao; Qiao, Xinyu; Luo, Hao] Harbin Inst Technol, Dept Control Sci &amp; Engn, Harbin 150001, Peoples R China; [Zhao, Yong] State Key Lab Synthet Automat Proc Ind, Shenyang 110819, Peoples R China</t>
  </si>
  <si>
    <t>Northeastern University - China; Harbin Institute of Technology</t>
  </si>
  <si>
    <t>Vision-Language Models in medical image analysis: From simple fusion to general large models</t>
  </si>
  <si>
    <t>Vision-language model; Modality fusion; Medical image analysis; Large model</t>
  </si>
  <si>
    <t>TEXT</t>
  </si>
  <si>
    <t>Feng, Ting/L-7419-2019; Jiang, Yuchen/G-6832-2018; Wang, Hao/QAV-9457-2026; Luo, Hao/U-8117-2019</t>
  </si>
  <si>
    <t>Feng, Ting/0000-0001-5170-8365; Ma, Yunjie/0009-0004-3524-3456; Li, Like/0000-0003-2908-0756; Luo, Hao/0000-0003-2143-2438</t>
  </si>
  <si>
    <t>202</t>
  </si>
  <si>
    <t>64</t>
  </si>
  <si>
    <t>155</t>
  </si>
  <si>
    <t>102995</t>
  </si>
  <si>
    <t>10.1016/j.inffus.2025.102995</t>
  </si>
  <si>
    <t>http://dx.doi.org/10.1016/j.inffus.2025.102995</t>
  </si>
  <si>
    <t>X6X7K</t>
  </si>
  <si>
    <t>WOS:001426759000001</t>
  </si>
  <si>
    <t>N</t>
  </si>
  <si>
    <t>Y</t>
  </si>
  <si>
    <t>Jacobucci, R; Shao, WP; Kobrinsky, V; Ammerman, B</t>
  </si>
  <si>
    <t>Background: Passive smartphone sensing shows promise for suicide prevention, but behavioral metadata (GPS, screen time, and accelerometry) often lacks the contextual information needed to detect acute psychological distress. Analyzing what people actually see, read, and type on their phones-rather than just usage patterns-may provide more proximal signals of risk. Objective: This study aimed to test whether vision-language models (VLMs) applied to passively captured smartphone screenshots can predict momentary suicidal ideation (SI). Methods: Seventy-nine adults with past month suicidal thoughts or behaviors completed ecological momentary assessments (EMA) over 28 days while screenshots were captured every 5 seconds during active phone use. We fine-tuned open-source VLMs (Qwen2.5-VL [Alibaba Cloud], LFM2-VL [Liquid AI]), and text-only models (Qwen3 [Alibaba Cloud]) to predict SI from screenshots captured in the 2 hours preceding each EMA. We evaluated performance with temporal and subject holdouts. Results: The analytic sample comprised 2.5 million screenshots from 70 participants. Temporal holdout models achieved strong discrimination at the EMA level (AUC=0.83; AUPRC=0.77), with image-based models outperforming text-only models (AUC=0.83 vs 0.79; 95% CI 0.003-0.07). Subject holdout generalization was near chance (AUC approximate to 0.50), though a simple lexical screening method retained modest discrimination (AUC=0.62). Smaller models performed comparably to larger models, supporting feasible on-device deployment. Conclusions: Screen content predicts short-term SI with clinically meaningful accuracy when models are personalized but does not generalize across individuals. These findings support a 2-stage clinical architecture, coarse lexical screening for new patients, with personalized VLM-based monitoring after a calibration period. On-device inference may enable privacy-preserving deployment.</t>
  </si>
  <si>
    <t>Jacobucci, Ross; Shao, Wenpei; Kobrinsky, Veronika; Ammerman, Brooke</t>
  </si>
  <si>
    <t>Jacobucci, R (corresponding author), Univ Wisconsin, Ctr Hlth Minds, 625 W Washington Ave, Madison, WI 53703 USA.</t>
  </si>
  <si>
    <t>jacobucci@wisc.edu</t>
  </si>
  <si>
    <t>[Jacobucci, Ross; Shao, Wenpei; Ammerman, Brooke] Univ Wisconsin, Ctr Hlth Minds, 625 W Washington Ave, Madison, WI 53703 USA; [Kobrinsky, Veronika; Ammerman, Brooke] Univ Wisconsin, Dept Psychol, Madison, WI USA</t>
  </si>
  <si>
    <t>Predicting Momentary Suicidal Ideation From Smartphone Screenshots Using Vision-Language Models: Prospective Machine Learning Study</t>
  </si>
  <si>
    <t>JMIR MENTAL HEALTH</t>
  </si>
  <si>
    <t>digital phenotyping; suicide; passive sensing; phone use; smartphone; foundation models</t>
  </si>
  <si>
    <t>VALIDATION; RISK</t>
  </si>
  <si>
    <t>shao, wenpei/0009-0009-9766-1473</t>
  </si>
  <si>
    <t>76</t>
  </si>
  <si>
    <t>2368-7959</t>
  </si>
  <si>
    <t>JMIR MENT HEALTH</t>
  </si>
  <si>
    <t>JMIR Ment. Health</t>
  </si>
  <si>
    <t>e90581</t>
  </si>
  <si>
    <t>10.2196/90581</t>
  </si>
  <si>
    <t>http://dx.doi.org/10.2196/90581</t>
  </si>
  <si>
    <t>Psychiatry</t>
  </si>
  <si>
    <t>GT4GX</t>
  </si>
  <si>
    <t>41950375</t>
  </si>
  <si>
    <t>WOS:001744620800001</t>
  </si>
  <si>
    <t>Nie, YB; Cui, QS; Li, WY; Lü, Y; Yu, WH</t>
  </si>
  <si>
    <t>Alzheimer's Disease (AD) is a prevalent neurodegenerative disorder with the progression typically spanning from mild cognitive impairment (MCI) to severe dementia. However, in clinical practice, diagnosing MCI is challenging due to conflicts between neuroimaging findings and clinical neuropsychological assessments. Structural and metabolic changes in imaging may not immediately correlate with cognitive symptoms, making early MCI detection difficult. This diagnostic complexity requires considerable clinical expertise and can lead to delays in detection. Moreover, multi-modal fusion using computer-based techniques faces challenges due to the inherent heterogeneity across different data modalities. In this study, a Vision-Language Model (VLM)-based approach is proposed to enhance the identification of Alzheimer's Disease, with a particular focus on the early detection of MCI. Our contribution is a synergistic architecture that includes domain-specific learnable abnormality tokens that function as adaptive probes for clinical pathologies, and a unique Unified Multi-Modal Attention module designed to explicitly harmonize conflicting signals between neuroimaging and clinical data. Finally, a Large Language Model synthesizes all information to generate the final diagnostic output. Evaluated on three publicly available datasets across four identification tasks, the proposed method performs robustly, outperforms state-of-the-art approaches, especially in the challenging MCI identification task, and significantly reduces diagnostic errors when dealing with conflicting data. The results underscore the practical significance of integrating multi-modal data within a VLM framework, which not only enhances diagnostic accuracy but also reduces diagnostic errors and delays in early-stage MCI identification, thereby supporting more timely and effective clinical decision-making.</t>
  </si>
  <si>
    <t>Nie, Yuanbi; Cui, Qiushi; Li, Wenyuan; Lu, Yang; Yu, Weihua</t>
  </si>
  <si>
    <t>Nie, YB (corresponding author), Chongqing Univ, Sch Elect Engn, Chongqing 400044, Peoples R China.</t>
  </si>
  <si>
    <t>wenyuan.li@ieee.org; yanglyu@hospital.cqmu.edu.cn; 202211021120t@stu.cqu.edu.cn; qcui@cqu.edu.cn; yuweihua@cqmu.edu.cn</t>
  </si>
  <si>
    <t>Science Innovation Programs Led by the Academicians in Chongqing [2022YSZX-JSX0002CSTB]</t>
  </si>
  <si>
    <t>Science Innovation Programs Led by the Academicians in Chongqing</t>
  </si>
  <si>
    <t>This study was supported in part by the Science Innovation Programs Led by the Academicians in Chongqing [grant numbers 2022YSZX-JSX0002CSTB] .</t>
  </si>
  <si>
    <t>[Nie, Yuanbi; Cui, Qiushi; Li, Wenyuan] Chongqing Univ, Sch Elect Engn, Chongqing 400044, Peoples R China; [Lu, Yang] Chongqing Med Univ, Affiliated Hosp 1, Dept Geriatr, Chongqing 400016, Peoples R China; [Lu, Yang] Chongqing Med Univ, Inst Brain Sci &amp; Dis, Chongqing 400016, Peoples R China; [Yu, Weihua] Chongqing Med Univ, Inst Neurosci, Chongqing 400016, Peoples R China</t>
  </si>
  <si>
    <t>Chongqing University; Chongqing Medical University; Chongqing Medical University; Chongqing Medical University</t>
  </si>
  <si>
    <t>A vision-language model for enhanced MCI identification in Alzheimer's disease through neuropsychological and neuroimaging data integration</t>
  </si>
  <si>
    <t>Alzheimer's disease; Mild cognitive impairment; Multi-modal; Vision-language model; Large-language model</t>
  </si>
  <si>
    <t>DIAGNOSIS</t>
  </si>
  <si>
    <t>Cui, Qiushi/ABC-4026-2020; Li, Wenyuan/AAD-4648-2019</t>
  </si>
  <si>
    <t>Lü, Yang/0000-0002-9425-2967; Yu, Weihua/0000-0003-4865-4428</t>
  </si>
  <si>
    <t>197</t>
  </si>
  <si>
    <t>108415</t>
  </si>
  <si>
    <t>10.1016/j.neunet.2025.108415</t>
  </si>
  <si>
    <t>http://dx.doi.org/10.1016/j.neunet.2025.108415</t>
  </si>
  <si>
    <t>AI9RU</t>
  </si>
  <si>
    <t>41422621</t>
  </si>
  <si>
    <t>WOS:001649241000001</t>
  </si>
  <si>
    <t>Chen, JK; Duan, HR; Zhang, X; Gao, BY; Grau, V; Han, JG</t>
  </si>
  <si>
    <t>Medical image segmentation remains challenging due to the high cost of pixel-level annotations for training. In the context of weak supervision, clinician gaze data captures regions of diagnostic interest; however, its sparsity limits its use for segmentation. In contrast, vision-language models (VLMs) provide semantic context through textual descriptions but lack the explanation precision required. Recognizing that neither source alone suffices, we propose a teacher-student framework that integrates both gaze and language supervision, leveraging their complementary strengths. Our key insight is that gaze data indicates "where" clinicians focus during diagnosis, while VLMs explain "why" those regions are significant. To implement this, the teacher model first learns from gaze points enhanced by VLM-generated descriptions of lesion morphology, establishing a foundation for guiding the student model. The teacher then directs the student through three strategies: 1) Multi-scale feature alignment to fuse visual cues with textual semantics; 2) Confidence-weighted consistency constraints to focus on reliable predictions; 3) Adaptive masking to limit error propagation in uncertain areas. Experiments on the Kvasir-SEG, NCI-ISBI, and ISIC datasets show that our method achieves Dice scores of 80.78%, 80.53%, and 84.22%, respectively-improving 3-5% over gaze baselines without increasing the annotation burden. By preserving correlations among predictions, gaze data, and lesion descriptions, our framework also maintains clinical interpretability. This work illustrates how integrating human visual attention with AI-generated semantic context can effectively overcome the limitations of individual weak supervision signals, thereby advancing the development of deployable, annotation-efficient medical AI systems.</t>
  </si>
  <si>
    <t>Chen, Jingkun; Duan, Haoran; Zhang, Xiao; Gao, Boyan; Grau, Vicente; Han, Jungong</t>
  </si>
  <si>
    <t>Han, JG (corresponding author), Tsinghua Univ, Dept Automat, Beijing 100084, Peoples R China.</t>
  </si>
  <si>
    <t>vicente.grau@eng.ox.ac.uk; jghan@tsinghua.edu.cn; haoranduan@tsinghua.edu.cn; jingkun.chen@eng.ox.ac.uk; boyan.gao@eng.ox.ac.uk; xiaozhang@nwu.edu.cn</t>
  </si>
  <si>
    <t>National Natural Science Foundation of China [62441235]; Beijing Natural Science Foundation [L257005]; Novo Nordisk Funded Grant</t>
  </si>
  <si>
    <t>National Natural Science Foundation of China (National Natural Science Foundation of China (NSFC)); Beijing Natural Science Foundation (Beijing Natural Science Foundation); Novo Nordisk Funded Grant (Novo Nordisk)</t>
  </si>
  <si>
    <t>This work was supported in part by the National Natural Science Foundation of China under Grant 62441235 and in part by Beijing Natural Science Foundation under Grant L257005. The work of Jingkun Chen and Vicente Grau was supported in part by the Novo Nordisk Funded Grant.</t>
  </si>
  <si>
    <t>[Chen, Jingkun; Gao, Boyan; Grau, Vicente] Univ Oxford, Dept Engn Sci, Oxford OX1 3PJ, England; [Duan, Haoran; Han, Jungong] Tsinghua Univ, Dept Automat, Beijing 100084, Peoples R China; [Zhang, Xiao] Northwest Univ, Sch Informat Sci &amp; Technol, Xian 710127, Peoples R China</t>
  </si>
  <si>
    <t>University of Oxford; Tsinghua University; Northwest University Xi'an</t>
  </si>
  <si>
    <t>From Gaze to Insight: Bridging Human Visual Attention and Vision Language Model Explanation for Weakly-Supervised Medical Image Segmentation</t>
  </si>
  <si>
    <t>Annotations; Image segmentation; Visualization; Semantics; Medical diagnostic imaging; Lesions; Reliability; Context modeling; Biological system modeling; Analytical models; Weakly supervised segmentation; visual attention; vision language model; medical image analysis</t>
  </si>
  <si>
    <t>Zhang, Xiao/LSK-2308-2024</t>
  </si>
  <si>
    <t>1051</t>
  </si>
  <si>
    <t>1061</t>
  </si>
  <si>
    <t>10.1109/TMI.2025.3616598</t>
  </si>
  <si>
    <t>http://dx.doi.org/10.1109/TMI.2025.3616598</t>
  </si>
  <si>
    <t>ER5EI</t>
  </si>
  <si>
    <t>41052168</t>
  </si>
  <si>
    <t>WOS:001708009300004</t>
  </si>
  <si>
    <t>Han, DH; Hwang, EJ; Yoon, SH; Kim, H; Lee, T</t>
  </si>
  <si>
    <t>BACKGROUND. Vision-language models (VLMs) have potential to identify findings on radiologic imaging (i.e., visual parsing) and translate findings into diagnoses (i.e., diagnostic reasoning). Current VLMs have shown insufficient performance to support clinical integration. OBJECTIVE. The purpose ofour study was to evaluate the separate contributions of visual parsing and diagnostic reasoning toward GPT-based VLMs' performance in generating correct diagnoses for thoracic imaging. METHODS. This retrospective study included 128 publicly available thoracic imaging cases from the Korean Society of Thoracic Imaging quiz platform (accessed on June 15, 2025). Two VLMs (GPT-4o and GPT-5) processed cases, separately when patient metadata and images were inputted and when patient metadata and radiologist-generated image descriptions were inputted. The models provided five ranked differential diagnoses for each case; when metadata and images were inputted, the models first provided a summary of imaging findings. The proportion of cases for which the models' five differential diagnoses included the correct diagnosis was determined (i.e., top-5 accuracy). The performance of quiz participants, who interpreted cases using metadata and images, was extracted from the platform. The quality of the model-provided image summaries was scored on a 4-point scale (4 = best score). Logistic regression analyses assessed associations between model image summary scores and diagnostic performance. Diagnostic concordance was assessed between models' top-ranked diagnoses and quiz participants' top-10 differential diagnoses. RESULTS. Top-5 accuracy for GPT-4o and GPT-5 when metadata and images were inputted was 15.9% and 24.7% and when metadata and descriptions were inputted was 40.1% and 59.1%, respectively; quiz participants' pooled top-5 accuracy was 45.8%. Median image summary score was 2 for both models; these scores showed significant independent associations with a top-5 match (GPT-4o: OR = 5.95; GPT-5: OR = 2.77; p &lt; .001). Concordance between models' top-ranked diagnosis and quiz participants' differential lists for GPT-4o and GPT-5 when metadata and images were inputted was 31.6% and 39.3% and when metadata and descriptions were inputted was 78.8% and 79.4%, respectively. CONCLUSION. Two VLMs showed limited ability to visually identify thoracic imaging findings but performed more favorably in generating accurate diagnoses when provided radiologist-generated descriptions. CLINICAL IMPACT. The results underscore the need for radiologist expertise in thoracic imaging interpretation and identify visual image parsing rather than diagnostic reasoning as the principal limitation constraining VLM performance.</t>
  </si>
  <si>
    <t>Han, Dae Hee; Hwang, Eui Jin; Yoon, Soon Ho; Kim, Hyungjin; Lee, Taehee</t>
  </si>
  <si>
    <t>Lee, T (corresponding author), Seoul Natl Univ, Hosp &amp; Coll Med, Dept Radiol, 101 Daehak Ro, Seoul 03080, South Korea.</t>
  </si>
  <si>
    <t>lee8720@hotmail.com</t>
  </si>
  <si>
    <t>Monitor Corporation; AstraZeneca; Lunit; Coreline Soft; Kakao Brain and RadiSen</t>
  </si>
  <si>
    <t>Monitor Corporation; AstraZeneca (AstraZeneca); Lunit; Coreline Soft; Kakao Brain and RadiSen</t>
  </si>
  <si>
    <t>E.J. Hwang received research grants from Lunit, Coreline Soft, and Monitor Corporation. S. H. Yoon holds stocks and stock options in Medical IP. H. Kim received research grants from Kakao Brain and RadiSen, honorarium from AstraZeneca, and consulting fees from RadiSen and holds stock and stock options in Medical IP as well as stock in Soombit.ai. T. Lee is an Assistant Editor of the AJR. The remaining author declares that there are no other disclosures relevant to the subject matter of this article.</t>
  </si>
  <si>
    <t>[Han, Dae Hee] Catholic Univ Korea, Seoul St Marys Hosp, Coll Med, Dept Radiol, Seoul, South Korea; [Hwang, Eui Jin; Yoon, Soon Ho; Kim, Hyungjin; Lee, Taehee] Seoul Natl Univ, Hosp &amp; Coll Med, Dept Radiol, 101 Daehak Ro, Seoul 03080, South Korea; [Yoon, Soon Ho] Natl Jewish Hlth, Dept Radiol, Denver, CO USA; [Kim, Hyungjin] Soombit Ai, Seongnam Si, South Korea</t>
  </si>
  <si>
    <t>Catholic University of Korea; Seoul St. Mary's Hospital; Seoul National University (SNU); Seoul National University Hospital; National Jewish Health</t>
  </si>
  <si>
    <t>Decoupling Visual Parsing and Diagnostic Reasoning for Vision-Language Models (GPT-4o and GPT-5): Analysis Using Thoracic Imaging Quiz Cases</t>
  </si>
  <si>
    <t>AMERICAN JOURNAL OF ROENTGENOLOGY</t>
  </si>
  <si>
    <t>artificial intelligence; clinical reasoning; large language model; vision-language model</t>
  </si>
  <si>
    <t>Hwang, Eui/X-4415-2018; Yoon, Soon/AAL-1640-2020</t>
  </si>
  <si>
    <t>AMER ROENTGEN RAY SOC</t>
  </si>
  <si>
    <t>LEESBURG</t>
  </si>
  <si>
    <t>44211 SLATESTONE CT, LEESBURG, VA USA</t>
  </si>
  <si>
    <t>0361-803X</t>
  </si>
  <si>
    <t>1546-3141</t>
  </si>
  <si>
    <t>AM J ROENTGENOL</t>
  </si>
  <si>
    <t>Am. J. Roentgenol.</t>
  </si>
  <si>
    <t>226</t>
  </si>
  <si>
    <t>e2534116</t>
  </si>
  <si>
    <t>10.2214/AJR.25.34116</t>
  </si>
  <si>
    <t>http://dx.doi.org/10.2214/AJR.25.34116</t>
  </si>
  <si>
    <t>IX9IJ</t>
  </si>
  <si>
    <t>41370655</t>
  </si>
  <si>
    <t>WOS:001782955700020</t>
  </si>
  <si>
    <t>Oura, T; Tatekawa, H; Horiuchi, D; Matsushita, S; Takita, H; Atsukawa, N; Mitsuyama, Y; Yoshida, A; Murai, K; Tanaka, R; Shimono, T; Yamamoto, A; Miki, Y; Ueda, D</t>
  </si>
  <si>
    <t>Purpose The performance of vision-language models (VLMs) with image interpretation capabilities, such as GPT-4 omni (GPT-4o), GPT-4 vision (GPT-4V), and Claude-3, has not been compared and remains unexplored in specialized radiological fields, including nuclear medicine and interventional radiology. This study aimed to evaluate and compare the diagnostic accuracy of various VLMs, including GPT-4 + GPT-4V, GPT-4o, Claude-3 Sonnet, and Claude-3 Opus, using Japanese diagnostic radiology, nuclear medicine, and interventional radiology (JDR, JNM, and JIR, respectively) board certification tests. Materials and methods In total, 383 questions from the JDR test (358 images), 300 from the JNM test (92 images), and 322 from the JIR test (96 images) from 2019 to 2023 were consecutively collected. The accuracy rates of the GPT-4 + GPT-4V, GPT-4o, Claude-3 Sonnet, and Claude-3 Opus were calculated for all questions or questions with images. The accuracy rates of the VLMs were compared using McNemar's test. Results GPT-4o demonstrated the highest accuracy rates across all evaluations with the JDR (all questions, 49%; questions with images, 48%), JNM (all questions, 64%; questions with images, 59%), and JIR tests (all questions, 43%; questions with images, 34%), followed by Claude-3 Opus with the JDR (all questions, 40%; questions with images, 38%), JNM (all questions, 42%; questions with images, 43%), and JIR tests (all questions, 40%; questions with images, 30%). For all questions, McNemar's test showed that GPT-4o significantly outperformed the other VLMs (all P &lt; 0.007), except for Claude-3 Opus in the JIR test. For questions with images, GPT-4o outperformed the other VLMs in the JDR and JNM tests (all P &lt; 0.001), except Claude-3 Opus in the JNM test. Conclusion The GPT-4o had the highest success rates for questions with images and all questions from the JDR, JNM, and JIR board certification tests.</t>
  </si>
  <si>
    <t>Oura, Tatsushi; Tatekawa, Hiroyuki; Horiuchi, Daisuke; Matsushita, Shu; Takita, Hirotaka; Atsukawa, Natsuko; Mitsuyama, Yasuhito; Yoshida, Atsushi; Murai, Kazuki; Tanaka, Rikako; Shimono, Taro; Yamamoto, Akira; Miki, Yukio; Ueda, Daiju</t>
  </si>
  <si>
    <t>Tatekawa, H (corresponding author), Osaka Metropolitan Univ, Grad Sch Med, Dept Diagnost &amp; Intervent Radiol, 1-4-3 Asahi Machi,Abeno Ku, Osaka 5458585, Japan.</t>
  </si>
  <si>
    <t>htatekawa@omu.ac.jp</t>
  </si>
  <si>
    <t>Guerbet; Guerbet and Iida Group Holdings; Grants-in-Aid for Scientific Research [23K07090] Funding Source: KAKEN</t>
  </si>
  <si>
    <t>Guerbet; Guerbet and Iida Group Holdings; Grants-in-Aid for Scientific Research</t>
  </si>
  <si>
    <t>This study was supported by Guerbet and Iida Group Holdings.</t>
  </si>
  <si>
    <t>[Oura, Tatsushi; Tatekawa, Hiroyuki; Horiuchi, Daisuke; Matsushita, Shu; Takita, Hirotaka; Atsukawa, Natsuko; Mitsuyama, Yasuhito; Murai, Kazuki; Tanaka, Rikako; Shimono, Taro; Yamamoto, Akira; Miki, Yukio; Ueda, Daiju] Osaka Metropolitan Univ, Grad Sch Med, Dept Diagnost &amp; Intervent Radiol, 1-4-3 Asahi Machi,Abeno Ku, Osaka 5458585, Japan; [Yoshida, Atsushi] Osaka Metropolitan Univ, Grad Sch Med, Dept Nucl Med, Osaka, Japan; [Ueda, Daiju] Osaka Metropolitan Univ, Grad Sch Med, Dept Artificial Intelligence, Osaka, Japan</t>
  </si>
  <si>
    <t>Osaka Metropolitan University; Osaka Metropolitan University; Osaka Metropolitan University</t>
  </si>
  <si>
    <t>Diagnostic accuracy of vision-language models on Japanese diagnostic radiology, nuclear medicine, and interventional radiology specialty board examinations</t>
  </si>
  <si>
    <t>JAPANESE JOURNAL OF RADIOLOGY</t>
  </si>
  <si>
    <t>Large language models; Vision-language models; Certification tests; Diagnostic radiology; Nuclear medicine; Interventional radiology</t>
  </si>
  <si>
    <t>Yamamoto, Akira/AAI-6963-2021; Takita, Hirotaka/HLG-6249-2023; Ueda, Daiju/AAG-2167-2021; Tatekawa, Hiroyuki/IUN-8188-2023; Shimono, Taro/G-3683-2011</t>
  </si>
  <si>
    <t>Takita, Hirotaka/0000-0003-2860-4503; Tatekawa, Hiroyuki/0000-0002-8050-4895; Shimono, Taro/0000-0001-5847-6587; Horiuchi, Daisuke/0000-0002-8929-8098; Murai, Kazuki/0000-0003-2738-8781; atsukawa, natsuko/0009-0001-7170-1029</t>
  </si>
  <si>
    <t>1867-1071</t>
  </si>
  <si>
    <t>1867-108X</t>
  </si>
  <si>
    <t>JPN J RADIOL</t>
  </si>
  <si>
    <t>Jpn. J. Radiol.</t>
  </si>
  <si>
    <t>1392</t>
  </si>
  <si>
    <t>1398</t>
  </si>
  <si>
    <t>10.1007/s11604-024-01633-0</t>
  </si>
  <si>
    <t>http://dx.doi.org/10.1007/s11604-024-01633-0</t>
  </si>
  <si>
    <t>N2U8E</t>
  </si>
  <si>
    <t>39031270</t>
  </si>
  <si>
    <t>WOS:001273145200001</t>
  </si>
  <si>
    <t>Ito, R; Kato, K; Higashi, M; Abe, Y; Minamimoto, R; Kato, K; Taoka, T; Naganawa, S</t>
  </si>
  <si>
    <t>ObjectiveVision language models (VLMs) allow visual input to Large Language Models. VLMs have been developing rapidly, and their accuracy is improving rapidly. Their performance in nuclear medicine compared to state-of-the-art models, including reasoning models, is not yet clear. We evaluated state-of-the-art VLMs using problems from the past Japan Nuclear Medicine Board Examination (JNMBE) and assessed their strengths and limitations.MethodsWe collected 180 multiple-choice questions from JNMBE (2022-2024). About one-third included diagnostic images. We used eight latest VLMs. ChatGPT o1 pro, ChatGPT o1, ChatGPT o3-mini, ChatGPT-4.5, Claude 3.7, Gemini 2.0 Flash thinking, Llama 3.2, and Gemma 3 were tested. Each model answered every question three times in a deterministic setting, and the final answer was set by majority vote. Two board-certified nuclear medicine physicians independently provided reference answers, with a third expert resolving disagreements. We calculated overall accuracy with 95% confidence intervals and performed subgroup analyses by question type, content, and exam year.ResultsOverall accuracies ranged from 36.1% (Gemma 3) to 83.3% (ChatGPT o1 pro). ChatGPT o1 pro achieved the highest score (150/180, 83.3% [95% CI: 77.1-88.5%]), followed by ChatGPT o3-mini (82.8%) and ChatGPTo1 (78.9%). All models performed better on text-only questions than on image-based ones; ChatGPT o1 pro correctly answered 89.5% of text questions versus 66.0% of image questions. VLMs demonstrated limitations in handling with questions on Japanese regulations. ChatGPT 4.5 excelled in neurology-related image-based questions (76.9%). Accuracy was slightly lower from 2022 to 2024 for most models.ConclusionsVLMs demonstrated high accuracy on the JNMBE, especially on text-based questions, but exhibited limitations with image recognition questions. These findings show that VLMs can be a good assistant for text-based questions in medical domains but have limitations when it comes to comprehensive questions that include images. Currently, VLMs cannot replace comprehensive training and expert interpretation. Because VLMs evolve rapidly and exam difficulty varies annually, these findings should be interpreted in that context.</t>
  </si>
  <si>
    <t>Ito, Rintaro; Kato, Keita; Higashi, Marina; Abe, Yumi; Minamimoto, Ryogo; Kato, Katsuhiko; Taoka, Toshiaki; Naganawa, Shinji</t>
  </si>
  <si>
    <t>Ito, R (corresponding author), Nagoya Univ, Grad Sch Med, Dept Radiol, Nagoya, Aichi, Japan.; Ito, R (corresponding author), Nagoya Univ, Grad Sch Med, Dept Innovat BioMed Visualizat iBMV, 65 Tsurumai Cho,Showa Ku, Nagoya, Aichi 4668550, Japan.</t>
  </si>
  <si>
    <t>ito.rintaro.k5@f.mail.nagoya-u.ac.jp</t>
  </si>
  <si>
    <t>Japan Society for the Promotion of Science London; Education Committee of the Japanese Society of Nuclear Medicine</t>
  </si>
  <si>
    <t>We would like to express our sincere appreciation to the Education Committee of the Japanese Society of Nuclear Medicine (JSNM) for granting permission to use past JNMBE questions in our research.</t>
  </si>
  <si>
    <t>[Ito, Rintaro; Kato, Keita; Higashi, Marina; Abe, Yumi; Minamimoto, Ryogo; Taoka, Toshiaki; Naganawa, Shinji] Nagoya Univ, Grad Sch Med, Dept Radiol, Nagoya, Aichi, Japan; [Ito, Rintaro; Taoka, Toshiaki] Nagoya Univ, Grad Sch Med, Dept Innovat BioMed Visualizat iBMV, 65 Tsurumai Cho,Showa Ku, Nagoya, Aichi 4668550, Japan; [Minamimoto, Ryogo] Nagoya Univ, Dept Integrated Image Informat Anal, Grad Sch Med, Nagoya, Aichi, Japan; [Kato, Katsuhiko] Nagoya Univ, Grad Sch Med, Dept Integrated Hlth Sci, Div Adv Informat Hlth Sci,Funct Med Imaging,Biomed, Nagoya, Aichi, Japan</t>
  </si>
  <si>
    <t>Nagoya University; Nagoya University; Nagoya University; Nagoya University</t>
  </si>
  <si>
    <t>Vision-language model performance on the Japanese Nuclear Medicine Board Examination: high accuracy in text but challenges with image interpretation</t>
  </si>
  <si>
    <t>ANNALS OF NUCLEAR MEDICINE</t>
  </si>
  <si>
    <t>Artificial intelligence; Large language models; Vision language models</t>
  </si>
  <si>
    <t>Taoka, Toshiaki/A-1637-2016; Ito, Rintaro/AFH-9268-2022; Naganawa, Shinji/I-1572-2012; Minamimoto, Ryogo/HCH-7365-2022</t>
  </si>
  <si>
    <t>Ito, Rintaro/0000-0002-7971-043X</t>
  </si>
  <si>
    <t>0914-7187</t>
  </si>
  <si>
    <t>1864-6433</t>
  </si>
  <si>
    <t>ANN NUCL MED</t>
  </si>
  <si>
    <t>Ann. Nucl. Med.</t>
  </si>
  <si>
    <t>1258</t>
  </si>
  <si>
    <t>1266</t>
  </si>
  <si>
    <t>10.1007/s12149-025-02084-x</t>
  </si>
  <si>
    <t>http://dx.doi.org/10.1007/s12149-025-02084-x</t>
  </si>
  <si>
    <t>8ZZ6E</t>
  </si>
  <si>
    <t>40663225</t>
  </si>
  <si>
    <t>WOS:001529070800001</t>
  </si>
  <si>
    <t>Catal, MS; Gumus, A; Cura, OK; Aydin, O; Ünlü, MZ</t>
  </si>
  <si>
    <t>Traditional medical diagnosis approaches have predominantly relied on single-modality analysis, limiting clinicians to interpreting isolated data streams such as images or time series. The integration of vision language models (VLMs) into neurophysiological analysis represents a paradigm shift toward multimodal diagnostic frameworks, enabling clinicians to interact with diagnosis models through diverse modalities including text, audio, visual inputs, etc. This multimodal interaction capability extends beyond conventional label-based classification, offering clinicians flexibility in diagnostic reasoning and decision-making processes. Building on this foundation, this study explores the application of VLMs to electroencephalography (EEG)-based attention deficit hyperactivity disorder (ADHD) classification, addressing a gap in neurophysiological diagnostics. The proposed framework applies VLM-based few-shot ADHD classification by converting raw EEG data into EEG connectivity-based featured images compatible with contrastive language-image pre-training's (CLIP) image encoder. The adaptor-based CLIP approach (Tip-Adapter and Tip-Adapter-F) for few-shot learning improves CLIP's zero-shot classification performance, achieving 78.73% accuracy with 1-shot and 98.30% accuracy with 128-shot using the RN50x16 backbone. Experiments investigate prompt engineering effects, backbone architectures of CLIP, patient-based classification, and combinations of EEG connectivity features. Comparative analysis is performed with two datasets to evaluate the approach between different data sources. Through the adaptation of pre-trained VLMs to neurophysiological data, this technique demonstrates the potential for multimodal diagnostic frameworks that enable flexible clinician-model interactions beyond conventional label-based classification systems. The approach achieves effective ADHD classification with minimal training data while establishing foundations for applying VLMs in clinical neuroscience, where diverse modality interactions through text, visual, and audio inputs can enhance diagnostic workflows. The code is publicly available on GitHub to facilitate further research in the field: https://github.com/miralab-ai/vlm-few-shot-eeg.</t>
  </si>
  <si>
    <t>Catal, Mehmet Sergen; Gumus, Abdurrahman; Karabiber Cura, Ozlem; Aydin, Ocan; Zubeyir Unlu, Mehmet</t>
  </si>
  <si>
    <t>Gumus, A (corresponding author), Izmir Inst Technol, Dept Elect &amp; Elect Engn, TR-35430 Izmir, Turkiye.; Gumus, A (corresponding author), Isparta Univ Appl Sci, Dept Comp Engn, Isparta, Turkiye.; Cura, OK (corresponding author), Izmir Katip Celebi Univ, Dept Biomed Engn, Izmir, Turkiye.</t>
  </si>
  <si>
    <t>ozlem.karabiber@ikcu.edu.tr; abdurrahmangumus@isparta.edu.tr</t>
  </si>
  <si>
    <t>[Catal, Mehmet Sergen; Gumus, Abdurrahman; Aydin, Ocan; Zubeyir Unlu, Mehmet] Izmir Inst Technol, Dept Elect &amp; Elect Engn, TR-35430 Izmir, Turkiye; [Gumus, Abdurrahman] Isparta Univ Appl Sci, Dept Comp Engn, Isparta, Turkiye; [Karabiber Cura, Ozlem] Izmir Katip Celebi Univ, Dept Biomed Engn, Izmir, Turkiye</t>
  </si>
  <si>
    <t>Izmir Institute of Technology; Isparta University of Applied Sciences; Izmir Katip Celebi University</t>
  </si>
  <si>
    <t>Vision-language model approach for few-shot learning of attention deficit hyperactivity disorder using EEG connectivity-based featured images</t>
  </si>
  <si>
    <t>vision language models; few-shot learning; electroencephalography; attention deficit hyperactivity disorder; connectivity-based features</t>
  </si>
  <si>
    <t>FEATURE-EXTRACTION; MOTOR IMAGERY; BRAIN; DIAGNOSIS; CLASSIFICATION; CHILDREN</t>
  </si>
  <si>
    <t>Unlu, Mehmet/IYS-9088-2023; Gumus, Abdurrahman/KGL-2848-2024; Ünlü, Mehmet Zübeyir/D-7233-2012</t>
  </si>
  <si>
    <t>Aydın, Ocan/0009-0007-4967-6182; Karabiber Cura, Ozlem/0000-0001-8650-1137; Catal, Mehmet Sergen/0000-0002-8501-6495; Ünlü, Mehmet Zübeyir/0000-0003-1605-0160</t>
  </si>
  <si>
    <t>DEC 30 2025</t>
  </si>
  <si>
    <t>045031</t>
  </si>
  <si>
    <t>10.1088/2632-2153/ae15e5</t>
  </si>
  <si>
    <t>http://dx.doi.org/10.1088/2632-2153/ae15e5</t>
  </si>
  <si>
    <t>9JB3O</t>
  </si>
  <si>
    <t>WOS:001607545900001</t>
  </si>
  <si>
    <t>Debnath, A; Kim, YW; Byun, YC</t>
  </si>
  <si>
    <t>Human activity detection plays a vital role in applications such as healthcare monitoring, smart environments, and security surveillance. However, traditional methods often rely on computationally intensive models, which are unsuitable for edge devices due to their limited resources and high latency. This research introduces a new approach named LightSTATE, a lightweight hybrid framework designed for real-time activity detection by integrating edge-based preprocessing with cloud-hosted Vision Language Models (VLMs). The system processes video streams through efficient frame extraction, edge detection and Root Mean Square Error (RMSE)-based frame filtering to identify significant motion events. These selected frames are transmitted to the cloud for semantic analysis and state recognition. The system utilizes GPT-4o as the vision-language model to generate rich, descriptive captions for human state understanding. LightSTATE was evaluated on a curated dataset of 9 real-world videos containing 634 frames, with 320 labeled frames used for testing. The framework demonstrated high accuracy in detecting predefined states, with an average precision of 0.98, an average recall of 0.98, and an average F1-score of 0.98. The experimental results confirm that the average frame processing time is approximately 0.8-0.9 seconds, ensuring suitability for real-time applications. Due to the scarcity of publicly accessible datasets, we compiled a custom dataset to effectively assess the performance of our proposed approach. The results validate the scalability and real-time capabilities of our proposed system, making it a promising solution for continuous monitoring applications. This study establishes LightSTATE as a scalable, efficient, and privacy-preserving framework for real-time human activity detection. Future work will focus on extending its applicability to dynamic and multi-person scenarios while enhancing system adaptability for diverse use cases.</t>
  </si>
  <si>
    <t>Debnath, Anik; Kim, Yong-Woon; Byun, Yung-Cheol</t>
  </si>
  <si>
    <t>Byun, YC (corresponding author), Jeju Natl Univ, Inst Informat Sci Technol, Dept Comp Engn, Major Elect Engn, Jeju Si 63243, South Korea.</t>
  </si>
  <si>
    <t>ycb@jejunu.ac.kr</t>
  </si>
  <si>
    <t>National Research Foundation of Korea (NRF) grant - Korea government (MSIT) [RS-2024-00405278]; National Research Foundation(NRF), Korea, under project BK21 FOUR</t>
  </si>
  <si>
    <t>National Research Foundation of Korea (NRF) grant - Korea government (MSIT) (National Research Foundation of Korea); National Research Foundation(NRF), Korea, under project BK21 FOUR (National Research Foundation of Korea)</t>
  </si>
  <si>
    <t>This work was supported by the National Research Foundation of Korea (NRF) grant funded by the Korea government (MSIT) (No. RS-2024-00405278), and this work was also supported by the National Research Foundation(NRF), Korea, under project BK21 FOUR.</t>
  </si>
  <si>
    <t>[Debnath, Anik; Kim, Yong-Woon] Jeju Natl Univ, Dept Comp Engn, Jeju Si 63243, South Korea; [Byun, Yung-Cheol] Jeju Natl Univ, Inst Informat Sci Technol, Dept Comp Engn, Major Elect Engn, Jeju Si 63243, South Korea</t>
  </si>
  <si>
    <t>Jeju National University; Jeju National University</t>
  </si>
  <si>
    <t>LightSTATE: A Generalized Framework for Real-Time Human Activity Detection Using Edge-Based Video Processing and Vision Language Models</t>
  </si>
  <si>
    <t>Human activity recognition; edge computing; edge computing; vision language models (VLMs); vision language models (VLMs); state classification; state classification; hybrid edge-cloud framework; hybrid edge-cloud framework</t>
  </si>
  <si>
    <t>HUMAN ACTIVITY RECOGNITION</t>
  </si>
  <si>
    <t>변, 영철/0000-0003-1107-9941; DEBNATH, ANIK/0009-0000-1863-0885; Kim, Yong-Woon/0000-0002-4759-0138</t>
  </si>
  <si>
    <t>97609</t>
  </si>
  <si>
    <t>97627</t>
  </si>
  <si>
    <t>10.1109/ACCESS.2025.3574659</t>
  </si>
  <si>
    <t>http://dx.doi.org/10.1109/ACCESS.2025.3574659</t>
  </si>
  <si>
    <t>3QR0T</t>
  </si>
  <si>
    <t>WOS:001506710200015</t>
  </si>
  <si>
    <t>Yang, L; Liang, XY; Wang, ZY; Diao, ZY; Huang, X; Shen, D; Tan, X; Li, HF; Chen, ZH; Qiu, SJ; Zhou, LP</t>
  </si>
  <si>
    <t>Purpose: To develop MedXChat, a large language model (LLM) capable of integrating radiology report generation, visual question answering (VQA), and text-to-image synthesis and evaluate its performance via computational metrics and expert radiologist assessments. Materials and Methods: In this retrospective study, MedXChat was trained on the MIMIC Chest X-ray (MIMIC-CXR) database, comprising 270 790 chest radiograph-report pairs, 54 138 VQA samples, and 7500 text-to-image instruction pairs. Data were collected from 2011 to 2016. Computational evaluations of MedXChat performance were conducted using the F1 score, area under the receiver operating characteristic curve (AUC), and Fr &amp; eacute;chet inception distance (FID). Radiologist evaluations involved six experts-three junior, two senior, and one supervisor-who assessed 50 random MedXChat outputs for accuracy, consistency, and alignment with clinical standards. Results: In the chest radiograph-to-report test set, MedXChat achieved an AUC of 0.67 (95% CI: 0.61, 0.75), higher than UniXGen (AUC, 0.54; P &lt; .001) and LLM-CXR (AUC, 0.63; P = .02). Its F1 score was 0.44 versus 0.26 (P &lt; .001) and 0.41 (P = .04), respectively. In chest radiograph-VQA, MedXChat showed higher accuracy for edema (73% vs 54% for LLM-CXR and 60% for LLaVA-Med) and pleural effusion (80% vs 53% for LLM-CXR and 61% for LLaVA-Med; all P &lt;= .01). In text-to-image synthesis, it achieved the lowest FID (43.46 vs 73.29 and 106.17; P &lt; .001) and the highest classification accuracy (71.5% vs 68.6% and 67.2%; P &lt;= .05), producing high-quality images including lateral views. Conclusion: MedXChat integrated report generation, VQA, and image synthesis within a unified framework, achieving state-of-the-art performance. MedX-Chat may support future professional applications and enhance radiologic workflows, education, and data augmentation.</t>
  </si>
  <si>
    <t>Yang, Ling; Liang, Xinyu; Wang, Zhanyu; Diao, Ziyu; Huang, Xuan; Shen, Die; Tan, Xin; Li, Haifeng; Chen, Zhenghao; Qiu, Shijun; Zhou, Luping</t>
  </si>
  <si>
    <t>Zhou, LP (corresponding author), Univ Sydney, Sch Elect &amp; Comp Engn, Sydney, NSW 2006, Australia.</t>
  </si>
  <si>
    <t>luping.zhou@sydney.edu.au</t>
  </si>
  <si>
    <t>[Yang, Ling; Wang, Zhanyu; Zhou, Luping] Univ Sydney, Sch Elect &amp; Comp Engn, Sydney, NSW 2006, Australia; [Liang, Xinyu; Diao, Ziyu; Huang, Xuan; Shen, Die] Binzhou Med Univ, Sch Med Imaging, Yantai, Shandong, Peoples R China; [Tan, Xin; Li, Haifeng; Qiu, Shijun] Guangzhou Univ Chinese Med, Affiliated Hosp 1, Dept Radiol, Guangzhou, Peoples R China; [Tan, Xin; Li, Haifeng; Qiu, Shijun] State Key Lab Tradit Chinese Med Syndrome, Guangzhou, Peoples R China; [Chen, Zhenghao] Univ Newcastle, Coll Engn Sci &amp; Environm, Sch Informat &amp; Phys Sci, Newcastle, Australia</t>
  </si>
  <si>
    <t>University of Sydney; Shandong Medical &amp; Pharmaceutical University; Guangzhou University of Chinese Medicine; University of Newcastle</t>
  </si>
  <si>
    <t>Constructing a Unified Vision-Language Model for Chest Radiograph-based Diagnostics, Medical Education, and Data Augmentation</t>
  </si>
  <si>
    <t>RADIOLOGY-CARDIOTHORACIC IMAGING</t>
  </si>
  <si>
    <t>Computer Aided Diagnosis (CAD); Applications - Decision Support; Applications - Multimodal; Outcomes Analysis; Technology Assessment; Comparative Studies</t>
  </si>
  <si>
    <t>Wang, Zhanyu/PBV-2407-2025</t>
  </si>
  <si>
    <t>Chen, Zhenghao/0000-0003-0155-4462; Yang, Ling/0009-0008-8832-9682</t>
  </si>
  <si>
    <t>2638-6135</t>
  </si>
  <si>
    <t>RADIOL-CARDIOTHORAC</t>
  </si>
  <si>
    <t>Radiol.-Cardiothorac. Imaging</t>
  </si>
  <si>
    <t>e250033</t>
  </si>
  <si>
    <t>10.1148/ryct.250033</t>
  </si>
  <si>
    <t>http://dx.doi.org/10.1148/ryct.250033</t>
  </si>
  <si>
    <t>AP5MI</t>
  </si>
  <si>
    <t>41410571</t>
  </si>
  <si>
    <t>WOS:001653695300007</t>
  </si>
  <si>
    <t>Pellegrini, C; Özsoy, E; Gassert, FT; Marka, AW; Strenzke, M; Keicher, M; Makowski, MR; Navab, N</t>
  </si>
  <si>
    <t>Objectives To evaluate whether collaborative assistance from an artificial intelligence-based tool that proposes partial radiology report content can improve reporting efficiency and radiologist satisfaction in chest X-ray interpretation, without compromising report quality. Materials and methods In a retrospective study, three radiologists reported 50 MIMIC-CXR chest X-rays twice, once with artificial intelligence (AI) assistance and once without. A specialized large vision-language model (LVLM) provided real-time suggestions, which could be accepted, modified or rejected. The study evaluated writing time, suggestion acceptance, report length and quality and assessed usability and suggestion quality on a 5-point Likert-scale questionnaire. Statistical analysis used paired t-tests or Wilcoxon signed-rank tests based on normality. Results AI assistance reduced mean writing time by 7.80% (p = 0.08), with significant gains for complex reports (18.34%, p &lt; 0.001). Efficiency improvements correlated with suggestion acceptance and were user-dependent, with benefits up to 27.24% (CI: [17.34, 37.14], p &lt; 0.001) for radiologists with high acceptance. Report quality and length remained stable, indicating preserved diagnostic accuracy without degradation. Radiologists rated the tool highly for ease of use (mean: 4.33) and desired regular use (mean: 4), noting minimal errors (mean: 1.67). Conclusion Collaborative AI assistance with an LVLM can improve reporting efficiency if well adopted, particularly for complex cases, without compromising quality, and is well-received by radiologists. These exploratory findings suggest potential to optimize radiology workflows through collaborative reporting and warrant prospective validation in clinical settings.</t>
  </si>
  <si>
    <t>Pellegrini, Chantal; Ozsoy, Ege; Gassert, Florian T.; Marka, Alexander W.; Strenzke, Maximilian; Keicher, Matthias; Makowski, Marcus R.; Navab, Nassir</t>
  </si>
  <si>
    <t>Pellegrini, C (corresponding author), Tech Univ Munich, Sch Computat Informat &amp; Technol, Munich, Germany.; Pellegrini, C (corresponding author), Tech Univ Munich, Munich Ctr Machine Learning, Munich, Germany.</t>
  </si>
  <si>
    <t>chantal.pellegrini@gmail.com</t>
  </si>
  <si>
    <t>Deutsche Forschungsgemeinschaft [469106425 - NA 620/51-1]</t>
  </si>
  <si>
    <t>Deutsche Forschungsgemeinschaft (German Research Foundation (DFG))</t>
  </si>
  <si>
    <t>This work was supported in part by the German Research Foundation (DFG, grant 469106425 - NA 620/51-1) as a funding source for C.P. Open Access funding enabled and organized by Projekt DEAL.</t>
  </si>
  <si>
    <t>[Pellegrini, Chantal; Ozsoy, Ege; Keicher, Matthias; Navab, Nassir] Tech Univ Munich, Sch Computat Informat &amp; Technol, Munich, Germany; [Pellegrini, Chantal; Ozsoy, Ege; Keicher, Matthias; Navab, Nassir] Tech Univ Munich, Munich Ctr Machine Learning, Munich, Germany; [Gassert, Florian T.; Marka, Alexander W.; Strenzke, Maximilian; Makowski, Marcus R.] Tech Univ Munich TUM, Inst Diagnost &amp; Intervent Radiol, Sch Med &amp; Hlth, TUM Klinikum, Munich, Germany</t>
  </si>
  <si>
    <t>Technical University of Munich; Technical University of Munich; Technical University of Munich</t>
  </si>
  <si>
    <t>Enhancing radiology workflows through collaborative AI-assisted chest X-ray reporting using large vision-language models: a proof-of-concept study</t>
  </si>
  <si>
    <t>INSIGHTS INTO IMAGING</t>
  </si>
  <si>
    <t>Artificial intelligence; Chest X-ray; Radiology reporting; Human-AI-collaboration; Large language models</t>
  </si>
  <si>
    <t>1869-4101</t>
  </si>
  <si>
    <t>INSIGHTS IMAGING</t>
  </si>
  <si>
    <t>Insights Imaging</t>
  </si>
  <si>
    <t>APR 28 2026</t>
  </si>
  <si>
    <t>123</t>
  </si>
  <si>
    <t>10.1186/s13244-026-02292-7</t>
  </si>
  <si>
    <t>http://dx.doi.org/10.1186/s13244-026-02292-7</t>
  </si>
  <si>
    <t>HF3OV</t>
  </si>
  <si>
    <t>42047956</t>
  </si>
  <si>
    <t>WOS:001752713900001</t>
  </si>
  <si>
    <t>Ko, S; Lee, J; Ko, K; Kim, J</t>
  </si>
  <si>
    <t>Background: Advancing orthopedic care through large language models requires both multimodal processing capabilities for medical images and open-source deployment options for secure in-house operations, yet these remain underexplored in current literature. This study aims to benchmark open-source vision-language models (VLMs) against orthopedic residents using the Orthopedic In-Training Examination (OITE), assess domain-specific performance across orthopedic subspecialties, and investigate the relationship between model parameter size and performance. Methods: Six open-source VLMs of varying sizes (Alibaba Qwen2.5-VL-72B-Instruct, Alibaba Qwen2.5-VL-32B-Instruct, Alibaba were evaluated using the 2023 OITE (210 questions; 111 with images). Model performance was compared to resident scores from the 2023 OITE technical report. Pearson correlation coefficient was used to assess the association between model size and performance. Results: The 2 largest open-source models, Qwen2.5-VL-72B and Llama-3.2-90B, demonstrated performance levels comparable to those of second-year orthopedic residents on the OITE examination. A mid-sized model, Qwen-32B, slightly outscored first-year residents. In contrast, small-sized models (under 11 billion parameters) performed worse than first-year residents. Qwen2.5-VL-72B performed best in foot &amp; ankle and sports medicine topics, while Llama-3.2-90B was strongest in basic science and hand &amp; wrist. All models had the most difficulty with spine and pediatric questions. Overall, model accuracy increased steadily with model size up to 72 billion parameters, but larger sizes showed little additional improvement. Conclusions: Smaller models offer reduced accuracy in exchange for lower hardware requirements. Spine and pediatric domains remain consistently areas of underperformance across all models. Model selection should be based on domain-specific benchmark results to balance clinical needs with hardware limitations. While promising, open-source VLMs currently require further refinement and validation before they can be reliably applied in clinical or educational settings.</t>
  </si>
  <si>
    <t>Ko, Sunho; Lee, Jaewook; Ko, Kyunga; Kim, Jihyeung</t>
  </si>
  <si>
    <t>Kim, J (corresponding author), Seoul Natl Univ Hosp, Dept Orthoped Surg, 101 Daehak Ro, Seoul 03080, South Korea.</t>
  </si>
  <si>
    <t>kjh12344@hanmail.net</t>
  </si>
  <si>
    <t>[Ko, Sunho; Kim, Jihyeung] Seoul Natl Univ Hosp, Dept Orthoped Surg, 101 Daehak Ro, Seoul 03080, South Korea; [Lee, Jaewook] Seoul Natl Univ Hosp, Dept Emergency Med, Seoul, South Korea; [Ko, Kyunga] Univ Penn, Perelman Sch Med, Dept Med, Div Cardiol, Philadelphia, PA USA</t>
  </si>
  <si>
    <t>Seoul National University (SNU); Seoul National University Hospital; Seoul National University (SNU); Seoul National University Hospital; University of Pennsylvania; Pennsylvania Medicine</t>
  </si>
  <si>
    <t>Benchmarking Open-Source Vision Language Models in Orthopedic In-Training Examination: A Comparison with Residents, Domain-Specific Evaluation, and Parameter Scaling</t>
  </si>
  <si>
    <t>CLINICS IN ORTHOPEDIC SURGERY</t>
  </si>
  <si>
    <t>Artificial intelligence; Large language model; Vision language model; Orthopedic in-training examination</t>
  </si>
  <si>
    <t>QUESTIONS</t>
  </si>
  <si>
    <t>KOREAN ORTHOPAEDIC ASSOC</t>
  </si>
  <si>
    <t>SEOUL</t>
  </si>
  <si>
    <t>#1111 LIFECOMBI BLDG, YOEIDO-DONG, YOUNGDEUNGPO-GU, SEOUL, 150-732, SOUTH KOREA</t>
  </si>
  <si>
    <t>2005-291X</t>
  </si>
  <si>
    <t>2005-4408</t>
  </si>
  <si>
    <t>CLIN ORTHOP SURG</t>
  </si>
  <si>
    <t>Clin. Orthop. Surg.</t>
  </si>
  <si>
    <t>159</t>
  </si>
  <si>
    <t>166</t>
  </si>
  <si>
    <t>10.4055/cios25183</t>
  </si>
  <si>
    <t>http://dx.doi.org/10.4055/cios25183</t>
  </si>
  <si>
    <t>Orthopedics</t>
  </si>
  <si>
    <t>DB7CY</t>
  </si>
  <si>
    <t>41647505</t>
  </si>
  <si>
    <t>WOS:001679619100016</t>
  </si>
  <si>
    <t>Lee, BYH; Bang, JU; Song, HJ; Kang, BO</t>
  </si>
  <si>
    <t>Alzheimer's disease (AD), a progressive neurodegenerative condition, notably impacts cognitive functions and daily activity. One method of detecting dementia involves a task where participants describe a given picture, and extensive research has been conducted using the participants' speech and transcribed text. However, very few studies have explored the modality of the image itself. In this work, we propose a method that predicts dementia automatically by representing the relationship between images and texts as a graph. First, we transcribe the participants' speech into text using an automatic speech recognition system. Then, we employ a vision language model to represent the relationship between the parts of the image and the corresponding descriptive sentences as a bipartite graph. Finally, we use a graph convolutional network (GCN), considering each subject as an individual graph, to classify AD patients through a graph-level classification task. In experiments conducted on the ADReSSo Challenge datasets, our model surpassed the existing state-of-the-art performance by achieving an accuracy of 88.73%. Additionally, ablation studies that removed the relationship between images and texts demonstrated the critical role of graphs in improving performance. Furthermore, by utilizing the sentence representations learned through the GCN, we identified the sentences and keywords critical for AD classification.</t>
  </si>
  <si>
    <t>Lee, Byounghwa; Bang, Jeong-Uk; Song, Hwa Jeon; Kang, Byung Ok</t>
  </si>
  <si>
    <t>Lee, BYH (corresponding author), Elect &amp; Telecommun Res Inst ETRI, Integrated Intelligence Res Sect, Daejeon 34129, South Korea.</t>
  </si>
  <si>
    <t>byounghwa.lee@etri.re.kr</t>
  </si>
  <si>
    <t>National Research Council of Science and Technology [CAP21054-300]; National Research Council of Science &amp; Technology (NST) grant by the Korean government (MSIT)</t>
  </si>
  <si>
    <t>National Research Council of Science and Technology; National Research Council of Science &amp; Technology (NST) grant by the Korean government (MSIT) (National Research Council of Science &amp; Technology (NST), Republic of Korea)</t>
  </si>
  <si>
    <t>This research was supported by the National Research Council of Science &amp; Technology (NST) grant by the Korean government (MSIT) (No. CAP21054-300).</t>
  </si>
  <si>
    <t>[Lee, Byounghwa; Bang, Jeong-Uk; Song, Hwa Jeon; Kang, Byung Ok] Elect &amp; Telecommun Res Inst ETRI, Integrated Intelligence Res Sect, Daejeon 34129, South Korea</t>
  </si>
  <si>
    <t>Electronics &amp; Telecommunications Research Institute - Korea (ETRI)</t>
  </si>
  <si>
    <t>Alzheimer's disease recognition using graph neural network by leveraging image-text similarity from vision language model</t>
  </si>
  <si>
    <t>Alzheimer's disease; Bipartite graph; Dementia; Multimodal; Graph neural network; Vision language model</t>
  </si>
  <si>
    <t>Lee, Byounghwa/OXC-4637-2025</t>
  </si>
  <si>
    <t>Lee, Byounghwa/0000-0002-4862-2605</t>
  </si>
  <si>
    <t>JAN 6 2025</t>
  </si>
  <si>
    <t>997</t>
  </si>
  <si>
    <t>10.1038/s41598-024-82597-z</t>
  </si>
  <si>
    <t>http://dx.doi.org/10.1038/s41598-024-82597-z</t>
  </si>
  <si>
    <t>R5I5J</t>
  </si>
  <si>
    <t>39762277</t>
  </si>
  <si>
    <t>WOS:001391785200030</t>
  </si>
  <si>
    <t>Khokhar, PB; Gravino, C; Palomba, F; Yayilgan, SY; Shaikh, S</t>
  </si>
  <si>
    <t>Diabetic retinopathy (DR) grading from fundus images remains challenging because severity labels are ordinal, class distributions are imbalanced, and neighboring stages are often visually ambiguous. This study presents a unified pipeline for five-class DR grading that integrates controlled CNN/Transformer backbone benchmarking, ensemble evaluation, computational-cost analysis, external validation, and proof-of-concept attribution reporting. APTOS 2019 dataset was used to benchmark six backbone architectures under stratified five-fold cross-validation with fixed fold assignments, identical preprocessing, imbalance-aware training, and model selection based on quadratic weighted kappa (QWK). Hard voting, weighted soft voting, stacking, and hybrid class-level fusion were investigated to combine complementary models, while trainable parameters, model size, inference latency, and throughput were reported to quantify deployment cost. Model generalization was assessed by directly evaluating APTOS-trained models on Messidor-2 without retraining, fine-tuning, or recalibration. Safety-filtered summaries generated with a vision-language model were restricted to non-diagnostic model-attribution descriptions, and fundus-masked Grad-CAM++ maps were paired with these summaries for attribution reporting. Among individual backbones, ResNet-50 and ConvNeXt-Tiny achieved the strongest performance, while weighted soft voting provided the most stable ensemble performance. External validation confirmed the difficulty of cross-dataset five-class DR grading, with lower performance than that observed during internal cross-validation. The generated summaries adhered to predefined safety constraints but were not intended for lesion localization, diagnosis, or clinical validation. Overall, the study demonstrates that controlled benchmarking and weighted ensembling can provide stable performance for ordinal DR grading, while computational overhead, domain shift, uncertainty calibration, and expert clinical validation remain important considerations for real-world deployment.</t>
  </si>
  <si>
    <t>Khokhar, Pir Bakhsh; Gravino, Carmine; Palomba, Fabio; Yayilgan, Sule Yildirim; Shaikh, Sarang</t>
  </si>
  <si>
    <t>Khokhar, PB (corresponding author), Univ Salerno, Dept Informat, Via Giovanni Paolo II 132, I-84084 Fisciano, Salerno, Italy.</t>
  </si>
  <si>
    <t>fpalomba@unisa.it; sule.yildirim@ntnu.no; sarang.shaikh@ntnu.no; p.khokhar@studenti.unisa.it; gravino@unisa.it</t>
  </si>
  <si>
    <t>European Union through the Italian Ministry of University and Research [PNC 0000001, CUP B53C22006090001]</t>
  </si>
  <si>
    <t>European Union through the Italian Ministry of University and Research</t>
  </si>
  <si>
    <t>This work was partially supported by the European Union through the Italian Ministry of University and Research under the PNRR project "D3-4Health: Digital Driven Diagnostics, Prognostics and Therapeutics for Sustainable Health Care" (PNC 0000001; CUP B53C22006090001).</t>
  </si>
  <si>
    <t>[Khokhar, Pir Bakhsh; Gravino, Carmine; Palomba, Fabio] Univ Salerno, Dept Informat, Via Giovanni Paolo II 132, I-84084 Fisciano, Salerno, Italy; [Yayilgan, Sule Yildirim; Shaikh, Sarang] Norwegian Univ Sci &amp; Technol NTNU, Dept Informat Secur &amp; Commun Technol IIK, N-2815 Gjovik, Norway</t>
  </si>
  <si>
    <t>University of Salerno; Norwegian University of Science &amp; Technology (NTNU)</t>
  </si>
  <si>
    <t>From pixels to attribution reports: Diabetic retinopathy grading with CNN-transformer ensembles and vision-language models</t>
  </si>
  <si>
    <t>Diabetic retinopathy grading; Ensemble learning; External validation; Grad-CAM plus plus; Vision-language models; Non-diagnostic attribution reporting</t>
  </si>
  <si>
    <t>JAN 1 2027</t>
  </si>
  <si>
    <t>333</t>
  </si>
  <si>
    <t>133848</t>
  </si>
  <si>
    <t>10.1016/j.eswa.2026.133848</t>
  </si>
  <si>
    <t>http://dx.doi.org/10.1016/j.eswa.2026.133848</t>
  </si>
  <si>
    <t>MR5KP</t>
  </si>
  <si>
    <t>WOS:001849167100001</t>
  </si>
  <si>
    <t>Li A, P; Li, JF; Niu, ST; Timimi, FK; Cheung, J; Otley, CC; Makhni, S; Li, F; Feng, JN; Hu, XY; Yu, Y; Kumar, R; Tao, C</t>
  </si>
  <si>
    <t>Objective:To explore the role of reinforcement learning (RL) in vision-language models (VLMs) for cardiovascular disease (CVD) decision support and assess whether RL-enhanced multimodal reasoning improves clinical classification performance and interpretability across datasets. Methods:We propose CVD-thinking, a multimodal framework that integrates electrocardiogram (ECG) images with textual reports, demographic information, and laboratory results from MIMIC-IV and MIMIC-IV-ECG. The model is trained using Group Relative Policy Optimization (GRPO) with Clinical Classification Reward (CCR), a generalizable reward template that combines asymmetric outcome utilities with a soft F1 shaping term to mitigate reward sparsity. We use explicit reasoning prompts () to elicit step-by-step rationales, compare against supervised fine-tuning (SFT) and a GPT-4o baseline, and evaluate external validity on an independent Mayo Clinic dataset. Ablation studies assess the contributions of reward shaping and explicit reasoning. Results:On the internal test set, GRPO training improved precision compared with baseline approaches (CVD-thinking: 0.716 vs. SFT: 0.662 vs. GPT-4o: 0.625). Explicit reasoning further improved performance relative to a non-reasoning variant (0.716 vs. 0.598) while producing traceable rationales. These gains generalized to the external Mayo Clinic dataset. Ablations suggest that reward shaping and explicit reasoning both contribute to performance and reasoning-format adherence. Conclusion:RL can improve the reliability and transparency of multimodal reasoning for CVD clinical decision support, but its impact on performance depends on the reward formulation. Model scale also matters: smaller backbones (e.g., 3B parameters) show less stable optimization and can experience performance degradation.</t>
  </si>
  <si>
    <t>Li A, Pengze; Li, Jianfu; Niu, Shuteng; Timimi, Farris K.; Cheung, Joseph; Otley, Clark C.; Makhni, Sonya; Li, Fang; Feng, Jingna; Hu, Xinyue; Yu, Yue; Kumar, Rakesh; Tao, Cui</t>
  </si>
  <si>
    <t>Tao, C (corresponding author), Mayo Clin, AI &amp; Informat, 4500 San Pablo Rd, Jacksonville, FL 32224 USA.</t>
  </si>
  <si>
    <t>Tao.Cui@mayo.edu</t>
  </si>
  <si>
    <t>National Institutes of Health, United States [R01AG083039]</t>
  </si>
  <si>
    <t>National Institutes of Health, United States (United States Department of Health &amp; Human Services, National Institutes of Health (NIH) - USA)</t>
  </si>
  <si>
    <t>Financial support for this study was provided by the National Institutes of Health, United States (Grant R01AG083039) .</t>
  </si>
  <si>
    <t>[Li A, Pengze; Li, Jianfu; Niu, Shuteng; Li, Fang; Feng, Jingna; Hu, Xinyue; Yu, Yue; Kumar, Rakesh; Tao, Cui] Mayo Clin, AI &amp; Informat, 4500 San Pablo Rd, Jacksonville, FL 32224 USA; [Timimi, Farris K.] Mayo Clin, Cardiovasc Med, 200 1st St SW, Rochester, MN 55901 USA; [Cheung, Joseph] Mayo Clin, Div Pulm Allergy &amp; Sleep Med, 4500 San Pablo Rd, Jacksonville, FL 32224 USA; [Otley, Clark C.] Mayo Clin, Transplant Ctr, 200 1st St SW, Rochester, MN 55901 USA; [Makhni, Sonya] Mayo Clin, Hosp Internal Med, 200 1st St SW, Rochester, MN 55901 USA</t>
  </si>
  <si>
    <t>Mayo Clinic; Mayo Clinic; Mayo Clinic; Mayo Clinic; Mayo Clinic</t>
  </si>
  <si>
    <t>Exploring the role of reinforcement learning in vision-language models for cardiovascular disease decision support</t>
  </si>
  <si>
    <t>Reinforcement learning; Vision-language models; Clinical decision support; Cardiovascular disease</t>
  </si>
  <si>
    <t>EPIDEMIOLOGY</t>
  </si>
  <si>
    <t>Cheung, Joseph/0000-0002-1222-7603</t>
  </si>
  <si>
    <t>179</t>
  </si>
  <si>
    <t>105031</t>
  </si>
  <si>
    <t>10.1016/j.jbi.2026.105031</t>
  </si>
  <si>
    <t>http://dx.doi.org/10.1016/j.jbi.2026.105031</t>
  </si>
  <si>
    <t>GU2LO</t>
  </si>
  <si>
    <t>41932557</t>
  </si>
  <si>
    <t>WOS:001745176600001</t>
  </si>
  <si>
    <t>Sun, X; Liu, J; Wu, LL; Chen, X; Ma, XA; Teng, F; Zhang, T; Su, H; Fan, X; Li, JX; Xu, SP; Jin, P; Jiao, HM</t>
  </si>
  <si>
    <t>Introduction: Accurate classification of Helicobacter pylori (H. pylori) infection status is critical for gastric cancer risk stratification. Current methods based on traditional convolutional neural networks (CNNs) are limited by their reliance on fragmented single-image analysis and operator-dependent selection variability, impairing diagnostic reliability. Methods: To overcome these limitations, we developed MC-CLIP, a vision-language foundation model for the fully automated, three-categorical diagnosis of H. pylori infection using magnetically controlled capsule endoscopy (MCCE). The model was first pretrained on a large-scale dataset of 2,427,475 MCCE image-text pairs derived from 123,543 examinations. It was subsequently fine-tuned on 40,695 expertly annotated images from 864 patients. MC-CLIP autonomously selects 30 representative images per case for end-to-end classification. Its performance was rigorously evaluated on multicenter internal (n = 220) and external (n = 208) validation cohorts. Results: On the internal and external validation cohorts, MC-CLIP achieved overall accuracies of 89.6% (95% CI: 85.5-93.6%) and 86.6% (80.8-90.3%), respectively. The model demonstrated particularly high sensitivity in detecting H. pylori infection: 91.4% for current infection and 83.7% for past infection. This performance significantly surpassed that of both senior endoscopists (84.3% and 71.4%, respectively) and junior endoscopists (74.3% for current infection). MC-CLIP also maintained high specificity (&gt;90% across all categories) and excelled at identifying subtle mucosal changes following eradication therapy, thereby reducing the misclassification of past infections as non-infections. Discussion: By integrating multimodal image-text data and performing end-to-end analysis, MC-CLIP effectively addresses the fundamental limitations of CNN-based approaches. The model shows strong potential for enhancing the accuracy and reliability of MCCE-based gastric cancer screening programs.</t>
  </si>
  <si>
    <t>Sun, Xi; Liu, Jing; Wu, Lili; Chen, Xiao; Ma, Xiaona; Teng, Fei; Zhang, Ting; Su, Hui; Fan, Xin; Li, Jiaxin; Xu, Shiping; Jin, Peng; Jiao, Hongmei</t>
  </si>
  <si>
    <t>Xu, SP (corresponding author), Chinese PLA Hosp, Dept Gastroenterol &amp; Hepatol, Med Ctr 2, Beijing, Peoples R China.; Xu, SP (corresponding author), Natl Clin Res Ctr Geriatr Dis, Beijing, Peoples R China.; Jin, P (corresponding author), Chinese Peoples Liberat Army Gen Hosp, Dept Gastroenterol, Med Ctr 7, Beijing, Peoples R China.; Jiao, HM (corresponding author), Peking Univ First Hosp, Dept Geriatr, Beijing, Peoples R China.</t>
  </si>
  <si>
    <t>JiaoHM@139.com; Xushiping301@301hospital.com.cn; Jinpeng@301hospital.com.cn</t>
  </si>
  <si>
    <t>[Sun, Xi; Liu, Jing; Wu, Lili; Chen, Xiao; Ma, Xiaona; Teng, Fei; Xu, Shiping] Chinese PLA Hosp, Dept Gastroenterol &amp; Hepatol, Med Ctr 2, Beijing, Peoples R China; [Sun, Xi; Liu, Jing; Wu, Lili; Chen, Xiao; Ma, Xiaona; Teng, Fei; Zhang, Ting; Xu, Shiping] Natl Clin Res Ctr Geriatr Dis, Beijing, Peoples R China; [Zhang, Ting] Chinese PLA Hosp, Inst Geriatr, Med Ctr 2, Beijing, Peoples R China; [Su, Hui; Fan, Xin; Jin, Peng] Chinese Peoples Liberat Army Gen Hosp, Dept Gastroenterol, Med Ctr 7, Beijing, Peoples R China; [Li, Jiaxin; Jiao, Hongmei] Peking Univ First Hosp, Dept Geriatr, Beijing, Peoples R China</t>
  </si>
  <si>
    <t>Seventh Medical Center of Chinese PLA General Hospital; Chinese People's Liberation Army General Hospital; Peking University</t>
  </si>
  <si>
    <t>AI-powered three-category Helicobacter pylori diagnosis via magnetic controlled capsule endoscopy: a multicenter validation of a vision-language model</t>
  </si>
  <si>
    <t>FRONTIERS IN MICROBIOLOGY</t>
  </si>
  <si>
    <t>Helicobacter pylori; artificial intelligence; gastric cancer; large language model (LLM); capsule endoscope</t>
  </si>
  <si>
    <t>GASTROSCOPY</t>
  </si>
  <si>
    <t>Zhang, Ting/JVZ-3004-2024</t>
  </si>
  <si>
    <t>1664-302X</t>
  </si>
  <si>
    <t>FRONT MICROBIOL</t>
  </si>
  <si>
    <t>Front. Microbiol.</t>
  </si>
  <si>
    <t>OCT 13 2025</t>
  </si>
  <si>
    <t>1687021</t>
  </si>
  <si>
    <t>10.3389/fmicb.2025.1687021</t>
  </si>
  <si>
    <t>http://dx.doi.org/10.3389/fmicb.2025.1687021</t>
  </si>
  <si>
    <t>Microbiology</t>
  </si>
  <si>
    <t>9BE9T</t>
  </si>
  <si>
    <t>41158765</t>
  </si>
  <si>
    <t>WOS:001602192000001</t>
  </si>
  <si>
    <t>Faria, FTJ; Baniata, LH; Choi, A; Kang, SW</t>
  </si>
  <si>
    <t>Medical Visual Question Answering (MedVQA) lies at the intersection of computer vision, natural language processing, and clinical decision-making, aiming to generate accurate responses from medical images paired with complex inquiries. Despite recent advances in vision-language models (VLMs), their use in healthcare remains limited by a lack of interpretability and a tendency to produce direct, unexplainable outputs. This opacity undermines their reliability in medical settings, where transparency and justification are critically important. To address this limitation, we propose a zero-shot chain-of-thought prompting framework that guides VLMs to perform multi-step reasoning before arriving at an answer. By encouraging the model to break down the problem, analyze both visual and contextual cues, and construct a stepwise explanation, the approach makes the reasoning process explicit and clinically meaningful. We evaluate the framework on the PMC-VQA benchmark, which includes authentic radiological images and expert-level prompts. In a comparative analysis of three leading VLMs, Gemini 2.5 Pro achieved the highest accuracy (72.48%), followed by Claude 3.5 Sonnet (69.00%) and GPT-4o Mini (67.33%). The results demonstrate that chain-of-thought prompting significantly improves both reasoning transparency and performance in MedVQA tasks.</t>
  </si>
  <si>
    <t>Faria, Fatema Tuj Johora; Baniata, Laith H.; Choi, Ahyoung; Kang, Sangwoo</t>
  </si>
  <si>
    <t>Baniata, LH; Choi, A (corresponding author), Gachon Univ, Sch Comp, Seongnam 13120, South Korea.</t>
  </si>
  <si>
    <t>fatema.faria@dexian.com; aychoi@gachon.ac.kr; laith@gachon.ac.kr</t>
  </si>
  <si>
    <t>National Institute of Health (NIH) [2024ER080300]; National Institute of Health (NIH) research project in South Korea [NRF-2022R1A2C1005316]; Basic Science Research Program through the National Research Foundation of Korea (NRF) - Ministry of Science and ICT</t>
  </si>
  <si>
    <t>National Institute of Health (NIH) (United States Department of Health &amp; Human Services, National Institutes of Health (NIH) - USA); National Institute of Health (NIH) research project in South Korea (United States Department of Health &amp; Human Services, National Institutes of Health (NIH) - USA, Office of the Administrator (NIH)); Basic Science Research Program through the National Research Foundation of Korea (NRF) - Ministry of Science and ICT (National Research Foundation of Korea, Ministry of Science &amp; ICT (MMSTI))</t>
  </si>
  <si>
    <t>This research was supported by the National Institute of Health (NIH) research project in South Korea (Project No. 2024ER080300), and this work was supported by the Basic Science Research Program through the National Research Foundation of Korea (NRF), funded by the Ministry of Science and ICT under Grant NRF-2022R1A2C1005316.</t>
  </si>
  <si>
    <t>[Faria, Fatema Tuj Johora] Ahsanullah Univ Sci &amp; Technol, Dept Comp Sci &amp; Engn, Dhaka 1208, Bangladesh; [Baniata, Laith H.; Choi, Ahyoung; Kang, Sangwoo] Gachon Univ, Sch Comp, Seongnam 13120, South Korea</t>
  </si>
  <si>
    <t>Ahsanullah University of Science &amp; Technology (AUST); Gachon University</t>
  </si>
  <si>
    <t>Analyzing Diagnostic Reasoning of Vision-Language Models via Zero-Shot Chain-of-Thought Prompting in Medical Visual Question Answering</t>
  </si>
  <si>
    <t>MATHEMATICS</t>
  </si>
  <si>
    <t>medical visual question answering; vision-language models; chain-of-thought prompting; zero-shot learning; medical imaging; visual reasoning</t>
  </si>
  <si>
    <t>F-SCORE</t>
  </si>
  <si>
    <t>Baniata, Laith/S-3656-2018; Faria, Fatema Tuj Johora/MDT-7501-2025</t>
  </si>
  <si>
    <t>Choi, Ahyoung/0000-0001-7676-9869; Baniata, Laith/0000-0002-0029-0859; Kang, Sangwoo/0000-0002-0281-1726; Faria, Fatema Tuj Johora/0009-0005-1684-8211</t>
  </si>
  <si>
    <t>2227-7390</t>
  </si>
  <si>
    <t>MATHEMATICS-BASEL</t>
  </si>
  <si>
    <t>Mathematics</t>
  </si>
  <si>
    <t>JUL 21 2025</t>
  </si>
  <si>
    <t>2322</t>
  </si>
  <si>
    <t>10.3390/math13142322</t>
  </si>
  <si>
    <t>http://dx.doi.org/10.3390/math13142322</t>
  </si>
  <si>
    <t>5HA6E</t>
  </si>
  <si>
    <t>WOS:001535495800001</t>
  </si>
  <si>
    <t>Van, MH; Carey, AN; Wu, XT</t>
  </si>
  <si>
    <t>Correctly classifying brain tumors is imperative to the prompt and accurate treatment of a patient. In this work, we first study the difficult but realistic setting of training a deep learning brain tumor classification model in the presence of noisy MR images. Then, we consider the emerging setting of vision-language models (VLMs), and more specifically study how VLM in-context learning can be leveraged to solve the brain tumor classification task. For both settings, we propose methods that are inspired by influence functions which stem from the field of robust statistics. For the deep learning setting, we propose two training methods that are robust to noisy MRI training data: influence-based sample reweighing (ISR) and influence-based sample perturbation (ISP). In ISR, we adaptively reweigh training examples according to how helpful/harmful they are to the training process, while in ISP, we craft and inject "healthy" noise proportional to the influence score. For the VLM setting, we propose a demonstration selection method called influence-based in-context learning (IICL). With IICL, influence score is leveraged to find the most suitable MRI samples that can demonstrate the assigned task to the pretrained VLMs. Both ISR and ISP harden the classification model against noisy training data without significantly affecting the generalization ability of the model on test data, while IICL significantly boosts the performance of GPT-4o and Gemini. We conduct empirical evaluations over a common brain tumor dataset and compare our methods against several baselines to demonstrate the advantage of our three methods.</t>
  </si>
  <si>
    <t>Van, Minh-Hao; Carey, Alycia N.; Wu, Xintao</t>
  </si>
  <si>
    <t>Wu, XT (corresponding author), Univ Arkansas, EECS, Fayetteville, AR 72701 USA.</t>
  </si>
  <si>
    <t>xintaowu@uark.edu; haovan@uark.edu; ancarey@uark.edu</t>
  </si>
  <si>
    <t>National Science Foundation; National Institute of General Medical Sciences of National Institutes of Health [P20GM139768]; Arkansas Integrative Metabolic Research Center at University of Arkansas</t>
  </si>
  <si>
    <t>National Science Foundation (National Science Foundation (NSF)); National Institute of General Medical Sciences of National Institutes of Health; Arkansas Integrative Metabolic Research Center at University of Arkansas</t>
  </si>
  <si>
    <t>[Van, Minh-Hao; Carey, Alycia N.; Wu, Xintao] Univ Arkansas, EECS, Fayetteville, AR 72701 USA</t>
  </si>
  <si>
    <t>Influence-based approaches for tumor classification in noisy brain MRI with deep learning and vision-language models</t>
  </si>
  <si>
    <t>INTERNATIONAL JOURNAL OF DATA SCIENCE AND ANALYTICS</t>
  </si>
  <si>
    <t>Noisy images; Brain tumor classification; Robust training; VLMs</t>
  </si>
  <si>
    <t>Carey, Alycia/HRC-4163-2023</t>
  </si>
  <si>
    <t>2364-415X</t>
  </si>
  <si>
    <t>2364-4168</t>
  </si>
  <si>
    <t>INT J DATA SCI ANAL</t>
  </si>
  <si>
    <t>Int. J, Data Sci. Anal.</t>
  </si>
  <si>
    <t>6475</t>
  </si>
  <si>
    <t>6487</t>
  </si>
  <si>
    <t>10.1007/s41060-025-00834-8</t>
  </si>
  <si>
    <t>http://dx.doi.org/10.1007/s41060-025-00834-8</t>
  </si>
  <si>
    <t>Computer Science, Artificial Intelligence; Computer Science, Information Systems</t>
  </si>
  <si>
    <t>7XM8H</t>
  </si>
  <si>
    <t>WOS:001510293300001</t>
  </si>
  <si>
    <t>Nagao, M; Teramoto, A; Urata, K; Imaizumi, K; Kondo, M; Fujita, H</t>
  </si>
  <si>
    <t>In the diagnosis of lung cancer, imaging findings of lung nodules are essential for benign and malignant classifications. Although numerous studies have investigated the classification of lung nodules, no method has been proposed for obtaining detailed imaging findings. This study aimed to develop a novel method for generating image findings and classifying benign and malignant nodules in chest computed tomography (CT) images using vision-language models. In this study, we collected chest CT images of 77 patients diagnosed with either benign or malignant tumors at Fujita Health University Hospital. For these images, we cropped the regions of interest around the nodules, and a pulmonologist provided the corresponding image findings. We used vision-language models for image captioning to generate image findings. The findings generated by these two models were grammatically correct, with no deviations in notation, as expected from the image findings. Moreover, the descriptions of benign and malignant characteristics were accurately obtained. The bootstrapping language-image pretraining (BLIP) base model achieved an accuracy of 79.2% in classifying nodules, and the bilingual evaluation understudy-4 score for agreement with physician findings was 0.561. These results suggest that the proposed method may be effective for classifying and generating lung nodule findings.</t>
  </si>
  <si>
    <t>Nagao, Maiko; Teramoto, Atsushi; Urata, Kaito; Imaizumi, Kazuyoshi; Kondo, Masashi; Fujita, Hiroshi</t>
  </si>
  <si>
    <t>Teramoto, A (corresponding author), Meijo Univ, Grad Sch Sci &amp; Technol, Nagoya 4688502, Japan.</t>
  </si>
  <si>
    <t>ryn.mmm726@gmail.com; teramoto@meijo-u.ac.jp</t>
  </si>
  <si>
    <t>Ministry of Education, Culture, Sports, Science and Technology, Japan [23K07117]</t>
  </si>
  <si>
    <t>Ministry of Education, Culture, Sports, Science and Technology, Japan (Ministry of Education, Culture, Sports, Science and Technology, Japan (MEXT))</t>
  </si>
  <si>
    <t>This research was supported in part by a Grant-in-Aid for Scientific Research (No. 23K07117) from the Ministry of Education, Culture, Sports, Science and Technology, Japan.</t>
  </si>
  <si>
    <t>[Nagao, Maiko; Teramoto, Atsushi; Urata, Kaito] Meijo Univ, Grad Sch Sci &amp; Technol, Nagoya 4688502, Japan; [Imaizumi, Kazuyoshi; Kondo, Masashi] Fujita Hlth Univ, Sch Med, Toyoake 4701192, Japan; [Fujita, Hiroshi] Gifu Univ, Fac Engn, Gifu 5011193, Japan</t>
  </si>
  <si>
    <t>Meijo University; Fujita Health University; Gifu University</t>
  </si>
  <si>
    <t>Preliminary Study on Image-Finding Generation and Classification of Lung Nodules in Chest CT Images Using Vision-Language Models</t>
  </si>
  <si>
    <t>COMPUTERS</t>
  </si>
  <si>
    <t>image-to-text; deep learning; text generation; image classification; lung nodule; vision-language models</t>
  </si>
  <si>
    <t>Kondo, Masashi/I-7378-2014</t>
  </si>
  <si>
    <t>Imaizumi, Kazuyoshi/0000-0002-3790-8691; Teramoto, Atsushi/0000-0001-7613-5348; Fujita, Hiroshi/0000-0002-2936-9296</t>
  </si>
  <si>
    <t>2073-431X</t>
  </si>
  <si>
    <t>Computers</t>
  </si>
  <si>
    <t>NOV 9 2025</t>
  </si>
  <si>
    <t>489</t>
  </si>
  <si>
    <t>10.3390/computers14110489</t>
  </si>
  <si>
    <t>http://dx.doi.org/10.3390/computers14110489</t>
  </si>
  <si>
    <t>Computer Science, Interdisciplinary Applications</t>
  </si>
  <si>
    <t>F4062</t>
  </si>
  <si>
    <t>WOS:001623509700001</t>
  </si>
  <si>
    <t>Yip, TH; Xu, PS; Liu, ZR; Zaabaar, E; Fong, AHC; Guo, YT; Xu, ZM; Zhang, W; Chan, YK; Lam, DSC; Shih, KC; Leung, CKS; Zhang, XJ</t>
  </si>
  <si>
    <t>Purpose To build a visual question answering (VQA) dataset for fine-tuning and evaluating vision-language models (VLMs) in myopic maculopathy (MM). Design Cross-sectional study. Methods Colour fundus photographs (CFPs) from two publicly available datasets were graded using META-PM classification system. GPT-5 was used to generate clinical captions, true/false [TFQ] and open-ended [OEQ] question-answer pairs, all of which were manually verified. InternVL3-8B was fine-tuned on this dataset and evaluated against Gemini 3 Pro, Claude Sonnet 4.5, Qwen3-VL-30B-A3B-Instruct, and pre-trained InternVL3-8B. OEQ responses was evaluated by GPT-5 using a three-level scoring system (0, completely incorrect; 0.5, partially correct; 1, fully correct) and summarized as weighted accuracy. Overall accuracy was defined as the arithmetic mean of the TFQ and OEQ accuracies. Results MM-VQA comprises 2591 CFPs and 19,648 question-answer pairs. Fine-tuned InternVL3-8B model achieved an overall accuracy of 0.746, surpassing Claude Sonnet 4.5 (0.596), Qwen3-VL-30B-A3B-Instruct (0.566), and pre-trained InternVL3-8B (0.428) (all P &lt; 0.001), while showing no significant difference compared with Gemini 3 Pro (0.724, P = 0.642). For TFQ, the fine-tuned model reached an accuracy of 0.919, outperforming Gemini 3 Pro (0.881), Qwen3-VL-30B-A3B-Instruct (0.834), Claude Sonnet 4.5 (0.796), and the pre-trained model (0.696) (all P &lt; 0.001). On OEQ, it also ranked highest (0.572), outperforming Gemini 3 Pro (0.567, P = 0.044), Claude Sonnet 4.5 (0.395, P &lt; 0.001), Qwen3-VL-30B-A3B-Instruct (0.297, P &lt; 0.001) and the pre-trained model (0.160, P &lt; 0.001). Conclusion This study provides a valuable VQA dataset for MM, supporting the development of disease-specialised VLMs in ophthalmology.</t>
  </si>
  <si>
    <t>Yip, Tsun Hei; Xu, Pusheng; Liu, Zirong; Zaabaar, Ebenezer; Fong, Angie H. C.; Guo, Yatu; Xu, Ziming; Zhang, Wei; Chan, Yau Kei; Lam, Dennis S. C.; Shih, Kendrick C.; Leung, Christopher K. S.; Zhang, Xiu Juan</t>
  </si>
  <si>
    <t>Zhang, XJ (corresponding author), Univ Hong Kong, LKS Fac Med, Dept Ophthalmol, Block B,Cyberport 4,100 Cyberport Rd, Hong Kong, Peoples R China.</t>
  </si>
  <si>
    <t>hxjzhang@hku.hk</t>
  </si>
  <si>
    <t>Health and Medical Research Fund (HMRF), the Health Bureau, Hong Kong [11220196]; HKU Start-up Fund [11220196]; University of Hong Kong</t>
  </si>
  <si>
    <t>Health and Medical Research Fund (HMRF), the Health Bureau, Hong Kong; HKU Start-up Fund; University of Hong Kong (University of Hong Kong)</t>
  </si>
  <si>
    <t>This work was supported in part by Health and Medical Research Fund (HMRF), the Health Bureau, Hong Kong (Grant No.: 11220196 [XJZ]) and HKU Start-up Fund (XJZ), the University of Hong Kong. The funder had no role in the study design, data collection and analysis, decision to publish, or preparation of the manuscript.</t>
  </si>
  <si>
    <t>[Yip, Tsun Hei; Xu, Pusheng; Liu, Zirong; Zaabaar, Ebenezer; Fong, Angie H. C.; Xu, Ziming; Chan, Yau Kei; Shih, Kendrick C.; Leung, Christopher K. S.; Zhang, Xiu Juan] Univ Hong Kong, LKS Fac Med, Dept Ophthalmol, Block B,Cyberport 4,100 Cyberport Rd, Hong Kong, Peoples R China; [Fong, Angie H. C.; Shih, Kendrick C.; Leung, Christopher K. S.; Zhang, Xiu Juan] Queen Mary Hosp, Dept Ophthalmol, Pok Fu Lam, Hong Kong, Peoples R China; [Fong, Angie H. C.; Shih, Kendrick C.; Leung, Christopher K. S.; Zhang, Xiu Juan] Grantham Hosp, Dept Ophthalmol, Hong Kong, Peoples R China; [Guo, Yatu; Zhang, Wei] Tianjin Eye Hosp, Tianjin, Peoples R China; [Lam, Dennis S. C.] Chinese Univ Hong Kong Shenzhen, Primasia Int Eye Res Inst PIERI, Sch Med, Shenzhen, Peoples R China; [Lam, Dennis S. C.] C MER Int Eye Care Grp, C MER Dennis Lam &amp; Partners Eye Ctr, Hong Kong, Peoples R China; [Lam, Dennis S. C.] C MER Shenzheni Dennis Lam Eye Hosp, Shenzhen, Guangdong, Peoples R China; [Zhang, Xiu Juan] Univ Hong Kong, Shenzhen Hosp, Dept Ophthalmol, Shenzhen, Peoples R China</t>
  </si>
  <si>
    <t>University of Hong Kong; University of Hong Kong; Tianjin Medical University; The Chinese University of Hong Kong, Shenzhen</t>
  </si>
  <si>
    <t>Benchmarking and fine-tuning vision-language models on a visual question answering dataset for myopic maculopathy</t>
  </si>
  <si>
    <t>ASIA-PACIFIC JOURNAL OF OPHTHALMOLOGY</t>
  </si>
  <si>
    <t>Visual question answering; Myopic maculopathy; Vision-language models</t>
  </si>
  <si>
    <t>PREVALENCE</t>
  </si>
  <si>
    <t>2162-0989</t>
  </si>
  <si>
    <t>ASIA-PAC J OPHTHALMO</t>
  </si>
  <si>
    <t>Asia-Pac. J. Ophthalmol.</t>
  </si>
  <si>
    <t>JUL-AUG 2026</t>
  </si>
  <si>
    <t>100345</t>
  </si>
  <si>
    <t>10.1016/j.apjo.2026.100345</t>
  </si>
  <si>
    <t>http://dx.doi.org/10.1016/j.apjo.2026.100345</t>
  </si>
  <si>
    <t>MR0JR</t>
  </si>
  <si>
    <t>42362056</t>
  </si>
  <si>
    <t>WOS:001848825700001</t>
  </si>
  <si>
    <t>Cheng, YZ; Wang, ZK; Zhang, W; Zhang, Q; Zhang, MW; Cai, SB; Zhang, TY</t>
  </si>
  <si>
    <t>Background: The differentiation of primary ischemic from secondary nonischemic T-wave inversion (TWI) on electrocardiograms (ECGs) presents a critical and pervasive diagnostic challenge in emergency cardiology. Historical clinical literature reports that clinician-led visual interpretation of isolated TWI yields a positive predictive value of only approximately 50% due to profound morphological ambiguity. This high degree of uncertainty frequently leads to high false-positive rates, resulting in unnecessary, costly, and potentially risky invasive angiographic procedures for patients. Furthermore, although existing deep learning models have attempted to address this clinical bottleneck, they are frequently limited to single-modality, "black box" architectures. Their inability to process complex multimodal data or provide transparent reasoning traces fundamentally limits Objective: The objective of this study was to develop a novel diagnostic framework designed to address the critical clinical challenge of accurately differentiating ischemic from nonischemic TWI. By using a multimodal vision-language model trained with a reinforcement learning (RL) paradigm, this study aimed to improve diagnostic accuracy and provide interpretable reasoning. Methods: We developed ECG-R1, a multimodal framework using the Qwen2-VL-2B vision-language model, to analyze ECG waveform images and associated clinical text. Instead of supervised fine-tuning (SFT), the model was trained using an RL paradigm with the group relative policy optimization algorithm. The model was trained to generate a structured output containing an explicit reasoning trace and a final "yes" or "no" answer. A 2-component, rule-based reward function was designed to assess format adherence and diagnostic accuracy. Performance was compared against strong SFT baselines. Results: Evaluated on a large-scale multimodal dataset of 12,917 TWI cases, our ECG-R1 model achieved a state-of-the-art in-domain accuracy of 75.21%, a sensitivity of 82.55%, and an area under the receiver operating characteristic curve of 84.18%. The model demonstrated robust cross-hospital generalization, maintaining a 72.93% out-of-domain accuracy and an 81.56% area under the receiver operating characteristic curve. When controlling for model scale, the RL paradigm yielded substantial absolute improvements of 6.69% in in-domain performance and a substantial 11.48% improvement in diagnostic accuracy and cross-domain robustness. By explicitly modeling interpretable clinical reasoning and using probabilistic diagnostic language to prevent premature cognitive closure, ECG-R1 may serve as a highly transparent clinical decision support system. It was structurally designed to safely assist cardiologists within a strict human-in-the-loop paradigm, establishing a robust foundation for prospective clinical trials.</t>
  </si>
  <si>
    <t>Cheng, Yunzhang; Wang, Zhongkai; Zhang, Wen; Zhang, Qin; Zhang, Mingwei; Cai, Songbin; Zhang, Tianyi</t>
  </si>
  <si>
    <t>Cheng, YZ (corresponding author), Univ Shanghai Sci &amp; Technol, Sch Hlth Sci &amp; Engn, Room 1002,10th Floor,Zhuoyue Bldg,334 Jungong Rd, Shanghai 200093, Peoples R China.</t>
  </si>
  <si>
    <t>18566664556@163.com</t>
  </si>
  <si>
    <t>Shanghai Engineering Research Center of Interventional Medical Device [18DZ2250900]</t>
  </si>
  <si>
    <t>Shanghai Engineering Research Center of Interventional Medical Device</t>
  </si>
  <si>
    <t>Funding This work is supported by the Shanghai Engineering Research Center of Interventional Medical Device (grant 18DZ2250900) .</t>
  </si>
  <si>
    <t>[Cheng, Yunzhang; Zhang, Wen; Zhang, Mingwei; Zhang, Tianyi] Univ Shanghai Sci &amp; Technol, Sch Hlth Sci &amp; Engn, Room 1002,10th Floor,Zhuoyue Bldg,334 Jungong Rd, Shanghai 200093, Peoples R China; [Wang, Zhongkai; Zhang, Qin] Changhai Hosp, Dept Cardiovasol, Shanghai, Peoples R China; [Cai, Songbin] Shanghai Jiao Tong Univ, Xin Hua Hosp, Sch Med, Shanghai, Peoples R China</t>
  </si>
  <si>
    <t>University of Shanghai for Science &amp; Technology; Naval Medical University; Shanghai Jiao Tong University</t>
  </si>
  <si>
    <t>Differentiating Ischemic From Nonischemic T-Wave Inversion Using a Multimodal Vision-Language Model With Reinforcement Learning (ECG-R1): Development and Validation Study</t>
  </si>
  <si>
    <t>JMIR MEDICAL INFORMATICS</t>
  </si>
  <si>
    <t>electrocardiogram; ECG; T-wave inversion; myocardial ischemia; computer-aided diagnosis; vision-language models; multimodal artificial intelligence; reinforcement learning; artificial intelligence; AI</t>
  </si>
  <si>
    <t>ELECTROCARDIOGRAMS</t>
  </si>
  <si>
    <t>CAI, SONGBIN/0000-0003-0564-6284</t>
  </si>
  <si>
    <t>2291-9694</t>
  </si>
  <si>
    <t>JMIR MED INF</t>
  </si>
  <si>
    <t>JMIR Med. Inf.</t>
  </si>
  <si>
    <t>e87227</t>
  </si>
  <si>
    <t>10.2196/87227</t>
  </si>
  <si>
    <t>http://dx.doi.org/10.2196/87227</t>
  </si>
  <si>
    <t>KI7YO</t>
  </si>
  <si>
    <t>42319812</t>
  </si>
  <si>
    <t>WOS:001807952900001</t>
  </si>
  <si>
    <t>Dey, C; Aich, J; Sinha, S; Mali, S; Patra, S</t>
  </si>
  <si>
    <t>Existing computational tools to determine subtype histopathological classification of lung carcinoma are morphologically overlapping and utilizing convolutional neural networks is not considered sufficiently powerful to leverage the global tissue context. Although Vision Transformers are showing good results, most current solutions use complex multi-instance learning or post-hoc explainability, which constrain the interpretability and its real use. The proposed study examines the Sigmoid Language Image Pretraining Vision Transformer), SigLIPViT, which is a small and intrinsically explained visual backbone to classify lung histopathology, as a knowledge gap in the systematic assessment of transfer learning from a vision-language pretrained transformer backbone (SigLIP) for digital pathology classification. The three-class patch level visual encoder based on the proposed framework performs classification and categorization of lung adenocarcinoma, squamous cell carcinoma and non-malignant tissue without using multi-instance learning or hierarchical aggregation of patch-level histopathological images. The performance of models was assessed against accuracy, F1-score, ROC-AUC, calibration, and error analysis, as well as attention-based interpretability. The model resulted in a macro-averaged F1-score of about 85% and a ROC-AUC of 0.969 on the validation set and better calibration than CNN and ResNet baselines (ECE = 0.041). Although findings prove strong classification and probabilistic consistency, calibration and explainability studies can be regarded as auxiliary measures but not predictors of clinical preparedness. In general, this writing provides insight into SigLIP-ViT as a plausible and explainable backbone of transformers in lung histopathology, and it is necessary to test it externally before implementation in clinical settings.</t>
  </si>
  <si>
    <t>Dey, Chitrak; Aich, Jayanta; Sinha, Subrata; Mali, Saurav; Patra, Sanjiban</t>
  </si>
  <si>
    <t>Sinha, S (corresponding author), Brainware Univ, Dept Computat Sci, Kolkata 700125, India.</t>
  </si>
  <si>
    <t>subratasinha2020@gmail.com</t>
  </si>
  <si>
    <t>Indian Council of Medical Research (ICMR) [EM/SG/Dev, Res/120/0847-2023]</t>
  </si>
  <si>
    <t>Indian Council of Medical Research (ICMR) (Indian Council of Medical Research (ICMR))</t>
  </si>
  <si>
    <t>Financial support for this research was generously provided by the Indian Council of Medical Research (ICMR) vide grant number EM/SG/Dev. Res/120/0847-2023.</t>
  </si>
  <si>
    <t>[Dey, Chitrak] Brainware Univ, Dept Cyber Sci &amp;Technol, Kolkata 700125, India; [Dey, Chitrak; Aich, Jayanta; Sinha, Subrata; Mali, Saurav] Brainware Univ, Dept Computat Sci, Kolkata 700125, India; [Patra, Sanjiban] Apollo Hosp, Dept OncoPathol Histopathol, Kolkata 700054, India</t>
  </si>
  <si>
    <t>Lung cancer subtype classification via SigLIP vision transformer: pioneering precision oncopathology with vision language model approach</t>
  </si>
  <si>
    <t>Lung cancer; Histopathology image analysis; SigLIP vision transformer; Attention-based visualization; Class activation maps (CAM); Digital pathology; Medical imaging</t>
  </si>
  <si>
    <t>SEP 1 2026</t>
  </si>
  <si>
    <t>110331</t>
  </si>
  <si>
    <t>10.1016/j.bspc.2026.110331</t>
  </si>
  <si>
    <t>http://dx.doi.org/10.1016/j.bspc.2026.110331</t>
  </si>
  <si>
    <t>IR2XY</t>
  </si>
  <si>
    <t>WOS:001778451200001</t>
  </si>
  <si>
    <t>Xiong, SP; Liu, SG; Zhang, W; Liao, DG; Tang, T; Zeng, C; Guo, YM</t>
  </si>
  <si>
    <t>Background: Helicobacter pylori (H. pylori) eradication is increasingly compromised by antibiotic resistance, particularly to clarithromycin (CLA) and fluoroquinolones (FQs). Culture-based and molecular susceptibility testing remain resource-intensive and inaccessible in many settings. Whether routine hematoxylin and eosin (H&amp;E) histopathology encodes indirect signatures of resistance has not been explored. Materials and Methods: We developed a weakly supervised deep learning framework to predict phenotypic H. pylori resistance directly from gastric biopsy whole-slide images (WSIs). Patches were filtered using vision-language models (VLMs; Qwen3-VL and MedGemma) performing two zero-shot classification tasks-grading patch image quality and identifying gastric surface or gland-neck epithelium-based solely on visible histo-morphological features. Retained patches were encoded with VIRCHOW2, a histopathology-specific vision foundation model (ViT-H/14, pretrained on 3.1 million WSIs), and aggregated via cross-attention for slide-level prediction. Polymerase chain reaction (PCR)-confirmed resistance phenotypes served as ground truth in a multicenter cohort of 755 patients. Results: In the independent test set (n = 151), the framework achieved an area under the receiver operating characteristic curve (AUC) of 0.903 for CLA resistance and 0.959 for FQs resistance. At the default threshold (0.5), sensitivity was 85.2% for CLA and 98.1% for FQs, supporting use as a screening tool. Threshold optimization by the Youden index improved specificity to 95.9% for CLA and 93.9% for FQs, enabling rule-in risk stratification. Decision curve analysis confirmed net clinical benefit across a broad range of threshold probabilities. Conclusion: Routine H&amp;E-stained gastric biopsies contain probabilistic morphological correlates of H. pylori resistance phenotypes that deep learning can exploit. This approach provides complementary decision support for resistance risk stratification, particularly in and eosin staining, whole-slide imaging</t>
  </si>
  <si>
    <t>Xiong, Siping; Liu, Shuguang; Zhang, Wei; Liao, Degui; Tang, Tian; Zeng, Chao; Guo, Yimin</t>
  </si>
  <si>
    <t>Zeng, C; Guo, YM (corresponding author), Sun Yat Sen Univ, Affiliated Hosp 8, Dept Pathol, Shenzhen 518000, Guangdong, Peoples R China.</t>
  </si>
  <si>
    <t>guoym35@mail.sysu.edu.cn; zengch35@mail.sysu.edu.cn</t>
  </si>
  <si>
    <t>Futian Healthcare Research Projects [FTWS035, FTWS2025021]</t>
  </si>
  <si>
    <t>Futian Healthcare Research Projects</t>
  </si>
  <si>
    <t>Funding This study was supported by Futian Healthcare Research Projects (grant numbers FTWS035 and FTWS2025021) .</t>
  </si>
  <si>
    <t>[Xiong, Siping; Liu, Shuguang; Zhang, Wei; Zeng, Chao; Guo, Yimin] Sun Yat Sen Univ, Affiliated Hosp 8, Dept Pathol, Shenzhen 518000, Guangdong, Peoples R China; [Liao, Degui; Tang, Tian] Guangzhou Med Univ, Affiliated Hosp 2, Dept Pathol, Guangzhou 510000, Guangdong, Peoples R China</t>
  </si>
  <si>
    <t>Sun Yat Sen University; Guangzhou Medical University</t>
  </si>
  <si>
    <t>Predicting Helicobacter pylori Antibiotic Resistance from Routine Hematoxylin and Eosin Histopathology Using a Vision-Language Model-Guided Foundation Model Framework</t>
  </si>
  <si>
    <t>INFECTION AND DRUG RESISTANCE</t>
  </si>
  <si>
    <t>Helicobacter pylori; antibiotic resistance; deep learning; computational pathology; vision foundation model; hematoxylin and eosin staining; whole-slide imaging</t>
  </si>
  <si>
    <t>CLASSIFICATION; GASTRITIS</t>
  </si>
  <si>
    <t>DOVE MEDICAL PRESS LTD</t>
  </si>
  <si>
    <t>ALBANY</t>
  </si>
  <si>
    <t>PO BOX 300-008, ALBANY, AUCKLAND 0752, NEW ZEALAND</t>
  </si>
  <si>
    <t>1178-6973</t>
  </si>
  <si>
    <t>INFECT DRUG RESIST</t>
  </si>
  <si>
    <t>Infect. Drug Resistance</t>
  </si>
  <si>
    <t>624553</t>
  </si>
  <si>
    <t>10.2147/IDR.S624553</t>
  </si>
  <si>
    <t>http://dx.doi.org/10.2147/IDR.S624553</t>
  </si>
  <si>
    <t>Infectious Diseases; Pharmacology &amp; Pharmacy</t>
  </si>
  <si>
    <t>MC6LN</t>
  </si>
  <si>
    <t>WOS:001839063300001</t>
  </si>
  <si>
    <t>Behzad, M</t>
  </si>
  <si>
    <t>Facial expression recognition (FER) in 3D and 4D domains presents a significant challenge in affective computing due to the complexity of spatial and temporal facial dynamics. Its success is crucial for advancing applications in human behavior understanding, healthcare monitoring, and human-computer interaction. In this work, we propose FACET-VLM, a vision-language framework for 3D/4D FER that integrates multiview facial representation learning with semantic guidance from natural language prompts. FACET-VLM introduces three key components: Cross-View Semantic Aggregation (CVSA) for view-consistent fusion, Multiview Text-Guided Fusion (MTGF) for semantically aligned facial emotions, and a multiview consistency loss to enforce structural coherence across views. Our model achieves state-of-the-art accuracy across multiple benchmarks, including BU-3DFE, Bosphorus, BU-4DFE, and BP4D-Spontaneous. We further extend FACET-VLM to 4D micro-expression recognition (MER) on the 4DME dataset, demonstrating strong performance in capturing subtle, short-lived emotional cues. FACET-VLM achieves up to 99.41 % accuracy on BU-4DFE and outperforms prior methods by margins as high as 15.12 % in cross-dataset evaluation on BP4D. The extensive experimental results confirm the effectiveness and substantial contributions of each individual component within the framework. Overall, FACET-VLM offers a robust, extensible, and high-performing solution for multimodal FER in both posed and spontaneous settings.</t>
  </si>
  <si>
    <t>Behzad, Muzammil</t>
  </si>
  <si>
    <t>Behzad, M (corresponding author), King Fahd Univ Petr &amp; Minerals, Dhahran, Saudi Arabia.; Behzad, M (corresponding author), SDAIA KFUPM Joint Res Ctr Artificial Intelligence, Dhahran, Saudi Arabia.</t>
  </si>
  <si>
    <t>muzammil.behzad@kfupm.edu.sa</t>
  </si>
  <si>
    <t>King Fahd University of Petroleum and Minerals (KFUPM) [EC241013]</t>
  </si>
  <si>
    <t>King Fahd University of Petroleum and Minerals (KFUPM) (King Fahd University of Petroleum &amp; Minerals)</t>
  </si>
  <si>
    <t>This work was supported by King Fahd University of Petroleum and Minerals (KFUPM) under grant number EC241013. The author would also like to acknowledge the SDAIA-KFUPM Joint Research Center for Artificial Intelligence for computational resources.</t>
  </si>
  <si>
    <t>[Behzad, Muzammil] King Fahd Univ Petr &amp; Minerals, Dhahran, Saudi Arabia; [Behzad, Muzammil] SDAIA KFUPM Joint Res Ctr Artificial Intelligence, Dhahran, Saudi Arabia</t>
  </si>
  <si>
    <t>King Fahd University of Petroleum &amp; Minerals</t>
  </si>
  <si>
    <t>FACET-VLM: Facial emotion learning with text-guided multiview fusion via vision-language model for 3D/4D facial expression recognition</t>
  </si>
  <si>
    <t>Artificial intelligence; Computer vision; Emotion recognition; Facial expression recognition; Vision-language models (VLMs); Point-clouds</t>
  </si>
  <si>
    <t>3D</t>
  </si>
  <si>
    <t>Behzad, Muzammil/GQH-7126-2022</t>
  </si>
  <si>
    <t>Behzad, Muzammil/0000-0003-3693-4596</t>
  </si>
  <si>
    <t>DEC 7 2025</t>
  </si>
  <si>
    <t>657</t>
  </si>
  <si>
    <t>131621</t>
  </si>
  <si>
    <t>10.1016/j.neucom.2025.131621</t>
  </si>
  <si>
    <t>http://dx.doi.org/10.1016/j.neucom.2025.131621</t>
  </si>
  <si>
    <t>8JJ0H</t>
  </si>
  <si>
    <t>WOS:001590058300007</t>
  </si>
  <si>
    <t>Kuang, HL; Hu, B; Yang, S; Wang, DC; Luo, GH; Liao, WH; Qiu, W; Liu, SL; Wang, JX</t>
  </si>
  <si>
    <t>Acute ischemic stroke (AIS) outcome prediction is crucial for treatment decisions. However, AIS outcome prediction is challenging due to the combined influence of lesion characteristics, vascular status, and other health conditions. In this study, we introduce a vision-language model with a Siamese bilateral difference network and a text-guided image feature enhancement module for predicting AIS outcome (e.g., modified Rankin Scale, mRS) on CT angiography. In the Siamese bilateral difference network, based on fine-tuning the foundation model LVM-Med, we design an interactive Transformer fine-tuning encoder and a vision question answering guided bilateral difference awareness module, which generates bilateral difference text via image-text pair question answering as a prompt to enhance the extracted brain vascular difference features. Additionally, in the text-guided image feature enhancement module, we propose a text feature extraction module to extract patient phrase-level and inter-phrase embeddings from clinical notes, and employ a multi-scale image-text interaction module to obtain fine-grained phrase-enhanced image attention feature and coarse-grained phrase context-aware image attention feature. We validate our model on the public ISLES2024 dataset, a private dataset A, and an external AIS dataset. It achieves accuracies of 81.11%, 83.05%, and 80.00% and AUCs of 80.06%, 85.48% and 82.62% for 90-day mRS prediction on the 3 datasets, respectively, outperforming several state-of-the-art methods and demonstrating its generalization ability. Moreover, the proposed method can be effectively extended to glaucoma visual field progression prediction, which is also related to vascular differences and clinical notes.</t>
  </si>
  <si>
    <t>Kuang, Hulin; Hu, Bin; Yang, Shuai; Wang, Dongcui; Luo, Guanghua; Liao, Weihua; Qiu, Wu; Liu, Shulin; Wang, Jianxin</t>
  </si>
  <si>
    <t>Wang, JX (corresponding author), Cent South Univ, Sch Comp Sci &amp; Engn, Hunan Prov Key Lab Bioinformat, Changsha 410083, Peoples R China.; Liu, SL (corresponding author), Cent South Univ, Xiangya Hosp, Dept Radiol, Changsha 410083, Peoples R China.</t>
  </si>
  <si>
    <t>owenliao@csu.edu.cn; 228102177@csu.edu.cn; hulinkuang@csu.edu.cn; wangdongcui_bme@csu.edu.cn; yangshuai5018@csu.edu.cn; 2018012485@usc.edu.cn; wuqiu@hust.edu.cn</t>
  </si>
  <si>
    <t>National Natural Science Foundation of China [U24A20256, 62573434]; Natural Science Foundation of Hunan Province [2025JJ50374, 2025JJ60857]; High-Performance Computing Center of Central South University</t>
  </si>
  <si>
    <t>National Natural Science Foundation of China (National Natural Science Foundation of China (NSFC)); Natural Science Foundation of Hunan Province (Natural Science Foundation of Hunan Province); High-Performance Computing Center of Central South University</t>
  </si>
  <si>
    <t>This work was supported in part by the National Natural Science Foundation of China (No. U24A20256, 62573434) , the Natural Science Foundation of Hunan Province (No. 2025JJ50374, 2025JJ60857) , and the High-Performance Computing Center of Central South University.</t>
  </si>
  <si>
    <t>[Kuang, Hulin; Hu, Bin; Wang, Jianxin] Cent South Univ, Sch Comp Sci &amp; Engn, Hunan Prov Key Lab Bioinformat, Changsha 410083, Peoples R China; [Yang, Shuai; Wang, Dongcui; Liao, Weihua; Liu, Shulin] Cent South Univ, Xiangya Hosp, Dept Radiol, Changsha 410083, Peoples R China; [Luo, Guanghua] Univ South China, Affiliated Hosp 1, Hengyang Med Sch, Dept Radiol, Hengyang 421001, Peoples R China; [Liao, Weihua] Hunan Engn Res Ctr Intelligent Med Imaging, Changsha 410008, Peoples R China; [Liao, Weihua] Cent South Univ, Xiangya Hosp, Natl Clin Res Ctr Geriatr Dis, Changsha 410008, Peoples R China; [Liao, Weihua] FuRong Lab, Changsha 410078, Peoples R China; [Qiu, Wu] Huazhong Univ Sci &amp; Technol, Sch Life Sci &amp; Technol, Wuhan 430074, Peoples R China</t>
  </si>
  <si>
    <t>Central South University; Central South University; University of South China; Central South University; Furong Laboratory; Huazhong University of Science &amp; Technology</t>
  </si>
  <si>
    <t>Vision-language model with siamese bilateral difference network and text-guided image feature enhancement for acute ischemic stroke outcome prediction on CT angiography</t>
  </si>
  <si>
    <t>Acute ischemic stroke; Outcome prediction; Bilateral difference information; Computed tomography angiography</t>
  </si>
  <si>
    <t>IMPACT</t>
  </si>
  <si>
    <t>Liao, Weihua/ACO-9126-2022</t>
  </si>
  <si>
    <t>Liao, WeiHua/0000-0002-1926-3527; Wang, Dongcui/0000-0002-4435-2214</t>
  </si>
  <si>
    <t>131</t>
  </si>
  <si>
    <t>104195</t>
  </si>
  <si>
    <t>10.1016/j.inffus.2026.104195</t>
  </si>
  <si>
    <t>http://dx.doi.org/10.1016/j.inffus.2026.104195</t>
  </si>
  <si>
    <t>DG9AI</t>
  </si>
  <si>
    <t>WOS:001683135400001</t>
  </si>
  <si>
    <t>Bandara, E; Gore, R; Shetty, S; Mukkamala, R; Rhea, CK; Samulski, BS; Hass, A; Yarlagadda, A; Kaushik, S; De Silva, M; Maznychenko, A; Sokolowska, I; De Zoysa, K</t>
  </si>
  <si>
    <t>Background/Objectives: Accurate assessment of neuromuscular reflexes, such as the Hoffmann reflex (H-reflex), plays a critical role in sports science, rehabilitation, and clinical neurology. Conventional interpretation of H-reflex electromyography (EMG) waveforms is subject to inter-rater variability and interpretive bias, limiting reliability and standardization. This study aims to develop an automated, interpretable, and robust agentic AI-driven framework for H-reflex waveform analysis. Methods: We propose a fine-tuned Vision-Language Model (VLM) consortium combined with a reasoning Large Language Model (LLM)-enabled decision support system for automated H-reflex interpretation. Multiple VLMs were fine-tuned on curated datasets of H-reflex EMG waveform images annotated with expert clinical observations, recovery timelines, and athlete metadata. The VLM outputs were aggregated using a consensus-based strategy and further refined by a specialized reasoning LLM to ensure coherent, transparent, and explainable diagnostic assessments. Model fine-tuning employed Low-Rank Adaptation (LoRA) and 4-bit quantization to enable efficient deployment on consumer-grade hardware. Results: Experimental evaluation demonstrated that the proposed hybrid system delivers accurate, consistent, and clinically interpretable assessments of neuromuscular states, including fatigue, injury, and recovery, directly from EMG waveform images and contextual metadata. Compared with baseline models, the fine-tuned VLM consortium exhibited substantially improved precision, consistency, and contextual awareness, while the reasoning LLM enhanced diagnostic coherence through cross-model consensus and structured reasoning, thereby supporting responsible and explainable AI-driven decision making. Conclusions: This work presents, to the authors' knowledge, the first integration of a responsible and explainable AI-driven decision support system for H-reflex analysis. The proposed framework advances the automation and standardization of neuromuscular diagnostics and establishes a foundation for next-generation AI-assisted decision support systems in sports performance monitoring, rehabilitation, and clinical neurophysiology.</t>
  </si>
  <si>
    <t>Bandara, Eranga; Gore, Ross; Shetty, Sachin; Mukkamala, Ravi; Rhea, Christopher K.; Samulski, Brittany S.; Hass, Amin; Yarlagadda, Atmaram; Kaushik, Shaifali; De Silva, Malith; Maznychenko, Andriy; Sokolowska, Inna; De Zoysa, Kasun</t>
  </si>
  <si>
    <t>Bandara, E (corresponding author), Old Dominion Univ, Virginia Modeling Anal &amp; Simulat Ctr, Suffolk, VA 23435 USA.</t>
  </si>
  <si>
    <t>cmedawer@odu.edu</t>
  </si>
  <si>
    <t>[Bandara, Eranga; Gore, Ross; Shetty, Sachin; Mukkamala, Ravi] Old Dominion Univ, Virginia Modeling Anal &amp; Simulat Ctr, Suffolk, VA 23435 USA; [Rhea, Christopher K.; Samulski, Brittany S.] Old Dominion Univ, Ellmer Coll Hlth Sci, Norfolk, VA 23508 USA; [Hass, Amin] AnaletIQ, Washington, DC 21206 USA; [Yarlagadda, Atmaram; Kaushik, Shaifali] McDonald Army Hlth Ctr, Newport News, VA 23604 USA; [De Silva, Malith; Maznychenko, Andriy; Sokolowska, Inna] Gdansk Univ Phys Educ &amp; Sport, Dept Sports Theory &amp; Human Motor Skills, PL-80336 Gdansk, Poland; [Maznychenko, Andriy] Natl Acad Sci Ukraine, Bogomolets Inst Physiol, UA-01024 Kyiv, Ukraine; [De Zoysa, Kasun] Univ Colombo, Sch Comp, Colombo 00700, Sri Lanka</t>
  </si>
  <si>
    <t>Old Dominion University; Old Dominion University; Gdansk University of Physical Education &amp; Sport; National Academy of Sciences Ukraine; University of Colombo</t>
  </si>
  <si>
    <t>Standardization of Neuromuscular Reflex Analysis-Role of Fine-Tuned Vision-Language Model Consortium and OpenAI gpt-oss Reasoning LLM-Enabled Decision Support System</t>
  </si>
  <si>
    <t>BIOMECHANICS</t>
  </si>
  <si>
    <t>H-reflex analysis; neuromuscular diagnostics; sports performance monitoring; vision-language model; responsible AI; explainable AI</t>
  </si>
  <si>
    <t>Maznychenko, Andriy/O-6776-2017; Gore, Ross/AIE-5744-2022; Bandara, Eranga/JTV-7114-2023</t>
  </si>
  <si>
    <t>Gore, Ross/0000-0003-4065-6146</t>
  </si>
  <si>
    <t>2673-7078</t>
  </si>
  <si>
    <t>BIOMECHANICS-BASEL</t>
  </si>
  <si>
    <t>Biomechanics</t>
  </si>
  <si>
    <t>FEB 27 2026</t>
  </si>
  <si>
    <t>10.3390/biomechanics6010023</t>
  </si>
  <si>
    <t>http://dx.doi.org/10.3390/biomechanics6010023</t>
  </si>
  <si>
    <t>Biophysics; Engineering, Biomedical; Sport Sciences</t>
  </si>
  <si>
    <t>Biophysics; Engineering; Sport Sciences</t>
  </si>
  <si>
    <t>FR5XB</t>
  </si>
  <si>
    <t>WOS:001725724200001</t>
  </si>
  <si>
    <t>Chen, K; Zhang, AD; Xie, XJ; Bai, YX</t>
  </si>
  <si>
    <t>Introduction and aims: Interpreting condylar osseous changes on CBCT is challenging for general practitioners. This study evaluated the 'zero-shot' diagnostic performance and utility of Vision-Language Models (VLMs) as AI assistants for detecting condylar abnormalities. Methods: We analysed 72 CBCT images from the EHPN study for internal validation and constructed a balanced sample of 70 images from the MMDental dataset for external validation, with dual-radiologist consensus as the ground truth. Three frontier VLMs (Gemini-3, GPT-5.2, and Qwen3-VL) were used to evaluate representative sagittal slices without prior fine-tuning. Performance was measured by diagnostic accuracy, sensitivity, specificity, and balanced accuracy, while the Quality Assessment of Medical AI-generated Information (QAMAI) framework assessed the quality of AI-generated structured reports. This study was reported following STARD-AI and CLAIM guidelines as primary checklists, with TRIPOD-LLM as a supplementary framework. Results: Gemini-3 achieved the highest diagnostic accuracy (90.3%; 95% CI: 81.0%-95.5%), outperforming GPT-5.2 (75.0%) and Qwen3-VL (55.6%). External validation on a constructed balanced sample from the MMDental dataset confirmed these findings, with Gemini-3 achieving 90.00% accuracy. Regarding report generation, Gemini-3 surpassed the other models across five QAMAI dimensions, providing more accurate, clear, and clinically useful justifications aligned with diagnostic standards. Conclusion: VLMs, particularly Gemini-3, exhibit zero-shot capabilities in identifying condylar changes and generating high-quality diagnostic reports. While these models maintain a conservative diagnostic tendency, they demonstrate potential as preliminary, training-free screening aids in oral maxillofacial radiology. Further multicentre validation is warranted to establish clinical utility. Clinical Relevance: Cloud-based VLMs could offer accessible screening assistance by allowing general practitioners to query condylar findings via simple web interfaces without specialized hardware. These tools may contribute to structured reporting workflows, though their diagnostic consistency in routine practice remains to be established, and they should complement rather than replace expert clinical judgment. (c) 2026 The Authors. Published by Elsevier Inc. on behalf of FDI World Dental Federation. This is an open access article under the CC BY-NC-ND license (http://creativecommons.org/licenses/by-nc-nd/4.0/)</t>
  </si>
  <si>
    <t>Chen, Ke; Zhang, Andrew; Xie, Xianju; Bai, Yuxing</t>
  </si>
  <si>
    <t>Bai, YX (corresponding author), Capital Med Univ, Beijing Stomatol Hosp, Dept Orthodont, Beijing, Peoples R China.</t>
  </si>
  <si>
    <t>dentistxxj@mail.ccmu.edu.cn; byuxing@ccmu.edu.cn; dentistfrankchen@outlook.com</t>
  </si>
  <si>
    <t>Development Program for Government-to-Government International Scientific and Technological Cooperation [2024YFE0107100]; Beijing Municipal Natural Science Foundation [Z222024]; National Natural Science Foundation of China [62276174]</t>
  </si>
  <si>
    <t>Development Program for Government-to-Government International Scientific and Technological Cooperation; Beijing Municipal Natural Science Foundation (Beijing Natural Science Foundation); National Natural Science Foundation of China (National Natural Science Foundation of China (NSFC))</t>
  </si>
  <si>
    <t>This research was funded by Development Program for Government-to-Government International Scientific and Technological Cooperation (no.2024YFE0107100) , the Beijing Municipal Natural Science Foundation (grant number Z222024) , and National Natural Science Foundation of China (grant number 62276174) . The funders had no role in study design, data collection, data analysis, interpretation, manuscript writing, or the decision to submit the manuscript for publication.</t>
  </si>
  <si>
    <t>[Chen, Ke; Xie, Xianju; Bai, Yuxing] Capital Med Univ, Beijing Stomatol Hosp, Dept Orthodont, Beijing, Peoples R China; [Zhang, Andrew] Johns Hopkins Univ, Dept Biophys, Baltimore, MD USA</t>
  </si>
  <si>
    <t>Capital Medical University; Johns Hopkins University</t>
  </si>
  <si>
    <t>Vision-Language Model as a 'Zero-Shot' Assistant for Evaluating Condylar Osseous Changes in Cone-beam Computed Tomography</t>
  </si>
  <si>
    <t>INTERNATIONAL DENTAL JOURNAL</t>
  </si>
  <si>
    <t>Temporomandibular Joint; Artificial Intelligence; Vision-language model; LLM; Cone-beam computed tomography</t>
  </si>
  <si>
    <t>DISORDERS</t>
  </si>
  <si>
    <t>0020-6539</t>
  </si>
  <si>
    <t>1875-595X</t>
  </si>
  <si>
    <t>INT DENT J</t>
  </si>
  <si>
    <t>Int. Dent. J.</t>
  </si>
  <si>
    <t>OCT 2026</t>
  </si>
  <si>
    <t>109817</t>
  </si>
  <si>
    <t>10.1016/j.identj.2026.109817</t>
  </si>
  <si>
    <t>http://dx.doi.org/10.1016/j.identj.2026.109817</t>
  </si>
  <si>
    <t>MU5PT</t>
  </si>
  <si>
    <t>42594712</t>
  </si>
  <si>
    <t>WOS:001851219500001</t>
  </si>
  <si>
    <t>He, D; Jin, LH; Mei, XL; Jia, M; Wang, ZY; Ren, B; Cao, LQ</t>
  </si>
  <si>
    <t>Pathological gross examination guides tissue sampling in heterogeneous ovarian tumors, where mixed components can complicate selection of representative regions. We evaluated whether a generalist large vision-language model can support gross image analysis through pathology-informed in-context exemplars. Using Qwen-2.5-Vision-Language-72B, we developed single-component exemplar optimization and histology-guided exemplar optimization to promote component-aware reasoning and region-level risk flagging. In a single-institution retrospective cohort, the optimized eight-shot strategy achieved 89.8% image-level accuracy on mixed ovarian tumors and improved region-level demarcation relevant to sampling. In borderline tumors with microinvasion or microinvasive carcinoma, model-identified regions encompassed pathologist-defined sampling areas, supporting risk flagging rather than stand-alone diagnosis. In rare malignant tumors (n = 21), the same strategy achieved 90.5% image-level accuracy. These findings suggest that domain-aligned exemplar design can enhance in-context reasoning for grossing-oriented medical image analysis.</t>
  </si>
  <si>
    <t>He, Dong; Jin, Longhai; Mei, Xianglin; Jia, Meng; Wang, Zhaoyong; Ren, Bo; Cao, Lanqing</t>
  </si>
  <si>
    <t>Cao, LQ (corresponding author), Jilin Univ, Dept Pathol, Second Hosp Jilin Univ, Changchun, Jilin, Peoples R China.</t>
  </si>
  <si>
    <t>caolanqing@jlu.edu.cn</t>
  </si>
  <si>
    <t>Natural Science Foundation of Jilin Province [20261ZYTS615]</t>
  </si>
  <si>
    <t>Natural Science Foundation of Jilin Province (National Natural Science Foundation of Jilin Province)</t>
  </si>
  <si>
    <t>This study was supported by the Natural Science Foundation of Jilin Province (grant no. 20261ZYTS615) .</t>
  </si>
  <si>
    <t>[He, Dong] Jilin Univ, Coll Elect Sci &amp; Engn, State Key Lab Integrated Optoelect, Changchun, Jilin, Peoples R China; [Mei, Xianglin; Jia, Meng; Wang, Zhaoyong; Ren, Bo; Cao, Lanqing] Jilin Univ, Dept Pathol, Second Hosp Jilin Univ, Changchun, Jilin, Peoples R China; [Jin, Longhai] Jilin Univ, Dept Radiol, Second Hosp Jilin Univ, Changchun, Jilin, Peoples R China</t>
  </si>
  <si>
    <t>Jilin University; Jilin University; Jilin University</t>
  </si>
  <si>
    <t>Optimizing in-context exemplars for a generalist vision-language model to support region of interest selection in ovarian tumor grossing</t>
  </si>
  <si>
    <t>ISCIENCE</t>
  </si>
  <si>
    <t>Jin, Longhai/AAZ-8789-2020</t>
  </si>
  <si>
    <t>CELL PRESS</t>
  </si>
  <si>
    <t>CAMBRIDGE</t>
  </si>
  <si>
    <t>50 HAMPSHIRE ST, FLOOR 5, CAMBRIDGE, MA 02139 USA</t>
  </si>
  <si>
    <t>2589-0042</t>
  </si>
  <si>
    <t>iScience</t>
  </si>
  <si>
    <t>JUL 17 2026</t>
  </si>
  <si>
    <t>116518</t>
  </si>
  <si>
    <t>10.1016/j.isci.2026.116518</t>
  </si>
  <si>
    <t>http://dx.doi.org/10.1016/j.isci.2026.116518</t>
  </si>
  <si>
    <t>LC1HU</t>
  </si>
  <si>
    <t>42438828</t>
  </si>
  <si>
    <t>WOS:001821073900001</t>
  </si>
  <si>
    <t>Liu, ZK; Ai, QYH; Yeung, AWK; Tanaka, R; Nalley, A; Hung, KF</t>
  </si>
  <si>
    <t>Objectives: The aim of this study was to evaluate the performance of GPT-4o in identifying nine common dental conditions on panoramic radiographs, both overall and at specific tooth sites, and to assess whether the use of different tooth numbering systems (FDI and Universal) in prompts would affect its diagnostic accuracy. Methods: Fifty panoramic radiographs exhibiting various common dental conditions including missing teeth, impacted teeth, caries, endodontically treated teeth, teeth with restorations, periapical lesions, periodontal bone loss, tooth fractures, cracks, retained roots, dental implants, osteolytic lesions, and osteosclerosis were included. Each image was evaluated twice by GPT-4o in May 2025, using structured prompts based on either the FDI or Universal tooth numbering system, to identify the presence of these conditions at specific tooth sites or regions. GPT-4o responses were compared to a consensus reference standard established by an oral-maxillofacial radiology team. GPT-4o's performance was evaluated using balanced accuracy, sensitivity, specificity, and F1 score both at the patient and tooth levels. Results: A total of 100 GPT-4o responses were generated. At the patient level, balanced accuracy ranged from 46.25% to 98.83% (FDI) and 49.75% to 92.86% (Universal), with the highest accuracies for dental implants (92.86-98.83%). F1-scores and sensitivities were highest for implants, missing, and impacted teeth, but zero for caries, periapical lesions, and fractures. Specificity was generally high across conditions. Notable discrepancies were observed between patient- and tooth-level performance, especially for implants and restorations. GPT-4o's performance was similar between using the two numbering systems. Conclusions: GPT-4o demonstrated superior performance in detecting dental implants and treated or restored teeth but inferior performance for caries, periapical lesions, and fractures. Diagnostic accuracy was higher at the patient level than at the tooth level, with similar performances for both numbering systems. Future studies with larger, more diverse datasets and multiple models are needed.</t>
  </si>
  <si>
    <t>Liu, Zekai; Ai, Qi Yong H.; Yeung, Andy Wai Kan; Tanaka, Ray; Nalley, Andrew; Hung, Kuo Feng</t>
  </si>
  <si>
    <t>Nalley, A; Hung, KF (corresponding author), Univ Hong Kong, Fac Dent, Oral &amp; Maxillofacial Radiol, Appl Oral Sci &amp; Community Dent Care, Hong Kong 999077, Peoples R China.</t>
  </si>
  <si>
    <t>u3631841@connect.hku.hk; hemisai@hku.hk; analley@hku.hk; ndyeung@hku.hk; hungkfg@hku.hk; rayt3@hku.hk</t>
  </si>
  <si>
    <t>HKU URC Seed Fund for Basic Research for New Staff at the University of Hong Kong</t>
  </si>
  <si>
    <t>This study was supported by the HKU URC Seed Fund for Basic Research for New Staff at the University of Hong Kong (103036002).</t>
  </si>
  <si>
    <t>[Liu, Zekai; Yeung, Andy Wai Kan; Tanaka, Ray; Nalley, Andrew; Hung, Kuo Feng] Univ Hong Kong, Fac Dent, Oral &amp; Maxillofacial Radiol, Appl Oral Sci &amp; Community Dent Care, Hong Kong 999077, Peoples R China; [Ai, Qi Yong H.] Univ Hong Kong, Li Ka Shing Fac Med, Dept Diag Radiol, Hong Kong 999077, Peoples R China</t>
  </si>
  <si>
    <t>University of Hong Kong; University of Hong Kong</t>
  </si>
  <si>
    <t>Performance of a Vision-Language Model in Detecting Common Dental Conditions on Panoramic Radiographs Using Different Tooth Numbering Systems</t>
  </si>
  <si>
    <t>artificial intelligence; vision-language models; large language models; panoramic radiographs; diagnostic accuracy; dentistry</t>
  </si>
  <si>
    <t>ARTIFICIAL-INTELLIGENCE; DATASETS</t>
  </si>
  <si>
    <t>Ai, Qiyong Hemis/JKH-8377-2023; Yeung, Andy Wai Kan/M-4332-2019; liu, zekai/LZH-9403-2025; Hung, Kuo Feng/AAL-7795-2021</t>
  </si>
  <si>
    <t>Ai, Qiyong Hemis/0000-0002-1155-4389; Yeung, Andy Wai Kan/0000-0003-3672-357X; Hung, Kuo Feng/0000-0002-3971-3484</t>
  </si>
  <si>
    <t>SEP 12 2025</t>
  </si>
  <si>
    <t>2315</t>
  </si>
  <si>
    <t>10.3390/diagnostics15182315</t>
  </si>
  <si>
    <t>http://dx.doi.org/10.3390/diagnostics15182315</t>
  </si>
  <si>
    <t>7WH0Z</t>
  </si>
  <si>
    <t>41008687</t>
  </si>
  <si>
    <t>WOS:001581172300001</t>
  </si>
  <si>
    <t>Choudhary, A; Lee, FG; Muaddi, H; Thiels, CA; Salehinejad, H</t>
  </si>
  <si>
    <t>Surgical site infections (SSIs) are common postoperative complications that increase patient morbidity, hospital stays, and healthcare costs. Early detection and precise documentation are critical for timely intervention and improved outcomes. While patients often submit images of their wounds through a patient portal for remote monitoring, manual review is challenging due to image variability, high volume, and subjectivity, underscoring the need for automated assessment tools. In this paper, we present Vision Transformer for CAptioning of Incision Images (ViTCAI), a vision-language model designed for automated triage and captioning of postoperative incision images. Fine-tuned on a clinically annotated dataset, ViTCAI improves descriptive accuracy in identifying surgical incisions and SSIs. Our results show that ViTCAI provides consistent, detailed captions that can support clinical decision-making, reducing workload and enhancing diagnostic efficiency in postoperative care.</t>
  </si>
  <si>
    <t>Choudhary, Ashok; Lee, Frank G.; Muaddi, Hala; Thiels, Cornelius A.; Salehinejad, Hojjat</t>
  </si>
  <si>
    <t>Choudhary, A (corresponding author), Mayo Clin, Dept Surg, Rochester, MN 55902 USA.</t>
  </si>
  <si>
    <t>salehinejad.hojjat@mayo.edu; thiels.cornelius@mayo.edu; choudhary.ashok@mayo.edu; muaddi.hala@mayo.edu; lee.frank@mayo.edu</t>
  </si>
  <si>
    <t>Simons Family Career Development Award in Surgical Innovation; Dalio Foundation</t>
  </si>
  <si>
    <t>This work was supported in part by Dalio Foundation and in part by the Simons Family Career Development Award in Surgical Innovation.</t>
  </si>
  <si>
    <t>[Choudhary, Ashok; Lee, Frank G.; Muaddi, Hala; Thiels, Cornelius A.] Mayo Clin, Dept Surg, Rochester, MN 55902 USA; [Salehinejad, Hojjat] Mayo Clin, Kern Ctr Sci Hlth Care Delivery, Rochester, MN 55902 USA; [Salehinejad, Hojjat] Mayo Clin, Dept Artificial Intelligence &amp; Informat, Rochester, MN 55902 USA</t>
  </si>
  <si>
    <t>Mayo Clinic; Mayo Clinic; Mayo Clinic</t>
  </si>
  <si>
    <t>ViTCAI: A Vision-Language Model for Automated Triage and Captioning of Postoperative Incision Images Submitted by Remote Patients</t>
  </si>
  <si>
    <t>Computer vision; Visualization; Costs; Accuracy; Computational modeling; Biological system modeling; Surgery; Transformers; Remote monitoring; Generative pre-trainer transformer; image analysis; machine learning; object detection</t>
  </si>
  <si>
    <t>Lee, Frank/LXU-9346-2024; Salehinejad, Hojjat/C-5980-2008; Muaddi, Hala/AAE-1264-2021</t>
  </si>
  <si>
    <t>Thiels, Cornelius/0000-0003-3654-8601; Lee, Frank/0000-0003-0140-3963; Muaddi, Hala/0000-0001-9721-2808; Choudhary, Ashok/0009-0005-1249-5762</t>
  </si>
  <si>
    <t>8615</t>
  </si>
  <si>
    <t>8622</t>
  </si>
  <si>
    <t>10.1109/JBHI.2025.3624318</t>
  </si>
  <si>
    <t>http://dx.doi.org/10.1109/JBHI.2025.3624318</t>
  </si>
  <si>
    <t>X1907</t>
  </si>
  <si>
    <t>41359691</t>
  </si>
  <si>
    <t>WOS:001640359100039</t>
  </si>
  <si>
    <t>Kai, C; Tamori, H; Hirono, Y; Ishizuka, S; Kondo, S; Ohtsuka, T; Kasai, S</t>
  </si>
  <si>
    <t>Purpose Research on vision-language models (VLMs) in the medical field has recently increased. However, while multifaceted evaluation is necessary to avoid the high risks associated with misdiagnosis, artificial intelligence (AI)-assisted mammogram report generation remains insufficient, with no studies on objective and subjective generation. We aimed to develop an AI system that generates mammogram reports and to verify the impact of differences between objective and subjective evaluation methods on the interpretation of this AI system.Materials and methods We used a public dataset consisting of mammograms and their reports, preparing question prompts and performing low-rank adaptation tuning on Qwen2.5(7B). We analyzed the Breast Imaging Reporting and Data System (BI-RADS) and findings agreement rate, Recall-Oriented Understudy for Gisting Evaluation (ROUGE), and Bilingual Evaluation Understudy (BLEU) for the objective evaluation. A breast clinician performed score-based evaluations of generated reports as subjective assessments. Finally, we analyzed samples of inconsistent objective and subjective results.Results The BI-RADS agreement rate was 58.1%. Findings were accurately included in generated reports at 76.7% for mass and 81.4% for calcification. ROUGE-L F1 and overall BLEU were 0.672 and 0.542, respectively. Although ROUGE-L F1 or overall BLEU was above average, two samples received low scores in the generated report evaluation; these were considered over- and under-estimation.Conclusion We developed an AI model that generates mammogram reports. In assessing this model, we found that multifaceted objective and subjective medical VLM evaluations are necessary for determining over- and under-estimation.</t>
  </si>
  <si>
    <t>Kai, Chiharu; Tamori, Hideaki; Hirono, Yuta; Ishizuka, Sachi; Kondo, Satoshi; Ohtsuka, Tsunehiro; Kasai, Satoshi</t>
  </si>
  <si>
    <t>Kai, C (corresponding author), Fujita Hlth Univ, Sch Med Sci, Dept Intelligent Informat Engn, Res Promot Unit, 1-98 Dengakugakubo,Kutsukake Cho, Toyoake, Aichi 4701192, Japan.</t>
  </si>
  <si>
    <t>chiharu.kai@fujita-hu.ac.jp</t>
  </si>
  <si>
    <t>Japan Society for the Promotion of Science [JP23K10899]</t>
  </si>
  <si>
    <t>Japan Society for the Promotion of Science (Ministry of Education, Culture, Sports, Science and Technology, Japan (MEXT), Japan Society for the Promotion of Science)</t>
  </si>
  <si>
    <t>This work was supported by the JSPS Grant-in-Aid for Scientific Research (C) (Grant Number JP23K10899).</t>
  </si>
  <si>
    <t>[Kai, Chiharu; Tamori, Hideaki; Hirono, Yuta; Ishizuka, Sachi; Kasai, Satoshi] Fujita Hlth Univ, Sch Med Sci, Dept Intelligent Informat Engn, Res Promot Unit, 1-98 Dengakugakubo,Kutsukake Cho, Toyoake, Aichi 4701192, Japan; [Tamori, Hideaki] Asahi Shimbun Co, 5-3-2 Tsukiji,Chuo Ku, Tokyo 1048011, Japan; [Hirono, Yuta] TOITU CO LTD, 1-5-10 Ebisu Nishi,Shibuya Ku, Tokyo 1500021, Japan; [Kondo, Satoshi] Muroran Inst Technol, Grad Sch Engn, 27-1 Mizumoto Cho, Muroran City, Hokkaido 0508585, Japan; [Ohtsuka, Tsunehiro] Ohtsuka Breastcare Clin, 5-7-3 Takenotsuka,Adachi Ku, Tokyo 1210813, Japan; [Kasai, Satoshi] Niigata Univ Hlth &amp; Welf, Fac Med Technol, Dept Radiol Technol, 1398 Shimami Cho,Kita Ku, Niigata, Niigata 9503198, Japan</t>
  </si>
  <si>
    <t>Niigata University of Health &amp; Welfare</t>
  </si>
  <si>
    <t>Verification of the impact of differences between objective and subjective evaluation methods on the interpretation of artificial intelligence systems generating mammogram reports using vision-language model</t>
  </si>
  <si>
    <t>Mammography; Radiology report; Generative artificial intelligence; Vision-language model; Objective evaluation; Subjective evaluation</t>
  </si>
  <si>
    <t>10.1007/s11604-026-02032-3</t>
  </si>
  <si>
    <t>http://dx.doi.org/10.1007/s11604-026-02032-3</t>
  </si>
  <si>
    <t>LL4OW</t>
  </si>
  <si>
    <t>42484836</t>
  </si>
  <si>
    <t>WOS:001827391900001</t>
  </si>
  <si>
    <t>Shi, N; Liu, ZP; Wan, ZZ; Yang, GJ; Shi, YS; Wang, PL; Liu, XL</t>
  </si>
  <si>
    <t>PurposeLarge vision-language models (VLMs), such as GPT-4.1 and GPT-4o, have shown strong potential in medical tasks. However, their application in lossless 3D medical image analysis is still underexplored. This study proposes a GPT-based diagnostic approach that maintains voxel-level accuracy during data ingestion, structures multi-slice visual inputs for model interpretation, and integrates consensus guidelines to align predictions with clinical standards. In doing so, the approach may provide interpretable and guideline-consistent decision support even for less experienced clinicians.MethodsWe designed a novel approach that directly processes 3D chest CT scans in NIfTI format, maintains full voxel fidelity during data import and analysis, and is compatible with GPT-based workflows. For each lung nodule, we guided GPT in analyzing multi-slice visual inputs, including bounding annotations, segmentation overlays, and cropped views. Guidelines (Fleischner, BTS, ACCP) were embedded to promote standardized interpretation and guide reasoning from nodule-level characteristics to patient-level assessment. Three NIfTI-based input settings were used to test the method on the LIDC-IDRI dataset: (1) nodule coordinates only; (2) coordinates with guideline-based prompting; (3) segmentation overlays with guideline-based prompting. To evaluate the performance on external datasets, we performed external validation on the Lung Nodule Database (LNDb).ResultsGPT-4.1 outperformed GPT-4o overall, especially with full-context input, while GPT-4o had higher sensitivity with limited input. With segmentation and guideline-based prompting, GPT-4.1 achieved accuracy 0.722 and AUC 0.780 on LIDC-IDRI dataset. In external validation on LNDb dataset, it reached accuracy 0.767 and AUC 0.780. GPT-4.1 maintained its competitiveness when compared to representative deep-learning baselines and radiologist readers. It also provided stronger interpretability through guideline-grounded and patient-level reasoning with explicit textual justifications.ConclusionsThis study presents a clinically aligned and interpretable approach for GPT-based lung cancer diagnosis using lossless 3D CT images. The outcomes demonstrate the potential of combining large vision-language models with structured visual and guideline-based context in real-world diagnostic workflows.</t>
  </si>
  <si>
    <t>Shi, Ning; Liu, Zhenpeng; Wan, Zhenzhen; Yang, Guojie; Shi, Yasong; Wang, Peilin; Liu, Xiuling</t>
  </si>
  <si>
    <t>Wan, ZZ; Liu, XL (corresponding author), Hebei Univ, Coll Elect &amp; Informat Engn, Key Lab Digital Med Engn Hebei Prov, Baoding 071002, Peoples R China.</t>
  </si>
  <si>
    <t>wanzhenzhen@126.com; liuxiuling121@hotmail.com</t>
  </si>
  <si>
    <t>Natural Science Foundation of Hebei Province [F2022201037]; National Natural Science Foundation of China [62450100, U20A20224]</t>
  </si>
  <si>
    <t>Natural Science Foundation of Hebei Province (Natural Science Foundation of Hebei Province); National Natural Science Foundation of China (National Natural Science Foundation of China (NSFC))</t>
  </si>
  <si>
    <t>This work was supported by the National Natural Science Foundation of China [62450100], National Natural Science Foundation of China [U20A20224] and Natural Science Foundation Project of Hebei Province [F2022201037].</t>
  </si>
  <si>
    <t>[Shi, Ning; Liu, Zhenpeng; Wan, Zhenzhen; Wang, Peilin; Liu, Xiuling] Hebei Univ, Coll Elect &amp; Informat Engn, Key Lab Digital Med Engn Hebei Prov, Baoding 071002, Peoples R China; [Yang, Guojie; Shi, Yasong] Hebei Univ, Affiliated Hosp, Baoding 071000, Peoples R China</t>
  </si>
  <si>
    <t>Hebei University; Hebei University</t>
  </si>
  <si>
    <t>A vision-language model-based approach for lung cancer diagnosis using lossless 3D CT images: evaluation of GPT-4.1 and GPT-4o for patient-level malignancy assessment</t>
  </si>
  <si>
    <t>GPT-4.1; GPT-4o; Large vision-language model; Lung cancer; CT</t>
  </si>
  <si>
    <t>Liu, Zhenpeng/PEV-6228-2025</t>
  </si>
  <si>
    <t>DEC 21 2025</t>
  </si>
  <si>
    <t>10.1007/s13755-025-00417-8</t>
  </si>
  <si>
    <t>http://dx.doi.org/10.1007/s13755-025-00417-8</t>
  </si>
  <si>
    <t>Z9609</t>
  </si>
  <si>
    <t>41439200</t>
  </si>
  <si>
    <t>WOS:001643134900001</t>
  </si>
  <si>
    <t>Sheng, CY; Shen, SM; Wang, L; Chen, J; Chen, W; Wang, SH; Wang, NF</t>
  </si>
  <si>
    <t>Current evaluations of Large Language Models (LLMs) in medicine primarily focus on text-based benchmarks, leaving their multimodal diagnostic capabilities in complex, real-world clinical scenarios largely undefined. Furthermore, comparisons against large-scale human benchmarks remain scarce. To address this gap, we conducted a comprehensive evaluation of state-of-the-art multimodal LLMs (GPT-4o, Claude 3.7, and Doubao) using 272 complex cases from the New England Journal of Medicine Image Challenge (2009-2025). Uniquely, we benchmarked AI performance against a massive global dataset of 16,401,888 physician responses, representing the largest comparative study of human-AI diagnostic reasoning to date. Strikingly, all multimodal LLMs significantly outperformed the global physician collective (P &lt; 0.001). Claude 3.7 achieved a diagnostic accuracy of 89.0%, surpassing the physician majority vote (46.7%) by an absolute margin of over 40 percentage points. Even in challenging cases where human accuracy fell below 40%, Claude 3.7 maintained an accuracy of 86.5%. A novel finding of this study is the remarkably low concordance between high-performing models and physicians (Cohen's kappa: 0.08-0.24). The ratio of model-advantage to physician-advantage cases reached 15.4:1, suggesting that MLLMs succeed in distinct areas where human cognition often falters. Our findings demonstrate that MLLMs have reached a superhuman tier in multimodal diagnostic accuracy. The substantial performance gap, coupled with low human-AI concordance, implies that MLLMs do not merely replicate human knowledge but utilize fundamentally distinct and complementary diagnostic reasoning pathways. These results position multimodal LLMs as critical, independent second readers capable of augmenting clinical decision-making in diagnostically difficult scenarios.</t>
  </si>
  <si>
    <t>Sheng, Chiyu; Shen, Shumin; Wang, Lin; Chen, Jie; Chen, Wei; Wang, Shanghu; Wang, Nianfei</t>
  </si>
  <si>
    <t>Wang, NF (corresponding author), Anhui Med Univ, Dept Oncol, Hosp 2, 678 Furong Rd, Hefei 230601, Peoples R China.; Wang, SH (corresponding author), Anhui Chest Hosp, Dept Radiotherapy, Hefei 230026, Peoples R China.; Wang, SH; Wang, NF (corresponding author), Chinese Acad Sci, Hefei Canc Hosp, Hefei Inst Phys Sci, CAS, Hefei, Peoples R China.</t>
  </si>
  <si>
    <t>wangnianfei@outlook.com; wangshanghu1987@163.com</t>
  </si>
  <si>
    <t>Health Research Project of the Anhui Province [AHWJ2023A20456]</t>
  </si>
  <si>
    <t>Health Research Project of the Anhui Province</t>
  </si>
  <si>
    <t>This study was funded by the Health Research Project of the Anhui Province (grant no. AHWJ2023A20456). The funder had no role in the study design, data collection, analysis, interpretation of data, or writing of this manuscript.</t>
  </si>
  <si>
    <t>[Sheng, Chiyu; Shen, Shumin; Wang, Nianfei] Anhui Med Univ, Dept Oncol, Hosp 2, 678 Furong Rd, Hefei 230601, Peoples R China; [Wang, Lin] East China Normal Univ, Sch Compute Sci &amp; Technol, Shanghai 200062, Peoples R China; [Chen, Jie] Soochow Univ, Dept Pediat, Childrens Hosp, Suzhou 215000, Peoples R China; [Chen, Wei] Anhui Med Univ, Dept Gen Surg, Hefei Affiliated Hosp, Hefei 230011, Peoples R China; [Wang, Shanghu] Anhui Chest Hosp, Dept Radiotherapy, Hefei 230026, Peoples R China; [Wang, Shanghu; Wang, Nianfei] Chinese Acad Sci, Hefei Canc Hosp, Hefei Inst Phys Sci, CAS, Hefei, Peoples R China</t>
  </si>
  <si>
    <t>Anhui Medical University; East China Normal University; Soochow University - China; Anhui Medical University; Chinese Academy of Sciences; Hefei Institutes of Physical Science, CAS</t>
  </si>
  <si>
    <t>Multimodal large language models challenge NEJM image challenge</t>
  </si>
  <si>
    <t>Artificial intelligence; Multimodal large language models; Diagnostic accuracy; Rare disease; Medical imaging</t>
  </si>
  <si>
    <t>Chen, Jie/QDO-6272-2026</t>
  </si>
  <si>
    <t>Wang, Lin/0000-0001-7706-9434</t>
  </si>
  <si>
    <t>FEB 10 2026</t>
  </si>
  <si>
    <t>8132</t>
  </si>
  <si>
    <t>10.1038/s41598-026-39201-3</t>
  </si>
  <si>
    <t>http://dx.doi.org/10.1038/s41598-026-39201-3</t>
  </si>
  <si>
    <t>FB6OL</t>
  </si>
  <si>
    <t>41667642</t>
  </si>
  <si>
    <t>WOS:001714896800046</t>
  </si>
  <si>
    <t>Arisan, A; Genç, C; Duran, GS</t>
  </si>
  <si>
    <t>Background: Multimodal large language models (LLMs) are increasingly being explored as clinical support tools, yet their capacity for orthodontic biomechanical reasoning has not been systematically evaluated. This retrospective study assessed their ability to analyze treatment mechanics and explored their potential role in supporting orthodontic decision-making. Methods: Five publicly available models (GPT-o3, Claude 3.7 Sonnet, Gemini 2.5 Pro, GPT-4.0, and Grok) analyzed 56 standardized intraoral photographs illustrating a diverse range of active orthodontic force systems commonly encountered in clinical practice. Three experienced orthodontists independently scored the outputs across four domains-observation, interpretation, biomechanics, and confidence-using a 5-point scale. Inter-rater agreement and consistency were assessed, and statistical comparisons were made between models. Results: GPT-o3 achieved the highest composite score (3.34/5.00; 66.8%), significantly outperforming all other models. The performance ranking was followed by Claude (57.8%), Gemini (52.6%), GPT-4.0 (48.8%), and Grok (38.8%). Inter-rater reliability among the expert evaluators was excellent, with ICC values ranging from 0.786 (Confidence Evaluation) to 0.802 (Observation). Model self-reported confidence showed poor calibration against expert-rated output quality. Conclusions: Multimodal LLMs show emerging potential for assisting orthodontic biomechanical assessment. With expert-guided validation, these models may contribute meaningfully to clinical decision support across diverse biomechanical scenarios encountered in routine orthodontic care.</t>
  </si>
  <si>
    <t>Arisan, Arda; Genc, Celal; Duran, Gokhan Serhat</t>
  </si>
  <si>
    <t>Arisan, A (corresponding author), Canakkale Onsekiz Mart Univ, Fac Dent, Dept Orthodont, TR-17100 Canakkale, Turkiye.</t>
  </si>
  <si>
    <t>celalgenc@comu.edu.tr; gokhanserhat.duran@comu.edu.tr; arisanarda@gmail.com</t>
  </si>
  <si>
    <t>[Arisan, Arda; Genc, Celal; Duran, Gokhan Serhat] Canakkale Onsekiz Mart Univ, Fac Dent, Dept Orthodont, TR-17100 Canakkale, Turkiye</t>
  </si>
  <si>
    <t>Canakkale Onsekiz Mart University</t>
  </si>
  <si>
    <t>Orthodontic Biomechanical Reasoning with Multimodal Language Models: Performance and Clinical Utility</t>
  </si>
  <si>
    <t>orthodontics; orthodontic biomechanics; multimodal large language models; biomechanical reasoning; clinical decision support; AI in dental engineering</t>
  </si>
  <si>
    <t>Genç, Celal/X-3596-2018; ARISAN, ARDA/PGG-4819-2026; DURAN, Gökhan Serhat/Y-9090-2019</t>
  </si>
  <si>
    <t>Genç, Celal/0000-0003-4037-9783; DURAN, Gökhan Serhat/0000-0001-6152-6178; ARISAN, ARDA/0009-0004-8920-8605</t>
  </si>
  <si>
    <t>OCT 27 2025</t>
  </si>
  <si>
    <t>1165</t>
  </si>
  <si>
    <t>10.3390/bioengineering12111165</t>
  </si>
  <si>
    <t>http://dx.doi.org/10.3390/bioengineering12111165</t>
  </si>
  <si>
    <t>F9104</t>
  </si>
  <si>
    <t>41301121</t>
  </si>
  <si>
    <t>WOS:001624013900001</t>
  </si>
  <si>
    <t>Jiang, Y; Dai, ZZ; Jin, W; Lin, WN; Xu, YJ; Wang, JD; Fang, ZX</t>
  </si>
  <si>
    <t>With the rapid advancement of artificial intelligence technology, large language models (LLMs) have shown considerable potential in the medical field. This study systematically evaluated the performance of five multimodal LLMs, including GPT-4o, Llama4Scout, Gemma3-27B, Qwen3-VL235B, and DeepSeek-VL2, in medicinal plant image recognition tasks. We selected 200 medicinal plant images from a privately copyrighted dataset and tested the models using a four-choice format to evaluate their recognition accuracy. Results indicate that Qwen3-VL-235B demonstrated the highest accuracy at 90.50%, outperforming other models. GPT-4o ranked second at 85.00%, while Gemma3-27B, Llama4Scout, and DeepSeek-VL2 achieved 65.50%, 58.50%, and 58.00%, respectively. These findings indicate that multimodal LLMs hold promising potential for medicinal plant recognition, yet further optimization for specific domains is required to enhance accuracy.</t>
  </si>
  <si>
    <t>Jiang, Yue; Dai, Zhenzhong; Jin, Wen; Lin, Weinan; Xu, Yijun; Wang, Jiangda; Fang, Zhaoxi</t>
  </si>
  <si>
    <t>Dai, ZZ; Fang, ZX (corresponding author), Shaoxing Univ, Dept Comp Sci &amp; Engn, Shaoxing, Peoples R China.; Fang, ZX (corresponding author), Shaoxing Univ, Inst Artificial Intelligence, Shaoxing, Peoples R China.; Fang, ZX (corresponding author), Univ South Africa UNISA, Sch Comp, Coll Sci Engn &amp; Technol, Johannesburg, South Africa.</t>
  </si>
  <si>
    <t>1705699@qq.com; fangzhaoxi@usx.edu.cn</t>
  </si>
  <si>
    <t>Zhejiang-ltaly Joint Laboratory on Al &amp; Materials Medical Technology</t>
  </si>
  <si>
    <t>The author(s) declared that financial support was received for this work and/or its publication. This work was supported by the Zhejiang-ltaly Joint Laboratory on Al &amp; Materials Medical Technology.</t>
  </si>
  <si>
    <t>[Jiang, Yue; Dai, Zhenzhong; Jin, Wen; Lin, Weinan; Xu, Yijun; Fang, Zhaoxi] Shaoxing Univ, Dept Comp Sci &amp; Engn, Shaoxing, Peoples R China; [Wang, Jiangda; Fang, Zhaoxi] Shaoxing Univ, Inst Artificial Intelligence, Shaoxing, Peoples R China; [Fang, Zhaoxi] Univ South Africa UNISA, Sch Comp, Coll Sci Engn &amp; Technol, Johannesburg, South Africa</t>
  </si>
  <si>
    <t>Shaoxing University; Shaoxing University; University of South Africa</t>
  </si>
  <si>
    <t>Benchmarking multimodal large language models for medicinal plant identification</t>
  </si>
  <si>
    <t>FRONTIERS IN PLANT SCIENCE</t>
  </si>
  <si>
    <t>Article; Data Paper</t>
  </si>
  <si>
    <t>identification accuracy; image recognition accuracy; large language models; medicinal plant; model evaluation</t>
  </si>
  <si>
    <t>1664-462X</t>
  </si>
  <si>
    <t>FRONT PLANT SCI</t>
  </si>
  <si>
    <t>Front. Plant Sci.</t>
  </si>
  <si>
    <t>JUN 26 2026</t>
  </si>
  <si>
    <t>1765281</t>
  </si>
  <si>
    <t>10.3389/fpls.2026.1765281</t>
  </si>
  <si>
    <t>http://dx.doi.org/10.3389/fpls.2026.1765281</t>
  </si>
  <si>
    <t>Plant Sciences</t>
  </si>
  <si>
    <t>KV9TM</t>
  </si>
  <si>
    <t>42433888</t>
  </si>
  <si>
    <t>WOS:001816901300001</t>
  </si>
  <si>
    <t>Park, J; Han, K; Oh, JS; Chae, HD; Kim, A; Park, SY; Yoo, HJ; Lee, YH</t>
  </si>
  <si>
    <t>Objectives: To evaluate the diagnostic interchangeability of DL-enhanced accelerated lumbar (L)-spine magnetic resonance imaging (MRI) with conventional imaging and to assess the diagnostic agreement and feasibility of vision-language-model (VLM)-based automated reporting. Methods: The Institutional Review Boards oftwo participating institutions approved this prospective study. Seventy patients were enrolled from these two institutions. All the participants underwent both conventional and accelerated L-spine MRI during the same session, resulting in 140 MRI scans. Quantitative analyses included signal-to-noise ratio (SNR) and contrast-to-noise ratio (CNR), whereas qualitative image quality assessments were conducted by four radiologists blinded to the scan type and patient information. The interchangeability between conventional and accelerated MRI with DL-based enhancement protocols was evaluated for five key pathologic findings. Automated structured reports were generated using a commercially available VLM-based spine interpretation software and compared with radiologist consensus reports. Statistical analyses were performed, with p &lt; 0.05 considered statistically significant. Results: Accelerated L-spine MRI with DL-based enhancement reduced the acquisition time by approximately 80-86% when compared with conventional MRI, while maintaining diagnostic interchangeability. Quantitative analyses revealed superior SNRs and CNRs, and qualitative evaluations supported comparable image quality. Automated reporting demonstrated substantial to almost perfect agreement across key pathologies. Conclusions: DL-enhanced accelerated MRI produced high-quality diagnostic images within 2 min, and VLM-based automated reporting demonstrated strong agreement with the radiologists. These findings provide prospective evidence supporting the clinical feasibility of integrating AI into both the acquisition and interpretation workflows in L-spine MRI, with the potential to enhance the efficiency, consistency, and scalability of musculoskeletal imaging.</t>
  </si>
  <si>
    <t>Park, Jiwoo; Han, Kyunghwa; Oh, Ji Seon; Chae, Hee Dong; Kim, Ahram; Park, Si Young; Yoo, Hye Jin; Lee, Young Han</t>
  </si>
  <si>
    <t>Lee, YH (corresponding author), Yonsei Univ, Coll Med, Dept Radiol, 50-1 Yonsei Ro, Seoul 03722, South Korea.</t>
  </si>
  <si>
    <t>sando@yuhs.ac</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</si>
  <si>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 [RS-2023-00224382]</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</si>
  <si>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t>
  </si>
  <si>
    <t>This work was supported by the Korea Medical Device Development Fund grant funded by the Korea government (the Ministry of Science and ICT, the Ministry of Trade, Industry and Energy, the Ministry of Health &amp; Number: of Food and Drug Safety) (Project Number: RS-2023-00224382) .</t>
  </si>
  <si>
    <t>[Park, Jiwoo; Han, Kyunghwa; Lee, Young Han] Yonsei Univ, Res Inst Radiol Sci, Coll Med, Dept Radiol, Seoul, South Korea; [Park, Jiwoo; Han, Kyunghwa; Lee, Young Han] Yonsei Univ, Coll Med, Ctr Clin Imaging Data Sci CCIDS, Seoul, South Korea; [Oh, Ji Seon; Chae, Hee Dong; Yoo, Hye Jin] Seoul Natl Univ Hosp, Dept Radiol, Seoul, South Korea; [Chae, Hee Dong; Yoo, Hye Jin] Seoul Natl Univ, Coll Med, Dept Radiol, Seoul, South Korea; [Kim, Ahram] Yonsei Univ, Grad Sch, Dept Biostat &amp; Comp, Seoul, South Korea; [Park, Si Young] Yonsei Univ, Coll Med, Dept Orthopaed Surg, Seoul, South Korea; [Lee, Young Han] Yonsei Univ, Inst Innovat Digital Healthcare, Seoul, South Korea</t>
  </si>
  <si>
    <t>Yonsei University; Yonsei University Health System; Yonsei University; Yonsei University Health System; Seoul National University (SNU); Seoul National University Hospital; Seoul National University (SNU); Seoul National University Hospital; Yonsei University; Yonsei University; Yonsei University Health System; Yonsei University</t>
  </si>
  <si>
    <t>Prospective evaluation of artificial intelligence (AI) in lumbar spine magnetic resonance imaging (MRI) workflow: from deep learning (DL)-enhanced accelerated acquisition to simultaneous vision-language model (VLM)-based automated report generation</t>
  </si>
  <si>
    <t>EUROPEAN JOURNAL OF RADIOLOGY</t>
  </si>
  <si>
    <t>Magnetic resonance imaging (MRI); Artificial intelligence (AI); Vision-language model (VLM); Diagnostic interchangeability; Automated report generation</t>
  </si>
  <si>
    <t>PROTOCOL</t>
  </si>
  <si>
    <t>Park, Si Young/0000-0002-1216-901X</t>
  </si>
  <si>
    <t>ELSEVIER IRELAND LTD</t>
  </si>
  <si>
    <t>CLARE</t>
  </si>
  <si>
    <t>ELSEVIER HOUSE, BROOKVALE PLAZA, EAST PARK SHANNON, CO, CLARE, 00000, IRELAND</t>
  </si>
  <si>
    <t>0720-048X</t>
  </si>
  <si>
    <t>1872-7727</t>
  </si>
  <si>
    <t>EUR J RADIOL</t>
  </si>
  <si>
    <t>Eur. J. Radiol.</t>
  </si>
  <si>
    <t>196</t>
  </si>
  <si>
    <t>112695</t>
  </si>
  <si>
    <t>10.1016/j.ejrad.2026.112695</t>
  </si>
  <si>
    <t>http://dx.doi.org/10.1016/j.ejrad.2026.112695</t>
  </si>
  <si>
    <t>CY8VD</t>
  </si>
  <si>
    <t>41579672</t>
  </si>
  <si>
    <t>WOS:001677700700001</t>
  </si>
  <si>
    <t>Tian, WW; Huang, XY; Cheng, TH; He, W; Fang, JW; Feng, R; Geng, DY; Zhang, XB</t>
  </si>
  <si>
    <t>Pediatric pneumonia is the leading cause of death among children under five years worldwide, imposing a substantial burden on affected families. Currently, there are three significant hurdles in diagnosing and treating pediatric pneumonia. Firstly, pediatric pneumonia shares similar symptoms with other respiratory diseases, making rapid and accurate differential diagnosis challenging. Secondly, primary hospitals often lack sufficient medical resources and experienced doctors. Lastly, providing personalized diagnostic reports and treatment recommendations is labor-intensive and time-consuming. To tackle these challenges, we proposed a Medical Multimodal Large Language Model for Pediatric Pneumonia (P2Med-MLLM). It was capable of handling diverse clinical tasks-such as generating free-text medical records and radiology reports-within a unified framework. Specifically, P2Med-MLLM was trained on a large-scale dataset, including real clinical information from 163,999 outpatient and 8,684 inpatient cases. It can process both plain text data (e.g., outpatient and inpatient records) and interleaved image-text pairs (e.g., 2D chest X-ray images, 3D chest Computed Tomography images, and corresponding radiology reports). We designed a three-stage training strategy to enable P2Med-MLLM to comprehend medical knowledge and follow instructions for various clinical decision-support tasks. To rigorously evaluate P2Med-MLLM's performance, we conducted automatic scoring by the large language model and manual scoring by the specialist on the test set of 642 samples, meticulously verified by pediatric pulmonology specialists. The results demonstrated the reliability of automated scoring and the superiority of P2Med-MLLM. This work plays a crucial role in assisting doctors with prompt diagnosis and treatment planning, reducing severe symptom mortality rates, and optimizing the allocation of medical resources.</t>
  </si>
  <si>
    <t>Tian, Weiwei; Huang, Xinyu; Cheng, Tianhao; He, Wen; Fang, Jinwu; Feng, Rui; Geng, Daoying; Zhang, Xiaobo</t>
  </si>
  <si>
    <t>Zhang, XB (corresponding author), Fudan Univ, Childrens Hosp, Dept Resp Med, Shanghai 201102, Peoples R China.</t>
  </si>
  <si>
    <t>fangjinwu007@126.com; wwtian20@fudan.edu.cn; xinyuhuang20@fudan.edu.cn; gengdy@163.com; fengrui@fudan.edu.cn; zhangxiaobo0307@163.com; thcheng23@m.fudan.edu.cn; hewen@fudan.edu.cn</t>
  </si>
  <si>
    <t>Shanghai Municipal Commission of Economy and Informatization [2024-GZL-RGZN-01013]; Science and Technology Commission of Shanghai Municipality [21511104506]; Municipal Hospital Frontier Joint Research Project [SHDC12024136]; Applying and Evaluating a Medical Large Language Model for the Diagnosis and Treatment of Pediatric Severe Pneumonia [EKYX202409]; Trustworthy Data Generation Theory and Algorithm for Immunotherapy of Small Cell Neuroendocrine Cervical Carcinoma [XM03241799]</t>
  </si>
  <si>
    <t>Shanghai Municipal Commission of Economy and Informatization; Science and Technology Commission of Shanghai Municipality (Science &amp; Technology Commission of Shanghai Municipality (STCSM)); Municipal Hospital Frontier Joint Research Project; Applying and Evaluating a Medical Large Language Model for the Diagnosis and Treatment of Pediatric Severe Pneumonia; Trustworthy Data Generation Theory and Algorithm for Immunotherapy of Small Cell Neuroendocrine Cervical Carcinoma</t>
  </si>
  <si>
    <t>This work was supported in part by the Shanghai Municipal Commission of Economy and Informatization under Grant 2024-GZL-RGZN-01013, in part by the Science and Technology Commission of Shanghai Municipality under Grant 21511104506, in part by Municipal Hospital Frontier Joint Research Project under Grant SHDC12024136, in part by Applying and Evaluating a Medical Large Language Model for the Diagnosis and Treatment of Pediatric Severe Pneumonia under Grant EKYX202409, and in part by Trustworthy Data Generation Theory and Algorithm for Immunotherapy of Small Cell Neuroendocrine Cervical Carcinoma under Grant XM03241799. (Xinyu Huang and Tianhao Cheng contributed equally to this work.)</t>
  </si>
  <si>
    <t>[Tian, Weiwei; Feng, Rui; Geng, Daoying] Fudan Univ, Acad Engn &amp; Technol, Shanghai 200433, Peoples R China; [Huang, Xinyu; Cheng, Tianhao; Feng, Rui] Fudan Univ, Shanghai Key Lab Intelligent Informat Proc, Comp &amp; Artificial Intelligence Innovat Coll, Shanghai 200438, Peoples R China; [He, Wen; Feng, Rui; Zhang, Xiaobo] Fudan Univ, Childrens Hosp, Dept Resp Med, Shanghai 201102, Peoples R China; [Fang, Jinwu] Fudan Univ, Sch Publ Hlth, Shanghai 200032, Peoples R China; [Geng, Daoying] Fudan Univ, Huashan Hosp, Dept Radiol, Shanghai 200040, Peoples R China</t>
  </si>
  <si>
    <t>Fudan University; Fudan University; Fudan University; Fudan University; Fudan University</t>
  </si>
  <si>
    <t>A Medical Multimodal Large Language Model for Pediatric Pneumonia</t>
  </si>
  <si>
    <t>Medical diagnostic imaging; Pneumonia; Diseases; Medical services; X-ray imaging; Training; Radiology; Computed tomography; Large language models; Hospitals; Computer-assisted diagnosis; decision support systems; large language models; multimodal integration; pneumonia</t>
  </si>
  <si>
    <t>xiaobo, zhang/PMR-9730-2026; Huang, Xin-Yu/JOZ-6120-2023; Tian, Weiwei/PRR-5151-2026; Cao, Xin/AAX-8367-2021</t>
  </si>
  <si>
    <t>6869</t>
  </si>
  <si>
    <t>6882</t>
  </si>
  <si>
    <t>10.1109/JBHI.2025.3569361</t>
  </si>
  <si>
    <t>http://dx.doi.org/10.1109/JBHI.2025.3569361</t>
  </si>
  <si>
    <t>7GC5M</t>
  </si>
  <si>
    <t>40354198</t>
  </si>
  <si>
    <t>WOS:001570204100015</t>
  </si>
  <si>
    <t>Xiao, HG; Hui, NZ; Xu, Y; Li, ZP; Peng, JC</t>
  </si>
  <si>
    <t>In recent years, multimodal large language models (MLLMs) have gradually given rise to medical multimodal large language models (Medical MLLMs) through the integration of multimodal data such as clinical reports, medical images, physiological signals, and doctor-patient conversations. This progress has substantially improved the efficiency and quality of clinical question answering. Given the rapid development of this field and its broad clinical potential, this survey presents a systematic review of the core tasks, fundamental principles, methodological innovations, and future research directions of Medical MLLMs. Specifically, this survey first outlines the core medical tasks addressed by Medical MLLMs. It then dissects the three key modules of Medical MLLMs and, through a fine-grained vector-level analysis, explains how input feature vectors are processed and propagated across these modules. Subsequently, existing medical datasets are systematically categorized according to different stages of model training to help researchers identify relevant resources more efficiently. Furthermore, this survey elaborates on the training and evaluation methods of Medical MLLMs and discusses advanced strategies for activating their reasoning capabilities. Finally, it summarizes their practical applications in medical scenarios and highlights the critical challenges and future directions. This survey aims to provide a comprehensive reference for researchers in the field of Medical MLLMs and to promote the adaptation of Medical MLLMs to increasingly complex and diverse medical tasks.</t>
  </si>
  <si>
    <t>Xiao, Hanguang; Hui, Ningzhi; Xu, Yong; Li, Zhipeng; Peng, Jincheng</t>
  </si>
  <si>
    <t>Xiao, HG (corresponding author), Chongqing Univ Technol, Sch Artificial Intelligence, Chongqing 401135, Peoples R China.; Xiao, HG (corresponding author), Chongqing Key Lab Embodied Intelligence Percept &amp;, Chongqing 401135, Peoples R China.; Xiao, HG (corresponding author), Key Lab Adv Equipment Intelligence Chongqing Educ, Chongqing 401135, Peoples R China.; Xu, Y (corresponding author), Harbin Inst Technol Shenzhen, Sch Comp Sci &amp; Technol, Shenzhen 518055, Peoples R China.</t>
  </si>
  <si>
    <t>simenxiao1211@163.com; peng18826255808@163.com; laterfall@hit.edu.cn; zhipengli@stu.cqut.edu.cn; huiningzhi101@gmail.com</t>
  </si>
  <si>
    <t>National Natural Science Foundation of China [62471075]; Chongqing's "Tender-Based System" Project Initiative in the Field of Industry and Information Technology [YJX-2025001001002]; Natural Science Foundation of Chongqing [CSTB2024NSCQ-LZX0080, CSTB2023TIAD-STX0020, CSTB2025NSCQ-LZX0115, CSTB2023NSCQ-LZX0068, CSTB2022NSCQ-MSX0837]</t>
  </si>
  <si>
    <t>National Natural Science Foundation of China (National Natural Science Foundation of China (NSFC)); Chongqing's "Tender-Based System" Project Initiative in the Field of Industry and Information Technology; Natural Science Foundation of Chongqing (Natural Science Foundation of Chongqing)</t>
  </si>
  <si>
    <t>Acknowledgement This work was supported by the National Natural Science Foundation of China (Grant No. 62471075) , the Chongqing's "Tender-Based System" Project Initiative in the Field of Industry and Information Technology (Grant No. YJX-2025001001002) , the Natural Science Foundation of Chongqing (Grant No. CSTB2024NSCQ-LZX0080, CSTB2023TIAD-STX0020, CSTB2025NSCQ-LZX0115, CSTB2023NSCQ-LZX0068, CSTB2022NSCQ-MSX0837) . This study does not involve any ethical issue</t>
  </si>
  <si>
    <t>[Xiao, Hanguang; Hui, Ningzhi; Li, Zhipeng; Peng, Jincheng] Chongqing Univ Technol, Sch Artificial Intelligence, Chongqing 401135, Peoples R China; [Xiao, Hanguang; Hui, Ningzhi; Li, Zhipeng; Peng, Jincheng] Chongqing Key Lab Embodied Intelligence Percept &amp;, Chongqing 401135, Peoples R China; [Xiao, Hanguang; Hui, Ningzhi; Li, Zhipeng; Peng, Jincheng] Key Lab Adv Equipment Intelligence Chongqing Educ, Chongqing 401135, Peoples R China; [Xu, Yong] Harbin Inst Technol Shenzhen, Sch Comp Sci &amp; Technol, Shenzhen 518055, Peoples R China</t>
  </si>
  <si>
    <t>Chongqing University of Technology; Harbin Institute of Technology</t>
  </si>
  <si>
    <t>Medical multimodal large language models: A survey</t>
  </si>
  <si>
    <t>Medical large language models; Medical image understanding; Multimodal large language models; Chain-of-thought reasoning; Reinforcement learning</t>
  </si>
  <si>
    <t>COMPUTER-AIDED DIAGNOSIS</t>
  </si>
  <si>
    <t>244</t>
  </si>
  <si>
    <t>134</t>
  </si>
  <si>
    <t>104386</t>
  </si>
  <si>
    <t>10.1016/j.inffus.2026.104386</t>
  </si>
  <si>
    <t>http://dx.doi.org/10.1016/j.inffus.2026.104386</t>
  </si>
  <si>
    <t>HN7SD</t>
  </si>
  <si>
    <t>WOS:001758425900001</t>
  </si>
  <si>
    <t>Gao, X; Zhao, L; Zhang, Q; Guo, Z; Hu, W; Tang, W; Han, C; Wang, X; Gong, P; Long, J</t>
  </si>
  <si>
    <t>Owing to the complexity of the clinical manifestations in patients with osteonecrosis of the jaw (ONJ), particularly in settings lacking oral and maxillofacial surgery, timely and accurate treatment remains challenging. Here, we developed an integrated vision-language interactive system (namely, the Osteonecrosis of the Jaw Treatment Supporting [ONJ-TS] system), which is designed to provide clinical support for the diagnosis and treatment of ONJ. We retrospectively collected panoramic radiography (PR) images and medical records of 366 patients with ONJ to develop the ONJ-TS system. In the ONJ-TS system, the core Qwen2-VL was fine-tuned for natural language question answering on ONJ treatment. To support the primary functionality of the Qwen2-VL, we trained the SwinTransformer and the U-Net to identify ONJ cases and segment the ONJ regions in the PR images, respectively. Human evaluation of the output responses indicated that the ONJ-TS system exceeded the accuracy levels of junior oral and maxillofacial surgeons (OMFSs) with accuracy scores of 0.9598 (95% confidence interval [CI], 0.9351-0.9845) and 0.8835 (95% CI, 0.8432-0.9238), respectively (P = 0.003). Notably, in comparative analyses with the senior OMFSs (accuracy, 0.9959 [95% CI, 0.8432-0.9238]), the ONJ-TS system demonstrated comparable efficacy in disease management (P &lt; 0.001). Extensive experiments showed that the ONJ-TS system outperformed baseline models in generating accurate responses to treatment support. Given its multifaceted capabilities, the ONJ-TS system holds promise as a digital solution for supporting clinical decisions in managing ONJ and enhancing clinical efficiency and treatment accuracy.</t>
  </si>
  <si>
    <t>Gao, X.; Zhao, L.; Zhang, Q.; Guo, Z.; Hu, W.; Tang, W.; Han, C.; Wang, X.; Gong, P.; Long, J.</t>
  </si>
  <si>
    <t>Long, J (corresponding author), Sichuan Univ, West China Hosp Stomatol, 14 Sect 3,Renminnan Rd, Chengdu 610041, Sichuan, Peoples R China.</t>
  </si>
  <si>
    <t>dr.jielong@hotmail.com</t>
  </si>
  <si>
    <t>National Science Foundation of China [31570950]; Science and Technology Foundation of Sichuan Province [2024YFFK0376]</t>
  </si>
  <si>
    <t>National Science Foundation of China (National Natural Science Foundation of China (NSFC)); Science and Technology Foundation of Sichuan Province</t>
  </si>
  <si>
    <t>The authors disclosed receipt of the following financial support for the research, authorship, and/or publication of this article: The research was supported by National Science Foundation of China (No. 31570950) and the Science and Technology Foundation of Sichuan Province (No. 2024YFFK0376).</t>
  </si>
  <si>
    <t>[Gao, X.; Zhao, L.; Zhang, Q.; Guo, Z.; Hu, W.; Tang, W.; Han, C.; Wang, X.; Gong, P.; Long, J.] Sichuan Univ, State Key Lab Oral Dis, Dept Oral &amp; Maxillofacial Surg, West China Hosp Stomatol,Natl Ctr Stomatol,Natl Cl, Chengdu, Peoples R China; [Zhao, L.] Fudan Univ, Zhongshan Hosp, Shanghai Stomatol Hosp, Dept Oral &amp; Maxillofacial Surg, Shanghai, Peoples R China; [Zhao, L.] Fudan Univ, Sch Stomatol, Shanghai, Peoples R China</t>
  </si>
  <si>
    <t>Sichuan University; Fudan University; Fudan University</t>
  </si>
  <si>
    <t>Multimodal Language Model for Jaw Osteonecrosis Diagnosis and Treatment</t>
  </si>
  <si>
    <t>artificial intelligence; deep learning; large language models; dentistry; maxillofacial surgery; panoramic radiography</t>
  </si>
  <si>
    <t>Gao, Xinzhe/CAF-0685-2022; Hu, Wenzhong/HTR-9861-2023</t>
  </si>
  <si>
    <t>Gao, Xinzhe/0000-0003-0323-0330; guo, zeyou/0009-0001-6234-3338; Long, Jie/0000-0002-5734-4408; Hu, Wenzhong/0009-0009-5312-0413</t>
  </si>
  <si>
    <t>104</t>
  </si>
  <si>
    <t>1324</t>
  </si>
  <si>
    <t>1332</t>
  </si>
  <si>
    <t>10.1177/00220345251334575</t>
  </si>
  <si>
    <t>http://dx.doi.org/10.1177/00220345251334575</t>
  </si>
  <si>
    <t>8IY1G</t>
  </si>
  <si>
    <t>40552509</t>
  </si>
  <si>
    <t>WOS:001513879400001</t>
  </si>
  <si>
    <t>Hassanein, FEA; Hassan, MT; Jahngir, M; Javed, M; Abou-Bakr, A</t>
  </si>
  <si>
    <t>The reliability of general-purpose multimodal large language models (LLMs) in oral histopathologic image interpretation remains incompletely characterized. To evaluate abstraction-level diagnostic competence, grading reliability, and structural error patterns of ChatGPT-5.2 in oral epithelial dysplasia histopathology. In this retrospective diagnostic accuracy study, ChatGPT-5.2 analyzed 200 digitized H&amp;E-stained oral mucosal images (100 OPMD; 100 normal) in a zero-shot setting. Model outputs were compared with consensus diagnoses from three expert oral pathologists. The primary outcome was abstraction-level agreement (kappa) across predefined WHO-aligned morphologic domains. Secondary outcomes included binary diagnostic accuracy, grade-stratified sensitivity, grading discordance, feature-level error profiling, inter-run stability, and modeled clinical utility. Agreement declined monotonically across morphologic abstraction domains (kappa: 0.85 coarse morphology; 0.42 architectural; 0.09 high-risk cytologic; P[ordered] approximate to 1.000). Binary classification achieved a sensitivity 87.0% (95% CI 79.0-92.6) and a specificity 89.0% (95% CI 81.4-94.0). All severe dysplasia cases were detected (100%), with false negatives confined to non-severe lesions. Grading agreement was fair (weighted kappa = 0.36) with predominant under-grading. Feature-level degradation was omission-dominant and concentrated within high-risk cytologic descriptors. Binary outputs demonstrated high inter-run stability (Fleiss' kappa = 0.82). ChatGPT-5.2 demonstrated stable binary discrimination for OPMD detection but showed abstraction-dependent degradation in architectural and cytologic feature recognition central to dysplasia grading. While performance may support assistive or triage-oriented applications, grading variability and omission of high-risk cytologic criteria indicate that expert oversight remains essential. Further domain-specific validation is required before clinical integration.</t>
  </si>
  <si>
    <t>Hassanein, Fatma E. A.; Hassan, Muhammad Talha; Jahngir, Majid; Javed, Mariya; Abou-Bakr, Asmaa</t>
  </si>
  <si>
    <t>Hassanein, FEA (corresponding author), King Salman Int Univ, Fac Dent, Oral Med Periodontol &amp; Oral Diag, El Tor 11371, South Sinai, Egypt.</t>
  </si>
  <si>
    <t>majid.jehangir@superior.edu.pk; drtalhahassan92@gmail.com; fatma.hassanein@ksiu.edu.eg; mariyah.javed@hotmail.com; Asmaa.AbdAlRaouf@gu.edu.eg</t>
  </si>
  <si>
    <t>[Hassanein, Fatma E. A.] King Salman Int Univ, Fac Dent, Oral Med Periodontol &amp; Oral Diag, El Tor 11371, South Sinai, Egypt; [Hassan, Muhammad Talha; Jahngir, Majid] Rashid Latif Dent Coll, Fac Dent, Oral Maxillofacial Pathol, Lahore, Pakistan; [Javed, Mariya] Rahber Dent Coll, Oral Maxillofacial Pathol, Lahore, Pakistan; [Abou-Bakr, Asmaa] Galala Univ, Fac Dent, Oral Med &amp; Periodontol, Suez, Egypt</t>
  </si>
  <si>
    <t>King Salman International University; Galala University</t>
  </si>
  <si>
    <t>Abstraction-dependent diagnostic performance of a multimodal foundation model in oral epithelial dysplasia</t>
  </si>
  <si>
    <t>ODONTOLOGY</t>
  </si>
  <si>
    <t>Artificial Intelligence; Multimodal Large Language Model; Oral Epithelial Dysplasia; OPMD; Histopathologic Grading; Diagnostic Reliability; Decision Curve Analysis</t>
  </si>
  <si>
    <t>PREDICTION</t>
  </si>
  <si>
    <t>Hassanein, Fatma/NRY-4900-2025</t>
  </si>
  <si>
    <t>Hassanein, Fatma El-Sayed Ahmed/0009-0000-8010-9265</t>
  </si>
  <si>
    <t>1618-1247</t>
  </si>
  <si>
    <t>1618-1255</t>
  </si>
  <si>
    <t>Odontology</t>
  </si>
  <si>
    <t>10.1007/s10266-026-01402-7</t>
  </si>
  <si>
    <t>http://dx.doi.org/10.1007/s10266-026-01402-7</t>
  </si>
  <si>
    <t>HT7YS</t>
  </si>
  <si>
    <t>42115485</t>
  </si>
  <si>
    <t>WOS:001762514200001</t>
  </si>
  <si>
    <t>Deng, XW; Tu, WZ</t>
  </si>
  <si>
    <t>Poor diet quality is a major modifiable risk factor for obesity, cardiovascular disease, and metabolic disorders, motivating a growing ecosystem of diet-tracking apps and recipe platforms that promise personalized guidance. However, most of these systems still rely on simple scoring rules or ID-based collaborative filtering that ignore rich multimodal food information (ingredients, cooking methods, images, nutrient profiles) and lack explicit nutritional reasoning. To address this gap, we propose NutriRec, a multimodal LLM-based framework for personalized dietary recommendation that links nutritional reasoning with collaborative dietary patterns. We uses a multimodal LLM to generate unified representations of meals and food items from textual descriptions, ingredient lists, nutrient profiles, and images, capturing both sensory and nutritional attributes. On top of these content-based embeddings, NutriRec incorporates collaborative filtering signals through a post-alignment mechanism that aligns user representations from an ID-based sequential model with those from the multimodal LLM. This design enables explainable dietary reasoning by grounding each recommendation in concrete nutritional evidence (e.g., lower sodium, higher fiber, heart-healthy tags) while still reflecting behavioral patterns learned from large-scale consumption logs. We evaluate NutriRec on realistic dietary recommendation scenarios with long-term, multimodal food interaction histories. Across these settings, NutriRec not only yields stronger recommendations than sequential and LLM-based baselines, but also provides more explainable dietary reasoning by explicitly linking suggestions to nutrient profiles, meal composition, and simple guideline-based constraints.</t>
  </si>
  <si>
    <t>Deng, Xiwen; Tu, Wenzhe</t>
  </si>
  <si>
    <t>Tu, WZ (corresponding author), Univ Elect Sci &amp; Technol China UESTC, Sch Automat Engn, Chengdu, Peoples R China.</t>
  </si>
  <si>
    <t>tuwenzhe76@gmail.com</t>
  </si>
  <si>
    <t>[Deng, Xiwen] Hong Kong Baptist Univ, Dept Educ Studies, Hong Kong, Peoples R China; [Tu, Wenzhe] Univ Elect Sci &amp; Technol China UESTC, Sch Automat Engn, Chengdu, Peoples R China</t>
  </si>
  <si>
    <t>Hong Kong Baptist University; University of Electronic Science &amp; Technology of China</t>
  </si>
  <si>
    <t>Personalized Nutrition-Aware Dietary Recommendation With Multimodal Large Language Models</t>
  </si>
  <si>
    <t>Nutrients; Cognition; Collaborative filtering; Collaboration; Large language models; Sodium; Visualization; Semantics; Recommender systems; Public healthcare; Personalized nutrition; dietary recommendation; large language models; multi-modal recommendation</t>
  </si>
  <si>
    <t>21791</t>
  </si>
  <si>
    <t>21804</t>
  </si>
  <si>
    <t>10.1109/ACCESS.2026.3660702</t>
  </si>
  <si>
    <t>http://dx.doi.org/10.1109/ACCESS.2026.3660702</t>
  </si>
  <si>
    <t>DS5QP</t>
  </si>
  <si>
    <t>WOS:001691053100026</t>
  </si>
  <si>
    <t>Zhang, XY; Zheng, XW; Li, Z; Ma, MJ; Liang, X; Ren, XX; Zhang, MZ</t>
  </si>
  <si>
    <t>Background and Objective: Writing endoscopic image reports requires extensive domain expertise, and even experienced clinicians spend substantial time on them. Although multimodal large language models (MLLMs) excel at cross-modal understanding and generation, general models struggle with specialized terminologies, pathological features, and complex medical logic, limiting their accuracy and applicability in endoscopy. Existing fine-tuning methods can improve model performance to some extent, but they often suffer from limited adaptability and insufficient domain-specific knowledge when applied to tasks in specialized fields. Methods: We propose a fine-tuning multimodal large Language Model for Endoscopic Report Generation (ERGLM). We apply a two-stage parameter-efficient fine-tuning method to address the specific requirements of endoscopic report generation. In the first-stage fine-tuning, we collect a large number of publicly available datasets to acquire knowledge of digestive endoscopy for addressing the lack of domain-specific knowledge. In the second stage, we use professionally clinical data for fine-tuning to enhance the professionalism of the model in generating reports. Then a prompt-based LoRA fine-tuning method (P-LoRA) is integrated into both stages to better adapt to the task of generating professional endoscopic reports. Results: Experimental results show that ERGLM attains state-of-the-art performance on our dataset, achieving CIDEr of 0.2667, ROUGE-L of 0.4598, METEOR of 0.4070, BLEU-4 of 0.3863, and BERTScore of 0.8216.</t>
  </si>
  <si>
    <t>Zhang, Xingyu; Zheng, Xiangwei; Li, Zhen; Ma, Mingjun; Liang, Xiao; Ren, Xiuxiu; Zhang, Mingzhe</t>
  </si>
  <si>
    <t>Zheng, XW (corresponding author), Shandong Normal Univ, Sch Comp Sci &amp; Artificial Intelligence, Jinan, Peoples R China.</t>
  </si>
  <si>
    <t>mamingjun@hotmail.com; 17854576095@163.com; xwzhengcn@163.com; zmz420@126.com; qilulizhen@sdu.edu.cn; zxy13465021338@163.com; xiuxiu0045@163.com</t>
  </si>
  <si>
    <t>Natural Science Foundation of Shandong Province China [ZR2022LZH003, ZR2020LZH008, ZR2021MF118]; Key R&amp;D Program of Shandong Province, China [2021SFGC0104]; Key R&amp;D Program of Shandong Province, China (Major Scientific and Technological Innovation Project) [2021CXGC010506]</t>
  </si>
  <si>
    <t>Natural Science Foundation of Shandong Province China (Natural Science Foundation of Shandong Province); Key R&amp;D Program of Shandong Province, China; Key R&amp;D Program of Shandong Province, China (Major Scientific and Technological Innovation Project)</t>
  </si>
  <si>
    <t>This work is supported by the Natural Science Foundation of Shandong Province China (NO. ZR2022LZH003, ZR2020LZH008, ZR2021MF118) , the Key R&amp;D Program of Shandong Province, China (NO.2021SFGC0104) , the Key R&amp;D Program of Shandong Province, China (Major Scientific and Technological Innovation Project) (NO. 2021CXGC010506) .</t>
  </si>
  <si>
    <t>[Zhang, Xingyu; Zheng, Xiangwei; Li, Zhen; Zhang, Mingzhe] Shandong Normal Univ, Sch Comp Sci &amp; Artificial Intelligence, Jinan, Peoples R China; [Zhang, Xingyu; Zheng, Xiangwei; Zhang, Mingzhe] Shandong Prov Key Lab Intelligent Collaborat Perce, Jinan, Peoples R China; [Li, Zhen; Ma, Mingjun; Liang, Xiao] Shandong Univ, Dept Gastroenterol, Qilu Hosp, Jinan, Peoples R China; [Ren, Xiuxiu] Shandong Jiaotong Univ, Sch Informat Sci &amp; Elect Engn, Jinan, Peoples R China</t>
  </si>
  <si>
    <t>Shandong Normal University; Shandong University; Shandong Jiaotong University</t>
  </si>
  <si>
    <t>A Fine-tuning Multimodal Large Language Model for Endoscopic Report Generation</t>
  </si>
  <si>
    <t>Multimodality; Large language models; Fine-tuning; Endoscopic report generation</t>
  </si>
  <si>
    <t>Li, Zhen/HHM-3328-2022</t>
  </si>
  <si>
    <t>JUN 1 2026</t>
  </si>
  <si>
    <t>109737</t>
  </si>
  <si>
    <t>10.1016/j.bspc.2026.109737</t>
  </si>
  <si>
    <t>http://dx.doi.org/10.1016/j.bspc.2026.109737</t>
  </si>
  <si>
    <t>DI0TS</t>
  </si>
  <si>
    <t>WOS:001683932300001</t>
  </si>
  <si>
    <t>Tang, ZY; Tang, Z; Wu, J</t>
  </si>
  <si>
    <t>Introduction Recent advances in artificial intelligence have created opportunities for medical anomaly detection through multimodal learning frameworks. However, traditional systems struggle to capture the complex temporal and semantic relationships in clinical data, limiting generalization and interpretability in real-world settings.Methods To address these challenges, we propose a novel framework that integrates symbolic representations, a graph-based neural model (PathoGraph), and a knowledge-guided refinement strategy. The approach leverages structured clinical records, temporally evolving symptom graphs, and medical ontologies to build semantically interpretable latent spaces. Our method enhances model robustness under sparse supervision and distributional shifts.Results Extensive experiments across electronic health records and diagnostic datasets show that our model outperforms existing baselines in detecting rare comorbidity patterns and abnormal treatment responses.Discussion Additionally, it improves interpretability and trustworthiness, which are critical for clinical deployment. By aligning domain knowledge with multimodal AI, our work contributes a generalizable and explainable solution to healthcare anomaly detection.</t>
  </si>
  <si>
    <t>Tang, Zhenyou; Tang, Zhong; Wu, Jing</t>
  </si>
  <si>
    <t>Tang, Z (corresponding author), Guangxi Med Univ, Coll Humanities &amp; Social Sci, Nanning, Guangxi, Peoples R China.</t>
  </si>
  <si>
    <t>rinmaselamir29@hotmail.com</t>
  </si>
  <si>
    <t>Guangxi Natural Science Foundation Project/General Project: Research on Strategy and Mechanism of Prognostic Classification of high incidence liver cancer in Guangxi Based on Single cell multiomics Technology (Joint Special Project of Regional High Inciden [2023GXNSFAA0262292345678]</t>
  </si>
  <si>
    <t>Guangxi Natural Science Foundation Project/General Project: Research on Strategy and Mechanism of Prognostic Classification of high incidence liver cancer in Guangxi Based on Single cell multiomics Technology (Joint Special Project of Regional High Inciden</t>
  </si>
  <si>
    <t>The author(s) declare that financial support was received for the research and/or publication of this article. This work was sponsored in part by Guangxi Natural Science Foundation Project/General Project: Research on Strategy and Mechanism of Prognostic Classification of high incidence liver cancer in Guangxi Based on Single cell multiomics Technology (Joint Special Project of Regional High Incidence Disease Research) (2023GXNSFAA0262292345678).</t>
  </si>
  <si>
    <t>[Tang, Zhenyou] Univ Macau, Inst Collaborat Innovat, Taipa, Macau, Peoples R China; [Tang, Zhong] Guangxi Med Univ, Coll Humanities &amp; Social Sci, Nanning, Guangxi, Peoples R China; [Wu, Jing] Xian Univ Architecture &amp; Technol, Xian, Peoples R China</t>
  </si>
  <si>
    <t>University of Macau; Guangxi Medical University; Xi'an University of Architecture &amp; Technology</t>
  </si>
  <si>
    <t>Anomaly detection in medical via multimodal foundation models</t>
  </si>
  <si>
    <t>FRONTIERS IN BIOENGINEERING AND BIOTECHNOLOGY</t>
  </si>
  <si>
    <t>multimodal foundation models; anomaly detection; clinical graph representation; knowledge-guided refinement; interpretable healthcare AI</t>
  </si>
  <si>
    <t>NETWORKS</t>
  </si>
  <si>
    <t>2296-4185</t>
  </si>
  <si>
    <t>FRONT BIOENG BIOTECH</t>
  </si>
  <si>
    <t>Front. Bioeng. Biotechnol.</t>
  </si>
  <si>
    <t>AUG 12 2025</t>
  </si>
  <si>
    <t>1644697</t>
  </si>
  <si>
    <t>10.3389/fbioe.2025.1644697</t>
  </si>
  <si>
    <t>http://dx.doi.org/10.3389/fbioe.2025.1644697</t>
  </si>
  <si>
    <t>6LP9G</t>
  </si>
  <si>
    <t>40873433</t>
  </si>
  <si>
    <t>WOS:001556288100001</t>
  </si>
  <si>
    <t>Mijares, J; Jairath, N; Zhang, AD; Que, SKT</t>
  </si>
  <si>
    <t>Background: Artificial intelligence (AI) has shown significant promise in augmenting diagnostic capabilities across medical specialties. Recent advancements in generative AI allow for synthesis and interpretation of complex clinical data including imaging and patient history to assess disease risk. Objective: To evaluate the diagnostic performance of a dermatology-trained multimodal large language model (DermFlow, Delaware, USA) in assessing malignancy risk of pigmented skin lesions. Methods: This retrospective study utilized data from 59 patients with 68 biopsy-proven pigmented skin lesions seen at Indiana University clinics from February 2023 to May 2025. De-identified patient histories and clinical images were input into DermFlow, and clinical images only were input into Claude Sonnet 4 (Claude) to generate differential diagnoses. Clinician pre-operative diagnoses were extracted from the clinical note. Assessments were compared to histopathologic diagnoses (gold standard). Results: Among 68 clinically concerning pigmented lesions, DermFlow achieved 47.1% top diagnosis accuracy and 92.6% any-diagnosis accuracy, with F1 = 0.948, sensitivity 93.9%, and specificity 89.5% (balanced accuracy 91.7%). Claude had 8.8% top diagnosis and 73.5% any-diagnosis accuracy, F1 = 0.816, sensitivity 81.6%, specificity 52.6% (balanced accuracy 67.1%). Clinicians achieved 38.2% top diagnosis and 72.1% any-diagnosis accuracy, F1 = 0.776, sensitivity 67.3%, specificity 84.2% (balanced accuracy 75.8%). DermFlow recommended biopsy in 95.6% of cases vs. 82.4% for Claude, with multiple pairwise differences favoring DermFlow (p &lt; 0.05). Conclusions: DermFlow demonstrated comparable or superior diagnostic performance to clinicians and superior performance to Claude in evaluating pigmented skin lesions. Although additional data must be gathered to further validate the model in real clinical settings, these initial findings suggest potential utility for dermatology-trained AI models in clinical practice, particularly in settings with limited dermatologist availability.</t>
  </si>
  <si>
    <t>Mijares, Joshua; Jairath, Neil; Zhang, Andrew; Que, Syril Keena T.</t>
  </si>
  <si>
    <t>Mijares, J (corresponding author), Indiana Univ Sch Med, Dept Dermatol, Indianapolis, IN 46202 USA.</t>
  </si>
  <si>
    <t>josmijar@iu.edu</t>
  </si>
  <si>
    <t>Short-Term Training Program in Biomedical Sciences Grant; National Institutes of Health [T35 HL 110854]</t>
  </si>
  <si>
    <t>Short-Term Training Program in Biomedical Sciences Grant; National Institutes of Health (United States Department of Health &amp; Human Services, National Institutes of Health (NIH) - USA)</t>
  </si>
  <si>
    <t>This project was funded, in part, with support from the Short-Term Training Program in Biomedical Sciences Grant funded, in part, by T35 HL 110854 from the National Institutes of Health. The content is solely the responsibility of the authors and does not necessarily represent the official views of the National Institutes of Health.</t>
  </si>
  <si>
    <t>[Mijares, Joshua; Jairath, Neil; Zhang, Andrew; Que, Syril Keena T.] Indiana Univ Sch Med, Dept Dermatol, Indianapolis, IN 46202 USA; [Jairath, Neil] NYU, Grossman Sch Med, Ronald O Perelman Dept Dermatol, New York, NY 10016 USA</t>
  </si>
  <si>
    <t>Indiana University System; Indiana University Bloomington; New York University</t>
  </si>
  <si>
    <t>Validation of a Dermatology-Focused Multimodal Large Language Model in Classification of Pigmented Skin Lesions</t>
  </si>
  <si>
    <t>artificial intelligence; dermatology; melanoma; skin cancer; machine learning; multimodal large language model</t>
  </si>
  <si>
    <t>CONVOLUTIONAL NEURAL-NETWORK; DERMOSCOPY; AI</t>
  </si>
  <si>
    <t>Mijares, Joshua/0009-0001-1304-9722</t>
  </si>
  <si>
    <t>NOV 6 2025</t>
  </si>
  <si>
    <t>2808</t>
  </si>
  <si>
    <t>10.3390/diagnostics15212808</t>
  </si>
  <si>
    <t>http://dx.doi.org/10.3390/diagnostics15212808</t>
  </si>
  <si>
    <t>9UN8C</t>
  </si>
  <si>
    <t>41226100</t>
  </si>
  <si>
    <t>WOS:001615360000001</t>
  </si>
  <si>
    <t>Tan, JCK</t>
  </si>
  <si>
    <t>This study assesses the accuracy and consistency of a commercially available large language model (LLM) in extracting and interpreting sensitivity and reliability data from entire visual field (VF) test reports for the evaluation of glaucomatous defects. Single-page anonymised VF test reports from 60 eyes of 60 subjects were analysed by an LLM (ChatGPT 4o) across four domains-test reliability, defect type, defect severity and overall diagnosis. The main outcome measures were accuracy of data extraction, interpretation of glaucomatous field defects and diagnostic classification. The LLM displayed 100% accuracy in the extraction of global sensitivity and reliability metrics and in classifying test reliability. It also demonstrated high accuracy (96.7%) in diagnosing whether the VF defect was consistent with a healthy, suspect or glaucomatous eye. The accuracy in correctly defining the type of defect was moderate (73.3%), which only partially improved when provided with a more defined region of interest. The causes of incorrect defect type were mostly attributed to the wrong location, particularly confusing the superior and inferior hemifields. Numerical/text-based data extraction and interpretation was overall notably superior to image-based interpretation of VF defects. This study demonstrates the potential and also limitations of multimodal LLMs in processing multimodal medical investigation data such as VF reports.</t>
  </si>
  <si>
    <t>Tan, Jeremy C. K.</t>
  </si>
  <si>
    <t>Tan, JCK (corresponding author), Univ New South Wales, Fac Med, Kensington, NSW 2033, Australia.; Tan, JCK (corresponding author), Univ Sydney, Save Sight Inst, Sydney, NSW 2000, Australia.; Tan, JCK (corresponding author), Prince Wales Hosp, Eye Clin, High St,Level 4,High St Bldg, Randwick, NSW 2031, Australia.</t>
  </si>
  <si>
    <t>jeremy.c.tan@unsw.edu.au</t>
  </si>
  <si>
    <t>[Tan, Jeremy C. K.] Univ New South Wales, Fac Med, Kensington, NSW 2033, Australia; [Tan, Jeremy C. K.] Univ Sydney, Save Sight Inst, Sydney, NSW 2000, Australia; [Tan, Jeremy C. K.] Prince Wales Hosp, Eye Clin, High St,Level 4,High St Bldg, Randwick, NSW 2031, Australia</t>
  </si>
  <si>
    <t>University of New South Wales Sydney; University of Sydney; University of New South Wales Sydney; Prince of Wales Hospital (POWH)</t>
  </si>
  <si>
    <t>Coherent Interpretation of Entire Visual Field Test Reports Using a Multimodal Large Language Model (ChatGPT)</t>
  </si>
  <si>
    <t>VISION</t>
  </si>
  <si>
    <t>large language model; vision language model; glaucoma; visual field</t>
  </si>
  <si>
    <t>GLAUCOMA</t>
  </si>
  <si>
    <t>TAN, JEREMY/0000-0003-4117-7446</t>
  </si>
  <si>
    <t>2411-5150</t>
  </si>
  <si>
    <t>VISION-BASEL</t>
  </si>
  <si>
    <t>Vision</t>
  </si>
  <si>
    <t>APR 11 2025</t>
  </si>
  <si>
    <t>10.3390/vision9020033</t>
  </si>
  <si>
    <t>http://dx.doi.org/10.3390/vision9020033</t>
  </si>
  <si>
    <t>Ophthalmology; Psychology, Experimental</t>
  </si>
  <si>
    <t>Ophthalmology; Psychology</t>
  </si>
  <si>
    <t>4GW5T</t>
  </si>
  <si>
    <t>40265401</t>
  </si>
  <si>
    <t>WOS:001517722800001</t>
  </si>
  <si>
    <t>Dang, T; Jia, H</t>
  </si>
  <si>
    <t>Multimodal data offer a comprehensive view of human health by integrating diverse sources, such as text, medical images, physiological signals, and behavioral data. Recent advancements in large language models (LLMs) have led to the development of multimodal large language models (MLLMs), which leverage the text understanding capabilities of LLMs and integrate them with other modalities. While MLLMs show great promise for human-centered health applications, the practical challenges of implementing them in the healthcare sector remain largely unexplored. This article discusses these practical considerations and the future potential of MLLMs in transforming human-centered healthcare.</t>
  </si>
  <si>
    <t>Dang, Ting; Jia, Hong</t>
  </si>
  <si>
    <t>Dang, T (corresponding author), Univ Melbourne, Parkville, Vic 3052, Australia.</t>
  </si>
  <si>
    <t>ting.dang@unimelb.edu.au</t>
  </si>
  <si>
    <t>[Dang, Ting; Jia, Hong] Univ Melbourne, Parkville, Vic 3052, Australia</t>
  </si>
  <si>
    <t>University of Melbourne</t>
  </si>
  <si>
    <t>Multimodal Large Language Models in Human-Centered Health: Practical Insights</t>
  </si>
  <si>
    <t>IEEE PERVASIVE COMPUTING</t>
  </si>
  <si>
    <t>Pervasive computing; Large language models; Collaboration; Medical services; Physiology; Behavioral sciences; Stakeholders; Biomedical imaging</t>
  </si>
  <si>
    <t>Jia, Hong/JEO-7292-2023; dang, ting/R-1021-2019</t>
  </si>
  <si>
    <t>Jia, Hong/0000-0002-6047-4158; dang, ting/0000-0003-3806-1493</t>
  </si>
  <si>
    <t>1536-1268</t>
  </si>
  <si>
    <t>1558-2590</t>
  </si>
  <si>
    <t>IEEE PERVAS COMPUT</t>
  </si>
  <si>
    <t>IEEE Pervasive Comput.</t>
  </si>
  <si>
    <t>OCT 2024</t>
  </si>
  <si>
    <t>87</t>
  </si>
  <si>
    <t>93</t>
  </si>
  <si>
    <t>10.1109/MPRV.2024.3499513</t>
  </si>
  <si>
    <t>http://dx.doi.org/10.1109/MPRV.2024.3499513</t>
  </si>
  <si>
    <t>U8S5U</t>
  </si>
  <si>
    <t>WOS:001414425900007</t>
  </si>
  <si>
    <t>Liu, FL; Zhu, TT; Wu, X; Yang, B; You, CY; Wang, CY; Lu, L; Liu, ZDH; Zheng, YF; Sun, X; Yang, Y; Clifton, L; Clifton, DA</t>
  </si>
  <si>
    <t>Deep neural networks have been integrated into the whole clinical decision procedure which can improve the efficiency of diagnosis and alleviate the heavy workload of physicians. Since most neural networks are supervised, their performance heavily depends on the volume and quality of available labels. However, few such labels exist for rare diseases (e.g., new pandemics). Here we report a medical multimodal large language model (Med-MLLM) for radiograph representation learning, which can learn broad medical knowledge (e.g., image understanding, text semantics, and clinical phenotypes) from unlabelled data. As a result, when encountering a rare disease, our Med-MLLM can be rapidly deployed and easily adapted to them with limited labels. Furthermore, our model supports medical data across visual modality (e.g., chest X-ray and CT) and textual modality (e.g., medical report and free-text clinical note); therefore, it can be used for clinical tasks that involve both visual and textual data. We demonstrate the effectiveness of our Med-MLLM by showing how it would perform using the COVID-19 pandemic "in replay". In the retrospective setting, we test the model on the early COVID-19 datasets; and in the prospective setting, we test the model on the new variant COVID-19-Omicron. The experiments are conducted on 1) three kinds of input data; 2) three kinds of downstream tasks, including disease reporting, diagnosis, and prognosis; 3) five COVID-19 datasets; and 4) three different languages, including English, Chinese, and Spanish. All experiments show that our model can make accurate and robust COVID-19 decision-support with little labelled data.</t>
  </si>
  <si>
    <t>Liu, Fenglin; Zhu, Tingting; Wu, Xian; Yang, Bang; You, Chenyu; Wang, Chenyang; Lu, Lei; Liu, Zhangdaihong; Zheng, Yefeng; Sun, Xu; Yang, Yang; Clifton, Lei; Clifton, David A.</t>
  </si>
  <si>
    <t>Liu, FL; Clifton, DA (corresponding author), Univ Oxford, Inst Biomed Engn, Dept Engn Sci, Oxford, England.; Clifton, DA (corresponding author), Oxford Suzhou Ctr Adv Res, Suzhou, Peoples R China.</t>
  </si>
  <si>
    <t>fenglin.liu@eng.ox.ac.uk; david.clifton@eng.ox.ac.uk</t>
  </si>
  <si>
    <t>Royal Academy of Engineering; NIHR Research Professorship; Royal Academy of Engineering Research Chair; NIHR Oxford Biomedical Research Centre; Hong Kong Centre for Cerebro-cardiovascular Engineering; Pandemic Sciences Institute, University of Oxford, Oxford, UK; Clarendon Fund; Magdalen Graduate Scholarship; Royal Academy of Engineering; Sloane Robinson Scholarship [23ZR1436400]; Science and Technology Committee of Shanghai Municipality</t>
  </si>
  <si>
    <t>Royal Academy of Engineering (Royal Academy of Engineering - UK); NIHR Research Professorship; Royal Academy of Engineering Research Chair; NIHR Oxford Biomedical Research Centre; Hong Kong Centre for Cerebro-cardiovascular Engineering; Pandemic Sciences Institute, University of Oxford, Oxford, UK; Clarendon Fund; Magdalen Graduate Scholarship; Royal Academy of Engineering (Royal Academy of Engineering - UK); Sloane Robinson Scholarship; Science and Technology Committee of Shanghai Municipality</t>
  </si>
  <si>
    <t>DAC was supported by an NIHR Research Professorship and a Royal Academy of Engineering Research Chair; the NIHR Oxford Biomedical Research Centre; the Hong Kong Centre for Cerebro-cardiovascular Engineering (COCHE); and the Pandemic Sciences Institute, University of Oxford, Oxford, UK. F.L. gratefully acknowledges funding from the Clarendon Fund and the Magdalen Graduate Scholarship. T.Z. was supported by the Royal Academy of Engineering under the Research Fellowship scheme. C.W. gratefully acknowledges funding from the Clarendon Fund and the Sloane Robinson Scholarship. Y.Y. was supported by the Science and Technology Committee of Shanghai Municipality (23ZR1436400). We sincerely thank all the anonymous reviewers and editors for their constructive comments and suggestions that substantially improved this paper. D.A.C. and F.L. are the corresponding authors of this paper.</t>
  </si>
  <si>
    <t>[Liu, Fenglin; Zhu, Tingting; Wang, Chenyang; Lu, Lei; Liu, Zhangdaihong; Clifton, David A.] Univ Oxford, Inst Biomed Engn, Dept Engn Sci, Oxford, England; [Wu, Xian; Zheng, Yefeng] Tencent YouTu Lab, Jarvis Res Ctr, Beijing, Peoples R China; [Yang, Bang; Sun, Xu] Peking Univ, Sch Comp Sci, Beijing, Peoples R China; [You, Chenyu] Yale Univ, New Haven, CT USA; [Liu, Zhangdaihong; Clifton, David A.] Oxford Suzhou Ctr Adv Res, Suzhou, Peoples R China; [Yang, Yang] Shanghai Jiao Tong Univ, Sch Med, Sch Publ Hlth, Shanghai, Peoples R China; [Clifton, Lei] Univ Oxford, Nuffield Dept Populat Hlth, Oxford, England</t>
  </si>
  <si>
    <t>University of Oxford; Tencent; Peking University; Yale University; Shanghai Jiao Tong University; University of Oxford</t>
  </si>
  <si>
    <t>A medical multimodal large language model for future pandemics</t>
  </si>
  <si>
    <t>TECHNOLOGY; CT</t>
  </si>
  <si>
    <t>wang, chenyang/KFQ-7453-2024; you, chenyu/AFK-5803-2022; Liu, Zhangdaihong/OZF-1301-2025; Wu, Xian/JRW-5738-2023; Lu, Lei/AFG-2253-2022; Zhu, Tingting/O-6989-2017; Zheng, Yefeng/ABG-7053-2020</t>
  </si>
  <si>
    <t>you, chenyu/0000-0001-8365-7822; Liu, Fenglin/0000-0001-7715-5228; Wu, Xian/0000-0003-1118-9710; Lu, Lei/0000-0001-9139-8955; Zhu, Tingting/0000-0002-1552-5630</t>
  </si>
  <si>
    <t>105</t>
  </si>
  <si>
    <t>129</t>
  </si>
  <si>
    <t>148</t>
  </si>
  <si>
    <t>DEC 2 2023</t>
  </si>
  <si>
    <t>10.1038/s41746-023-00952-2</t>
  </si>
  <si>
    <t>http://dx.doi.org/10.1038/s41746-023-00952-2</t>
  </si>
  <si>
    <t>Z5EG5</t>
  </si>
  <si>
    <t>38042919</t>
  </si>
  <si>
    <t>WOS:001112300500002</t>
  </si>
  <si>
    <t>Zhou, JX; He, XA; Sun, LY; Xu, JN; Chen, XY; Chu, YT; Zhou, LX; Liao, XY; Zhang, B; Afvari, S; Gao, X</t>
  </si>
  <si>
    <t>Large language models (LLMs) are seen to have tremendous potential in advancing medical diagnosis recently, particularly in dermatological diagnosis, which is a very important task as skin and subcutaneous diseases rank high among the leading contributors to the global burden of nonfatal diseases. Here we present SkinGPT-4, which is an interactive dermatology diagnostic system based on multimodal large language models. We have aligned a pre-trained vision transformer with an LLM named Llama-2-13b-chat by collecting an extensive collection of skin disease images (comprising 52,929 publicly available and proprietary images) along with clinical concepts and doctors' notes, and designing a two-step training strategy. We have quantitatively evaluated SkinGPT-4 on 150 real-life cases with board-certified dermatologists. With SkinGPT-4, users could upload their own skin photos for diagnosis, and the system could autonomously evaluate the images, identify the characteristics and categories of the skin conditions, perform in-depth analysis, and provide interactive treatment recommendations.Here, authors develop SkinGPT-4, an interactive dermatology diagnostic system that uses multimodal large language models and aligns a vision transformer with Llama-2-13b-chat. Evaluated by dermatologists, it offers autonomous diagnosis and treatment recommendations.</t>
  </si>
  <si>
    <t>Zhou, Juexiao; He, Xiaonan; Sun, Liyuan; Xu, Jiannan; Chen, Xiuying; Chu, Yuetan; Zhou, Longxi; Liao, Xingyu; Zhang, Bin; Afvari, Shawn; Gao, Xin</t>
  </si>
  <si>
    <t>Gao, X (corresponding author), King Abdullah Univ Sci &amp; Technol KAUST, Comp Sci Program, Comp Elect &amp; Math Sci &amp; Engn Div, Thuwal, Saudi Arabia.; Gao, X (corresponding author), King Abdullah Univ Sci &amp; Technol KAUST, Computat Biosci Res Ctr, Comp Elect &amp; Math Sci &amp; Engn Div, Thuwal 239556900, Saudi Arabia.; He, XA (corresponding author), Capital Med Univ, Beijing AnZhen Hosp, Emergency Crit Care Ctr, Beijing, Peoples R China.</t>
  </si>
  <si>
    <t>xin.gao@kaust.edu.sa; hxndoctor@126.com</t>
  </si>
  <si>
    <t>Office of Research Administration (ORA) at King Abdullah University of Science and Technology (KAUST) [FCC/1/1976-44-01, FCC/1/1976-45-01, REI/1/5202-01-01, REI/1/5234-01-01, REI/1/4940-01-01, RGC/3/4816-01-01, REI/1/0018-01-01]; National Natural Science Foundation of China [62272327]</t>
  </si>
  <si>
    <t>Office of Research Administration (ORA) at King Abdullah University of Science and Technology (KAUST); National Natural Science Foundation of China (National Natural Science Foundation of China (NSFC))</t>
  </si>
  <si>
    <t>Juexiao Zhou, Xiuying Chen, Yuetan Chu, Longxi Zhou, Xingyu Liao, Bin Zhang, and Xin Gao were supported in part by grants from the Office of Research Administration (ORA) at King Abdullah University of Science and Technology (KAUST) under award number FCC/1/1976-44-01, FCC/1/1976-45-01, REI/1/5202-01-01, REI/1/5234-01-01, REI/1/4940-01-01, RGC/3/4816-01-01, and REI/1/0018-01-01. Xiaonan He was supported by the foundation of the National Natural Science Foundation of China (No. 62272327). Thanks to Jun Chen, the author of MiniGPT-4, for the discussion of this work. The portion of the cartoon logo in this work is designed by Freepik.</t>
  </si>
  <si>
    <t>[Zhou, Juexiao; Chen, Xiuying; Chu, Yuetan; Zhou, Longxi; Liao, Xingyu; Zhang, Bin; Gao, Xin] King Abdullah Univ Sci &amp; Technol KAUST, Comp Sci Program, Comp Elect &amp; Math Sci &amp; Engn Div, Thuwal, Saudi Arabia; [Zhou, Juexiao; Chen, Xiuying; Chu, Yuetan; Zhou, Longxi; Liao, Xingyu; Zhang, Bin; Gao, Xin] King Abdullah Univ Sci &amp; Technol KAUST, Computat Biosci Res Ctr, Comp Elect &amp; Math Sci &amp; Engn Div, Thuwal 239556900, Saudi Arabia; [Zhou, Juexiao; Afvari, Shawn] DermAssure LLC, New York, NY USA; [He, Xiaonan] Capital Med Univ, Beijing AnZhen Hosp, Emergency Crit Care Ctr, Beijing, Peoples R China; [Sun, Liyuan; Xu, Jiannan] Capital Med Univ, Beijing AnZhen Hosp, Dept Dermatol, Beijing, Peoples R China; [Afvari, Shawn] Harvard Univ, Brigham &amp; Womens Hosp, Dept Dermatol, Boston, MA USA; [Afvari, Shawn] New York Med Coll, Sch Med, Valhalla, NY USA</t>
  </si>
  <si>
    <t>King Abdullah University of Science &amp; Technology; King Abdullah University of Science &amp; Technology; Capital Medical University; Capital Medical University; Harvard University; Harvard University Medical Affiliates; Brigham &amp; Women's Hospital; New York Medical College</t>
  </si>
  <si>
    <t>Pre-trained multimodal large language model enhances dermatological diagnosis using SkinGPT-4</t>
  </si>
  <si>
    <t>SKIN-CANCER; ARTIFICIAL-INTELLIGENCE; LEVEL CLASSIFICATION; GLOBAL BURDEN; MELANOMA; ALGORITHMS; PRACTITIONERS; DISEASE</t>
  </si>
  <si>
    <t>Chu, Yuetan/OEO-3612-2025; Zhou, Longxi/AHB-1065-2022; zhang, bin/JJD-2446-2023; Zhou, Juexiao/KFA-5359-2024; Gao, Xin/D-5487-2013; Liao, Xingyu/KHE-4272-2024</t>
  </si>
  <si>
    <t>Chu, Yuetan/0000-0003-1729-831X; Zhou, Longxi/0000-0003-0116-9361; zhang, bin/0000-0001-8835-8370; Zhou, Juexiao/0000-0002-6739-6236; Gao, Xin/0000-0002-7108-3574; Liao, Xingyu/0000-0002-0061-1317</t>
  </si>
  <si>
    <t>81</t>
  </si>
  <si>
    <t>147</t>
  </si>
  <si>
    <t>JUL 5 2024</t>
  </si>
  <si>
    <t>5649</t>
  </si>
  <si>
    <t>10.1038/s41467-024-50043-3</t>
  </si>
  <si>
    <t>http://dx.doi.org/10.1038/s41467-024-50043-3</t>
  </si>
  <si>
    <t>XR2Z2</t>
  </si>
  <si>
    <t>38969632</t>
  </si>
  <si>
    <t>WOS:001263353700018</t>
  </si>
  <si>
    <t>Rubegni, G; Romano, D; Colizzi, B; Castellino, N; Cartocci, A; Luschi, A; Rabiolo, A; De Cillà, S; Tosi, GM; Rossetti, L</t>
  </si>
  <si>
    <t>Purpose To evaluate the diagnostic performance of a general-purpose vision-language model (GPT-4o) in interpreting gonioscopic images of the anterior chamber angle, with a focus on angle configuration classification and Shaffer grading. Methods A total of 80 slit-lamp goniophotographs representing a range of anterior chamber angle (ACA) configurations were collected from a digital image repository and a specialized textbook. Each image was evaluated by three glaucoma specialists (reference standard), three comprehensive ophthalmologists, and GPT-4o across three trials. GPT-4o was prompted with a standardized diagnostic instruction and shown one example per Shaffer grade prior to evaluation. Performance metrics included accuracy, sensitivity, specificity, Quadratic Weighted Kappa (QWK), and Fleiss' Kappa. Descriptive analyses and confusion matrices were used to assess misclassification patterns. Results GPT-4o demonstrated high accuracy in classifying angle configuration (91.3%, 91.3%, and 90.0% across trials) with perfect or near-perfect specificity (&gt; 98%) but moderate sensitivity (56.3%) for detecting closed angles. In Shaffer grading, GPT-4o showed moderate agreement with expert consensus (QWK = 0.471-0.573) and fair inter-trial consistency (Fleiss' Kappa = 0.235). Misclassifications occurred predominantly between adjacent grades, particularly underestimating wide angles. Comprehensive ophthalmologists achieved higher sensitivity and agreement with the reference standard in both classification tasks. Conclusion GPT-4o was able to produce structured, clinically relevant assessments of gonioscopic images without domain-specific training. Although outperformed by comprehensive ophthalmologists and previous task-specific AI models, GPT-4o demonstrated consistent performance with potential utility as a supportive tool in settings with limited specialist access. Further refinement and clinical validation are needed to improve its reliability in grading tasks.</t>
  </si>
  <si>
    <t>Rubegni, Giovanni; Romano, Dario; Colizzi, Benedetta; Castellino, Niccolo; Cartocci, Alessandra; Luschi, Alessio; Rabiolo, Alessandro; De Cilla, Stefano; Tosi, Gian Marco; Rossetti, Luca</t>
  </si>
  <si>
    <t>Rubegni, G (corresponding author), Univ Siena, Dept Med Surg &amp; Neurosci, Ophthalmol Unit, Siena, Italy.</t>
  </si>
  <si>
    <t>giovannirubegni@gmail.com</t>
  </si>
  <si>
    <t>[Rubegni, Giovanni; Tosi, Gian Marco] Univ Siena, Dept Med Surg &amp; Neurosci, Ophthalmol Unit, Siena, Italy; [Romano, Dario; Colizzi, Benedetta; Rossetti, Luca] Univ Milan, ASST Santi Paolo &amp; Carlo, Eye Clin, Milan, Italy; [Castellino, Niccolo] Univ Catania, Dept Ophthalmol, Catania, Italy; [Cartocci, Alessandra; Luschi, Alessio] Univ Siena, Dept Med Surg &amp; Neurol Sci, Dermatol Sect, Siena, Italy; [Rabiolo, Alessandro; De Cilla, Stefano] Univ Piemonte Orientale Amedeo Avogadro, Dept Hlth Sci, Novara, Italy; [Rabiolo, Alessandro] IRCSS Fdn Bietti, Rome, Italy</t>
  </si>
  <si>
    <t>University of Siena; University of Milan; University of Catania; University of Siena; University of Eastern Piedmont Amedeo Avogadro</t>
  </si>
  <si>
    <t>Automated iridocorneal angle classification using a multimodal large language model</t>
  </si>
  <si>
    <t>GRAEFES ARCHIVE FOR CLINICAL AND EXPERIMENTAL OPHTHALMOLOGY</t>
  </si>
  <si>
    <t>Glaucoma; Gonioscopy; Large language model; Artificial intelligence</t>
  </si>
  <si>
    <t>CLOSURE GLAUCOMA; GONIOSCOPY</t>
  </si>
  <si>
    <t>Castellino, Niccolò/AAC-4717-2022; Romano, Dario/IAR-9487-2023; Rabiolo, Alessandro/J-2831-2019; Cartocci, Alessandra/AAB-5831-2020; Luschi, Alessio/AAD-3501-2021</t>
  </si>
  <si>
    <t>Cartocci, Alessandra/0000-0002-1818-6275</t>
  </si>
  <si>
    <t>0721-832X</t>
  </si>
  <si>
    <t>1435-702X</t>
  </si>
  <si>
    <t>GRAEF ARCH CLIN EXP</t>
  </si>
  <si>
    <t>Graefes Arch. Clin. Exp. Ophthalmol.</t>
  </si>
  <si>
    <t>10.1007/s00417-026-07333-x</t>
  </si>
  <si>
    <t>http://dx.doi.org/10.1007/s00417-026-07333-x</t>
  </si>
  <si>
    <t>KF6DC</t>
  </si>
  <si>
    <t>42363984</t>
  </si>
  <si>
    <t>WOS:001805795900001</t>
  </si>
  <si>
    <t>Riediger, C; Ferl, M; Lohrengel, M; Illiger, S; Lohmann, CH; Schönrogge, M</t>
  </si>
  <si>
    <t>BackgroundAccurate identification of implants in total knee arthroplasty (TKA) is essential for revision arthroplasty but is often complicated by incomplete documentation. While convolutional neural networks (CNNs) achieve high accuracy in implant recognition, the role of multimodal large language models (LLMs), such as ChatGPT remains unclear.MethodsThis study combined a retrospective radiographic analysis of 80 bicompartmental TKA cases with a structured comparison of CNN-based classification and LLM-based interpretive reasoning. The analysis included four implant systems. Convolutional neural networks served as benchmark references, while a multimodal large language model (ChatGPT) was evaluated for implant identification, reasoning, and confidence estimation.ResultsRadiographs in anteroposterior projection showed higher recognition performance than lateral views across all systems. The combined use of both projections improved reliability, indicating dependence on complementary morphological features. Convolutional neural network-based approaches achieved accuracies exceeding 99%. In contrast, the evaluated large language model provided contextual interpretation and implant suggestions but lacked measurable classification accuracy. Confidence levels were moderate (median 0.63-0.70). Interrater agreement was moderate to substantial (kappa = 0.52-0.74).ConclusionConvolutional neural network-based algorithms remain the gold standard for implant classification. Multimodal large language models provide complementary strengths in contextual reasoning. Hybrid approaches may improve clinical workflows in revision arthroplasty.HintergrundDie pr &amp; auml;zise Identifikation von Implantaten in der totalen Knienedoprothetik (TKA) ist essenziell f &amp; uuml;r die Planung von Revisionseingriffen, wird jedoch h &amp; auml;ufig durch unvollst &amp; auml;ndige Dokumentation erschwert. W &amp; auml;hrend konvolutionelle neuronale Netzwerke (CNN) eine hohe Genauigkeit in der Implantaterkennung erreichen, ist die Rolle multimodaler Large Language Models (LLM) wie ChatGPT bislang unklar.MethodenDie Studie kombiniert eine retrospektive Analyse von 80 bikompartimentellen TKA-F &amp; auml;llen mit einem Vergleich von CNN-basierter Klassifikation und LLM-basierter Interpretation. Hierbei wurden vier Implantatsysteme untersucht. Konvolutionelle neuronale Netzwerke dienten als Referenz, w &amp; auml;hrend ein multimodales LLM (ChatGPT) hinsichtlich Implantatidentifikation, Analyse und Konfidenz bewertet wurde.ErgebnisseAnterior-posteriore Aufnahmen zeigten eine h &amp; ouml;here Erkennungsleistung als seitliche Projektionen. Die Kombination beider Ebenen verbesserte die Identifikationssicherheit. Die CNN-basierten Verfahren erreichten Genauigkeiten von &amp; uuml;ber 99 %. Das LLM lieferte kontextuelle Interpretation und Implantatvorschl &amp; auml;ge, jedoch ohne messbare Klassifikationsgenauigkeit. Die Konfidenz war moderat (Median 0.63-0.70). Die &amp; Uuml;bereinstimmung war moderat bis substanziell (kappa = 0.52-0.74).SchlussfolgerungAuf CNN-basierte Algorithmen bleiben der Goldstandard f &amp; uuml;r die Implantaterkennung. Multimodale LLM bieten erg &amp; auml;nzende St &amp; auml;rken in der kontextuellen Interpretation. Hybride Ans &amp; auml;tze k &amp; ouml;nnten klinische Entscheidungsprozesse in der Revisionsendoprothetik verbessern.</t>
  </si>
  <si>
    <t>Riediger, Christian; Ferl, Mark; Lohrengel, Martin; Illiger, Sebastian; Lohmann, Christoph H.; Schonrogge, Maria</t>
  </si>
  <si>
    <t>Riediger, C (corresponding author), Otto Guericke Univ Magdeburg, Orthopaed Univ Clin Magdeburg, Magdeburg, Germany.</t>
  </si>
  <si>
    <t>christian.riediger@med.ovgu.de</t>
  </si>
  <si>
    <t>Otto-von-Guericke-Universitt Magdeburg (3121)</t>
  </si>
  <si>
    <t>Open Access funding enabled and organized by Projekt DEAL.</t>
  </si>
  <si>
    <t>[Riediger, Christian; Ferl, Mark; Lohrengel, Martin; Illiger, Sebastian; Lohmann, Christoph H.; Schonrogge, Maria] Otto Guericke Univ Magdeburg, Orthopaed Univ Clin Magdeburg, Magdeburg, Germany</t>
  </si>
  <si>
    <t>Otto von Guericke University</t>
  </si>
  <si>
    <t>Complementary roles of convolutional neural networks and multimodal large language models (ChatGPT) in radiographic implant identification</t>
  </si>
  <si>
    <t>ORTHOPADIE</t>
  </si>
  <si>
    <t>Orthopedic imaging; Radiographic analysis; Clinical decision support; Artificial intelligence; Revision arthroplasty; Orthop &amp; auml;dische Bildgebung; R &amp; ouml;ntgenologische Untersuchung; Unterst &amp; uuml;tzung klinischer Entscheidungsprozesse; K &amp; uuml;nstliche Intelligenz; Revisionsendoprothetik</t>
  </si>
  <si>
    <t>KNEE ARTHROPLASTY; HIP</t>
  </si>
  <si>
    <t>2731-7145</t>
  </si>
  <si>
    <t>2731-7153</t>
  </si>
  <si>
    <t>Orthopadie</t>
  </si>
  <si>
    <t>10.1007/s00132-026-04836-7</t>
  </si>
  <si>
    <t>http://dx.doi.org/10.1007/s00132-026-04836-7</t>
  </si>
  <si>
    <t>HM6XY</t>
  </si>
  <si>
    <t>WOS:001757693600001</t>
  </si>
  <si>
    <t>Chen, CJ; Wang, YQ; Zhang, X; Han, JH; Hu, PH; Liu, JJ; Cao, LL</t>
  </si>
  <si>
    <t>Background This study aims to develop and evaluate a multimodal large language model (LLM) for predicting refractive error (diopter) in adolescents by integrating fundus images with clinical and demographic data. The goal is to demonstrate how such a model can serve as a digital health tool for early screening and personalized management of refractive conditions in clinical and remote health settings.Methods A dataset of 16,226 annotated records from adolescents aged 2 to 18 years was used. A vision-language foundation model based on Qwen2.5-VL was fine-tuned using supervised learning, incorporating both imaging and clinical data to predict spherical equivalent (SE). The model was trained on a randomly split dataset, and performance was evaluated using mean absolute error (MAE), root mean square error (RMSE), coefficient of determination (R2) and the Pearson correlation coefficient.Results The model achieved a mean absolute error of 0.647 diopters and showed strong predictive performance across most refractive subgroups. The incorporation of multimodal data significantly outperformed single-modality models. Visualization analyses confirmed that the model's predictions are clinically interpretable and reliable.Conclusions This multimodal LLM demonstrates the potential of digital health technologies to enhance refractive error prediction in adolescents. Its integration into digital health platforms can provide a non-invasive, scalable solution for early myopia screening, making it an invaluable tool for clinicians in both remote and urban settings.</t>
  </si>
  <si>
    <t>Chen, Chaojun; Wang, Yaqi; Zhang, Xia; Han, Jiahong; Hu, Pinghui; Liu, Jianjun; Cao, Leilei</t>
  </si>
  <si>
    <t>Liu, JJ (corresponding author), Soochow Univ, Dept Ophthalmol &amp; Optometry, Lixiang Eye Hosp, Suzhou, Jiangsu, Peoples R China.; Cao, LL (corresponding author), Zhejiang Univ, Innovat Ctr Yangtze River Delta, Jiaxing, Zhejiang, Peoples R China.</t>
  </si>
  <si>
    <t>13862410202@163.com; caoleilei@zju.edu.cn</t>
  </si>
  <si>
    <t>[Chen, Chaojun; Wang, Yaqi; Zhang, Xia; Han, Jiahong; Hu, Pinghui; Liu, Jianjun] Soochow Univ, Dept Ophthalmol &amp; Optometry, Lixiang Eye Hosp, Suzhou, Jiangsu, Peoples R China; [Cao, Leilei] Zhejiang Univ, Innovat Ctr Yangtze River Delta, Jiaxing, Zhejiang, Peoples R China</t>
  </si>
  <si>
    <t>Soochow University - China; Zhejiang University</t>
  </si>
  <si>
    <t>Prediction of refractive error in adolescents using a multimodal large language model</t>
  </si>
  <si>
    <t>FRONTIERS IN MEDICINE</t>
  </si>
  <si>
    <t>artificial intelligence; fundus imaging; multimodal large language model; myopia prevention and control; pediatric refractive error</t>
  </si>
  <si>
    <t>2296-858X</t>
  </si>
  <si>
    <t>FRONT MED-LAUSANNE</t>
  </si>
  <si>
    <t>Front. Med.</t>
  </si>
  <si>
    <t>MAR 10 2026</t>
  </si>
  <si>
    <t>1770007</t>
  </si>
  <si>
    <t>10.3389/fmed.2026.1770007</t>
  </si>
  <si>
    <t>http://dx.doi.org/10.3389/fmed.2026.1770007</t>
  </si>
  <si>
    <t>FL6BR</t>
  </si>
  <si>
    <t>41884122</t>
  </si>
  <si>
    <t>WOS:001721663900001</t>
  </si>
  <si>
    <t>Laohawetwanit, T; Dixit, S; Agarwal, S; Yoshikawa, AL; Bychkov, A</t>
  </si>
  <si>
    <t>Thyroid fine-needle aspiration (FNA) cytology is a widely used, cost-effective method for evaluating thyroid nodules. However, interpretation of thyroid FNA smears remains challenging, particularly in settings with limited access to experienced cytopathologists. Multimodal large language models (LLMs) have shown potential in static image interpretation in histopathology and may serve as supportive tools when expert review is unavailable. Nevertheless, data regarding their application in cytopathology, including thyroid cytology, remain limited. In this study, we evaluated the diagnostic accuracy and consistency of ChatGPT and Gemini in interpreting 100 thyroid FNA cytology images, comprising 50 cases of papillary thyroid carcinoma (PTC) and 50 nonPTC lesions, including follicular nodular disease, follicular neoplasm, medullary thyroid carcinoma, and anaplastic thyroid carcinoma. Representative images were captured at 40 &amp; times; magnification and reviewed by expert pathologists to confirm the reference diagnoses. Each image was analyzed by ChatGPT and Gemini across five separate rounds. For the class-based analysis, ChatGPT and Gemini achieved mean diagnostic accuracies of 26.2% and 23.6%, respectively, based on Bethesda categories, and 39.2% and 20.2%, respectively, for specific diagnostic entities. ChatGPT rendered a higher number of suspicious for malignancy and atypia of undetermined significance diagnoses than Gemini. Five-image submission and inclusion of TIRADS data improved performance metrics in some instances. Medullary and anaplastic thyroid carcinomas were rarely correctly identified. In conclusion, although ChatGPT and Gemini demonstrated the potential of LLMs in cytologic image interpretation and drafting descriptive reports, their diagnostic performance in thyroid FNA cytology was limited, underscoring the current constraints of LLMs in this domain.</t>
  </si>
  <si>
    <t>Laohawetwanit, Thiyaphat; Dixit, Sonali; Agarwal, Shipra; Yoshikawa, Akira Leon; Bychkov, Andrey</t>
  </si>
  <si>
    <t>Bychkov, A (corresponding author), Kameda Med Ctr, Dept Pathol, Digital Pathol, Kamogawa, Chiba 2968602, Japan.</t>
  </si>
  <si>
    <t>drshipra0902@gmail.com; thiyapat@tu.ac.th; sonali21dixit@gmail.com; yoshikawa.akira@kameda.jp; bychkov.andrey@kameda.jp</t>
  </si>
  <si>
    <t>[Laohawetwanit, Thiyaphat] Thammasat Univ, Chulabhorn Int Coll Med, Div Pathol, Pathum Thani, Thailand; [Dixit, Sonali; Agarwal, Shipra] All India Inst Med Sci, Dept Pathol, New Delhi, India; [Yoshikawa, Akira Leon; Bychkov, Andrey] Kameda Med Ctr, Dept Pathol, Kamogawa, Chiba, Japan; [Yoshikawa, Akira Leon; Bychkov, Andrey] Nagasaki Univ, Grad Sch Biomed Sci, Dept Pathol Informat, Nagasaki, Japan; [Yoshikawa, Akira Leon] Juntendo Univ, Grad Sch Med, Dept Biochem &amp; Syst Biomed, Tokyo, Japan</t>
  </si>
  <si>
    <t>Thammasat University; Chulabhorn Research Institute; All India Institute of Medical Sciences (AIIMS) New Delhi; Nagasaki University; Juntendo University</t>
  </si>
  <si>
    <t>Evaluating the diagnostic performance of multimodal large language models in thyroid cytology</t>
  </si>
  <si>
    <t>HUMAN PATHOLOGY</t>
  </si>
  <si>
    <t>Thyroid cytology; ChatGPT; Thyroid nodules; Thyroid cancer; Fine-needle aspiration</t>
  </si>
  <si>
    <t>UNDETERMINED SIGNIFICANCE; SYSTEM; REPRODUCIBILITY; PATHOLOGY; ATYPIA</t>
  </si>
  <si>
    <t>Bychkov, Andrey/N-1884-2019; /ACS-0091-2022</t>
  </si>
  <si>
    <t>W B SAUNDERS CO-ELSEVIER INC</t>
  </si>
  <si>
    <t>1600 JOHN F KENNEDY BOULEVARD, STE 1800, PHILADELPHIA, PA 19103-2899 USA</t>
  </si>
  <si>
    <t>0046-8177</t>
  </si>
  <si>
    <t>1532-8392</t>
  </si>
  <si>
    <t>HUM PATHOL</t>
  </si>
  <si>
    <t>Hum. Pathol.</t>
  </si>
  <si>
    <t>175</t>
  </si>
  <si>
    <t>106156</t>
  </si>
  <si>
    <t>10.1016/j.humpath.2026.106156</t>
  </si>
  <si>
    <t>http://dx.doi.org/10.1016/j.humpath.2026.106156</t>
  </si>
  <si>
    <t>Pathology</t>
  </si>
  <si>
    <t>JI9NP</t>
  </si>
  <si>
    <t>42144078</t>
  </si>
  <si>
    <t>WOS:001790434000001</t>
  </si>
  <si>
    <t>Suárez, A; Freire, Y; Suárez, M; García, VDF; Andreu-Vázquez, C; Vasallo, IJT; Varón, AIC; Martín, C</t>
  </si>
  <si>
    <t>ObjectiveThis study evaluated the accuracy and repeatability of ChatGPT-4o, a multimodal AI model, in interpreting photographs of oral mucosal lesions, and explored its potential as a diagnostic support tool for specialists and non-specialists.MethodsThirty clinical photographs of oral and labial mucosal lesions were analysed using ChatGPT-4o. For each image, 30 responses were generated across 20 days. The model was asked to identify the anatomical location, suggest a diagnosis, and recommend diagnostic tests and treatments. Two oral pathology experts assessed 3600 responses using a three-point scale (0 = incorrect, 1 = partially correct, 2 = correct). Accuracy and repeatability were analysed using accuracy rates, Gwet's AC and percent agreement.ResultsChatGPT-4o achieved 71.4% accuracy in identifying lesion location and 58.2% in diagnosis. In cases with correct diagnoses, the model reached 90.7% and 95.8% accuracy in suggesting diagnostic tests and treatments, respectively. Repeated responses showed substantial to almost perfect agreement across all evaluated aspects.ConclusionsChatGPT-4o showed potential as a reliable and accessible tool to support the initial assessment of oral lesions. Although not a substitute for clinical judgment, it may enhance diagnostic efficiency, particularly in resource-limited settings. Further validation is needed before clinical use.</t>
  </si>
  <si>
    <t>Suarez, Ana; Freire, Yolanda; Suarez, Maria; Garcia, Victor Diaz-Flores; Andreu-Vazquez, Cristina; Vasallo, Israel John Thuissard; Varon, Ana Isabel Castillo; Martin, Carmen</t>
  </si>
  <si>
    <t>García, VDF (corresponding author), Univ Europea Madrid, Fac Biomed &amp; Hlth Sci, Dept preclin Dent 1, Madrid, Spain.</t>
  </si>
  <si>
    <t>victor.diaz-flores@universidadeuropea.es</t>
  </si>
  <si>
    <t>[Suarez, Ana; Freire, Yolanda; Suarez, Maria; Martin, Carmen] Univ Europea Madrid, Fac Biomed &amp; Hlth Sci, Dept Preclin Dent 2, Madrid, Spain; [Garcia, Victor Diaz-Flores] Univ Europea Madrid, Fac Biomed &amp; Hlth Sci, Dept preclin Dent 1, Madrid, Spain; [Andreu-Vazquez, Cristina] Univ Europea Madrid, Fac Biomed &amp; Hlth Sci, Dept Vet Med, Madrid, Spain; [Vasallo, Israel John Thuissard] Univ Europea Madrid, Sch Doctoral Studies &amp; Res, Madrid, Spain; [Varon, Ana Isabel Castillo] Univ Europea Madrid, Fac Med Hlth &amp; Sports, Dept Med, Madrid, Spain</t>
  </si>
  <si>
    <t>European University of Madrid; European University of Madrid; European University of Madrid; European University of Madrid; European University of Madrid</t>
  </si>
  <si>
    <t>Diagnostic Performance of Multimodal Large Language Models in the Analysis of Oral Pathology</t>
  </si>
  <si>
    <t>ORAL DISEASES</t>
  </si>
  <si>
    <t>artificial intelligence; ChatGPT; dentistry; large language models; multimodal transformers; oral pathology</t>
  </si>
  <si>
    <t>Freire, Yolanda/AEP-3906-2022; Andreu-Vazquez, Cristina/ACX-4036-2022; Díaz-Flores Garcia, Victor/Z-5187-2019; Martin Carreras-Presas, Carmen/AAF-7303-2021; Suarez Garcia, Ana/ABB-2464-2021</t>
  </si>
  <si>
    <t>Díaz-Flores Garcia, Victor/0000-0001-6141-0546; Martin Carreras-Presas, Carmen/0000-0002-0937-0994; Suarez Garcia, Ana/0000-0003-2448-6669; Hassanein, Fatma El-Sayed Ahmed/0009-0000-8010-9265</t>
  </si>
  <si>
    <t>1354-523X</t>
  </si>
  <si>
    <t>1601-0825</t>
  </si>
  <si>
    <t>ORAL DIS</t>
  </si>
  <si>
    <t>Oral Dis.</t>
  </si>
  <si>
    <t>3344</t>
  </si>
  <si>
    <t>3354</t>
  </si>
  <si>
    <t>10.1111/odi.70009</t>
  </si>
  <si>
    <t>http://dx.doi.org/10.1111/odi.70009</t>
  </si>
  <si>
    <t>FP3MM</t>
  </si>
  <si>
    <t>40545674</t>
  </si>
  <si>
    <t>WOS:001512808900001</t>
  </si>
  <si>
    <t>Lee, S; Youn, J; Kim, H; Kim, M; Yoon, SH</t>
  </si>
  <si>
    <t>ObjectiveThis study aimed to develop an open-source multimodal large language model (CXR-LLaVA) for interpreting chest X-ray images (CXRs), leveraging recent advances in large language models (LLMs) to potentially replicate the image interpretation skills of human radiologists.Materials and methodsFor training, we collected 592,580 publicly available CXRs, of which 374,881 had labels for certain radiographic abnormalities (Dataset 1) and 217,699 provided free-text radiology reports (Dataset 2). After pre-training a vision transformer with Dataset 1, we integrated it with an LLM influenced by the LLaVA network. Then, the model was fine-tuned, primarily using Dataset 2. The model's diagnostic performance for major pathological findings was evaluated, along with the acceptability of radiologic reports by human radiologists, to gauge its potential for autonomous reporting.ResultsThe model demonstrated impressive performance in test sets, achieving an average F1 score of 0.81 for six major pathological findings in the MIMIC internal test set and 0.56 for six major pathological findings in the external test set. The model's F1 scores surpassed those of GPT-4-vision and Gemini-Pro-Vision in both test sets. In human radiologist evaluations of the external test set, the model achieved a 72.7% success rate in autonomous reporting, slightly below the 84.0% rate of ground truth reports.ConclusionThis study highlights the significant potential of multimodal LLMs for CXR interpretation, while also acknowledging the performance limitations. Despite these challenges, we believe that making our model open-source will catalyze further research, expanding its effectiveness and applicability in various clinical contexts.Key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t>
  </si>
  <si>
    <t>Lee, Seowoo; Youn, Jiwon; Kim, Hyungjin; Kim, Mansu; Yoon, Soon Ho</t>
  </si>
  <si>
    <t>Yoon, SH (corresponding author), Seoul Natl Univ, Coll Med, Seoul Natl Univ Hosp, Dept Radiol, Seoul, South Korea.; Kim, M (corresponding author), Gwangju Inst Sci &amp; Technol, AI Grad Sch, Gwangju, South Korea.</t>
  </si>
  <si>
    <t>mansu.kim@gist.ac.kr; yshoka@snu.ac.kr</t>
  </si>
  <si>
    <t>National Research Foundation of Korea</t>
  </si>
  <si>
    <t>National Research Foundation of Korea (National Research Foundation of Korea)</t>
  </si>
  <si>
    <t>We appreciate the support of high-performance graphic processing unit computing provided by the High-Performance Computing and Artificial Intelligence Open Infrastructure at the Gwangju Institute of Science and Technology Super Computing Center. We also acknowledge the utilization of large language model (GPT-4, OpenAI) to enhance the quality of our medical writing. Any revisions made by large language model was thoroughly reviewed by the authors and subsequent adjustments were made as deemed appropriate.</t>
  </si>
  <si>
    <t>[Lee, Seowoo; Kim, Hyungjin; Yoon, Soon Ho] Seoul Natl Univ, Coll Med, Seoul Natl Univ Hosp, Dept Radiol, Seoul, South Korea; [Youn, Jiwon; Kim, Mansu] Gwangju Inst Sci &amp; Technol, AI Grad Sch, Gwangju, South Korea</t>
  </si>
  <si>
    <t>Seoul National University (SNU); Seoul National University Hospital; Seoul National University Hospital; Gwangju Institute of Science &amp; Technology (GIST)</t>
  </si>
  <si>
    <t>CXR-LLaVA: a multimodal large language model for interpreting chest X-ray images</t>
  </si>
  <si>
    <t>Radiography (thoracic); Thorax; Deep learning; Image interpretation, Image interpretation (computer-assisted)</t>
  </si>
  <si>
    <t>Kim, Mansu/AAI-4977-2021; Yoon, Soon Ho/AAL-1640-2020</t>
  </si>
  <si>
    <t>Kim, Mansu/0000-0002-0785-4514; Yoon, Soon Ho/0000-0002-3700-0165</t>
  </si>
  <si>
    <t>4374</t>
  </si>
  <si>
    <t>4386</t>
  </si>
  <si>
    <t>10.1007/s00330-024-11339-6</t>
  </si>
  <si>
    <t>http://dx.doi.org/10.1007/s00330-024-11339-6</t>
  </si>
  <si>
    <t>3SM2H</t>
  </si>
  <si>
    <t>39812665</t>
  </si>
  <si>
    <t>WOS:001396132800001</t>
  </si>
  <si>
    <t>Sun, K; Xue, SY; Sun, FC; Sun, HR; Luo, Y; Wang, L; Wang, SY; Guo, N; Liu, L; Zhao, T; Wang, XZ; Yang, L; Jin, S; Yan, J; Dong, JH</t>
  </si>
  <si>
    <t>Recent advancements in deep learning have significantly revolutionized the field of clinical diagnosis and treatment, offering novel approaches to improve diagnostic precision and treatment efficacy across diverse clinical domains, thus driving the pursuit of precision medicine. The growing availability of multi-organ and multimodal datasets has accelerated the development of large-scale Medical Multimodal Foundation Models (MMFMs). These models, known for their strong generalization capabilities and rich representational power, are increasingly being adapted to address a wide range of clinical tasks, from early diagnosis to personalized treatment strategies. This review offers a comprehensive analysis of recent developments in MMFMs, focusing on three key aspects: datasets, model architectures, and clinical applications. We also explore the challenges and opportunities in optimizing multimodal representations and discuss how these advancements are shaping the future of healthcare by enabling improved patient outcomes and more efficient clinical workflows.</t>
  </si>
  <si>
    <t>Sun, Kai; Xue, Siyan; Sun, Fuchun; Sun, Haoran; Luo, Yu; Wang, Ling; Wang, Siyuan; Guo, Na; Liu, Lei; Zhao, Tian; Wang, Xinzhou; Yang, Lei; Jin, Shuo; Yan, Jun; Dong, Jiahong</t>
  </si>
  <si>
    <t>Sun, FC (corresponding author), Tsinghua Univ, Dept Comp Sci &amp; Technol, Beijing, Peoples R China.; Yan, J; Dong, JH (corresponding author), Tsinghua Univ, Beijing Tsinghua Changgung Hosp, Hepatopancreato Biliary Ctr, Sch Clin Med, 168 Litang Rd, Beijing 102218, Peoples R China.</t>
  </si>
  <si>
    <t>dongjiahong@mail.tsinghua.edu.cn; fcsun@tsinghua.edu.cn; yanjun1619@tsinghua.edu.cn</t>
  </si>
  <si>
    <t>National Natural Science Foundation of China [82090050, 82090053]; Tsinghua University Initiative Scientific Research Program of Precision Medicine [2022ZLA006]</t>
  </si>
  <si>
    <t>National Natural Science Foundation of China (National Natural Science Foundation of China (NSFC)); Tsinghua University Initiative Scientific Research Program of Precision Medicine (Tsinghua University)</t>
  </si>
  <si>
    <t>This study was supported by the National Natural Science Foundation of China (No. 82090050, No. 82090053) and Tsinghua University Initiative Scientific Research Program of Precision Medicine (No. 2022ZLA006) .</t>
  </si>
  <si>
    <t>[Sun, Kai; Xue, Siyan; Sun, Haoran; Liu, Lei; Zhao, Tian; Dong, Jiahong] Tsinghua Univ, Sch Biomed Engn, Beijing, Peoples R China; [Sun, Fuchun; Luo, Yu] Tsinghua Univ, Dept Comp Sci &amp; Technol, Beijing, Peoples R China; [Wang, Ling] Xian Res Inst Hitech, Xian, Shaanxi, Peoples R China; [Wang, Siyuan; Yang, Lei; Jin, Shuo; Yan, Jun; Dong, Jiahong] Tsinghua Univ, Beijing Tsinghua Changgung Hosp, Hepatopancreato Biliary Ctr, Sch Clin Med, 168 Litang Rd, Beijing 102218, Peoples R China; [Guo, Na] Univ Sci &amp; Technol Beijing, Sch Comp &amp; Commun Engn, Beijing, Peoples R China; [Wang, Xinzhou] Tongji Univ, Coll Elect Informat Engn, Shanghai, Peoples R China; [Dong, Jiahong] Chinese Acad Med Sci, Res Unit Precis hepatobiliary Surg Paradigm, Beijing, Peoples R China</t>
  </si>
  <si>
    <t>Tsinghua University; Tsinghua University; Rocket Force University of Engineering; Tsinghua University; University of Science &amp; Technology Beijing; Tongji University; Chinese Academy of Medical Sciences - Peking Union Medical College</t>
  </si>
  <si>
    <t>Medical multimodal foundation models in clinical diagnosis and treatment: Applications, challenges, and future directions</t>
  </si>
  <si>
    <t>ARTIFICIAL INTELLIGENCE IN MEDICINE</t>
  </si>
  <si>
    <t>Medical multimodal foundation models; Precision medicine; Medical analysis</t>
  </si>
  <si>
    <t>BRAIN-TUMOR SEGMENTATION; IMAGE FUSION; CLASSIFICATION</t>
  </si>
  <si>
    <t>sun, Kai/OWA-1489-2025; Zhao, Tianran/MGA-3235-2025; Sun, Haoran/NTR-5335-2025</t>
  </si>
  <si>
    <t>Liu, Lei/0009-0002-8174-9381; sun, kai/0000-0002-2301-7257</t>
  </si>
  <si>
    <t>0933-3657</t>
  </si>
  <si>
    <t>1873-2860</t>
  </si>
  <si>
    <t>ARTIF INTELL MED</t>
  </si>
  <si>
    <t>Artif. Intell. Med.</t>
  </si>
  <si>
    <t>170</t>
  </si>
  <si>
    <t>103265</t>
  </si>
  <si>
    <t>10.1016/j.artmed.2025.103265</t>
  </si>
  <si>
    <t>http://dx.doi.org/10.1016/j.artmed.2025.103265</t>
  </si>
  <si>
    <t>Computer Science, Artificial Intelligence; Engineering, Biomedical; Medical Informatics</t>
  </si>
  <si>
    <t>Computer Science; Engineering; Medical Informatics</t>
  </si>
  <si>
    <t>7PZ0D</t>
  </si>
  <si>
    <t>40972405</t>
  </si>
  <si>
    <t>WOS:001576896300001</t>
  </si>
  <si>
    <t>Tran, MD; Walker, E; Nagel, ID; Mehta, NN; Most, J; Ferreyra, HA; Everett, LA; Yang, PL; Pennesi, ME; Borooah, S</t>
  </si>
  <si>
    <t>This study aimed to assess how multimodal large language models (MLLM) diagnose and differentiate Pentosan Polysulfate (PPS) Maculopathy from other phenotypic mimics. A retrospective review of clinical records and multimodal retinal imaging was conducted with patients from the Shiley Eye Institute and Casey Eye Institute. Four MLLMs (ChatGPT-4o, Claude 3.5 Sonnet, Google Gemini 1.5 Pro, Perplexity Llama 3.1 Sonar/Default) along with human retinal specialists answered prompts based on retinal imaging and demographic data. Performance was evaluated using accuracy, sensitivity and specificity estimates. The study included 126 eyes from 63 patients, with 36 eyes with PPS maculopathy, 50 eyes with Stargardt disease, and 40 eyes with PRPH2-associated multifocal pattern dystrophy. MLLMs showed improved accuracy and sensitivity when answer choices were restricted, with ChatGPT consistently performing best when all imaging modalities were prompted together. The inclusion of demographic data further enhanced performance in prompts with limited answer choices. Human retinal specialist evaluations aligned with MLLM performance trends and also improved with demographic data. While MLLMs show diagnostic potential, further refinement is needed before clinical implementation. These findings highlight the importance of prompt design and demographic data to optimize MLLM performance with retinal imaging modalities.</t>
  </si>
  <si>
    <t>Tran, Melanie D.; Walker, Evan; Nagel, Ines D.; Mehta, Nehal Nailesh; Most, Jesse; Ferreyra, Henry A.; Everett, Lesley A.; Yang, Paul; Pennesi, Mark E.; Borooah, Shyamanga</t>
  </si>
  <si>
    <t>Borooah, S (corresponding author), Univ Calif San Diego, Shiley Eye Inst, Jacobs Retina Ctr, Retinal Div, 9415 Campus Point Dr, La Jolla, CA 92093 USA.; Borooah, S (corresponding author), Univ Calif San Diego, Viterbi Family Dept Ophthalmol, San Diego, CA 92093 USA.; Borooah, S (corresponding author), Univ Calif San Diego, Shiley Eye Inst, San Diego, CA 92093 USA.</t>
  </si>
  <si>
    <t>sborooah@health.ucsd.edu</t>
  </si>
  <si>
    <t>Research to Prevent Blindness; Foundation Fighting Blindness; Oregon Health and Science University [Malcolm M. Marquis, MD Endowed Fund for Innovation to Casey Eye Institute]; Nixon Visions Foundation Grant; National Institutes of Health [P30 EY010572]</t>
  </si>
  <si>
    <t>Research to Prevent Blindness (Research to Prevent Blindness (RPB)); Foundation Fighting Blindness; Oregon Health and Science University; Nixon Visions Foundation Grant; National Institutes of Health (United States Department of Health &amp; Human Services, National Institutes of Health (NIH) - USA)</t>
  </si>
  <si>
    <t>This study was supported by the Nixon Visions Foundation Grant (SB), NIH Grant P30 EY010572 (PY/MEP/LAE), unrestricted grant from Research to Prevent Blindness (PY/MEP/LAE), Malcolm M. Marquis, MD Endowed Fund for Innovation to Casey Eye Institute, Oregon Health &amp; Science University (PY/MEP/LAE), and the Foundation Fighting Blindness Career Development Award (LAE). The sponsors or funding organizations had no role in the design or conduct of this research.</t>
  </si>
  <si>
    <t>[Tran, Melanie D.; Nagel, Ines D.; Mehta, Nehal Nailesh; Most, Jesse; Ferreyra, Henry A.; Borooah, Shyamanga] Univ Calif San Diego, Shiley Eye Inst, Jacobs Retina Ctr, Retinal Div, 9415 Campus Point Dr, La Jolla, CA 92093 USA; [Tran, Melanie D.; Most, Jesse] Univ Calif San Diego, Sch Med, La Jolla, CA 92037 USA; [Walker, Evan; Nagel, Ines D.; Mehta, Nehal Nailesh; Ferreyra, Henry A.; Borooah, Shyamanga] Univ Calif San Diego, Viterbi Family Dept Ophthalmol, San Diego, CA 92093 USA; [Walker, Evan; Nagel, Ines D.; Mehta, Nehal Nailesh; Ferreyra, Henry A.; Borooah, Shyamanga] Univ Calif San Diego, Shiley Eye Inst, San Diego, CA 92093 USA; [Everett, Lesley A.; Yang, Paul; Pennesi, Mark E.] Oregon Hlth &amp; Sci Univ, Casey Eye Inst, Portland, OR USA; [Pennesi, Mark E.] Retina Fdn Southwest, Dallas, TX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</si>
  <si>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 Oregon Health &amp; Science University; Retina Foundation of the Southwest</t>
  </si>
  <si>
    <t>Evaluating the clinical utility of multimodal large language models in rare maculopathy</t>
  </si>
  <si>
    <t>Stargardt; Pentosan polysulfate sodium; Pattern dystrophy</t>
  </si>
  <si>
    <t>DIABETIC-RETINOPATHY; STARGARDT</t>
  </si>
  <si>
    <t>Borooah, Shyamanga/AAM-6581-2021</t>
  </si>
  <si>
    <t>DEC 3 2025</t>
  </si>
  <si>
    <t>10.1038/s41598-025-29299-2</t>
  </si>
  <si>
    <t>http://dx.doi.org/10.1038/s41598-025-29299-2</t>
  </si>
  <si>
    <t>AO9SX</t>
  </si>
  <si>
    <t>41339423</t>
  </si>
  <si>
    <t>WOS:001653304400002</t>
  </si>
  <si>
    <t>Jiang, RQ; Chen, BR; Dong, ZH; Zeng, XQ; You, H; Li, YX; Deng, YC; Mu, GG; Wang, J; Huang, L; Li, J; Cheng, D; Zhou, W; Yu, HG</t>
  </si>
  <si>
    <t>Accurate endoscopy reports are crucial for the diagnosis and management of patients with upper gastrointestinal (UGI) diseases, yet errors and omissions are common. The preparation of routine reports for common diseases is labor-intensive and time-consuming. To address this, here we developed Report-Angel, an integrated AI system based on a multi-modal large language model (MLLM) and conventional deep learning models and trained it on 20,617 image-text pairs to automatically generate detailed draft reports for UGI endoscopy. Report-Angel achieved a clinically acceptable report rate of 79.3% (95% CI: 74.4-83.5%) in the prospective internal and 83.3% (95% CI: 78.7-87.3%) in the prospective external cohort. At the case level, Report-Angel achieved a report completeness of 88.51% (95% CI: 84.64-92.38%) and a report accuracy of 78.93% (95% CI: 73.98-83.88%), with average processing time of 1.5 s per lesion in the internal prospective video dataset. Lesion-level reporting accuracies were 91.92% (95% CI: 90.58-93.25%), 89.07% (95% CI: 87.57-90.57%), and 83.94% (95% CI: 81.58-86.31%) on retrospective image and prospective single- and multi-center video datasets, respectively. Report-Angel generates expert-level draft endoscopy reports and demonstrates robust generalizability. By providing reliable foundation draft reports, this system has the potential to effectively standardize reporting and reduce endoscopists' workloads.</t>
  </si>
  <si>
    <t>Jiang, Ruiqing; Chen, Boru; Dong, Zehua; Zeng, Xiaoquan; You, Hang; Li, Yanxia; Deng, Yunchao; Mu, Ganggang; Wang, Jing; Huang, Li; Li, Jia; Cheng, Du; Zhou, Wei; Yu, Honggang</t>
  </si>
  <si>
    <t>Zhou, W; Yu, HG (corresponding author), Wuhan Univ, Renmin Hosp, Dept Gastroenterol, Wuhan, Peoples R China.; Zhou, W; Yu, HG (corresponding author), Wuhan Univ, Renmin Hosp, Hubei Prov Clin Res Ctr Digest Dis Minimally Invas, Wuhan, Peoples R China.; Zhou, W; Yu, HG (corresponding author), Wuhan Univ, Renmin Hosp, Key Lab Hubei Prov Digest Syst Dis, Wuhan, Peoples R China.; Zhou, W; Yu, HG (corresponding author), Engn Res Ctr Artificial Intelligence Endoscopy Int, Wuhan, Peoples R China.; Yu, HG (corresponding author), Wuhan Univ, Taikang Ctr Life &amp; Med Sci, Wuhan, Peoples R China.</t>
  </si>
  <si>
    <t>yuhonggang1968@163.com; zhouwei5352877@163.com</t>
  </si>
  <si>
    <t>Hubei Provincial Key Laboratory Open Project [2024KFZ005]; Natural Science Foundation of Wuhan [2025040601020197]; National Key Research and Development Program of China [2022YFC2505105]; Key Research and Development Program of Hubei Province [2023BCB153]</t>
  </si>
  <si>
    <t>Hubei Provincial Key Laboratory Open Project; Natural Science Foundation of Wuhan; National Key Research and Development Program of China (National Key Research &amp; Development Program of China); Key Research and Development Program of Hubei Province</t>
  </si>
  <si>
    <t>This work was supported by the National Key Research and Development Program of China (grant no. 2022YFC2505105, to Lianlian Wu, W.Z.); the Natural Science Foundation of Wuhan, (grant no. 2025040601020197, to Z.H.D.); the Hubei Provincial Key Laboratory Open Project, (grant no. 2024KFZ005, to Z.H.D.); the Key Research and Development Program of Hubei Province (grant no. 2023BCB153, to H.G.Y.); and the National Natural Science Foundation of China-Youth Science Fund (grant no. 82202257, to Lianlian Wu). The funders had no role in the study design, data collection, data analysis, interpretation, or manuscript preparation.</t>
  </si>
  <si>
    <t>[Jiang, Ruiqing; Chen, Boru; Dong, Zehua; Zeng, Xiaoquan; You, Hang; Li, Yanxia; Deng, Yunchao; Mu, Ganggang; Wang, Jing; Huang, Li; Li, Jia; Cheng, Du; Zhou, Wei; Yu, Honggang] Wuhan Univ, Renmin Hosp, Dept Gastroenterol, Wuhan, Peoples R China; [Jiang, Ruiqing; Chen, Boru; Dong, Zehua; Zeng, Xiaoquan; You, Hang; Li, Yanxia; Deng, Yunchao; Mu, Ganggang; Wang, Jing; Huang, Li; Li, Jia; Cheng, Du; Zhou, Wei; Yu, Honggang] Wuhan Univ, Renmin Hosp, Hubei Prov Clin Res Ctr Digest Dis Minimally Invas, Wuhan, Peoples R China; [Jiang, Ruiqing; Chen, Boru; Dong, Zehua; Zeng, Xiaoquan; You, Hang; Li, Yanxia; Deng, Yunchao; Mu, Ganggang; Wang, Jing; Huang, Li; Li, Jia; Cheng, Du; Zhou, Wei; Yu, Honggang] Wuhan Univ, Renmin Hosp, Key Lab Hubei Prov Digest Syst Dis, Wuhan, Peoples R China; [Jiang, Ruiqing; Chen, Boru; Dong, Zehua; Zeng, Xiaoquan; You, Hang; Li, Yanxia; Deng, Yunchao; Mu, Ganggang; Wang, Jing; Huang, Li; Li, Jia; Cheng, Du; Zhou, Wei; Yu, Honggang] Engn Res Ctr Artificial Intelligence Endoscopy Int, Wuhan, Peoples R China; [Yu, Honggang] Wuhan Univ, Taikang Ctr Life &amp; Med Sci, Wuhan, Peoples R China</t>
  </si>
  <si>
    <t>Wuhan University; Wuhan University; Wuhan University; Wuhan University</t>
  </si>
  <si>
    <t>Domain specific multimodal large language model for automated endoscopy reporting with multicenter prospective validation</t>
  </si>
  <si>
    <t>UPPER GASTROINTESTINAL ENDOSCOPY; QUALITY; SOCIETY</t>
  </si>
  <si>
    <t>Jiang, Ruiqing/0009-0009-2653-7889</t>
  </si>
  <si>
    <t>MAR 28 2026</t>
  </si>
  <si>
    <t>394</t>
  </si>
  <si>
    <t>10.1038/s41746-026-02569-7</t>
  </si>
  <si>
    <t>http://dx.doi.org/10.1038/s41746-026-02569-7</t>
  </si>
  <si>
    <t>II3SG</t>
  </si>
  <si>
    <t>41904204</t>
  </si>
  <si>
    <t>WOS:001772395100002</t>
  </si>
  <si>
    <t>Ferber, D; Wölflein, G; Wiest, IC; Ligero, M; Sainath, S; Laleh, NG; El Nahhas, OSM; Müller-Franzes, G; Jäger, D; Truhn, D; Kather, JN</t>
  </si>
  <si>
    <t>Medical image classification requires labeled, task-specific datasets which are used to train deep learning networks de novo, or to fine-tune foundation models. However, this process is computationally and technically demanding. In language processing, in-context learning provides an alternative, where models learn from within prompts, bypassing the need for parameter updates. Yet, in-context learning remains underexplored in medical image analysis. Here, we systematically evaluate the model Generative Pretrained Transformer 4 with Vision capabilities (GPT-4V) on cancer image processing with in-context learning on three cancer histopathology tasks of high importance: Classification of tissue subtypes in colorectal cancer, colon polyp subtyping and breast tumor detection in lymph node sections. Our results show that in-context learning is sufficient to match or even outperform specialized neural networks trained for particular tasks, while only requiring a minimal number of samples. In summary, this study demonstrates that large vision language models trained on non-domain specific data can be applied out-of-the box to solve medical image-processing tasks in histopathology. This democratizes access of generalist AI models to medical experts without technical background especially for areas where annotated data is scarce.Medical image classification remains a challenging process in deep learning. Here, the authors evaluate a large vision language foundation model (GPT-4V) with in-context learning for cancer image processing and show that such models can learn from examples and reach performance similar to specialized neural networks while reducing the gap to current state-of-the art pathology foundation models.</t>
  </si>
  <si>
    <t>Ferber, Dyke; Woelflein, Georg; Wiest, Isabella C.; Ligero, Marta; Sainath, Srividhya; Ghaffari Laleh, Narmin; El Nahhas, Omar S. M.; Mueller-Franzes, Gustav; Jaeger, Dirk; Truhn, Daniel; Kather, Jakob Nikolas</t>
  </si>
  <si>
    <t>Kather, JN (corresponding author), Heidelberg Univ Hosp, Natl Ctr Tumor Dis NCT, Heidelberg, Germany.; Kather, JN (corresponding author), Heidelberg Univ Hosp, Dept Med Oncol, Heidelberg, Germany.; Kather, JN (corresponding author), Tech Univ Dresden, Else Kroener Fresenius Ctr Digital Hlth, Dresden, Germany.; Kather, JN (corresponding author), Univ Hosp Dresden, Dept Med 1, Dresden, Germany.</t>
  </si>
  <si>
    <t>jakob_nikolas.kather@tu-dresden.de</t>
  </si>
  <si>
    <t>German Federal Ministry of Health [ZMVI1-2520DAT111, 01KD2215B]; Max-Eder-Program of the German Cancer Aid [70113864]; German Federal Ministry of Education and Research [031L0312A]; German Academic Exchange Service [57616814]; German Federal Joint Committee [01VSF21048]; European Union [101057091, 101096312]; National Institute for Health and Care Research (NIHR) [NIHR213331]; European Union's Horizon Europe and innovation program [101057091]; German Federal Ministry of Health (SWAG) [01KD2215B]; Lothian NHS; Horizon Europe - Pillar II [101057091] Funding Source: Horizon Europe - Pillar II</t>
  </si>
  <si>
    <t>German Federal Ministry of Health; Max-Eder-Program of the German Cancer Aid; German Federal Ministry of Education and Research (Federal Ministry of Education &amp; Research (BMBF)); German Academic Exchange Service (Deutscher Akademischer Austausch Dienst (DAAD)); German Federal Joint Committee; European Union (European Union (EU)); National Institute for Health and Care Research (NIHR) (National Institutes of Health Research (NIHR)); European Union's Horizon Europe and innovation program; German Federal Ministry of Health (SWAG); Lothian NHS; Horizon Europe - Pillar II (European Union (EU), Horizon Europe - Pillar II)</t>
  </si>
  <si>
    <t>J.N.K. is supported by the German Federal Ministry of Health (DEEP LIVER, ZMVI1-2520DAT111; SWAG, 01KD2215B), the Max-Eder-Program of the German Cancer Aid (grant #70113864), the German Federal Ministry of Education and Research (PEARL, 01KD2104C; CAMINO, 01EO2101; SWAG, 01KD2215A; TRANSFORM LIVER, 031L0312A; TANGERINE, 01KT2302 through ERA-NET Transcan), the German Academic Exchange Service (SECAI, 57616814), the German Federal Joint Committee (Transplant.KI, 01VSF21048) the European Union's Horizon Europe and innovation program (ODELIA, 101057091; GENIAL, 101096312) and the National Institute for Health and Care Research (NIHR, NIHR213331) Leeds Biomedical Research Center. DT is funded by the German Federal Ministry of Education and Research (TRANSFORM LIVER, 031L0312A), the European Union's Horizon Europe and innovation program (ODELIA, 101057091), and the German Federal Ministry of Health (SWAG, 01KD2215B). G.W. is supported by Lothian NHS. The views expressed are those of the author(s) and not necessarily those of the NHS, the NIHR or the Department of Health and Social Care.</t>
  </si>
  <si>
    <t>[Ferber, Dyke; Jaeger, Dirk; Kather, Jakob Nikolas] Heidelberg Univ Hosp, Natl Ctr Tumor Dis NCT, Heidelberg, Germany; [Ferber, Dyke; Jaeger, Dirk; Kather, Jakob Nikolas] Heidelberg Univ Hosp, Dept Med Oncol, Heidelberg, Germany; [Ferber, Dyke; Wiest, Isabella C.; Ligero, Marta; Sainath, Srividhya; Ghaffari Laleh, Narmin; El Nahhas, Omar S. M.; Kather, Jakob Nikolas] Tech Univ Dresden, Else Kroener Fresenius Ctr Digital Hlth, Dresden, Germany; [Woelflein, Georg] Univ St Andrews, Sch Comp Sci, St Andrews, Scotland; [Wiest, Isabella C.] Heidelberg Univ, Med Fac Mannheim, Dept Med 2, Mannheim, Germany; [Mueller-Franzes, Gustav; Truhn, Daniel] Univ Hosp Aachen, Dept Diagnost &amp; Intervent Radiol, Aachen, Germany; [Kather, Jakob Nikolas] Univ Hosp Dresden, Dept Med 1, Dresden, Germany</t>
  </si>
  <si>
    <t>Ruprecht Karls University Heidelberg; Helmholtz Association; National Center for Tumor Diseases; German Cancer Research Center (DKFZ); Ruprecht Karls University Heidelberg; National Center for Tumor Diseases; Technische Universitat Dresden; University of St Andrews; Ruprecht Karls University Heidelberg; RWTH Aachen University; RWTH Aachen University Hospital; Technische Universitat Dresden; Carl Gustav Carus University Hospital</t>
  </si>
  <si>
    <t>In-context learning enables multimodal large language models to classify cancer pathology images</t>
  </si>
  <si>
    <t>Kather, Jakob Nikolas/D-4279-2015; Truhn, Daniel/AAG-9359-2021; Ligero, Marta/GQB-4208-2022; Jaeger, Dirk/LTZ-9768-2024</t>
  </si>
  <si>
    <t>Kather, Jakob Nikolas/0000-0002-3730-5348; Wölflein, Georg/0000-0002-0407-7617; Ghaffari Laleh, Narmin/0000-0003-0889-3352; Sainath, Srividhya/0009-0006-6227-747X</t>
  </si>
  <si>
    <t>108</t>
  </si>
  <si>
    <t>98</t>
  </si>
  <si>
    <t>NOV 21 2024</t>
  </si>
  <si>
    <t>10104</t>
  </si>
  <si>
    <t>10.1038/s41467-024-51465-9</t>
  </si>
  <si>
    <t>http://dx.doi.org/10.1038/s41467-024-51465-9</t>
  </si>
  <si>
    <t>N0W3D</t>
  </si>
  <si>
    <t>39572531</t>
  </si>
  <si>
    <t>WOS:001361630600025</t>
  </si>
  <si>
    <t>Reith, TP; D'Alessandro, DM; D'Alessandro, MP</t>
  </si>
  <si>
    <t>BackgroundThere is a dearth of artificial intelligence (AI) development and research dedicated to pediatric radiology. The newest iterations of large language models (LLMs) like ChatGPT can process image and video input in addition to text. They are thus theoretically capable of providing impressions of input radiological images.ObjectiveTo assess the ability of multimodal LLMs to interpret pediatric radiological images.Materials and methodsThirty medically significant cases were collected and submitted to GPT-4 (OpenAI, San Francisco, CA), Gemini 1.5 Pro (Google, Mountain View, CA), and Claude 3 Opus (Anthropic, San Francisco, CA) with a short history for a total of 90 images. AI responses were recorded and independently assessed for accuracy by a resident and attending physician. 95% confidence intervals were determined using the adjusted Wald method.ResultsOverall, the models correctly diagnosed 27.8% (25/90) of images (95% CI=19.5-37.8%), were partially correct for 13.3% (12/90) of images (95% CI=2.7-26.4%), and were incorrect for 58.9% (53/90) of images (95% CI=48.6-68.5%).ConclusionMultimodal LLMs are not yet capable of interpreting pediatric radiological images.</t>
  </si>
  <si>
    <t>Reith, Thomas P.; D'Alessandro, Donna M.; D'Alessandro, Michael P.</t>
  </si>
  <si>
    <t>Reith, TP (corresponding author), Univ Iowa Hosp &amp; Clin, Dept Radiol, Iowa City, IA 52242 USA.</t>
  </si>
  <si>
    <t>thomaspreith@gmail.com; msandro@uiowa.edu; donna-dalessandro@uiowa.edu</t>
  </si>
  <si>
    <t>[Reith, Thomas P.; D'Alessandro, Michael P.] Univ Iowa Hosp &amp; Clin, Dept Radiol, Iowa City, IA 52242 USA; [D'Alessandro, Donna M.] Univ Iowa Hosp &amp; Clin, Dept Pediat, Iowa City, IA 52242 USA</t>
  </si>
  <si>
    <t>University of Iowa; University of Iowa</t>
  </si>
  <si>
    <t>Capability of multimodal large language models to interpret pediatric radiological images</t>
  </si>
  <si>
    <t>Artificial intelligence; Child; Imaging; Informatics; Language; Machine learning; Pediatrics; Radiology</t>
  </si>
  <si>
    <t>D'Alessano, Michael/0000-0003-1772-4032; Reith, Thomas/0000-0003-3044-9944; D'Alessano, Donna/0000-0001-7972-9088; D'Alessano, Michael/0000-0003-1772-4032</t>
  </si>
  <si>
    <t>10.1007/s00247-024-06025-0</t>
  </si>
  <si>
    <t>http://dx.doi.org/10.1007/s00247-024-06025-0</t>
  </si>
  <si>
    <t>C4T8I</t>
  </si>
  <si>
    <t>39133401</t>
  </si>
  <si>
    <t>WOS:001289310100002</t>
  </si>
  <si>
    <t>Wang, K; Hu, DS; Cheng, Y; Che, YK; Li, YL; Jiang, ZW; Chen, FX; Li, WJ</t>
  </si>
  <si>
    <t>Introduction Existing image fusion methods primarily focus on obtaining high-quality features from source images to enhance the quality of the fused image, often overlooking the impact of improved image quality on downstream task performance.Methods To address this issue, this paper proposes a novel infrared and visible image fusion approach driven by multimodal large language models, aiming to improve the performance of pedestrian detection tasks. The proposed method fully considers how enhancing image quality can benefit pedestrian detection. By leveraging a multimodal large language model, we analyze the fused images based on user-provided questions related to improving pedestrian detection performance and generate suggestions for enhancing image quality. To better incorporate these suggestions, we design a Text-Driven Feature Harmonization (Text-DFH) module. Text-DFH refines the features produced by the fusion network according to the recommendations from the multimodal large language model, enabling the fused image to better meet the needs of pedestrian detection tasks.Results Compared with existing methods, the key advantage of our approach lies in utilizing the strong semantic understanding and scene analysis capabilities of multimodal large language models to provide precise guidance for improving fused image quality. As a result, our method enhances image quality while maintaining strong performance in pedestrian detection. Extensive qualitative and quantitative experiments on multiple public datasets validate the effectiveness and superiority of the proposed method.Discussion In addition to its effectiveness in infrared and visible image fusion, the method also demonstrates promising application potential in the field of nuclear medical imaging.</t>
  </si>
  <si>
    <t>Wang, Ke; Hu, Dengshu; Cheng, Yuan; Che, Yukui; Li, Yuelin; Jiang, Zhiwei; Chen, Fengxian; Li, Wenjuan</t>
  </si>
  <si>
    <t>Che, YK (corresponding author), Yunnan Power Grid Co Ltd, Qujing Power Supply Bur, Kunming, Peoples R China.</t>
  </si>
  <si>
    <t>454983185@qq.com</t>
  </si>
  <si>
    <t>Science and Technology Project of China Southern Power Grid Co., Ltd. [YNKJXM20240052]</t>
  </si>
  <si>
    <t>Science and Technology Project of China Southern Power Grid Co., Ltd.</t>
  </si>
  <si>
    <t>The author(s) declare that financial support was received for the research and/or publication of this article. Science and Technology Project of China Southern Power Grid Co., Ltd. (No. YNKJXM20240052).</t>
  </si>
  <si>
    <t>[Wang, Ke; Hu, Dengshu; Cheng, Yuan; Che, Yukui; Li, Yuelin; Jiang, Zhiwei; Chen, Fengxian; Li, Wenjuan] Yunnan Power Grid Co Ltd, Qujing Power Supply Bur, Kunming, Peoples R China</t>
  </si>
  <si>
    <t>China Southern Power Grid</t>
  </si>
  <si>
    <t>Infrared and visible image fusion driven by multimodal large language models</t>
  </si>
  <si>
    <t>FRONTIERS IN PHYSICS</t>
  </si>
  <si>
    <t>infrared and visible image fusion; pedestrian detection; multimodal large language models; text-guided; model fine-tuning</t>
  </si>
  <si>
    <t>GENERATIVE ADVERSARIAL NETWORK; OBJECT DETECTION; FRAMEWORK</t>
  </si>
  <si>
    <t>Chen, Fengxian/MSW-6170-2025</t>
  </si>
  <si>
    <t>89</t>
  </si>
  <si>
    <t>2296-424X</t>
  </si>
  <si>
    <t>FRONT PHYS-LAUSANNE</t>
  </si>
  <si>
    <t>Front. Physics</t>
  </si>
  <si>
    <t>MAY 22 2025</t>
  </si>
  <si>
    <t>1599937</t>
  </si>
  <si>
    <t>10.3389/fphy.2025.1599937</t>
  </si>
  <si>
    <t>http://dx.doi.org/10.3389/fphy.2025.1599937</t>
  </si>
  <si>
    <t>Physics, Multidisciplinary</t>
  </si>
  <si>
    <t>Physics</t>
  </si>
  <si>
    <t>3MM1U</t>
  </si>
  <si>
    <t>WOS:001503861000001</t>
  </si>
  <si>
    <t>Liu, XY; Hung, KF; Yu, WH; Ng, RAWT; Li, WY; Niu, TY; Chen, H; Yuan, YX</t>
  </si>
  <si>
    <t>Orthopantomography (OPG) is a primary screening tool for initial dental diagnosis, yet existing AI support typically operates in a one-way manner, lacking interactive nature like ChatGPT. To address this, we introduce ToothXpert, a dental diagnostic system with multimodal large language model. We curated a dental concept alignment dataset and a comprehensive multimodal OPG dataset, MM-OPG (comprising 131,065 question answer [QA] pairs), covering 11 key conditions. ToothXpert facilitates simultaneous visual and language responses, fostering dynamic dentistry support. On the internal test dataset with 4,950 QA pairs, ToothXpert achieves a macro F1 score of 78.61%, outperforming LLaVA v.1.5 by 23.19%, LLaVA-Med v.1.5 by 41.39%, Qwen-VL by 56.38%, and HuatuoGPT-Vision by 26.74%. In human assessment, ToothXpert achieves an averaged performance of 3.54, surpassing compared multimodal large language models (MLLMs) with 1.46 and 1.38. Moreover, on the external dataset, ToothXpert achieves 1.96% and 2.99% higher F1 scores than two junior dentists with 3-years' clinical experience, while requiring significantly less time.</t>
  </si>
  <si>
    <t>Liu, Xinyu; Hung, Kuo Feng; Yu, Weihao; Ng, Ray Anthony W. T.; Li, Wuyang; Niu, Tianye; Chen, Hui; Yuan, Yixuan</t>
  </si>
  <si>
    <t>Yuan, YX (corresponding author), Chinese Univ Hong Kong, Dept Elect Engn, Hong Kong, Peoples R China.; Chen, H (corresponding author), Univ Hong Kong, Fac Dent, Div Restorat Dent Sci, Hong Kong, Peoples R China.</t>
  </si>
  <si>
    <t>amyhchen@hku.hk; yxyuan@ee.cuhk.edu.hk</t>
  </si>
  <si>
    <t>NSFC/RGC Joint Research Scheme [N_CUHK 4126/25]; CUHK [SSFCRS 23/24]; Hainan Province Clinical Medical Center</t>
  </si>
  <si>
    <t>NSFC/RGC Joint Research Scheme (National Natural Science Foundation of China (NSFC)); CUHK (Chinese University of Hong Kong); Hainan Province Clinical Medical Center</t>
  </si>
  <si>
    <t>This work was supported by NSFC/RGC Joint Research Scheme N_CUHK 4126/25, CUHK SSFCRS 23/24, and Hainan Province Clinical Medical Center.</t>
  </si>
  <si>
    <t>[Liu, Xinyu; Yu, Weihao; Li, Wuyang; Yuan, Yixuan] Chinese Univ Hong Kong, Dept Elect Engn, Hong Kong, Peoples R China; [Hung, Kuo Feng] Univ Hong Kong, Div Appl Oral Sci &amp; Community Dent Care, Hong Kong, Peoples R China; [Ng, Ray Anthony W. T.; Chen, Hui] Univ Hong Kong, Fac Dent, Div Restorat Dent Sci, Hong Kong, Peoples R China; [Niu, Tianye] Univ Sci &amp; Technol China, Sch Informat Sci &amp; Technol, Hefei, Peoples R China</t>
  </si>
  <si>
    <t>Chinese University of Hong Kong; University of Hong Kong; University of Hong Kong; Chinese Academy of Sciences; University of Science &amp; Technology of China, CAS</t>
  </si>
  <si>
    <t>Developing and evaluating multimodal large language model for orthopantomography analysis to support clinical dentistry</t>
  </si>
  <si>
    <t>CELL REPORTS MEDICINE</t>
  </si>
  <si>
    <t>AGE ESTIMATION; OPG</t>
  </si>
  <si>
    <t>Liu, Xinyu/HKN-1981-2023; Hung, Kuofeng/AAL-7795-2021</t>
  </si>
  <si>
    <t>Chen, Hui/0000-0002-1633-6348</t>
  </si>
  <si>
    <t>2666-3791</t>
  </si>
  <si>
    <t>CELL REP MED</t>
  </si>
  <si>
    <t>Cell Rep. Med.</t>
  </si>
  <si>
    <t>MAR 17 2026</t>
  </si>
  <si>
    <t>102652</t>
  </si>
  <si>
    <t>10.1016/j.xcrm.2026.102652</t>
  </si>
  <si>
    <t>http://dx.doi.org/10.1016/j.xcrm.2026.102652</t>
  </si>
  <si>
    <t>Cell Biology; Medicine, Research &amp; Experimental</t>
  </si>
  <si>
    <t>Cell Biology; Research &amp; Experimental Medicine</t>
  </si>
  <si>
    <t>FJ5KA</t>
  </si>
  <si>
    <t>41850234</t>
  </si>
  <si>
    <t>WOS:001720258500001</t>
  </si>
  <si>
    <t>Aykut, A; Karayil, AR; Yildirim, C; Günsoy, E; Tatli, M; Avci, M</t>
  </si>
  <si>
    <t>Background Accurate burn size and depth assessment at first contact guides fluid resuscitation, referral, and operative planning, yet both tasks show meaningful inter-clinician variability. General-purpose multimodal large language models may offer scalable, image-based decision support in emergency care, but prospective benchmarking against clinicians and a robust reference standard remains limited. Methods We conducted a prospective, single-centre diagnostic accuracy and agreement study in a tertiary emergency department (22 July-8 September 2025). Consecutive acute burn presentations (&lt; 24 h) were screened; protocol-conformant cases contributed standardized three-view photographs per anatomically distinct burn region. A multimodal large language model generated region-level estimates of total body surface area (TBSA) contribution and burn depth class. Eighteen emergency physicians independently rated the same images and minimal metadata, blinded to model and reference outputs. A three-member expert panel served as the reference standard by consensus. The primary endpoint was non-inferiority of the model versus the physician median for region-level absolute TBSA error relative to the panel, with a pre-specified margin of 3 percentage points, using patient-level cluster bootstrap for inference. Secondary endpoints included TBSA agreement and depth agreement (quadratic-weighted kappa). Results Of 413 screened presentations, 52 patients were enrolled, yielding 64 analyzable burn region-cases (35 pediatric, 29 adult). The model's mean absolute TBSA error versus the panel was 1.40 percentage points (median 1.00); 87.5% of cases were within +/- 3 percentage points and 98.4% within +/- 5. The physician median had a mean absolute error of 0.89 percentage points (median 0.75). The paired non-inferiority analysis met the pre-specified criterion (Hodges-Lehmann median Delta = 0.25; one-sided 95% upper bound = 0.50), indicating the model was non-inferior to physicians for TBSA estimation. In contrast, depth agreement versus the panel was slight for the model (quadratic-weighted kappa 0.14), with systematic underestimation of deeper burns, while physician consensus showed substantially higher agreement (quadratic-weighted kappa 0.65). Conclusions In this prospective emergency department evaluation, a general-purpose multimodal model achieved non-inferior performance to emergency physicians for region-level TBSA estimation but performed substantially worse for burn depth classification. These findings support a narrowly defined adjunct role for TBSA estimation, while depth-dependent decisions should remain clinician-led and require further method development and external validation.</t>
  </si>
  <si>
    <t>Aykut, Ahmet; Karayil, Ali Riza; Yildirim, Cem; Gunsoy, Ertug; Tatli, Mehmet; Avci, Murat</t>
  </si>
  <si>
    <t>Aykut, A (corresponding author), SBU Van Educ &amp; Res Hosp, Dept Emergency Med, Van, Turkiye.</t>
  </si>
  <si>
    <t>ahmet.aykut@gmail.com</t>
  </si>
  <si>
    <t>[Aykut, Ahmet; Yildirim, Cem; Gunsoy, Ertug; Tatli, Mehmet; Avci, Murat] SBU Van Educ &amp; Res Hosp, Dept Emergency Med, Van, Turkiye; [Karayil, Ali Riza] SBU Van Educ &amp; Res Hosp, Dept Gen Surg, Van, Turkiye</t>
  </si>
  <si>
    <t>Multimodal large language model versus emergency physicians for burn assessment: a prospective non-inferiority study</t>
  </si>
  <si>
    <t>SCANDINAVIAN JOURNAL OF TRAUMA RESUSCITATION &amp; EMERGENCY MEDICINE</t>
  </si>
  <si>
    <t>Burns; Emergency medicine; Large language model; Total body surface area; Diagnostic accuracy</t>
  </si>
  <si>
    <t>SIZE; RELIABILITY; ACCURACY</t>
  </si>
  <si>
    <t>Aykut, Ahmet/MTE-9270-2025; Yildirim, Cem/OOK-7963-2025; Tatli, Mehmet/AAF-3663-2020; Günsoy, Ertuğ/JAC-5601-2023; AVCI, MURAT/P-6846-2014</t>
  </si>
  <si>
    <t>1757-7241</t>
  </si>
  <si>
    <t>SCAND J TRAUMA RESUS</t>
  </si>
  <si>
    <t>Scand. J. Trauma Resusc. Emerg. Med.</t>
  </si>
  <si>
    <t>FEB 5 2026</t>
  </si>
  <si>
    <t>10.1186/s13049-026-01577-6</t>
  </si>
  <si>
    <t>http://dx.doi.org/10.1186/s13049-026-01577-6</t>
  </si>
  <si>
    <t>Emergency Medicine</t>
  </si>
  <si>
    <t>EW8JI</t>
  </si>
  <si>
    <t>41645231</t>
  </si>
  <si>
    <t>WOS:001711629300001</t>
  </si>
  <si>
    <t>Ren, GG; Xiang, Y; Lim, DYZ; Tung, JYM; Tan, JH; Chng, CL</t>
  </si>
  <si>
    <t>Background:Thyroid nodules are common, with ultrasound imaging as the primary modality for their assessment. Risk stratification systems like the American College of Radiology Thyroid Imaging Reporting and Data System (ACR TI-RADS) have been developed but suffer from interobserver variability and low specificity. Artificial intelligence, particularly large language models (LLMs) with multimodal capabilities, presents opportunities for efficient end-to-end diagnostic processes. However, their clinical utility remains uncertain. Objective:This study evaluates the accuracy and consistency of multimodal LLMs for thyroid nodule risk stratification using the ACR TI-RADS system, examining the effects of model fine-tuning, image annotation, prompt engineering, and comparing open-source versus commercial models. Methods:In total, 3 multimodal vision-language models were evaluated: Microsoft's open-source Large Language and Visual Assistant (LLaVA) model, its medically fine-tuned variant (Large Language and Vision Assistant for bioMedicine [LLaVA-Med]), and OpenAI's commercial o3 model. A total of 192 thyroid nodules from publicly available ultrasound image datasets were assessed. Each model was evaluated using 2 prompts (basic and modified) and 2 image scenarios (unlabeled vs radiologist-annotated), yielding 6912 responses. Model outputs were compared with expert ratings for accuracy and consistency. Statistical comparisons included Chi-square tests, Mann-Whitney U tests, and Fleiss' kappa for interrater reliability. Results:Overall, 88.4% (6110/6912) of responses were valid, with the o3 model producing the highest validity rate (2273/2304, 98.6%), followed by LLaVA (2108/2304, 91.5%) and LLaVA-Med (1729/2304, 75%; P&lt;.001). The o3 model demonstrated the highest accuracy overall, achieving up to 57.3% accuracy in Thyroid Imaging Reporting and Data System (TI-RADS) classification, although still remaining suboptimal. Labeled images improved accuracy marginally in nodule margin assessment only when evaluating LLaVA models (407/768, 53% to 447/768, 58.2%; P=.04). Prompt engineering improved accuracy for composition (649/1,152, 56.3% vs 483/1152, 41.9%; P&lt;.001), but significantly reduced accuracy for shape, margins, and overall classification. Consistency was the highest with the o3 model (up to 85.4%), but was comparable for LLaVA and significantly improved with image labeling and modified prompts across multiple TI-RADS categories (P&lt;.001). Subgroup analysis for o3 alone showed prompt engineering did not affect accuracy significantly but markedly improved consistency across all TI-RADS categories (up to 97.1% for shape, P&lt;.001). Interrater reliability was consistently poor across all combinations (Fleiss' kappa&lt;0.60). Conclusions:The study demonstrates the comparative advantages and limitations of multimodal LLMs for thyroid nodule risk stratification. While the commercial model (o3) consistently outperformed open-source models in accuracy and consistency, even the best-performing model outputs remained suboptimal for direct clinical deployment. Prompt engineering significantly enhanced output consistency, particularly in the commercial model. These findings underline the importance of strategic model optimization techniques and highlight areas requiring further development before multimodal LLMs can be reliably used in clinical thyroid imaging workflows.</t>
  </si>
  <si>
    <t>Ren, Gerald Gui; Xiang, Yi; Lim, Daniel Yan Zheng; Tung, Joshua Yi Min; Tan, Jen Hong; Chng, Chiaw Ling</t>
  </si>
  <si>
    <t>Ren, GG (corresponding author), Singapore Gen Hosp, Dept Endocrinol, 20 Coll Rd,Acad Level 3, Singapore 169856, Singapore.</t>
  </si>
  <si>
    <t>gerald.sng.g.r@singhealth.com.sg</t>
  </si>
  <si>
    <t>Singhealth Duke-NUS AMC under the Clinical &amp; Systems Innovation (Main) Grant [03/FY2024/P2/03-A125]</t>
  </si>
  <si>
    <t>Singhealth Duke-NUS AMC under the Clinical &amp; Systems Innovation (Main) Grant</t>
  </si>
  <si>
    <t>This project is supported by Singhealth Duke-NUS AMC under the Clinical &amp; Systems Innovation (Main) Grant (grant 03/FY2024/P2/03-A125) .</t>
  </si>
  <si>
    <t>[Ren, Gerald Gui; Chng, Chiaw Ling] Singapore Gen Hosp, Dept Endocrinol, 20 Coll Rd,Acad Level 3, Singapore 169856, Singapore; [Ren, Gerald Gui; Lim, Daniel Yan Zheng; Tung, Joshua Yi Min; Tan, Jen Hong] Singapore Gen Hosp, Data Sci &amp; Artificial Intelligence Lab, Singapore, Singapore; [Xiang, Yi] SingHealth, Off Insights &amp; Analyt, Singapore, Singapore; [Lim, Daniel Yan Zheng] Singapore Gen Hosp, Dept Gastroenterol, Singapore, Singapore; [Tung, Joshua Yi Min] Singapore Gen Hosp, Dept Urol, Singapore, Singapore</t>
  </si>
  <si>
    <t>Singapore General Hospital; Singapore General Hospital; Singapore General Hospital; Singapore General Hospital</t>
  </si>
  <si>
    <t>A Multimodal Large Language Model as an End-to-End Classifier of Thyroid Nodule Malignancy Risk: Usability Study</t>
  </si>
  <si>
    <t>thyroid nodules; artificial intelligence; large language models; multimodal; risk stratification systems</t>
  </si>
  <si>
    <t>INTEROBSERVER AGREEMENT; GUIDELINES; CANCER</t>
  </si>
  <si>
    <t>Chng, Chiaw Ling/J-2948-2019; Lim, Daniel Yan Zheng/AGY-3425-2022; Tung, Joshua Yi Min/IUM-5812-2023</t>
  </si>
  <si>
    <t>Sng, Gerald Gui Ren/0000-0002-8795-7491; Tan, Jen Hong/0000-0002-7785-2987; Chng, Chiaw Ling/0000-0003-2232-5298; Lim, Daniel Yan Zheng/0000-0002-9715-6970; Tung, Joshua Yi Min/0000-0003-4991-9790; Xiang, Yi/0009-0000-2602-5343</t>
  </si>
  <si>
    <t>e70863</t>
  </si>
  <si>
    <t>10.2196/70863</t>
  </si>
  <si>
    <t>http://dx.doi.org/10.2196/70863</t>
  </si>
  <si>
    <t>8IT8R</t>
  </si>
  <si>
    <t>40829145</t>
  </si>
  <si>
    <t>WOS:001589663200013</t>
  </si>
  <si>
    <t>AlSaad, R; Abd-alrazaq, A; Boughorbel, S; Ahmed, A; Renault, MA; Damseh, R; Sheikh, J</t>
  </si>
  <si>
    <t>In the complex and multidimensional field of medicine, multimodal data are prevalent and crucial for informed clinical decisions.Multimodal data span a broad spectrum of data types, including medical images (eg, MRI and CT scans), time-series data (eg,sensor data from wearable devices and electronic health records), audio recordings (eg, heart and respiratory sounds and patientinterviews), text (eg, clinical notes and research articles), videos (eg, surgical procedures), and omics data (eg, genomics andproteomics). While advancements in large language models (LLMs) have enabled new applications for knowledge retrieval andprocessing in the medical field, most LLMs remain limited to processing unimodal data, typically text-based content, and oftenoverlook the importance of integrating the diverse data modalities encountered in clinical practice. This paper aims to present adetailed, practical, and solution-oriented perspective on the use of multimodal LLMs (M-LLMs) in the medical field. Ourinvestigation spanned M-LLM foundational principles, current and potential applications, technical and ethical challenges, andfuture research directions. By connecting these elements, we aimed to provide a comprehensive framework that links diverseaspects of M-LLMs, offering a unified vision for their future in health care. This approach aims to guide both future research andpractical implementations of M-LLMs in health care, positioning them as a paradigm shift toward integrated, multimodaldata-driven medical practice. We anticipate that this work will spark further discussion and inspire the development of innovativeapproaches in the next generation of medical M-LLM systems</t>
  </si>
  <si>
    <t>AlSaad, Rawan; Abd-alrazaq, Alaa; Boughorbel, Sabri; Ahmed, Arfan; Renault, Max-Antoine; Damseh, Rafat; Sheikh, Javaid</t>
  </si>
  <si>
    <t>AlSaad, R (corresponding author), Weill Cornell Med Qatar, Educ City, St 2700, Doha, Qatar.</t>
  </si>
  <si>
    <t>rta4003@qatar-med.cornell.edu</t>
  </si>
  <si>
    <t>[AlSaad, Rawan; Abd-alrazaq, Alaa; Ahmed, Arfan; Renault, Max-Antoine; Sheikh, Javaid] Weill Cornell Med Qatar, Educ City, St 2700, Doha, Qatar; [Boughorbel, Sabri] Hamad Bin Khalifa Univ, Qatar Comp Res Inst, Doha, Qatar; [Damseh, Rafat] United Arab Emirates Univ, Dept Comp Sci &amp; Software Engn, Al Ain, U Arab Emirates</t>
  </si>
  <si>
    <t>Qatar Foundation (QF); Weill Cornell Medical College Qatar; Qatar Foundation (QF); Hamad Bin Khalifa University-Qatar; Qatar Computing Research Institute; United Arab Emirates University</t>
  </si>
  <si>
    <t>Multimodal Large Language Models in Health Care:Applications,Challenges, and Future Outlook</t>
  </si>
  <si>
    <t>artificial intelligence; large language models; multimodal large language models; multimodality; multimodal generative artificialintelligence; multimodal generative AI; generative artificial intelligence; generative AI; health care</t>
  </si>
  <si>
    <t>ARTIFICIAL-INTELLIGENCE</t>
  </si>
  <si>
    <t>Abd-alrazaq, Alaa/ABE-3043-2021; DAMSEH, RAFAT/AAY-2880-2020</t>
  </si>
  <si>
    <t>Sheikh, Javaid/0000-0002-5762-4186; Ahmed, Arfan/0000-0002-4025-5767; Renault, Max-Antoine/0000-0002-6558-0136; Abd-alrazaq, Alaa/0000-0001-7695-4626; DAMSEH, RAFAT/0000-0001-6797-0448; Boughorbel, Sabri/0000-0003-2734-3356</t>
  </si>
  <si>
    <t>225</t>
  </si>
  <si>
    <t>253</t>
  </si>
  <si>
    <t>162</t>
  </si>
  <si>
    <t>SEP 25 2024</t>
  </si>
  <si>
    <t>e59505</t>
  </si>
  <si>
    <t>10.2196/59505</t>
  </si>
  <si>
    <t>http://dx.doi.org/10.2196/59505</t>
  </si>
  <si>
    <t>I8H7S</t>
  </si>
  <si>
    <t>39321458</t>
  </si>
  <si>
    <t>WOS:001332618800003</t>
  </si>
  <si>
    <t>Zhong, W; Sun, MY; Yao, S; Liu, YF; Peng, DC; Liu, Y; Yang, K; Gao, HM; Yan, HH; Hao, WJ; Yan, YS; Yin, CH</t>
  </si>
  <si>
    <t>Background: Identifying Human Phenotype Ontology (HPO) terms is crucial for diagnosing and managing rare diseases. However, clinicians, especially junior physicians, often face challenges due to the complexity of describing patient phenotypes accurately. Traditional manual search methods using HPO databases are time-consuming and prone to errors. Objective: The aim of the study is to investigate whether the use of multimodal large language models (MLLMs) can improve the accuracy of junior physicians in identifying HPO terms from patient images related to rare diseases. Methods: In total, 20 junior physicians from 10 specialties participated. Each physician evaluated 27 patient images sourced from publicly available literature, with phenotypes relevant to rare diseases listed in the Chinese Rare Disease Catalogue. The study was divided into 2 groups: the manual search group relied on the Chinese Human Phenotype Ontology website, while the MLLM-assisted group used an electronic questionnaire that included HPO terms preidentified by ChatGPT-4o as prompts, followed by a search using the Chinese Human Phenotype Ontology. The primary outcome was the accuracy of HPO identification, defined as the proportion of correctly identified HPO terms compared to a standard set determined by an expert panel. Additionally, the accuracy of outputs from ChatGPT-4o and 2 open-source MLLMs (Llama3.2:11b and Llama3.2:90b) was evaluated using the same criteria, with hallucinations for each model documented separately. Furthermore, participating physicians completed an additional electronic questionnaire regarding their rare disease background to identify factors affecting their ability to accurately describe patient images using standardized HPO terms. Results: A total of 270 descriptions were evaluated per group. The MLLM-assisted group achieved a significantly higher accuracy rate of 67.4% (182/270) compared to 20.4% (55/270) in the manual group (relative risk 3.31, 95% CI 2.58-4.25; P&lt;.001). The MLLM-assisted group demonstrated consistent performance across departments, whereas the manual group exhibited greater variability. Among standalone MLLMs, ChatGPT-4o achieved an accuracy of 48% (13/27), while the open-source models Llama3.2:11b and Llama3.2:90b achieved 15% (4/27) and 18% (5/27), respectively. However, MLLMs exhibited a high hallucination rate, frequently generating HPO terms with incorrect IDs or entirely fabricated content. Specifically, ChatGPT-4o, Llama3.2:11b, and Llama3.2:90b generated incorrect IDs in 57.3% (67/117), 98% (62/63), and 82% (46/56) of cases, respectively, and fabricated terms in 34.2% (40/117), 41% (26/63), and 32% (18/56) of cases, respectively. Additionally, a survey on the rare disease knowledge of junior physicians suggests that participation in rare disease and genetic disease training may enhance the performance of some physicians. Conclusions: The integration of MLLMs into clinical workflows significantly enhances the accuracy of HPO identification by junior physicians, offering promising potential to improve the diagnosis of rare diseases and standardize phenotype descriptions in medical research. However, the notable hallucination rate observed in MLLMs underscores the necessity for further refinement and rigorous validation before widespread adoption in clinical practice.</t>
  </si>
  <si>
    <t>Zhong, Wei; Sun, Mingyue; Yao, Shun; Liu, Yifan; Peng, Dingchuan; Liu, Yan; Yang, Kai; Gao, Huimin; Yan, Huihui; Hao, Wenjing; Yan, Yousheng; Yin, Chenghong</t>
  </si>
  <si>
    <t>Yin, CH (corresponding author), Capital Med Univ, Beijing Obstet &amp; Gynecol Hosp, Beijing Maternal &amp; Child Hlth Care Hosp, Dept Prenatal Diag Ctr,Dept Prenatal Diag, 251 Yaojiayuan Rd, Beijing 100020, Peoples R China.</t>
  </si>
  <si>
    <t>yinchh@ccmu.edu.cn</t>
  </si>
  <si>
    <t>National Key Research and Development Program of China [2023YFC2705600]; Capital Clinical Characteristic Diagnosis and Treatment Technology Research and Transformation Application Project [Z221100007422012]; Beijing Hospital Management Center "Yangfan" Plan 3.0 Clinical Technology Innovation Project [ZLRK202329]; Science and Technology Innovation and Transformation Special Project of Beijing Obstetrics and Gynecology Hospital Affiliated to Capital Medical University/Beijing Maternal and Child Health Hospital [FCYYZH202201]</t>
  </si>
  <si>
    <t>National Key Research and Development Program of China (National Key Research &amp; Development Program of China); Capital Clinical Characteristic Diagnosis and Treatment Technology Research and Transformation Application Project; Beijing Hospital Management Center "Yangfan" Plan 3.0 Clinical Technology Innovation Project; Science and Technology Innovation and Transformation Special Project of Beijing Obstetrics and Gynecology Hospital Affiliated to Capital Medical University/Beijing Maternal and Child Health Hospital</t>
  </si>
  <si>
    <t>The authors are grateful for the support of the following funds: National Key Research and Development Program of China (2023YFC2705600) , Capital Clinical Characteristic Diagnosis and Treatment Technology Research and Transformation Application Project (Z221100007422012) , Beijing Hospital Management Center "Yangfan" Plan 3.0 Clinical Technology Innovation Project (ZLRK202329) , and Science and Technology Innovation and Transformation Special Project of Beijing Obstetrics and Gynecology Hospital Affiliated to Capital Medical University/Beijing Maternal and Child Health Hospital (FCYYZH202201) .</t>
  </si>
  <si>
    <t>[Zhong, Wei; Liu, Yifan; Liu, Yan; Yang, Kai; Gao, Huimin; Yan, Huihui; Hao, Wenjing; Yan, Yousheng; Yin, Chenghong] Capital Med Univ, Beijing Obstet &amp; Gynecol Hosp, Beijing Maternal &amp; Child Hlth Care Hosp, Dept Prenatal Diag Ctr,Dept Prenatal Diag, 251 Yaojiayuan Rd, Beijing 100020, Peoples R China; [Sun, Mingyue] Shijiazhuang Peoples Hosp, Dept Reprod Med, Shijiazhuang, Hebei, Peoples R China; [Yao, Shun] Yijishan Hosp, Wannan Med Coll, Dept Gynecol &amp; Obstet, Wuhu, Anhui, Peoples R China; [Peng, Dingchuan] South China Univ Technol, Sch Med, Guangzhou, Guangdong, Peoples R China</t>
  </si>
  <si>
    <t>Capital Medical University; Wannan Medical College; South China University of Technology</t>
  </si>
  <si>
    <t>Enhancing the Accuracy of Human Phenotype Ontology Identification: Comparative Evaluation of Multimodal Large Language Models</t>
  </si>
  <si>
    <t>multimodal large language models; ChatGPT; rare diseases; human phenotype ontology; open-source LLMs; large language model</t>
  </si>
  <si>
    <t>Yan, Huihui/ODL-9818-2025; Zhong, Wei/JAC-1546-2023</t>
  </si>
  <si>
    <t>peng, dingchuan/0009-0000-9588-6809; Yang, Kai/0000-0002-7457-3106; liu, yan/0000-0003-1698-5783; Yin, Chenghong/0000-0002-2503-3285</t>
  </si>
  <si>
    <t>JUN 2 2025</t>
  </si>
  <si>
    <t>e73233</t>
  </si>
  <si>
    <t>10.2196/73233</t>
  </si>
  <si>
    <t>http://dx.doi.org/10.2196/73233</t>
  </si>
  <si>
    <t>4AS2W</t>
  </si>
  <si>
    <t>40456109</t>
  </si>
  <si>
    <t>WOS:001513537600002</t>
  </si>
  <si>
    <t>Meskó, B</t>
  </si>
  <si>
    <t>When large language models (LLMs) were introduced to the public at large in late 2022 with ChatGPT (OpenAI), the interest was unprecedented, with more than 1 billion unique users within 90 days. Until the introduction of Generative Pre-trained Transformer 4 (GPT-4) in March 2023, these LLMs only contained a single mode-text. As medicine is a multimodal discipline, the potential future versions of LLMs that can handle multimodality-meaning that they could interpret and generate not only text but also images, videos, sound, and even comprehensive documents-can be conceptualized as a significant evolution in the field of artificial intelligence (AI). This paper zooms in on the new potential of generative AI, a new form of AI that also includes tools such as LLMs, through the achievement of multimodal inputs of text, images, and speech on health care's future. We present several futuristic scenarios to illustrate the potential path forward as multimodal LLMs (M-LLMs) could represent the gateway between health care professionals and using AI for medical purposes. It is important to point out, though, that despite the unprecedented potential of generative AI in the form of M-LLMs, the human touch in medicine remains irreplaceable. AI should be seen as a tool that can augment health care professionals rather than replace them. It is also important to consider the human aspects of health care-empathy, understanding, and the doctor-patient relationship-when deploying AI.</t>
  </si>
  <si>
    <t>Mesko, Bertalan</t>
  </si>
  <si>
    <t>Meskó, B (corresponding author), Med Futurist Intitute, Povl Bang Jensen u 2 B1 4 1, H-1118 Budapest 11, Hungary.</t>
  </si>
  <si>
    <t>berci@medicalfuturist.com</t>
  </si>
  <si>
    <t>[Mesko, Bertalan] Med Futurist Intitute, Budapest, Hungary; [Mesko, Bertalan] Med Futurist Intitute, Povl Bang Jensen u 2 B1 4 1, H-1118 Budapest 11, Hungary</t>
  </si>
  <si>
    <t>The Impact of Multimodal Large Language Models on Health Care's Future</t>
  </si>
  <si>
    <t>artificial intelligence; ChatGPT; digital health; future; GPT-4; Generative Pre-Trained Transformer; large language models; multimodality; technology; AI; LLM</t>
  </si>
  <si>
    <t>Mesko, Bertalan/0000-0002-7005-7083</t>
  </si>
  <si>
    <t>150</t>
  </si>
  <si>
    <t>NOV 2 2023</t>
  </si>
  <si>
    <t>e52865</t>
  </si>
  <si>
    <t>10.2196/52865</t>
  </si>
  <si>
    <t>http://dx.doi.org/10.2196/52865</t>
  </si>
  <si>
    <t>Y3GQ9</t>
  </si>
  <si>
    <t>37917126</t>
  </si>
  <si>
    <t>WOS:001104191500001</t>
  </si>
  <si>
    <t>Fryszkowski, KS; Les, T</t>
  </si>
  <si>
    <t>Background and Objective: Fluorescence in situ hybridisation (FISH) is a reference technique for HER2 gene amplification assessment, yet manual signal counting is labour-intensive and subject to inter-observer variability. This study evaluates the zero and few-shot capability of multimodal large language models for automatic counting of HER2 and CEN17 signals in single-nucleus images. Methods: A data set of 240 nuclei, categorised by difficulty (simple, complex, and cluster), was extracted from clinical slides acquired at 100 &amp; times; magnification. Three models-Gemini 2.5 Pro, GPT-5, and Claude Sonnet 4.5 were tested using natural language prompts. In the main evaluation setting on original colour images, Gemini 2.5 Pro outperformed the others, achieving a mean absolute error (MAE) of 0.47 signals for simple nuclei and 0.92 for complex cases. Results: The model demonstrated high consistency across repeated runs (median absolute deviation of 0.22) and relied heavily on colour information, as the aggregated MAE worsened to 1.60 on greyscale inputs. Bland-Altman analysis revealed a systematic overcounting bias of 0.39 signals (p &lt; 0.001), driven primarily by HER2 (bias 0.75, p &lt; 0.001), whereas CEN17 counts showed no significant bias (bias 0.09, p = 0.213). Conclusions: These results indicate that the model is more likely to count background features as additional signals than to miss true signals. Although current error rates suggest they are not yet sufficiently reliable for autonomous clinical decision-making, the results demonstrate that general-purpose multimodal models can achieve sub-signal accuracy without specific training, indicating that this direction is worth pursuing. This work is intended as an exploratory feasibility study examining the reasoning capabilities of MLLMs as zero-shot counting engines.</t>
  </si>
  <si>
    <t>Fryszkowski, Kamil Stanislaw; Les, Tomasz</t>
  </si>
  <si>
    <t>Les, T (corresponding author), Warsaw Univ Technol, Plac Politech 1, PL-00661 Warsaw, Poland.</t>
  </si>
  <si>
    <t>kamil.fryszkowski.stud@pw.edu.pl; tomasz.les@pw.edu.pl</t>
  </si>
  <si>
    <t>[Fryszkowski, Kamil Stanislaw; Les, Tomasz] Warsaw Univ Technol, Plac Politech 1, PL-00661 Warsaw, Poland</t>
  </si>
  <si>
    <t>Warsaw University of Technology</t>
  </si>
  <si>
    <t>Application of multimodal large language models for HER2/CEN17 FISH signal detection</t>
  </si>
  <si>
    <t>COMPUTER METHODS AND PROGRAMS IN BIOMEDICINE</t>
  </si>
  <si>
    <t>HER2; FISH; Multimodal large language models; Cytogenetics; Signal counting; Digital pathology</t>
  </si>
  <si>
    <t>IN-SITU HYBRIDIZATION; BREAST-CANCER; HER2 STATUS; IMAGES</t>
  </si>
  <si>
    <t>0169-2607</t>
  </si>
  <si>
    <t>1872-7565</t>
  </si>
  <si>
    <t>COMPUT METH PROG BIO</t>
  </si>
  <si>
    <t>Comput. Meth. Programs Biomed.</t>
  </si>
  <si>
    <t>285</t>
  </si>
  <si>
    <t>109462</t>
  </si>
  <si>
    <t>10.1016/j.cmpb.2026.109462</t>
  </si>
  <si>
    <t>http://dx.doi.org/10.1016/j.cmpb.2026.109462</t>
  </si>
  <si>
    <t>Computer Science, Interdisciplinary Applications; Computer Science, Theory &amp; Methods; Engineering, Biomedical; Medical Informatics</t>
  </si>
  <si>
    <t>JN3WL</t>
  </si>
  <si>
    <t>42248130</t>
  </si>
  <si>
    <t>WOS:001793440200001</t>
  </si>
  <si>
    <t>Xue, D; Shao, ZY; Duan, ZY; Liu, FZ; Li, B; Zhang, ZH</t>
  </si>
  <si>
    <t>While biomedical artificial intelligence (AI) shows great clinical potential, existing systems relying on general-domain large language models (LLMs) often lack sufficient medical data to grasp complex healthcare concepts. Furthermore, recent Large Language and Vision Assistant (LLaVA)-based medical multimodal large language models (MLLMs) still struggle to effectively capture the intricate alignments between medical images and text. Therefore, we introduce Doctor Sun, an MLLM specialized in medicine, developed to encode, integrate, and interpret diverse biomedical data modalities such as text and images. In particular, Doctor Sun integrates a pre-trained vision encoder with a medical LLM and conducts two-stage training on various medical datasets, focusing on feature alignment and instruction tuning. Moreover, we release SunMed-VL, a wide-range bilingual medical multimodal dataset, along with all associated models, code, and resources, to freely support the advancement of biomedical multimodal research.</t>
  </si>
  <si>
    <t>Xue, Dong; Shao, Ziyao; Duan, Zhaoyang; Liu, Fangzhou; Li, Bing; Zhang, Zhongheng</t>
  </si>
  <si>
    <t>Xue, D (corresponding author), East China Univ Sci &amp; Technol, Key Lab Smart Mfg Energy Chem Proc, Minist Educ, Shanghai, Peoples R China.; Zhang, ZH (corresponding author), Sir Run Run Shaw Hosp, Hangzhou, Zhejiang, Peoples R China.; Zhang, ZH (corresponding author), Shaoxing Univ, Shaoxing, Peoples R China.</t>
  </si>
  <si>
    <t>dong.xue@ecust.edu.cn; zh_zhang1984@zju.edu.cn</t>
  </si>
  <si>
    <t>National Natural Science Foundation of China [62173147, 62373123, 82472243, 82272180]; China National Key Research and Development Program [2023YFC3603104, 2022YFC2504500]; Huadong Medicine Joint Funds of the Zhejiang Provincial Natural Science Foundation of China [LHDMD24H150001]; Science and Technology Department of the National Administration of Traditional Chinese Medicine [2022YFC2504500]; Zhejiang Provincial Administration of Traditional Chinese Medicine [GZY-ZJ-KJ-24082]; General Health Science and Technology Program of Zhejiang Province [2024KY1099]; Project of Zhejiang University Longquan Innovation Center [ZJDXLQCXZCJBGS2024016]; Wu Jieping Medical Foundation Special Research Grant [320.6750.2024-23-07]</t>
  </si>
  <si>
    <t>National Natural Science Foundation of China (National Natural Science Foundation of China (NSFC)); China National Key Research and Development Program; Huadong Medicine Joint Funds of the Zhejiang Provincial Natural Science Foundation of China; Science and Technology Department of the National Administration of Traditional Chinese Medicine; Zhejiang Provincial Administration of Traditional Chinese Medicine; General Health Science and Technology Program of Zhejiang Province; Project of Zhejiang University Longquan Innovation Center; Wu Jieping Medical Foundation Special Research Grant</t>
  </si>
  <si>
    <t>This work was funded by the National Natural Science Foundation of China (Grant No. 62173147, 62373123, 82472243 and 82272180), the China National Key Research and Development Program (No. 2023YFC3603104), the Huadong Medicine Joint Funds of the Zhejiang Provincial Natural Science Foundation of China (No. LHDMD24H150001), the China National Key Research and Development Program (No. 2022YFC2504500), a collaborative scientific project co-established by the Science and Technology Department of the National Administration of Traditional Chinese Medicine and the Zhejiang Provincial Administration of Traditional Chinese Medicine (No. GZY-ZJ-KJ-24082), the General Health Science and Technology Program of Zhejiang Province (No. 2024KY1099), the Project of Zhejiang University Longquan Innovation Center (No. ZJDXLQCXZCJBGS2024016), and Wu Jieping Medical Foundation Special Research Grant (320.6750.2024-23-07). There was no additional external funding received for this study. The funders had no role in study design, data collection and analysis, decision to publish, or preparation of the manuscript.</t>
  </si>
  <si>
    <t>[Xue, Dong; Shao, Ziyao; Duan, Zhaoyang] East China Univ Sci &amp; Technol, Key Lab Smart Mfg Energy Chem Proc, Minist Educ, Shanghai, Peoples R China; [Liu, Fangzhou] Harbin Inst Technol, Res Inst Intelligent Control &amp; Syst, Harbin, Peoples R China; [Li, Bing; Zhang, Zhongheng] Sir Run Run Shaw Hosp, Hangzhou, Zhejiang, Peoples R China; [Zhang, Zhongheng] Shaoxing Univ, Shaoxing, Peoples R China</t>
  </si>
  <si>
    <t>East China University of Science and Technology; Harbin Institute of Technology; Zhejiang University; Shaoxing University</t>
  </si>
  <si>
    <t>Doctor Sun: a bilingual multimodal large language model for biomedical AI</t>
  </si>
  <si>
    <t>PEERJ COMPUTER SCIENCE</t>
  </si>
  <si>
    <t>Multimodal machine learning; Large language model; Medical diagnosis</t>
  </si>
  <si>
    <t>Zhang, Zhongheng/E-1282-2011</t>
  </si>
  <si>
    <t>PEERJ INC</t>
  </si>
  <si>
    <t>341-345 OLD ST, THIRD FLR, LONDON, EC1V 9LL, ENGLAND</t>
  </si>
  <si>
    <t>2376-5992</t>
  </si>
  <si>
    <t>PEERJ COMPUT SCI</t>
  </si>
  <si>
    <t>PeerJ Comput. Sci.</t>
  </si>
  <si>
    <t>MAY 8 2026</t>
  </si>
  <si>
    <t>e3853</t>
  </si>
  <si>
    <t>10.7717/peerj-cs.3853</t>
  </si>
  <si>
    <t>http://dx.doi.org/10.7717/peerj-cs.3853</t>
  </si>
  <si>
    <t>Computer Science, Artificial Intelligence; Computer Science, Information Systems; Computer Science, Theory &amp; Methods</t>
  </si>
  <si>
    <t>IR7WT</t>
  </si>
  <si>
    <t>WOS:001778786100001</t>
  </si>
  <si>
    <t>Fung, A; Tan, AH; Wang, HT; Benhabib, B; Nejat, G</t>
  </si>
  <si>
    <t>Robotic search of people in human-centered environments, including healthcare settings, is challenging, as autonomous robots need to locate people without complete or any prior knowledge of their schedules, plans, or locations. Furthermore, robots need to be able to adapt to real-time events that can influence a person's plan in an environment. In this paper, we present MLLM-Search, a novel zero-shot person search architecture that leverages multimodal large language models (MLLM) to address the mobile robot problem of searching for a person under event-driven scenarios with varying user schedules. Our approach introduces a novel visual prompting method to provide robots with spatial understanding of the environment by generating a spatially grounded waypoint map, representing navigable waypoints using a topological graph and regions by semantic labels. This is incorporated into an MLLM with a region planner that selects the next search region based on the semantic relevance to the search scenario and a waypoint planner that generates a search path by considering the semantically relevant objects and the local spatial context through our unique spatial chain-of-thought prompting approach. Extensive 3D photorealistic experiments were conducted to validate the performance of MLLM-Search in searching for a person with a changing schedule in different environments. An ablation study was also conducted to validate the main design choices of MLLM-Search. Furthermore, a comparison study with state-of-the-art search methods demonstrated that MLLM-Search outperforms existing methods with respect to search efficiency. Real-world experiments with a mobile robot in a multi-room floor of a building showed that MLLM-Search was able to generalize to new and unseen environments.</t>
  </si>
  <si>
    <t>Fung, Angus; Tan, Aaron Hao; Wang, Haitong; Benhabib, Bensiyon; Nejat, Goldie</t>
  </si>
  <si>
    <t>Fung, A; Nejat, G (corresponding author), Univ Toronto, Dept Mech &amp; Ind Engn, Autonomous Syst &amp; Biomechatron Lab, Toronto, ON M5S 3G8, Canada.; Nejat, G (corresponding author), Univ Hlth Newtork UHN, Toronto Rehabil Inst, KITE, Toronto, ON M5G 2A2, Canada.; Nejat, G (corresponding author), Baycrest Hlth Sci, Rotman Res Inst, N York, ON M6A 2E1, Canada.</t>
  </si>
  <si>
    <t>haitong.wang@mail.utoronto.ca; nejat@mie.utoronto.ca; beno@mie.utoronto.ca; angus.fung@mail.utoronto.ca; aaronhao.tan@utoronto.ca</t>
  </si>
  <si>
    <t>AGE-WELL Inc.; Natural Sciences and Engineering Research Council of Canada (NSERC); NSERC CREATE HeRo fellowship; Canada Research Chairs Program</t>
  </si>
  <si>
    <t>AGE-WELL Inc.; Natural Sciences and Engineering Research Council of Canada (NSERC) (Natural Sciences and Engineering Research Council of Canada (NSERC)); NSERC CREATE HeRo fellowship (Natural Sciences and Engineering Research Council of Canada (NSERC)); Canada Research Chairs Program (Canada Research Chairs)</t>
  </si>
  <si>
    <t>This research was funded in part by AGE-WELL Inc., the Natural Sciences and Engineering Research Council of Canada (NSERC), an NSERC CREATE HeRo fellowship, and the Canada Research Chairs Program.</t>
  </si>
  <si>
    <t>[Fung, Angus; Tan, Aaron Hao; Wang, Haitong; Benhabib, Bensiyon; Nejat, Goldie] Univ Toronto, Dept Mech &amp; Ind Engn, Autonomous Syst &amp; Biomechatron Lab, Toronto, ON M5S 3G8, Canada; [Nejat, Goldie] Univ Hlth Newtork UHN, Toronto Rehabil Inst, KITE, Toronto, ON M5G 2A2, Canada; [Nejat, Goldie] Baycrest Hlth Sci, Rotman Res Inst, N York, ON M6A 2E1, Canada</t>
  </si>
  <si>
    <t>University of Toronto; University of Toronto; University Health Network Toronto; Toronto Rehabilitation Institute; Baycrest; University of Toronto; Baycrest</t>
  </si>
  <si>
    <t>MLLM-Search: A Zero-Shot Approach to Finding People Using Multimodal Large Language Models</t>
  </si>
  <si>
    <t>ROBOTICS</t>
  </si>
  <si>
    <t>robotic person search; multimodal large language models; vision language models; zero-shot search; event-driven scenarios</t>
  </si>
  <si>
    <t>ROBOT</t>
  </si>
  <si>
    <t>Benhabib, Beno/0000-0002-5097-3965; Tan, Aaron Hao/0000-0003-3918-2692; Fung, Angus/0000-0003-3669-4182; Nejat, Goldie/0000-0002-7080-6857</t>
  </si>
  <si>
    <t>2218-6581</t>
  </si>
  <si>
    <t>Robotics</t>
  </si>
  <si>
    <t>JUL 28 2025</t>
  </si>
  <si>
    <t>102</t>
  </si>
  <si>
    <t>10.3390/robotics14080102</t>
  </si>
  <si>
    <t>http://dx.doi.org/10.3390/robotics14080102</t>
  </si>
  <si>
    <t>6OT7H</t>
  </si>
  <si>
    <t>WOS:001558426000001</t>
  </si>
  <si>
    <t>Buckley, TA; Diao, JA; Srivastava, CN; Brodeur, PG; Rajpurkar, P; Rodman, A; Manrai, AK</t>
  </si>
  <si>
    <t>Multimodal foundation models have shown compelling but conflicting performance in medical image interpretation. However, the ways in which these models integrate and prioritize different data modalities, including images and text, remain poorly understood. Here we evaluate 8 proprietary and open-source multimodal foundation models using 1090 multimodal medical cases. We show that image predictions are largely driven by text, with accuracy increasing monotonically with the amount of informative text. Exploitation of text is a double-edged sword; even mild suggestions of an incorrect diagnosis in text diminish image-based classification, dramatically reducing performance in cases the model could previously answer using images alone-o3 accuracy fell from 84% to 28% when a misleading clinical vignette was introduced. In physician evaluations of long-form cases, adding images reduces or does not improve performance when text is highly informative (e.g., GPT-4V showed decreased accuracy when images were added to highly informative text across 69 clinicopathological conferences). Our results suggest that multimodal AI models may be useful in medical diagnostic reasoning but that their accuracy is largely driven, for better and worse, by text.</t>
  </si>
  <si>
    <t>Buckley, Thomas A.; Diao, James A.; Srivastava, Cam N.; Brodeur, Peter G.; Rajpurkar, Pranav; Rodman, Adam; Manrai, Arjun K.</t>
  </si>
  <si>
    <t>Manrai, AK (corresponding author), Harvard Med Sch, Dept Biomed Informat, Boston, MA 02115 USA.</t>
  </si>
  <si>
    <t>Arjun_Manrai@hms.harvard.edu</t>
  </si>
  <si>
    <t>U.S. Department of Health &amp; Human Services | NIH | National Institute of Environmental Health Sciences (NIEHS) [R01ES032470]</t>
  </si>
  <si>
    <t>U.S. Department of Health &amp; Human Services | NIH | National Institute of Environmental Health Sciences (NIEHS) (United States Department of Health &amp; Human Services, National Institutes of Health (NIH) - USA, NIH National Institute of Environmental Health Sciences (NIEHS))</t>
  </si>
  <si>
    <t>We are grateful for support from NIH/NIEHS R01ES032470 (A.K.M.), NIH/NIDDK R01DK137993 (A.K.M.), the Harvard Medical School Dean's Innovation Awards for the Use of Artificial Intelligence in Education, Research, and Administration (A.K.M.), and the Dunleavy Fund for Clinical AI at Harvard Medical School (T.A.B.). We thank NEJM Group for permission to use the cases in this study.</t>
  </si>
  <si>
    <t>[Buckley, Thomas A.; Diao, James A.; Srivastava, Cam N.; Rajpurkar, Pranav; Manrai, Arjun K.] Harvard Med Sch, Dept Biomed Informat, Boston, MA 02115 USA; [Diao, James A.] Brigham &amp; Womens Hosp, Dept Med, Boston, MA USA; [Brodeur, Peter G.; Rodman, Adam] Beth Israel Deaconess Med Ctr, Dept Med, Boston, MA USA</t>
  </si>
  <si>
    <t>Harvard University; Harvard Medical School; Harvard University; Harvard University Medical Affiliates; Brigham &amp; Women's Hospital; Harvard University; Harvard University Medical Affiliates; Beth Israel Deaconess Medical Center</t>
  </si>
  <si>
    <t>Multimodal foundation models exploit text to make medical image predictions</t>
  </si>
  <si>
    <t>ACCURACY</t>
  </si>
  <si>
    <t>Diao, James/GMX-1067-2022</t>
  </si>
  <si>
    <t>Manrai, Arjun/0000-0001-9657-9800</t>
  </si>
  <si>
    <t>JUN 12 2026</t>
  </si>
  <si>
    <t>7475</t>
  </si>
  <si>
    <t>10.1038/s41467-026-74207-5</t>
  </si>
  <si>
    <t>http://dx.doi.org/10.1038/s41467-026-74207-5</t>
  </si>
  <si>
    <t>LW5PC</t>
  </si>
  <si>
    <t>42285926</t>
  </si>
  <si>
    <t>WOS:001834924400009</t>
  </si>
  <si>
    <t>Han, P; Li, X; Jing, SQ; Wei, JX</t>
  </si>
  <si>
    <t>Medical image report generation refers to the automatic generation of text descriptions that correspond to specific medical images. In recent years, the increasing demand for medical imaging from both patients and healthcare institutions has significantly increased radiologists' workloads. Concurrently, shortages in medical resources and diagnostic capabilities have raised the risks of diagnostic delays and misinterpretations in medical imaging. To alleviate the burden on medical professionals and ensure accurate diagnoses, the task of automated medical report generation has attracted a growing number of researchers. In this context, systems based on deep learning methods combined with general Large Language Models (LLMs) have been developed. However, existing methods face limitations in effectively integrating visual and textual data and they ignore the fact that the contributions of different modalities to diagnostic results vary across cases. Additionally, these approaches fail to address the lack of specialized medical knowledge when applying general LLMs. This paper introduces the Dynamic Feature Fusion Guiding and Multimodal Large Language Model Refining (DFFG-MLLMR) framework, which addresses these limitations through two key components:(1) The DFFG module dynamically adjusts the contributions of visual and textual features based on their diagnostic relevance, ensuring optimal feature utilization for report generation; (2) The MLLMR module integrates visual retrieval methods with fine-tuned LLMs to generate comprehensive and accurate medical reports. Our method achieves quantitatively superior results to other baseline methods on both benchmark datasets. On the IU-Xray dataset, DFFG-MLLMR achieves BLEU-4 of 0.191 and CIDEr of 0.574, exceeding the best conventional approach Token-Mixer. On the MIMIC-CXR dataset, our method achieves BLEU-4 of 0.132 and CIDEr of 0.289, improving upon Token-Mixer by 0.008 and 0.126. Experiments on public datasets demonstrate the superiority of DFFG-MLLMR, showing significant improvements in cross-modal feature fusion performance and enhanced diagnostic quality in automated reports. Furthermore, ablation studies confirm that the DFFG and MLLMR modules contribute complementary improvements, collectively enhancing the accuracy and clinical reliability of reports. The code can be obtained at https://github.com/ BearLiX/DFFG-MLLMR.</t>
  </si>
  <si>
    <t>Han, Pu; Li, Xiong; Jing, Shenqi; Wei, Jianxiang</t>
  </si>
  <si>
    <t>Wei, JX (corresponding author), Nanjing Univ Posts &amp; Telecommun, Sch Management, Nanjing 210003, Peoples R China.</t>
  </si>
  <si>
    <t>hanpu@njupt.edu.cn; jingshenqi@njmu.edu.cn; lx_njupt@163.com; jxwei@njupt.edu.cn</t>
  </si>
  <si>
    <t>National Social Science Foundation of China project "Research on Knowledge Organization Model of Multimodal Health and Medical Data" [22BTQ096]; Blue Project of Jiangsu Province; The 1311 Talent Program of Nanjing University of Posts and Telecommunications</t>
  </si>
  <si>
    <t>National Social Science Foundation of China project "Research on Knowledge Organization Model of Multimodal Health and Medical Data"; Blue Project of Jiangsu Province; The 1311 Talent Program of Nanjing University of Posts and Telecommunications</t>
  </si>
  <si>
    <t>This research was supported by the National Social Science Foundation of China project "Research on Knowledge Organization Model of Multimodal Health and Medical Data" (Project No. 22BTQ096), the Blue Project of Jiangsu Province and the 1311 Talent Program of Nanjing University of Posts and Telecommunications.</t>
  </si>
  <si>
    <t>[Han, Pu; Li, Xiong; Wei, Jianxiang] Nanjing Univ Posts &amp; Telecommun, Sch Management, Nanjing 210003, Peoples R China; [Han, Pu; Wei, Jianxiang] Jiangsu Prov Key Lab Data Engn &amp; Knowledge Serv, Nanjing 210023, Peoples R China; [Jing, Shenqi] Nanjing Med Univ, Sch Basic Med Sci, Nanjing 210029, Peoples R China</t>
  </si>
  <si>
    <t>Nanjing University of Posts &amp; Telecommunications; Nanjing Medical University</t>
  </si>
  <si>
    <t>Dynamic feature fusion guiding and multimodal large language model refining for medical image report generation</t>
  </si>
  <si>
    <t>Medical image report generation; Dynamic feature fusion; Multimodal; Visual retrieval; Large language model</t>
  </si>
  <si>
    <t>DIAGNOSIS; TRANSFORMER; NETWORK</t>
  </si>
  <si>
    <t>魏, 建香/0000-0001-9052-9212</t>
  </si>
  <si>
    <t>130082</t>
  </si>
  <si>
    <t>10.1016/j.eswa.2025.130082</t>
  </si>
  <si>
    <t>http://dx.doi.org/10.1016/j.eswa.2025.130082</t>
  </si>
  <si>
    <t>9JQ2L</t>
  </si>
  <si>
    <t>WOS:001607937400002</t>
  </si>
  <si>
    <t>Xu, PJ; Kan, SX; Jin, J; Zhang, ZJ; Gu, YX; Zhang, B; Zhou, YL</t>
  </si>
  <si>
    <t>In the highly intertwined field of healthcare, cross-modal medical data (including diagnostic imaging profiles, physiological time series signals, clinical voice archives, electronic medical records, surgical video streams, and genomics data) play a key role in clinical diagnostic and treatment decisions and basic medical research. Despite the breakthroughs in medical knowledge management and information processing made by generalized Large Language Models (LLMs), the existing systems are mainly limited to the processing capability of text modality, and this unimodal limitation seriously restricts the practical application value of intelligent medical systems. Multimodal Large Language Models (MLLMs) can realize multidimensional patient feature modeling through the deep semantic fusion of multimodal medical data, which can significantly improve the efficiency of disease identification and medical resource scheduling, and support the formulation of precise individual treatment strategies. In this paper, we systematically describe the development, applications, chanllenges and future of MLLMs in clinical practice and medical research, and provide a theoretical framework and practical guidelines for building a new generation of intelligent healthcare infrastructure. However, data silos, modality fusion strategies, computational resource requirements, and ethical compliance are still the main bottlenecks. Through this review, it is hoped that it can help more medical researchers to understand the progress of MLLMs technology, and help more medical researchers and MLLMs developers to work closely with each other through interdisciplinary cooperation, to create more products that are beneficial to the development of human health and put them into practical applications.</t>
  </si>
  <si>
    <t>Xu, Peng Jun; Kan, Shuang Xiang; Jin, Jing; Zhang, Zhou Jing; Gu, Ya Xin; Zhang, Bo; Zhou, You Lang</t>
  </si>
  <si>
    <t>Zhou, YL (corresponding author), Nantong Univ, Hand Surg Res Ctr, Nanomed Res Lab, Res Cent Clin Med,Affiliated Hosp,Med Sch, Nantong 226001, Peoples R China.</t>
  </si>
  <si>
    <t>youlangzhou@163.com</t>
  </si>
  <si>
    <t>[Xu, Peng Jun; Gu, Ya Xin; Zhang, Bo; Zhou, You Lang] Nantong Univ, Hand Surg Res Ctr, Nanomed Res Lab, Res Cent Clin Med,Affiliated Hosp,Med Sch, Nantong 226001, Peoples R China; [Kan, Shuang Xiang] Univ New South Wales, Sch Comp Sci &amp; Engn, Sydney, NSW 2052, Australia; [Jin, Jing] Hangzhou Med Coll, Zhejiang Prov Peoples Hosp, Ctr Rehabil Med, Dept Rehabil,Affiliated Peoples Hosp, Hangzhou, Zhejiang, Peoples R China; [Zhang, Zhou Jing] Nanjing Med Univ, Lianyungang Peoples Hosp 2, Kangda Coll, Dept Stomatol, Lianyungang 222003, Peoples R China</t>
  </si>
  <si>
    <t>Nantong University; University of New South Wales Sydney; Hangzhou Medical College; Zhejiang Provincial People's Hospital; Nanjing Medical University</t>
  </si>
  <si>
    <t>Multimodal large language models in medical research and clinical practice: Development, applications, challenges and future</t>
  </si>
  <si>
    <t>Multimodal large language models; Healthcare; Medical research; Clinical application; Cross-disciplinary research</t>
  </si>
  <si>
    <t>FUSION</t>
  </si>
  <si>
    <t>Xu, Pengjun/AAQ-9648-2020; Kan, Shuangxiang/LJL-5093-2024</t>
  </si>
  <si>
    <t>88</t>
  </si>
  <si>
    <t>JAN 7 2026</t>
  </si>
  <si>
    <t>660</t>
  </si>
  <si>
    <t>131817</t>
  </si>
  <si>
    <t>10.1016/j.neucom.2025.131817</t>
  </si>
  <si>
    <t>http://dx.doi.org/10.1016/j.neucom.2025.131817</t>
  </si>
  <si>
    <t>9KQ2W</t>
  </si>
  <si>
    <t>WOS:001608619400012</t>
  </si>
  <si>
    <t>Aydogan, CN; Kazaz, I; Hosbul, T</t>
  </si>
  <si>
    <t>Multimodal large language models (LLMs) offer significant potential for image-based diagnostics, yet their reliability in routine clinical microbiology workflows, specifically Gram stain interpretation, remains insufficiently characterized. In this prospective diagnostic accuracy study, 100 Gram-stained blood culture smear images from routine laboratory workflows were evaluated by three multimodal LLMs (ChatGPT-4o, Gemini 2.5 Flash, and Claude Opus). Models were assessed using standardized zero-shot prompts across two independent runs to evaluate intramodel consistency. Performance was benchmarked against three expert medical microbiologists and automated organism identification (reference standard) across Gram type, major morphology, combined classification, and fine-grained sub-details. Expert microbiologists achieved 100% concordance with the reference standard for the predefined primary categories of Gram type and major morphology. LLM accuracy was high for Gram-type classification (95-98%) but lower for cellular morphology (84-85%), resulting in combined accuracies of 82-84%. No significant inter-model differences were observed in primary tasks. Intramodel consistency was high across runs (Cohen's kappa = 0.73-0.96). However, performance declined for morphological sub-details, where ChatGPT and Gemini significantly outperformed Claude. Organism-level accuracy was high for Gram-positive cocci and Gram-negative bacilli but substantially lower for Gram-positive bacilli and yeast. Multimodal large language models show promising baseline performance in Gram-stained blood culture interpretation, particularly for Gram type and major morphology. However, reduced accuracy in combined interpretation, fine-grained morphology, and less common organism classes highlights current limitations of out-of-the-box models. These findings support the use of multimodal LLMs as expert-supervised decision-support tools rather than standalone systems and emphasize the need for task-specific optimization and multicenter validation before routine clinical implementation.</t>
  </si>
  <si>
    <t>Aydogan, Canset Nur; Kazaz, Ilgaz; Hosbul, Tugrul</t>
  </si>
  <si>
    <t>Aydogan, CN (corresponding author), Ordu State Hosp, Dept Med Microbiol, TR-52200 Ordu, Turkiye.</t>
  </si>
  <si>
    <t>aydogancanset@gmail.com; tugrulhosbul@gmail.com; drilgazkazaz@gmail.com</t>
  </si>
  <si>
    <t>This study received no external funding.</t>
  </si>
  <si>
    <t>[Aydogan, Canset Nur] Ordu State Hosp, Dept Med Microbiol, TR-52200 Ordu, Turkiye; [Kazaz, Ilgaz] Beytepe Murat Erdi Eker State Hosp, Dept Med Microbiol, TR-06800 Ankara, Turkiye; [Hosbul, Tugrul] Univ Hlth Sci, Gulhane Fac Med, Dept Med Microbiol, TR-06010 Ankara, Turkiye</t>
  </si>
  <si>
    <t>Ordu State Hospital; Gulhane Training &amp; Research Hospital; University of Health Sciences Turkey</t>
  </si>
  <si>
    <t>From Gram Stain to Decision Support: Performance of Multimodal Large Language Models in Blood Culture Microscopy</t>
  </si>
  <si>
    <t>Artificial intelligence in microbiology; Large language models; Clinical microbiology diagnostics; Blood culture microscopy; Gram-stained smear interpretation</t>
  </si>
  <si>
    <t>Hosbul, Tugrul/JCE-3623-2023; KAZAZ, Ilgaz/NTQ-9678-2025</t>
  </si>
  <si>
    <t>10.1007/s10278-026-02102-y</t>
  </si>
  <si>
    <t>http://dx.doi.org/10.1007/s10278-026-02102-y</t>
  </si>
  <si>
    <t>KQ3OD</t>
  </si>
  <si>
    <t>42414723</t>
  </si>
  <si>
    <t>WOS:001813087100001</t>
  </si>
  <si>
    <t>Mine, Y; Taji, T; Takeda, S; Okazaki, S; Peng, TY; Kakimoto, N; Murayama, T</t>
  </si>
  <si>
    <t>Objectives: To assess whether general-purpose multimodal large language models (LLMs) can localize dental implant fixtures on panoramic radiographs and to quantify false positives on implant fixture-absent images. Methods: Using an open-source dataset, we evaluated 82 implant fixture-present panoramic radiographs (297 fixtures) and 82 implant fixture-absent images balanced by present or absent radiopaque restorations (41 each). We tested three multimodal LLMs (GPT-4o, OpenAI o3, and GPT-5T) with a fixed visual-grounding prompt across five independent runs per image. We scored the outputs using an any-overlap rule within a free-response localization framework. The outcomes on the implant fixture-present images were fixture-level micro sensitivity, image-level complete detection rate (CDR), and false positives per image (FPPI+). The outcomes on the implant fixture-absent images were image-level specificity (no-box rate) and FPPI-. Results: On the implant fixture-present images, micro sensitivity was 16.97 % for GPT-4o, 68.82 % for OpenAI o3, and 65.66 % for GPT-5T; CDRs were 2.20 %, 59.02 %, and 56.59 %; and FPPI+ values were 3.83, 1.48, and 1.52, respectively. On the implant fixture-absent images, specificity values were 32.68 %, 65.85 %, and 68.54 %, and FPPI- values were 1.95, 1.04, and 0.92, respectively. Radiopaque restorations markedly reduced specificity. The fixtures detected in all five runs were 1.01 % (GPT-4o), 22.22 % (OpenAI o3), and 25.93 % (GPT-5T). Conclusions: Reasoning-focused multimodal LLMs outperformed GPT-4o in zero-shot implant fixture localization and reduced false positives, but moderate sensitivity, restoration-driven errors, and run-to-run variability limit autonomous clinical use. Clinical Significance: This benchmark clarifies the current capabilities and limitations of multimodal LLMs for implant-related radiographic workflows.</t>
  </si>
  <si>
    <t>Mine, Yuichi; Taji, Tsuyoshi; Takeda, Saori; Okazaki, Shota; Peng, Tzu-Yu; Kakimoto, Naoya; Murayama, Takeshi</t>
  </si>
  <si>
    <t>Mine, Y (corresponding author), Hiroshima Univ, Grad Sch Biomed &amp; Hlth Sci, Dept Med Syst Engn, 1-2-3 Kasumi Minami Ku, Hiroshima 7348553, Japan.</t>
  </si>
  <si>
    <t>mine@hiroshima-u.ac.jp</t>
  </si>
  <si>
    <t>Ministry of Education, Culture, Sports, Science and Technology of Japan [25K15961]; SmaSo-X Challenge Project Young Researchers Research Grant from the Graduate School of Innovation and Practice for Smart Society</t>
  </si>
  <si>
    <t>Ministry of Education, Culture, Sports, Science and Technology of Japan (Ministry of Education, Culture, Sports, Science and Technology, Japan (MEXT)); SmaSo-X Challenge Project Young Researchers Research Grant from the Graduate School of Innovation and Practice for Smart Society</t>
  </si>
  <si>
    <t>This study was partially supported by Grants-in-Aid from the Ministry of Education, Culture, Sports, Science and Technology of Japan to Y.M., S.O., N.K., and T.M., [25K15961] and SmaSo-X Challenge Project Young Researchers Research Grant from the Graduate School of Innovation and Practice for Smart Society, Hiroshima University to Y.M.</t>
  </si>
  <si>
    <t>[Mine, Yuichi; Takeda, Saori; Okazaki, Shota; Murayama, Takeshi] Hiroshima Univ, Project Res Ctr Integrating Digital Dent, 1-2-3 Kasumi Minami Ku, Hiroshima 7348553, Japan; [Mine, Yuichi; Takeda, Saori; Murayama, Takeshi] Hiroshima Univ, Grad Sch Biomed &amp; Hlth Sci, Dept Med Syst Engn, 1-2-3 Kasumi Minami Ku, Hiroshima 7348553, Japan; [Taji, Tsuyoshi] Hiroshima Univ, Grad Sch Biomed &amp; Hlth Sci, Dept Oral Biol &amp; Engn, 1-2-3 Kasumi Minami Ku, Hiroshima 7348553, Japan; [Okazaki, Shota] Sapporo City Univ, AIT Ctr, Minami1 Nishi6 Chuo Ku, Sapporo, Hokkaido 0600061, Japan; [Peng, Tzu-Yu] Taipei Med Univ, Coll Oral Med, Sch Dent, 250 Wu Hosing St, Taipei 11031, Taiwan; [Kakimoto, Naoya] Hiroshima Univ, Grad Sch Biomed &amp; Hlth Sci, Dept Oral &amp; Maxillofacial Radiol, 1-2-3 Kasumi Minami Ku, Hiroshima 7348553, Japan</t>
  </si>
  <si>
    <t>Hiroshima University; Hiroshima University; Hiroshima University; Taipei Medical University; Hiroshima University</t>
  </si>
  <si>
    <t>Assessing multimodal large language models for localizing dental implant fixtures on panoramic radiographs</t>
  </si>
  <si>
    <t>JOURNAL OF DENTISTRY</t>
  </si>
  <si>
    <t>Artificial intelligence; Generative artificial intelligence; Multimodal large language models; Dental implant localization; Panoramic radiographs</t>
  </si>
  <si>
    <t>REMOVAL; IMAGES</t>
  </si>
  <si>
    <t>Mine, Yuichi/HHN-1257-2022; Peng, Tzu-Yu/AAM-6623-2021</t>
  </si>
  <si>
    <t>0300-5712</t>
  </si>
  <si>
    <t>1879-176X</t>
  </si>
  <si>
    <t>J DENT</t>
  </si>
  <si>
    <t>J. Dent.</t>
  </si>
  <si>
    <t>106580</t>
  </si>
  <si>
    <t>10.1016/j.jdent.2026.106580</t>
  </si>
  <si>
    <t>http://dx.doi.org/10.1016/j.jdent.2026.106580</t>
  </si>
  <si>
    <t>EH6UF</t>
  </si>
  <si>
    <t>41707827</t>
  </si>
  <si>
    <t>WOS:001701324800001</t>
  </si>
  <si>
    <t>Büyüktoka, RE; Salbas, A</t>
  </si>
  <si>
    <t>Rationale and Objectives: Bone age assessment guides endocrine and orthopedic care in children, yet manual Greulich-Pyle reading is subjective, and commercial deep-learning tools are costly. We examined whether readily accessible closed-source multimodal large language models can provide clinically acceptable bone age assessment accuracy. Materials and Methods: A balanced set of 180 left-hand wrist radiographs (ages 0-18 years; RSNA Pediatric Bone Age dataset) was analyzed by three models (ChatGPT-o4-mini-high, ChatGPT-4.5, and Google Gemini 2.5 Pro) using an identical prompt. Reference ages were adjusted bone ages by consensus of radiologists. Accuracy metrics were mean absolute error (MAE) and root-mean-square error (RMSE); agreement was assessed with Bland-Altman analysis. Model performance was compared with a Friedman test followed by Bonferroni-adjusted Wilcoxon signed-rank tests. Results: Gemini 2.5 Pro yielded the lowest error (MAE 28.48 months, RMSE 35.23 months), comparing with ChatGPT-4.5 (MAE 35.38 months, RMSE 43.64 months) and ChatGPT-o4-mini-high (MAE 35.87 months, RMSE 45.43 months; both P &lt; .001). Bias was -9.38 months for Gemini, -4.80 months for ChatGPT-4.5, and +5.26 months for ChatGPT-o4-mini-high; 95% limits of agreement exceeded +/- 4.5 years for every model. Conclusion: Multimodal Large Language Models can estimate bone age directly from radiographs without task-specific training, but current errors of 2-3years and wide errors remain unsuitable for clinical or medico-legal decision-making. Advances in vision encoder capacity and domain-specific fine-tuning are needed before LLMs can replace dedicated BAA software or expert readers.</t>
  </si>
  <si>
    <t>Buyuktoka, Rasit Eren; Salbas, Ali</t>
  </si>
  <si>
    <t>Büyüktoka, RE (corresponding author), Izmir Foca State Hosp, Dept Radiol, TR-35680 Izmir, Turkiye.</t>
  </si>
  <si>
    <t>rasiterenbuyuktoka@hotmail.com</t>
  </si>
  <si>
    <t>[Buyuktoka, Rasit Eren] Izmir Foca State Hosp, Dept Radiol, TR-35680 Izmir, Turkiye; [Salbas, Ali] Izmir Katip Celebi Univ, Ataturk Training &amp; Res Hosp, Dept Radiol, Izmir, Turkiye</t>
  </si>
  <si>
    <t>Izmir Katip Celebi University; Izmir Ataturk Training &amp; Research Hospital</t>
  </si>
  <si>
    <t>Multimodal Large Language Models for Pediatric Bone-Age Assessment: A Comparative Accuracy Analysis</t>
  </si>
  <si>
    <t>ACADEMIC RADIOLOGY</t>
  </si>
  <si>
    <t>Bone-age; Large Language Models; Artificial intelligence; Radiography</t>
  </si>
  <si>
    <t>Büyüktoka, Raşit Eren/HJA-2907-2022; Salbas, Ali/ODM-6417-2025</t>
  </si>
  <si>
    <t>Büyüktoka, Raşit Eren/0000-0002-6989-6613; Salbas, Ali/0000-0002-6157-6367</t>
  </si>
  <si>
    <t>STE 800, 230 PARK AVE, NEW YORK, NY 10169 USA</t>
  </si>
  <si>
    <t>1076-6332</t>
  </si>
  <si>
    <t>1878-4046</t>
  </si>
  <si>
    <t>ACAD RADIOL</t>
  </si>
  <si>
    <t>Acad. Radiol.</t>
  </si>
  <si>
    <t>6905</t>
  </si>
  <si>
    <t>6912</t>
  </si>
  <si>
    <t>10.1016/j.acra.2025.07.058</t>
  </si>
  <si>
    <t>http://dx.doi.org/10.1016/j.acra.2025.07.058</t>
  </si>
  <si>
    <t>9UV5R</t>
  </si>
  <si>
    <t>40803966</t>
  </si>
  <si>
    <t>WOS:001615565000010</t>
  </si>
  <si>
    <t>Ayhan, MS; Ong, AY; Ruffell, E; Wagner, SK; Merle, DA; Keane, PA</t>
  </si>
  <si>
    <t>Objective: This study aims to evaluate whether in-context learning (ICL), a prompt-based learning mechanism enabling multimodal foundation models to rapidly adapt to new tasks without retraining or large annotated datasets, can achieve comparable diagnostic performance to domain-specific foundation models. Specifically, we use diabetic retinopathy (DR) detection as an exemplar task to probe if a multimodal foundation model (Google Gemini 1.5 Pro), employing ICL, can match the performance of a domain-specific model (RETFound) fine-tuned explicitly for DR detection from color fundus photographs (CFPs). Design: A cross-sectional study. Subjects: A retrospective, publicly available dataset (Indian Diabetic Retinopathy Image Dataset) comprising 516 CFPs collected at an eye clinic in India, featuring both healthy individuals and patients with DR. Methods: The images were dichotomized into 2 groups based on the presence or absence of any signs of DR. RETFound was fine-tuned for this binary classification task, while Gemini 1.5 Pro was assessed for it under zero-shot and few-shot prompting scenarios, with the latter incorporating random or k-nearest-neighbors-based sampling of a varying number of example images. For experiments, data were partitioned into training, validation, and test sets in a stratified manner, with the process repeated for 10-fold cross-validation. Main Outcome Measures: Performance was assessed via accuracy, F1 score, and expected calibration error of predictive probabilities. Statistical significance was evaluated using Wilcoxon tests. Results: The best ICL performance with Gemini 1.5 Pro yielded an average accuracy of 0.841 (95% confidence interval [CI]: 0.803-0.879), an F1 score of 0.876 (95% CI: 0.844-0.909), and a calibration error of 0.129 (95% CI: 0.107-0.152). RETFound achieved an average accuracy of 0.849 (95% CI: 0.813-0.885), an F1 score of 0.883 (95% CI: 0.852-0.915), and a calibration error of 0.081 (95% CI: 0.066-0.097). While accuracy and F1 scores were comparable (P &gt; 0.3), RETFound's calibration was superior (P = 0.004). Conclusions: Gemini 1.5 Pro with ICL demonstrated performance comparable to RETFound for binary DR detection, illustrating how future medical artificial intelligence systems may build upon such frontier models rather than being bespoke solutions. (c) 2025 by the American Academy of Ophthalmology. This is an open access article under the CC BY license (http://creativecommons.org/licenses/by/4.0/).</t>
  </si>
  <si>
    <t>Ayhan, Murat S.; Ong, Ariel Y.; Ruffell, Eden; Wagner, Siegfried K.; Merle, David A.; Keane, Pearse A.</t>
  </si>
  <si>
    <t>Keane, PA (corresponding author), Moorfields Eye Hosp NHS Fdn Trust, NIHR Moorfields Biomed Res Ctr, London, England.; Keane, PA (corresponding author), UCL, Inst Ophthalmol, London, England.</t>
  </si>
  <si>
    <t>Research &amp; Innovation Future Leaders Fellowship [MR/T019050/1]; Rubin Foundation Charitable Trust</t>
  </si>
  <si>
    <t>Research &amp; Innovation Future Leaders Fellowship; Rubin Foundation Charitable Trust</t>
  </si>
  <si>
    <t>The authors acknowledge support through UKRI EPSRC (Artificial intelligence innovation to accelerate health research, EP/Y017803/1 [M.S.A.] ) , National Institute for Health Research (NIHR) &amp; horbar;Moorfields Eye Charity (MEC) Doctoral Fellowship (NIHR303691 [A.Y.O.] ) , University College London UKRI Centre for Doctoral Training in AI-enabled healthcare systems Studentship (EP/S021612/1 [E.R.] ) , EURETINA (Retinal Medicine Clinical Research Grant [D.A.M. and P.A.K.] ) , UK Research &amp; Innovation Future Leaders Fellowship (MR/T019050/1 [P.A. K.] ) , and The Rubin Foundation Charitable Trust (P.A.K.) .Research &amp; Innovation Future Leaders Fellowship (MR/T019050/1 [P.A. K.] ) , and The Rubin Foundation Charitable Trust (P.A.K.) .</t>
  </si>
  <si>
    <t>[Ayhan, Murat S.; Ong, Ariel Y.; Ruffell, Eden; Wagner, Siegfried K.; Merle, David A.; Keane, Pearse A.] Moorfields Eye Hosp NHS Fdn Trust, NIHR Moorfields Biomed Res Ctr, London, England; [Ayhan, Murat S.; Ong, Ariel Y.; Ruffell, Eden; Wagner, Siegfried K.; Merle, David A.; Keane, Pearse A.] UCL, Inst Ophthalmol, London, England</t>
  </si>
  <si>
    <t>University of London; University College London; Moorfields Eye Hospital NHS Foundation Trust; University of London; University College London</t>
  </si>
  <si>
    <t>In-Context Learning for Data-Efficient Diabetic Retinopathy Detection via Multimodal Foundation Models</t>
  </si>
  <si>
    <t>OPHTHALMOLOGY SCIENCE</t>
  </si>
  <si>
    <t>AI; Artificial intelligence; Diabetic retinopathy; Large language model; LLM</t>
  </si>
  <si>
    <t>VALIDATION</t>
  </si>
  <si>
    <t>Keane, Pearse/AAE-5709-2019; Wagner, Siegfried/HNR-9338-2023</t>
  </si>
  <si>
    <t>Keane, Pearse/0000-0002-9239-745X; Ong, Yu Han/0000-0001-9300-573X; Merle, David/0000-0003-4485-5580</t>
  </si>
  <si>
    <t>2666-9145</t>
  </si>
  <si>
    <t>OPHTHALMOL SCI</t>
  </si>
  <si>
    <t>Ophthalmol. Sci.</t>
  </si>
  <si>
    <t>100934</t>
  </si>
  <si>
    <t>10.1016/j.xops.2025.100934</t>
  </si>
  <si>
    <t>http://dx.doi.org/10.1016/j.xops.2025.100934</t>
  </si>
  <si>
    <t>8LK7F</t>
  </si>
  <si>
    <t>41140898</t>
  </si>
  <si>
    <t>WOS:001591461800001</t>
  </si>
  <si>
    <t>Azhar, K; Lee, BD; Byon, SS; Lee, S; Cho, KR; Song, SE</t>
  </si>
  <si>
    <t>Introduction Breast ultrasound (US) imaging is essential for early breast cancer detection, yet generating diagnostic reports is labor-intensive, particularly when incorporating multimodal elastography.Methods This study presents a novel framework that combines multimodal large language models and deep learning to generate semiautomated breast US reports. This framework bridges the gap between manual and fully automated workflows by integrating radiologist annotations with advanced image classification and structured report compilation. A total of 2,119 elastography images and 60 annotated patient cases were retrospectively collected from two US machines.Results The system demonstrated robust performance in elastography classification, achieving areas under the receiver operating characteristic curve of 0.92, 0.91, and 0.88 for shear-wave, strain, and Doppler images, respectively. In the evaluated dataset, the report generation module correctly identified all suspicious masses across both US machines, achieving 100% sensitivity in lesion detection, with an average report generation time of 31 s per patient using the GE Healthcare machine and 36 s using the Supersonic Image machine.Discussion The proposed framework enables accurate, efficient, and device-adaptable breast US report generation by combining multimodal DL and prompt-based LLM inference. It significantly reduces radiologist workload and demonstrates potential for scalable deployment in real-world clinical workflows.</t>
  </si>
  <si>
    <t>Azhar, Khadija; Lee, Byoung-Dai; Byon, Shi Sub; Lee, Seungjae; Cho, Kyu Ran; Song, Sung Eun</t>
  </si>
  <si>
    <t>Song, SE (corresponding author), Korea Univ, Anam Hosp, Coll Med, Dept Radiol, Seoul, South Korea.</t>
  </si>
  <si>
    <t>sungeuns@korea.ac.kr</t>
  </si>
  <si>
    <t>Korea Health Technology R&amp;D Project through the Korea Health Industry Development Institute; Ministry of Health &amp; Welfare, Republic of Korea [RS-2022-KH129266]</t>
  </si>
  <si>
    <t>Korea Health Technology R&amp;D Project through the Korea Health Industry Development Institute; Ministry of Health &amp; Welfare, Republic of Korea (Ministry of Health &amp; Welfare (MOHW), Republic of Korea)</t>
  </si>
  <si>
    <t>The author(s) declared that financial support was received for this work and/or its publication. This research was funded by the Korea Health Technology R&amp;D Project through the Korea Health Industry Development Institute, supported by the Ministry of Health &amp; Welfare, Republic of Korea (grant no. RS-2022-KH129266).</t>
  </si>
  <si>
    <t>[Azhar, Khadija; Byon, Shi Sub] Healthhub Co Ltd, AI Lab, Seoul, South Korea; [Lee, Byoung-Dai] Kyonggi Univ, Div AI &amp; Comp Engn, Suwon, Kyonggi Do, South Korea; [Lee, Seungjae] Dnotitia Inc, Seoul, South Korea; [Cho, Kyu Ran; Song, Sung Eun] Korea Univ, Anam Hosp, Coll Med, Dept Radiol, Seoul, South Korea</t>
  </si>
  <si>
    <t>Kyonggi University; Korea University; Korea University Medicine (KU Medicine)</t>
  </si>
  <si>
    <t>Semiautomated breast ultrasound report generation using multimodal large language models and deep learning</t>
  </si>
  <si>
    <t>breast ultrasound; deep learning; elastography; large language model; semiautomated report generation</t>
  </si>
  <si>
    <t>Song, Sung/AAY-1243-2020</t>
  </si>
  <si>
    <t>JAN 21 2026</t>
  </si>
  <si>
    <t>1679203</t>
  </si>
  <si>
    <t>10.3389/fmed.2026.1679203</t>
  </si>
  <si>
    <t>http://dx.doi.org/10.3389/fmed.2026.1679203</t>
  </si>
  <si>
    <t>DA0FR</t>
  </si>
  <si>
    <t>41647521</t>
  </si>
  <si>
    <t>WOS:001678471800001</t>
  </si>
  <si>
    <t>Hong, YQ; Kao, KC; Edwards, L; Liu, NT; Huang, CY; Oliveira-Kowaleski, A; Hsieh, CJ; Lin, NYC</t>
  </si>
  <si>
    <t>BackgroundArtificial intelligence enhances pathology screening efficiency, yet clinical adoption remains limited because most systems operate as opaque black boxes. We aim to resolve this opacity by establishing a framework that generates transparent, evidence-linked reasoning to support diagnostic auditing.MethodsWe present a framework that shifts off-the-shelf multimodal large language models from passive pattern recognition to active diagnostic reasoning. Using small labeled subsets from breast and prostate cancer datasets, we employ a two-phase self-learning process to derive diagnostic criteria without updating model weights. We integrate expert feedback from board-certified pathologists to ensure the generated descriptions align with established medical standards.ResultsHere we show that our framework produces audit-ready rationales while achieving over 90% accuracy in distinguishing normal tissue from invasive carcinoma. Beyond binary classification, the model effectively differentiates complex subtypes like ductal carcinoma in situ by autonomously identifying hallmark histological features, including nuclear irregularities and structural disruption. These computer-generated descriptions closely match expert assessments. Our approach delivers substantial performance gains over conventional baselines and adapts effectively across diverse tissue types and independent foundation models.ConclusionsBy uniting visual understanding with reasoning, our framework provides a promising approach for clinically trustworthy artificial intelligence. This framework helps bridge the gap between opaque classifiers and auditable systems, suggesting a viable path toward evidence-linked interpretation in medical workflows.</t>
  </si>
  <si>
    <t>Hong, Yunqi; Kao, Kuei-Chun; Edwards, Liam; Liu, Nein-Tzu; Huang, Chung-Yen; Oliveira-Kowaleski, Alex; Hsieh, Cho-Jui; Lin, Neil Y. C.</t>
  </si>
  <si>
    <t>Hsieh, CJ (corresponding author), Univ Calif Los Angeles, Comp Sci Dept, Los Angeles, CA 90025 USA.; Lin, NYC (corresponding author), Univ Calif Los Angeles, Mech &amp; Aerosp Engn Dept, Los Angeles, CA 90025 USA.; Lin, NYC (corresponding author), Univ Calif Los Angeles, Dept Bioengn, Los Angeles, CA 90025 USA.; Lin, NYC (corresponding author), Univ Calif Los Angeles, Inst Quantitat &amp; Computat Biosci, Los Angeles, CA 90025 USA.; Lin, NYC (corresponding author), Univ Calif Los Angeles, Jonsson Comprehens Canc Ctr, Los Angeles, CA 90025 USA.</t>
  </si>
  <si>
    <t>chohsieh@cs.ucla.edu; neillin@g.ucla.edu</t>
  </si>
  <si>
    <t>U.S. Department of Health &amp; Human Services | NIH | National Institute of General Medical Sciences (NIGMS) [R35GM146735]; NSF | BIO | Division of Biological Infrastructure (DBI) [DBI-2325121]; NSF | Directorate for Computer &amp; Information Science &amp; Engineering | Division of Information and Intelligent Systems (Information &amp; Intelligent Systems) [IIS-2048280]; NSF | ENG/OAD | Division of Chemical, Bioengineering, Environmental, and Transport Systems (CBET) [CBET-2244760]</t>
  </si>
  <si>
    <t>U.S. Department of Health &amp; Human Services | NIH | National Institute of General Medical Sciences (NIGMS); NSF | BIO | Division of Biological Infrastructure (DBI); NSF | Directorate for Computer &amp; Information Science &amp; Engineering | Division of Information and Intelligent Systems (Information &amp; Intelligent Systems); NSF | ENG/OAD | Division of Chemical, Bioengineering, Environmental, and Transport Systems (CBET)</t>
  </si>
  <si>
    <t>This work was partially supported by NSF (CBET-2244760, DBI-2325121, IIS-2048280) and NIH NIGMS (R35GM146735).</t>
  </si>
  <si>
    <t>[Hong, Yunqi; Kao, Kuei-Chun; Hsieh, Cho-Jui] Univ Calif Los Angeles, Comp Sci Dept, Los Angeles, CA 90025 USA; [Edwards, Liam; Lin, Neil Y. C.] Univ Calif Los Angeles, Mech &amp; Aerosp Engn Dept, Los Angeles, CA 90025 USA; [Liu, Nein-Tzu] Triserv Gen Hosp, Natl Def Med Ctr, Dept Pathol, Taipei, Taiwan; [Huang, Chung-Yen] Natl Taiwan Univ Hosp, Dept Pathol, Taipei, Taiwan; [Oliveira-Kowaleski, Alex] Univ Calif Los Angeles, David Geffen Sch Med, Dept Pathol, Los Angeles, CA 90025 USA; [Lin, Neil Y. C.] Univ Calif Los Angeles, Dept Bioengn, Los Angeles, CA 90025 USA; [Lin, Neil Y. C.] Univ Calif Los Angeles, Inst Quantitat &amp; Computat Biosci, Los Angeles, CA 90025 USA; [Lin, Neil Y. C.] Univ Calif Los Angeles, Jonsson Comprehens Canc Ctr, Los Angeles, CA 90025 USA</t>
  </si>
  <si>
    <t>Tri-Service General Hospital; National Defense Medical University; National Taiwan University; National Taiwan University Hospital; University of California System; University of California Los Angeles; University of California Los Angeles Medical Center; David Geffen School of Medicine at UCLA; University of California System; University of California Los Angeles; University of California System; University of California Los Angeles; UCLA Jonsson Comprehensive Cancer Center; University of California System; University of California Los Angeles</t>
  </si>
  <si>
    <t>Adaptive diagnostic reasoning framework for pathology with multimodal large language models</t>
  </si>
  <si>
    <t>Huang, Chung-yen/JCN-9305-2023</t>
  </si>
  <si>
    <t>Oliveira-Kowaleski, Alex/0009-0008-0569-815X; Edwards, Liam/0009-0003-2352-9636</t>
  </si>
  <si>
    <t>Commun. Med.</t>
  </si>
  <si>
    <t>MAR 7 2026</t>
  </si>
  <si>
    <t>236</t>
  </si>
  <si>
    <t>10.1038/s43856-026-01491-z</t>
  </si>
  <si>
    <t>http://dx.doi.org/10.1038/s43856-026-01491-z</t>
  </si>
  <si>
    <t>GU1MF</t>
  </si>
  <si>
    <t>41794962</t>
  </si>
  <si>
    <t>WOS:001745110700004</t>
  </si>
  <si>
    <t>Liu, G; Tang, XT; He, JL; Li, PF; Chen, ZL; Zhong, SJ</t>
  </si>
  <si>
    <t>Multimodal large language models (MLLMs) represent an evolutionary expansion in the capabilities of traditional large language models, enabling them to tackle challenges that surpass the scope of purely text-based applications. Recent works investigate the adaptation of MLLMs as a universal solution to address medical multi-modal problems as a generative task. In this paper, we propose a parameter efficient framework for fine-tuning MLLMs, specifically validated on medical visual question answering (Med-VQA) and medical report generation (MRG) tasks, using public benchmark datasets. We also introduce an evaluation metric using the 5-point Likert scale and its weighted average value to measure the quality of the generated reports for MRG tasks, where the scale ratings are labelled by both humans manually and the GPT-4 model. We further assess the consistency of performance metrics across traditional measures, GPT-4, and human ratings for both VQA and MRG tasks. The results indicate that GPT-4-based semantic evaluation can provide a scalable supplementary signal for assessing generated outputs, yet they reveal a discrepancy when compared to conventional lexical similarity measurements. This questions the reliability of lexical similarity metrics for evaluating the performance of generative models in Med-VQA and report generation tasks.</t>
  </si>
  <si>
    <t>Liu, Gang; Tang, Xiaotian; He, Jinlong; Li, Pengfei; Chen, Zhaolin; Zhong, Shenjun</t>
  </si>
  <si>
    <t>Tang, XT (corresponding author), Harbin Engn Univ, Coll Comp Sci &amp; Technol, Harbin 150001, Peoples R China.</t>
  </si>
  <si>
    <t>tangxiaotian@hrbeu.edu.cn</t>
  </si>
  <si>
    <t>Ministry of Education Humanities and Social Science Research Planning Fund Projec [23YJAZ-H079]; Harbin Engineering University Special Discipline Basic Research Stable Support Project [KYWZ120240601]</t>
  </si>
  <si>
    <t>Ministry of Education Humanities and Social Science Research Planning Fund Projec; Harbin Engineering University Special Discipline Basic Research Stable Support Project</t>
  </si>
  <si>
    <t>This work was supported by the Open Fund of the Nansha Islands Coral Reef Ecosystem National Observation and Research Station under grant number NSICR25101, and the Ministry of Education Humanities and Social Science Research Planning Fund Project under grant number 23YJAZ-H079.</t>
  </si>
  <si>
    <t>[Liu, Gang; Tang, Xiaotian; He, Jinlong; Li, Pengfei] Harbin Engn Univ, Coll Comp Sci &amp; Technol, Harbin 150001, Peoples R China; [Liu, Gang] Nansha Isl Coral Reef Ecosyst Natl Observat &amp; Res, Guangzhou 510300, Peoples R China; [Chen, Zhaolin; Zhong, Shenjun] Monash Univ, Monash Biomed Imaging, Melbourne 3800, Australia</t>
  </si>
  <si>
    <t>Harbin Engineering University; Monash University</t>
  </si>
  <si>
    <t>PeFoMed: Parameter efficient fine-tuning of multimodal large language models for medical CXR</t>
  </si>
  <si>
    <t>Multimodal large language model; Medical visual question answering; Medical report generation; Generative model; Parameter efficient fine-tuning</t>
  </si>
  <si>
    <t>Tang, Xiaotian/QIR-5206-2026; He, Jinlong/IXN-2697-2023; Li, Pengfei/JQV-2814-2023</t>
  </si>
  <si>
    <t>Li, Pengfei/0009-0009-4234-1579</t>
  </si>
  <si>
    <t>18729</t>
  </si>
  <si>
    <t>10.1038/s41598-026-47871-2</t>
  </si>
  <si>
    <t>http://dx.doi.org/10.1038/s41598-026-47871-2</t>
  </si>
  <si>
    <t>JR0DB</t>
  </si>
  <si>
    <t>42014770</t>
  </si>
  <si>
    <t>WOS:001795902900001</t>
  </si>
  <si>
    <t>Ji, XY; Rao, GZ; Zhuang, PW; Xing, HS; Cao, JL; Cao, Y; Zhang, MH; Wang, X</t>
  </si>
  <si>
    <t>Visual Language Models (VLMs) have shown significant potential in processing multimodal tasks in a wide range of domains, such as medical image understanding, comprehensive diagnosis, etc. In Traditional Chinese Medicine (TCM), VLMs have also achieved promising performance in various tasks, including symptom differentiation and constitution diagnosis. However, in these TCM-related tasks, there are challenges including the lack of TCM-specific multimodal datasets and the weak associations between the examination results and TCM treatment strategies. To address these problems, we propose ConsTCM, which is trained via a two-stage finetuning pipeline, from the basic SFT to the specific SFT. The basic SFT stage utilizes general ophthalmoscopy datasets, encouraging the model to capture general features of the fundus images. In the specific SFT stage, we collected real-world self-labeled cases from hospitals, which are used to further finetune the model and enhance the model performance in the TCM constitution tasks. Besides, we constructed the finetuning dataset, which is derived from the mixture of the existing classification tasks and the real-world hospital data. Finally, we train the model using this pipeline, resulting in ConsTCM. A series of experiments verify our pipeline. Compared with baseline models, ConsTCM achieves a 5.6% performance improvement. Meanwhile, the ablation study shows that the proposed two-stage pipeline significantly enhances the model performance, as evidenced by a 47% improvement in performance of ConsTCM in objective evaluation compared with the base model.</t>
  </si>
  <si>
    <t>Ji, Xiangyu; Rao, Guozheng; Zhuang, Pengwei; Xing, Hanshuo; Cao, Jinli; Cao, Yang; Zhang, Meihan; Wang, Xin</t>
  </si>
  <si>
    <t>Wang, X (corresponding author), Tianjin Univ, Coll Intelligence &amp; Comp, Tianjin 300350, Peoples R China.</t>
  </si>
  <si>
    <t>wangx@tju.edu.cn; j.cao@latrobe.edu.au; zhuangpengwei@163.com; jixiangy123@tju.edu.cn; rgz@tju.edu.cn; zescy_11bun@tju.edu.cn; cao@c.titech.ac.jp; xinghs_tjutcm@163.com</t>
  </si>
  <si>
    <t>National Natural Science Foundation of China [62472311]</t>
  </si>
  <si>
    <t>This work is supported by National Natural Science Foundation of China (NO. 62472311).</t>
  </si>
  <si>
    <t>[Rao, Guozheng; Zhang, Meihan; Wang, Xin] Tianjin Univ, Coll Intelligence &amp; Comp, Tianjin 300350, Peoples R China; [Ji, Xiangyu] Tianjin Univ, Sch Future Technol, Tianjin 300350, Peoples R China; [Zhuang, Pengwei; Xing, Hanshuo] Tianjin Univ Tradit Chinese Med, Natl Key Lab Chinese Med Modernizat, Haihe Lab Modern Chinese Med, Tianjin 301617, Peoples R China; [Cao, Jinli] La Trobe Univ, Dept Comp Sci &amp; IT Sch Comp, Engn &amp; Math Sci, Bundoora, Vic 3086, Australia; [Cao, Yang] Inst Sci Tokyo, Tokyo, Japan</t>
  </si>
  <si>
    <t>Tianjin University; Tianjin University; Tianjin University of Traditional Chinese Medicine; La Trobe University; Institute of Science Tokyo</t>
  </si>
  <si>
    <t>ConsTCM: aligning fundus images with constitution differentiation in multimodal language model for Traditional Chinese Medicine</t>
  </si>
  <si>
    <t>Large language models; Traditional Chinese medicine; Supervised instruction fine-tuning; Medical imageology</t>
  </si>
  <si>
    <t>CAO, YANG/AFS-9621-2022; Ji, Xiangyu/NDR-9782-2025</t>
  </si>
  <si>
    <t>Ji, Xiangyu/0009-0004-1815-8559</t>
  </si>
  <si>
    <t>APR 6 2026</t>
  </si>
  <si>
    <t>10.1007/s13755-026-00442-1</t>
  </si>
  <si>
    <t>http://dx.doi.org/10.1007/s13755-026-00442-1</t>
  </si>
  <si>
    <t>GB0ME</t>
  </si>
  <si>
    <t>41948689</t>
  </si>
  <si>
    <t>WOS:001732133400001</t>
  </si>
  <si>
    <t>Zhan, ZF; Zhou, S; Zhou, XS; Xiao, YK; Wang, J; Deng, JW; Zhu, H; Hou, Y; Song, YR; Lin, MQ; Zhang, R</t>
  </si>
  <si>
    <t>Objective: We aim to dynamically retrieve informative demonstrations, enhancing in-context learning in multimodal large language models (MLLMs) for disease classification. Methods: We propose a Retrieval-Augmented In-Context Learning (RAICL) framework, which integrates retrieval-augmented generation (RAG) and in-context learning (ICL) to adaptively select demonstrations with similar disease patterns, enabling more effective ICL in MLLMs. Specifically, RAICL examines embeddings from patch embeddings and diverse encoders, including ResNet, BERT, BioBERT, and ClinicalBERT, to retrieve appropriate demonstrations, and construct conversational prompts optimized for ICL. We evaluated the framework on two real-world multi-modal datasets (TCGA and IU Chest X-ray), assessing its performance across multiple MLLMs (Qwen, Llava, Gemma), embedding strategies, similarity metrics, and varying numbers of demonstrations. Results: RAICL consistently outperformed non-retrieval baselines. Accuracy improved from 0.7857 to 0.8726 on TCGA and from 0.7924 to 0.8658 on IU Chest X-ray. Multimodal inputs surpassed single modalities, with text-only outperforming image-only, and few-shot retrieval further boosted performance. Across similarity metrics, Euclidean distance achieved the best results. Improvements were consistent across different MLLMs, demonstrating robustness and scalability. Conclusions: RAICL provides an efficient and scalable approach to enhance in-context learning in MLLMs for multimodal disease classification.</t>
  </si>
  <si>
    <t>Zhan, Zaifu; Zhou, Shuang; Zhou, Xiaoshan; Xiao, Yongkang; Wang, Jun; Deng, Jiawen; Zhu, He; Hou, Yu; Song, Yiran; Lin, Mingquan; Zhang, Rui</t>
  </si>
  <si>
    <t>Zhang, R (corresponding author), Univ Minnesota, Dept Elect &amp; Comp Engn, 200 Union St SE, Minneapolis, MN 55455 USA.; Zhang, R (corresponding author), Univ Minnesota, Dept Surg, Div Computat Hlth Sci, 420 Delaware St SE, Minneapolis, MN 55455 USA.; Zhang, R (corresponding author), Univ Minnesota, Dept Comp Sci &amp; Engn, 200 Union St SE, Minneapolis, MN 55455 USA.; Zhang, R (corresponding author), Univ Minnesota, Ctr Learning Hlth Syst Sci, 420 Delaware St SE, Minneapolis, MN 55455 USA.</t>
  </si>
  <si>
    <t>ruizhang@umn.edu</t>
  </si>
  <si>
    <t>National Center for Complementary and Integrative Health, United States [R01AT009457, U01AT012871]; National Institute on Aging, United States [R01AG078154]; National Cancer Institute, United States [R01CA287413]; National Institute of Diabetes and Digestive and Kidney Diseases, United States [R01DK11 5629]; National Institute on Minority Health and Health Disparities, United States [1R21MD019134]; Food and Drug Administration, United States [U01FD008720]</t>
  </si>
  <si>
    <t>National Center for Complementary and Integrative Health, United States; National Institute on Aging, United States; National Cancer Institute, United States (United States Department of Health &amp; Human Services, National Institutes of Health (NIH) - USA, NIH National Cancer Institute (NCI)); National Institute of Diabetes and Digestive and Kidney Diseases, United States; National Institute on Minority Health and Health Disparities, United States; Food and Drug Administration, United States</t>
  </si>
  <si>
    <t>This work was supported by the National Center for Complementary and Integrative Health, United States [grant numbers R01AT009457, U01AT012871] ; the National Institute on Aging, United States [grant number R01AG078154] ; the National Cancer Institute, United States [grant number R01CA287413] ; the National Institute of Diabetes and Digestive and Kidney Diseases, United States [grant number R01DK11 5629] ; the National Institute on Minority Health and Health Disparities, United States [grant number 1R21MD019134] ; and the Food and Drug Administration, United States [grant number U01FD008720] . Finally, we sincerely thank the reviewers for their valuable suggestions, which recommended incorporating comprehensive analytical experiments to make our paper solid.</t>
  </si>
  <si>
    <t>[Zhan, Zaifu; Zhang, Rui] Univ Minnesota, Dept Elect &amp; Comp Engn, 200 Union St SE, Minneapolis, MN 55455 USA; [Zhou, Shuang; Wang, Jun; Hou, Yu; Song, Yiran; Lin, Mingquan; Zhang, Rui] Univ Minnesota, Dept Surg, Div Computat Hlth Sci, 420 Delaware St SE, Minneapolis, MN 55455 USA; [Zhou, Xiaoshan] Univ Michigan, Dept Civil &amp; Environm Engn, 2350 Hayward St, Ann Arbor, MI 48109 USA; [Xiao, Yongkang] Univ Minnesota, Inst Hlth Informat, 516 Delaware St SE, Minneapolis, MN 55455 USA; [Deng, Jiawen; Zhang, Rui] Univ Minnesota, Dept Comp Sci &amp; Engn, 200 Union St SE, Minneapolis, MN 55455 USA; [Zhu, He] Univ Minnesota, Dept Chem Engn &amp; Mat Sci, 421 Washington Ave SE, Minneapolis, MN 55455 USA; [Zhang, Rui] Univ Minnesota, Ctr Learning Hlth Syst Sci, 420 Delaware St SE, Minneapolis, MN 55455 USA</t>
  </si>
  <si>
    <t>University of Minnesota Twin Cities; University of Minnesota System; University of Minnesota Twin Cities; University of Minnesota System; University of Minnesota Twin Cities; University of Michigan; University of Michigan System; University of Michigan; University of Minnesota Twin Cities; University of Minnesota System; University of Minnesota Twin Cities; University of Minnesota Twin Cities; University of Minnesota System; University of Minnesota Twin Cities; University of Minnesota Twin Cities; University of Minnesota System; University of Minnesota Twin Cities; University of Minnesota System; University of Minnesota Twin Cities</t>
  </si>
  <si>
    <t>Retrieval-augmented in-context learning for multimodal large language models in disease classification</t>
  </si>
  <si>
    <t>Retrieval-augmented generation; Multimodal large language models; In-context learning; Disease classification</t>
  </si>
  <si>
    <t>LIN, Mingquan/ACQ-7411-2022</t>
  </si>
  <si>
    <t>105017</t>
  </si>
  <si>
    <t>10.1016/j.jbi.2026.105017</t>
  </si>
  <si>
    <t>http://dx.doi.org/10.1016/j.jbi.2026.105017</t>
  </si>
  <si>
    <t>FX5YY</t>
  </si>
  <si>
    <t>41864533</t>
  </si>
  <si>
    <t>WOS:001729794300001</t>
  </si>
  <si>
    <t>Wappi, YK; Cheng, AS; Dymond, A; Baghdadi, S; Oppenheim, W</t>
  </si>
  <si>
    <t>Background/Objectives: Cerebral palsy (CP) hip displacement requires longitudinal surveillance, frequently imposing significant burden on caregivers. While Multimodal Large Language Models (MLLMs) offer a potential solution to the health literacy gap, their accuracy in interpreting pediatric pelvic radiographs remains unproven. This study evaluates the effectiveness and safety of MLLMs in addressing caregiver concerns regarding CP hip management. Methods: Fifteen deidentified pediatric pelvic radiographs representing a spectrum of hip displacement severities were processed through three MLLMs: GPT-4o, Claude 3.5, and Gemini 1.5 Pro. Nine standardized caregiver prompts (n = 95 total responses per model) were utilized to simulate common clinical queries. Outcome measures included response word count, interactive characteristics, frequency of medical disclaimers, and diagnostic accuracy. Results: Quantitative analysis revealed that Claude 3.5 produced significantly shorter responses compared to other models (p &lt; 0.01). GPT-4o demonstrated the highest safety alignment, with a 96.9% disclaimer rate, significantly exceeding Claude (60.0%) and Gemini (76.8%) (p = 0.03). Diagnostic "hallucinations" were observed, notably Claude misidentifying non-operative cases as bilateral hip replacements. While management recommendations were clinically relevant, they remained generic rather than patient-specific, failing to measure or apply migration percentage thresholds. Encouragingly, all models consistently directed users to consult an orthopaedic surgeon. Conclusions: MLLMs represent an opportunity to enhance health literacy by providing accessible management summaries and emphasizing professional consultation. However, significant radiographic hallucinations and a lack of specific, evidence-based guidance preclude their use as standalone diagnostic tools. Currently, MLLMs should be viewed as educational adjuncts requiring expert oversight in the pediatric orthopaedic care continuum.</t>
  </si>
  <si>
    <t>Kamgaing Wappi, Yman; Cheng, Austin; Dymond, Alexander; Baghdadi, Soroush; Oppenheim, William</t>
  </si>
  <si>
    <t>Baghdadi, S (corresponding author), Univ Calif Los Angeles, Dept Orthopaed Surg, Los Angeles, CA 90404 USA.; Baghdadi, S (corresponding author), Luskin Orthopaed Inst Children, Los Angeles, CA 90007 USA.; Baghdadi, S (corresponding author), Univ Calif Los Angeles, David Geffen Sch Med, Los Angeles, CA 90095 USA.</t>
  </si>
  <si>
    <t>austincheng@mednet.ucla.edu; adymond@mednet.ucla.edu; ykamgaingwappi@mednet.ucla.edu; sbaghdadi@mednet.ucla.edu; woppenheim@mednet.ucla.edu</t>
  </si>
  <si>
    <t>[Kamgaing Wappi, Yman; Cheng, Austin; Dymond, Alexander; Baghdadi, Soroush; Oppenheim, William] Univ Calif Los Angeles, Dept Orthopaed Surg, Los Angeles, CA 90404 USA; [Kamgaing Wappi, Yman; Cheng, Austin; Baghdadi, Soroush] Luskin Orthopaed Inst Children, Los Angeles, CA 90007 USA; [Dymond, Alexander; Baghdadi, Soroush; Oppenheim, William] Univ Calif Los Angeles, David Geffen Sch Med, Los Angeles, CA 90095 USA</t>
  </si>
  <si>
    <t>University of California System; University of California Los Angeles; University of California System; University of California Los Angeles; University of California Los Angeles Medical Center; David Geffen School of Medicine at UCLA</t>
  </si>
  <si>
    <t>Potential and Pitfalls of Multimodal Large Language Models in Cerebral Palsy Hip Surveillance: A Radiographic Interpretation Study Assessing Educational Utility</t>
  </si>
  <si>
    <t>cerebral palsy; hip displacement; multimodal large language models; artificial intelligence; patient education</t>
  </si>
  <si>
    <t>GROSS MOTOR FUNCTION; CHILDREN</t>
  </si>
  <si>
    <t>Oppenheim, William/ABG-4108-2021</t>
  </si>
  <si>
    <t>4932</t>
  </si>
  <si>
    <t>10.3390/jcm15134932</t>
  </si>
  <si>
    <t>http://dx.doi.org/10.3390/jcm15134932</t>
  </si>
  <si>
    <t>KY4ZU</t>
  </si>
  <si>
    <t>42452394</t>
  </si>
  <si>
    <t>WOS:001818612300001</t>
  </si>
  <si>
    <t>Jin, WZ; Sun, YL; Ji, KY; Jiang, XY; Hu, YF; Wang, JW; Liu, JN</t>
  </si>
  <si>
    <t>This study addresses the fragmentation of dental Electronic Health Record (EHR) systems by developing Med-ScreenDental, an integrated framework combining the Model Context Protocol (MCP), resolution-adaptive Optical Character Recognition (OCR), and seven Large Language Models (LLMs) to automate structured EHR generation from Chinese dental records. Validated on a multi-disease benchmark dataset of 1,014 real-world cases covering periodontal disease, mucosal conditions, and oral tumors, the system demonstrates task-specific superiority: The multimodal model Qwen2.5-VL-72B-Instruct shows the best overall performance, with OCR+DeepSeek-V3 excelling in the Past Medical History domain, achieving state-of-the-art results in symptom extraction and clinical reasoning. The MCP dynamically coordinates optimal LLM combinations via real-time model library integration, establishing a non-invasive paradigm for clinical interoperability that preserves data context without API modifications.</t>
  </si>
  <si>
    <t>Jin, Wenzhong; Sun, Yilan; Ji, Kaiyuan; Jiang, Xiaoyan; Hu, Yufeng; Wang, Jinwu; Liu, Jiannan</t>
  </si>
  <si>
    <t>Liu, JN (corresponding author), Shanghai Jiao Tong Univ, Dept Oral &amp; Maxillofacial Head &amp; Neck Oncol, Shanghai Peoples Hosp 9, Sch Med,Coll Stomatol,Natl Ctr Stomatol,Natl Clin, Shanghai 200011, Peoples R China.; Wang, JW (corresponding author), Shanghai Jiao Tong Univ, Shanghai Peoples Hosp 9, Dept Orthopaed Surg, Shanghai Key Lab Orthopaed Implant,Sch Med, Shanghai 200011, Peoples R China.</t>
  </si>
  <si>
    <t>wangjw-team@shsmu.edu.cn; laurence_ljn@163.com</t>
  </si>
  <si>
    <t>Clinical Medical Research Promotion Program of China Medical Foundation [2024CMFA11]; National Natural Science Foundation of China Outstanding Youth Fund [62322114]; Medical Engineering Cross Foundation of Shanghai Jiao Tong University [YG2023LC06]; National Key R&amp;D Program of China [2022YFF1202600]</t>
  </si>
  <si>
    <t>Clinical Medical Research Promotion Program of China Medical Foundation; National Natural Science Foundation of China Outstanding Youth Fund; Medical Engineering Cross Foundation of Shanghai Jiao Tong University; National Key R&amp;D Program of China (National Key Research &amp; Development Program of China)</t>
  </si>
  <si>
    <t>This work was supported by the Clinical Medical Research Promotion Program of China Medical Foundation (2024CMFA11), National Natural Science Foundation of China Outstanding Youth Fund (Grant No. 62322114), the Medical Engineering Cross Foundation of Shanghai Jiao Tong University (Grant No. YG2023LC06), and the National Key R&amp;D Program of China (2022YFF1202600).The language refinement capabilities were enhanced by DeepSeek. We thank Li Chen for his technical assistance in model implementation and algorithm validation during the early development phase of MedScreenDental.</t>
  </si>
  <si>
    <t>[Jin, Wenzhong] Univ Shanghai Sci &amp; Technol, Sch Hlth Sci &amp; Engn, Shanghai 200093, Peoples R China; [Jin, Wenzhong] Shanghai Jiao Tong Univ, Shanghai Peoples Hosp 9, Dept Informat Ctr, Sch Med, Shanghai 200011, Peoples R China; [Sun, Yilan; Jiang, Xiaoyan; Liu, Jiannan] Shanghai Jiao Tong Univ, Dept Oral &amp; Maxillofacial Head &amp; Neck Oncol, Shanghai Peoples Hosp 9, Sch Med,Coll Stomatol,Natl Ctr Stomatol,Natl Clin, Shanghai 200011, Peoples R China; [Ji, Kaiyuan] East China Normal Univ, Sch Commun &amp; Elect Engn, Shanghai 200062, Peoples R China; [Hu, Yufeng] Fudan Univ, Shanghai Stomatol Hosp, Dept Operat Dent &amp; Endodont, Shanghai 200001, Peoples R China; [Hu, Yufeng] Fudan Univ, Sch Stomatol, Shanghai 200001, Peoples R China; [Wang, Jinwu] Shanghai Jiao Tong Univ, Shanghai Peoples Hosp 9, Dept Orthopaed Surg, Shanghai Key Lab Orthopaed Implant,Sch Med, Shanghai 200011, Peoples R China</t>
  </si>
  <si>
    <t>University of Shanghai for Science &amp; Technology; Shanghai Jiao Tong University; Shanghai Jiao Tong University; East China Normal University; Fudan University; Fudan University; Shanghai Jiao Tong University</t>
  </si>
  <si>
    <t>MedScreenDental: Automated structured dental record generation via multimodal language model integration</t>
  </si>
  <si>
    <t>Structured EHR; Model Context Protocol (MCP); Optical Character Recognition (OCR); Large Language Models (LLMs); Oral disease benchmark</t>
  </si>
  <si>
    <t>Sun, Yilan/KVB-0630-2024; Ji, Kaiyuan/AEX-1591-2022; 刘, 剑楠/LLM-3627-2024</t>
  </si>
  <si>
    <t>90</t>
  </si>
  <si>
    <t>103119</t>
  </si>
  <si>
    <t>10.1016/j.displa.2025.103119</t>
  </si>
  <si>
    <t>http://dx.doi.org/10.1016/j.displa.2025.103119</t>
  </si>
  <si>
    <t>3ZZ4L</t>
  </si>
  <si>
    <t>WOS:001513046400002</t>
  </si>
  <si>
    <t>Akdogan, AI; Akdogan, EK; Tumer, MF; Kutlu, S; Tekindal, MA; Tosun, O</t>
  </si>
  <si>
    <t>Objective To compare the performance of clinicians and two generations of multimodal large language models (LLMs) in Kellgren-Lawrence (KL) grading of knee osteoarthritis (KOA), including feature-level assessment and intraobserver repeatability. Materials and Methods In this retrospective single-center study, 348 knee radiographs were graded by a senior musculoskeletal radiologist (reference standard), a radiologist, an orthopedic surgeon, a radiology resident, and LLMs (ChatGPT-4o and ChatGPT-5.0). Binary KOA detection (KL 0-1 vs &gt;= 2), feature-level interpretation (joint space narrowing, osteophytes, subchondral sclerosis), and intraobserver repeatability were evaluated. Agreement metrics included weighted kappa, accuracy, and standard diagnostic measures. Results Agreement with the reference standard was highest for the radiologist (kappa = 0.87), followed by the orthopedic surgeon and radiology resident. Both LLMs demonstrated moderate agreement, with ChatGPT-5.0 outperforming ChatGPT-4o. For binary KOA detection, ChatGPT-5.0 showed very high sensitivity (0.96) but reduced specificity. Per-grade classification was most accurate for KL 0 and KL 4, but remained limited for KL 1-2. Feature-level concordance was modest across all radiographic findings. Intraobserver repeatability was highest for the reference reader (kappa = 0.881), followed by the orthopedic surgeon (kappa = 0.634) and radiologist (kappa = 0.626), while lower agreement was observed for the resident (kappa = 0.478) and LLMs, with ChatGPT-5.0 showing higher consistency than ChatGPT-4o (kappa = 0.591 vs. 0.485). Conclusion Although ChatGPT-5.0 outperformed ChatGPT-4o, both models remained inferior to clinicians in detailed KL grading, feature-level interpretation, and reproducibility. Current multimodal LLMs show high sensitivity but limited specificity and are not suitable for standalone radiographic KOA assessment.</t>
  </si>
  <si>
    <t>Akdogan, Asli Irmak; Akdogan, Efe Kemal; Tumer, Mehmet Fatih; Kutlu, Silanaz; Tekindal, Mustafa Agah; Tosun, Ozgur</t>
  </si>
  <si>
    <t>Akdogan, AI (corresponding author), Izmir Katip Celebi Univ, Ataturk Training &amp; Res Hosp, Dept Radiol, Izmir, Turkiye.</t>
  </si>
  <si>
    <t>irmakbiranci@gmail.com</t>
  </si>
  <si>
    <t>[Akdogan, Asli Irmak; Tumer, Mehmet Fatih; Kutlu, Silanaz; Tosun, Ozgur] Izmir Katip Celebi Univ, Ataturk Training &amp; Res Hosp, Dept Radiol, Izmir, Turkiye; [Akdogan, Efe Kemal] Bakircay Univ Cigli Training, Res Hosp, Dept Orthoped &amp; Traumatol, Izmir, Turkiye; [Tekindal, Mustafa Agah] Izmir Katip Celebi Univ, Dept Biostat, Izmir, Turkiye</t>
  </si>
  <si>
    <t>Izmir Katip Celebi University; Izmir Ataturk Training &amp; Research Hospital; Izmir Katip Celebi University</t>
  </si>
  <si>
    <t>Performance of multimodal large language models versus clinicians for radiographic knee osteoarthritis grading: A multiobserver study</t>
  </si>
  <si>
    <t>SKELETAL RADIOLOGY</t>
  </si>
  <si>
    <t>Knee osteoarthritis; Kellgren-Lawrence grading; Large Language Models; Artificial Intelligence; Radiography</t>
  </si>
  <si>
    <t>KELLGREN</t>
  </si>
  <si>
    <t>Akdogan, Asli/HJY-8656-2023</t>
  </si>
  <si>
    <t>0364-2348</t>
  </si>
  <si>
    <t>1432-2161</t>
  </si>
  <si>
    <t>SKELETAL RADIOL</t>
  </si>
  <si>
    <t>Skeletal Radiol.</t>
  </si>
  <si>
    <t>10.1007/s00256-026-05322-z</t>
  </si>
  <si>
    <t>http://dx.doi.org/10.1007/s00256-026-05322-z</t>
  </si>
  <si>
    <t>Orthopedics; Radiology, Nuclear Medicine &amp; Medical Imaging</t>
  </si>
  <si>
    <t>LQ4LN</t>
  </si>
  <si>
    <t>42498839</t>
  </si>
  <si>
    <t>WOS:001830779600001</t>
  </si>
  <si>
    <t>Erginoglu, SE; Ülgen, NK; Yigit, N; Nazligül, AS; Akkurt, MO</t>
  </si>
  <si>
    <t>Background: Rapid and accurate fracture detection is critical in emergency departments (EDs), where high patient volume and time pressure increase the risk of diagnostic error, particularly in radiographic interpretation. Multimodal large language models (LLMs) with image-recognition capability have recently emerged as general-purpose tools for clinical decision support, but their diagnostic performance within routine emergency department imaging workflows in orthopedic trauma remains unclear. Methods: In this retrospective diagnostic accuracy study, we included 1136 consecutive patients referred from the ED to orthopedics between 1 January and 1 June 2025 at a single tertiary center. Given the single-center, retrospective design, the findings should be interpreted as hypothesis-generating and may not be fully generalizable to other institutions. Emergency radiographs and clinical data were processed by a multimodal LLM (2025 version) via an official API using a standardized, deterministic prompt. The model's outputs ("Fracture present", "No fracture", or "Uncertain") were compared with final diagnoses established by blinded orthopedic specialists, which served as the reference standard. Diagnostic agreement was analyzed using Cohen's kappa (kappa), sensitivity, specificity, accuracy, and 95% confidence intervals (CIs). False-negative (FN) cases were defined as instances where the LLM reported "no acute fracture" but the specialist identified a fracture. The evaluated system is a general-purpose multimodal LLM and was not trained specifically on orthopedic radiographs. Results: Overall, the LLM showed good diagnostic agreement with orthopedic specialists, with concordant results in 808 of 1136 patients (71.1%; kappa = 0.634; 95% CI: 68.4-73.7). The model achieved balanced performance with sensitivity of 76.9% and specificity of 66.8%. The highest agreement was observed in knee trauma (91.7%), followed by wrist (78.8%) and hand (69.6%). False-negative cases accounted for 184 patients (16.2% of the total cohort), representing 32.4% of all LLM-negative assessments. Most FN fractures were non-displaced (82.6%), and 17.4% of FN cases required surgical treatment. Ankle and foot regions showed the highest FN rates (30.4% and 17.4%, respectively), reflecting the anatomical and radiographic complexity of these areas. Positive predictive value (PPV) and negative predictive value (NPV) were 69.4% and 74.5%, respectively, with likelihood ratios indicating moderate shifts in post-test probability. Conclusions: In an emergency department-to-orthopedics consultation cohort reflecting routine clinical workflow, a multimodal LLM demonstrated moderate-to-good diagnostic agreement with orthopedic specialists, broadly within the range reported in prior fracture-detection AI studies; however, these comparisons are indirect because model architectures, training strategies, datasets, and endpoints differ across studies. However, its limited ability to detect non-displaced fractures-especially in anatomically complex regions like the ankle and foot-carries direct patient safety implications and confirms that specialist review remains indispensable. At present, such models may be explored as hypothesis-generating triage or decision-support tools, with mandatory specialist confirmation, rather than as standalone diagnostic systems. Prospective, multi-center studies using high-resolution imaging and anatomically optimized algorithms are needed before routine clinical adoption in emergency care.</t>
  </si>
  <si>
    <t>Erginoglu, Sadik Emre; Ulgen, Nuri Koray; Yigit, Nihat; Nazligul, Ali Said; Akkurt, Mehmet Orcun</t>
  </si>
  <si>
    <t>Erginoglu, SE (corresponding author), Ankara Sincan Training &amp; Res Hosp, Dept Orthoped &amp; Traumatol, TR-06935 Ankara, Turkiye.</t>
  </si>
  <si>
    <t>seerginoglu@gmail.com</t>
  </si>
  <si>
    <t>[Erginoglu, Sadik Emre; Ulgen, Nuri Koray; Yigit, Nihat; Nazligul, Ali Said; Akkurt, Mehmet Orcun] Ankara Sincan Training &amp; Res Hosp, Dept Orthoped &amp; Traumatol, TR-06935 Ankara, Turkiye</t>
  </si>
  <si>
    <t>Multimodal Large Language Model for Fracture Detection in Emergency Orthopedic Trauma: A Diagnostic Accuracy Study</t>
  </si>
  <si>
    <t>emergency department; orthopedic trauma; fracture detection; large language model; artificial intelligence; radiography</t>
  </si>
  <si>
    <t>ARTIFICIAL-INTELLIGENCE; DEEP; EPIDEMIOLOGY</t>
  </si>
  <si>
    <t>YIGIT, Nihat/OBO-0994-2025; NAZLIGÜL, Ali/ACK-8343-2022; akkurt, mehmet/GNW-5065-2022; Ülgen, Nuri Koray/PFJ-8685-2025; Erginoglu, Emre/KNY-8499-2024</t>
  </si>
  <si>
    <t>476</t>
  </si>
  <si>
    <t>10.3390/diagnostics16030476</t>
  </si>
  <si>
    <t>http://dx.doi.org/10.3390/diagnostics16030476</t>
  </si>
  <si>
    <t>DO4EG</t>
  </si>
  <si>
    <t>41681794</t>
  </si>
  <si>
    <t>WOS:001688240700001</t>
  </si>
  <si>
    <t>Zhang, ZF; Li, YH; Zhao, RH; Bai, T</t>
  </si>
  <si>
    <t>Difference-aware Medical Visual Question Answering (MVQA) aims to answer questions regarding disease-related content and the visual differences between the paired medical images, which is crucial for assessing disease progression and guiding further treatment planning. Although current medical Multimodal Large Language Models (MLLMs) have shown promising results in MVQA, they still exhibit poor generalization performance in difference-aware MVQA due to two key challenges. Firstly, existing difference-aware MVQA datasets are biased toward temporal variations of individual diseases, limiting their ability to model multi-disease coexistence and overlapping symptoms in real-world clinical scenarios. Secondly, disease-level semantic alignment becomes more challenging with multi-image inputs, as they introduce more redundant and interfering visual features. To address the first challenge, we introduce DAMON-QA, a large-scale difference-aware MVQA dataset designed to support visual difference analysis across multiple diseases. Leveraging this dataset, we train MLLMs and propose a Difference-Aware Medical visual questiON answering (DAMON) model. To tackle the second challenge, we further propose a Disease-driven Prompt Module (DPM) to identify the relevant diseases and guide the disease difference analysis process. Experiments on MIMIC-Diff-VQA show that our DAMON model achieves state-of-the-art (SOTA) performance.</t>
  </si>
  <si>
    <t>Zhang, Zefan; Li, Yanhui; Zhao, Ruihong; Bai, Tian</t>
  </si>
  <si>
    <t>Bai, T (corresponding author), Jilin Univ, Coll Comp Sci &amp; Technol, Key Lab Symbol Computat &amp; Knowledge Engn, Minist Educ, Changchun 130012, Peoples R China.</t>
  </si>
  <si>
    <t>yanhui23@mails.jlu.edu.cn; baitian@jlu.edu.cn; ruihongzhao8@jlu.edu.cn; zefan23@mails.jlu.edu.cn</t>
  </si>
  <si>
    <t>National Natural Science Foundation of China [62576149]; Fundamental Research Funds for the Central University, JLU [62576149]</t>
  </si>
  <si>
    <t>National Natural Science Foundation of China (National Natural Science Foundation of China (NSFC)); Fundamental Research Funds for the Central University, JLU</t>
  </si>
  <si>
    <t>This work was supported in part by the National Natural Science Foundation of China under Grant 62576149, and in part by the Fundamental Research Funds for the Central University, JLU.</t>
  </si>
  <si>
    <t>[Zhang, Zefan; Li, Yanhui; Bai, Tian] Jilin Univ, Coll Comp Sci &amp; Technol, Key Lab Symbol Computat &amp; Knowledge Engn, Minist Educ, Changchun 130012, Peoples R China; [Zhao, Ruihong] First Hosp Jilin Univ, Gastrointestinal Endoscopy Ctr, Changchun 130021, Peoples R China</t>
  </si>
  <si>
    <t>Jilin University; Jilin University</t>
  </si>
  <si>
    <t>DAMON: Difference-Aware Medical Visual Question Answering via Multimodal Large Language Model</t>
  </si>
  <si>
    <t>Diseases; Visualization; Medical diagnostic imaging; Question answering (information retrieval); Semantics; MIMICs; Large language models; Lungs; Bioinformatics; X-ray imaging; Multimodal learning; medical visual question answering; medical image analysis</t>
  </si>
  <si>
    <t>KNOWLEDGE</t>
  </si>
  <si>
    <t>6336</t>
  </si>
  <si>
    <t>6345</t>
  </si>
  <si>
    <t>10.1109/JBHI.2026.3663420</t>
  </si>
  <si>
    <t>http://dx.doi.org/10.1109/JBHI.2026.3663420</t>
  </si>
  <si>
    <t>MG8UK</t>
  </si>
  <si>
    <t>41666056</t>
  </si>
  <si>
    <t>WOS:001841939400025</t>
  </si>
  <si>
    <t>Lu, M; Cheng, JS; Gopalan, V</t>
  </si>
  <si>
    <t>Multimodal large language models (LLMs) are now deeply integrated into medical education and widely used by medical students, yet it remains unclear whether current models possess the accuracy and reliability needed to support image-based learning. We evaluated four state-of-the-art multimodal LLMs (ChatGPT-5.1, Gemini-2.5, Grok-4, Claude Sonnet-4.5) on 208 image-based examination questions from a Doctor of Medicine program, spanning anatomical pathology (histopathology; 47.6%), radiology (31.7%), and surgical anatomy (20.7%). To isolate visual reasoning, all items were presented in image-only form with contextual information removed. Items covered seven organ systems, included both constructed-response and selected-response formats, and were categorized as recognition-only or recognition-plus-reasoning. ChatGPT-5.1 achieved the highest accuracy (75.5%; 95% CI [69.2-80.8]), followed by Gemini-2.5 (59.6%; 95% CI [52.8-66.1]), Claude Sonnet-4.5 (41.8%; 95% CI [35.3-48.6]), and Grok-4 (34.6%; 95% CI [28.5-41.3]). Overall model performance differed significantly (p &lt; 0.001; Cram &amp; eacute;r's V = 0.45). Pairwise McNemar comparisons showed significant differences between ChatGPT-5.1 and all other models (all p &lt; 0.001; effect sizes 15.9-40.9 percentage points). Subgroup analyses demonstrated a consistent hierarchy (ChatGPT &gt; Gemini &gt; Claude approximate to Grok) across different categories. Accuracy was uniformly higher for recognition-only and selected-response items. Even the best-performing model, ChatGPT-5.1, answered approximately one in four questions incorrectly. These findings suggest that current multimodal LLMs cannot yet replace expert teaching in image-based learning. Their use in medical education should therefore remain supervised and critically appraised, serving as adjuncts rather than authoritative sources.</t>
  </si>
  <si>
    <t>Lu, Ming; Cheng, Josiah; Gopalan, Vinod</t>
  </si>
  <si>
    <t>Lu, M (corresponding author), Gold Coast Univ Hosp, 1 Hosp Blvd, Southport, Qld 4215, Australia.; Gopalan, V (corresponding author), Griffith Univ, Sch Med &amp; Dent, 1 Parklands Dr, Southport, QLD 4215, Australia.</t>
  </si>
  <si>
    <t>v.gopalan@griffith.edu.au; mingshen.lu0802@gmail.com</t>
  </si>
  <si>
    <t>[Lu, Ming; Cheng, Josiah; Gopalan, Vinod] Griffith Univ, Sch Med &amp; Dent, Med Educ, Southport, Qld, Australia; [Lu, Ming] Gold Coast Univ Hosp, 1 Hosp Blvd, Southport, Qld 4215, Australia; [Cheng, Josiah] Logan Hosp, Meadowbrook, Qld, Australia</t>
  </si>
  <si>
    <t>Griffith University; Gold Coast University Hospital; Logan Hospital</t>
  </si>
  <si>
    <t>Performance of multimodal large language models on image-based surgical anatomy, anatomical pathology, and radiology questions</t>
  </si>
  <si>
    <t>ANATOMICAL SCIENCES EDUCATION</t>
  </si>
  <si>
    <t>anatomy; assessment; histopathology; large language models; medical education; multimodal AI; radiology</t>
  </si>
  <si>
    <t>1935-9772</t>
  </si>
  <si>
    <t>1935-9780</t>
  </si>
  <si>
    <t>ANAT SCI EDUC</t>
  </si>
  <si>
    <t>Anat. Sci. Educ.</t>
  </si>
  <si>
    <t>1288</t>
  </si>
  <si>
    <t>1299</t>
  </si>
  <si>
    <t>10.1002/ase.70256</t>
  </si>
  <si>
    <t>http://dx.doi.org/10.1002/ase.70256</t>
  </si>
  <si>
    <t>Education, Scientific Disciplines</t>
  </si>
  <si>
    <t>Education &amp; Educational Research</t>
  </si>
  <si>
    <t>MG7IS</t>
  </si>
  <si>
    <t>42125823</t>
  </si>
  <si>
    <t>WOS:001764564900001</t>
  </si>
  <si>
    <t>Chen, QH; Yao, XC; Ye, HP; Hong, Y</t>
  </si>
  <si>
    <t>Understanding 3D medical image volumes is critical in the medical field, yet existing 3D medical convolution and transformer-based self-supervised learning (SSL) methods often lack deep semantic comprehension. Recent advancements in multimodal large language models (MLLMs) provide a promising approach to enhance image understanding through text descriptions. To leverage these 2D MLLMs for improved 3D medical image understanding, we propose Med3DInsight, a novel pretraining framework that integrates 3D image encoders with 2D MLLMs via a specially designed plane-slice-aware transformer module. Additionally, our model employs a partial optimal transport based alignment, demonstrating greater tolerance to noise introduced by potential noises in LLM-generated content. Med3DInsight introduces a new paradigm for scalable multimodal 3D medical representation learning without requiring human annotations. Extensive experiments demonstrate our state-of-the-art performance on two downstream tasks, i.e., segmentation and classification, across various public datasets with CT and MRI modalities, outperforming current SSL methods. Med3DInsight can be seamlessly integrated into existing 3D medical image understanding networks, potentially enhancing their performance.</t>
  </si>
  <si>
    <t>Chen, Qiuhui; Yao, Xuancheng; Ye, Huping; Hong, Yi</t>
  </si>
  <si>
    <t>Hong, Y (corresponding author), Shanghai Jiao Tong Univ, Sch Comp Sci, Shanghai 200240, Peoples R China.</t>
  </si>
  <si>
    <t>yi.hong@sjtu.edu.cn</t>
  </si>
  <si>
    <t>National Natural Science Foundation of China [62203303]; Shanghai Municipal Science and Technology Major Project [2021SHZDZX0102]</t>
  </si>
  <si>
    <t>National Natural Science Foundation of China (National Natural Science Foundation of China (NSFC)); Shanghai Municipal Science and Technology Major Project (Shanghai Municipal Science &amp; Technology Major Project)</t>
  </si>
  <si>
    <t>This work was supported in part by the National Natural Science Foundation of China (NSFC) under Grant 62203303 and in part by Shanghai Municipal Science and Technology Major Project under Grant 2021SHZDZX0102.</t>
  </si>
  <si>
    <t>[Chen, Qiuhui; Yao, Xuancheng; Ye, Huping; Hong, Yi] Shanghai Jiao Tong Univ, Sch Comp Sci, Shanghai 200240, Peoples R China</t>
  </si>
  <si>
    <t>Shanghai Jiao Tong University</t>
  </si>
  <si>
    <t>Enhancing 3D Medical Image Understanding With Pretraining Aided by 2D Multimodal Large Language Models</t>
  </si>
  <si>
    <t>Three-dimensional displays; Semantics; Medical diagnostic imaging; Solid modeling; Image reconstruction; Contrastive learning; Transformers; Image segmentation; Large language models; Training; 3D Medical Image Understanding; Multi-modal Large Language Model; Self-Supervised Learning</t>
  </si>
  <si>
    <t>OPEN ACCESS SERIES; MRI DATA; SEGMENTATION</t>
  </si>
  <si>
    <t>Chen, Qiuhui/PJS-3225-2026</t>
  </si>
  <si>
    <t>82</t>
  </si>
  <si>
    <t>1506</t>
  </si>
  <si>
    <t>1519</t>
  </si>
  <si>
    <t>10.1109/JBHI.2025.3609739</t>
  </si>
  <si>
    <t>http://dx.doi.org/10.1109/JBHI.2025.3609739</t>
  </si>
  <si>
    <t>DJ5NC</t>
  </si>
  <si>
    <t>40953412</t>
  </si>
  <si>
    <t>WOS:001684934200029</t>
  </si>
  <si>
    <t>Li, JF; Li, YM; Sun, ZN; Yu, E; Abdelhameed, AM; Cao, WG; Li, HF; He, JP; Li, PZ; Feng, JN; Yu, Y; Hu, XY; Li, MQ; Kumar, R; Dang, YF; Li, F; Gharacholou, SM; Tao, C</t>
  </si>
  <si>
    <t>Objective: Multimodal large language models (LLMs) offer new potential for enhancing cardiovascular decision support, particularly in interpreting echocardiographic data. This study systematically evaluates and benchmarks foundation models from diverse domains on echocardiogram-based tasks to assess their effectiveness, limitations and potential in clinical cardiovascular applications. Methods: We curated three cardiovascular imaging datasets-EchoNet-Dynamic, TMED2, and an expert-annotated echocardiogram (TTE) dataset-to evaluate performance on four critical tasks: (1) cardiac function evaluation through ejection fraction (EF) prediction, (2) cardiac view classification, (3) aortic stenosis (AS) severity assessment, and (4) cardiovascular disease classification. We evaluated six multimodal LLMs: EchoClip (cardiovascular-specific), BiomedGPT and LLaVA-Med (medical-domain), and MiniCPM-V 2.6, LLaMA-3-Vision-Alpha, and Gemini-1.5 (general-domain). Models were assessed using zero-shot, few-shot, and fine-tuning strategies, where applicable. Performance was measured using mean absolute error (MAE) and root mean squared error (RMSE) for EF prediction, and accuracy, precision, recall, and F1 score for classification tasks. Results: Domain-specific models such as EchoClip demonstrated the strongest zero-shot performance in EF prediction, achieving an MAE of 10.34. General-domain models showed limited effectiveness without adaptation, with MiniCPM-V 2.6 reporting an MAE of 251.92. Fine-tuning significantly improved outcomes; for example, MiniCPM-V 2.6 ' s MAE decreased to 31.93, and view classification accuracy increased from 20 % to 63.05 %. In classification tasks, EchoClip achieved F1 scores of 0.2716 for AS severity and 0.4919 for disease classification but exhibited limited performance in view classification (F1 = 0.1457). Few-shot learning yielded modest gains but was generally less effective than fine-tuning. Conclusions: This evaluation and benchmarking study demonstrated the importance of domain-specific pretraining and model adaptation in cardiovascular decision support tasks. Cardiovascular-focused models and fine-tuned general-domain models achieved superior performance, especially for complex assessments such as EF estimation. These findings offer critical insights into the current capabilities and future directions for clinically meaningful AI integration in cardiovascular medicine.</t>
  </si>
  <si>
    <t>Li, Jianfu; Li, Yiming; Sun, Zenan; Yu, Evan; Abdelhameed, Ahmed M.; Cao, Weiguo; Li, Haifang; He, Jianping; Li, Pengze; Feng, Jingna; Yu, Yue; Hu, Xinyue; Li, Manqi; Kumar, Rakesh; Dang, Yifang; Li, Fang; Gharacholou, Shahyar M.; Tao, Cui</t>
  </si>
  <si>
    <t>Tao, C (corresponding author), Mayo Clin, Dept Artificial Intelligence &amp; Informat, Jacksonville, FL 32224 USA.</t>
  </si>
  <si>
    <t>tao.cui@mayo.edu</t>
  </si>
  <si>
    <t>NIA NIH HHS [R01 AG084236, R01 AG083039] Funding Source: Medline</t>
  </si>
  <si>
    <t>NIA NIH HHS</t>
  </si>
  <si>
    <t>[Li, Jianfu; Abdelhameed, Ahmed M.; Cao, Weiguo; Li, Haifang; Li, Pengze; Feng, Jingna; Yu, Yue; Hu, Xinyue; Kumar, Rakesh; Li, Fang; Tao, Cui] Mayo Clin, Dept Artificial Intelligence &amp; Informat, Jacksonville, FL 32224 USA; [Li, Yiming; Sun, Zenan; Yu, Evan; He, Jianping; Li, Manqi; Dang, Yifang] Univ Texas Hlth Sci Ctr Houston, McWilliams Sch Biomed Informat, Houston, TX 77030 USA; [Li, Manqi] Univ Texas Hlth Sci Ctr Houston, Sch Publ Hlth, Dept Biostat &amp; Data Sci, Houston, TX 77030 USA; [Gharacholou, Shahyar M.] Mayo Clin, Dept Cardiovasc Dis, Jacksonville, FL 32224 USA</t>
  </si>
  <si>
    <t>Mayo Clinic; University of Texas System; University of Texas Health Science Center Houston; University of Texas System; University of Texas Health Science Center Houston; University of Texas School Public Health; Mayo Clinic</t>
  </si>
  <si>
    <t>Exploring multimodal large language models on transthoracic Echocardiogram (TTE) tasks for cardiovascular decision support</t>
  </si>
  <si>
    <t>Cardiovascular Disease; Multimodal Large Language Models; Transthoracic Echocardiogram (TTE); Fine-tuning; AI</t>
  </si>
  <si>
    <t>DIAGNOSIS; BURDEN</t>
  </si>
  <si>
    <t>Abdelhameed, Ahmed/AAS-8490-2021; Sun, Zenan/LGZ-6482-2024; Cao, Weiguo/AGM-8279-2022; Li, Fang/GRJ-4912-2022</t>
  </si>
  <si>
    <t>Li, Pengze/0000-0001-7015-0491; Yu, Evan/0000-0001-9135-3757; Feng, Jingna/0000-0002-0434-2513; Sun, Zenan/0000-0003-1577-874X; Li, Jianfu/0000-0002-9949-7007</t>
  </si>
  <si>
    <t>104930</t>
  </si>
  <si>
    <t>10.1016/j.jbi.2025.104930</t>
  </si>
  <si>
    <t>http://dx.doi.org/10.1016/j.jbi.2025.104930</t>
  </si>
  <si>
    <t>9PX3H</t>
  </si>
  <si>
    <t>41138954</t>
  </si>
  <si>
    <t>WOS:001612212500001</t>
  </si>
  <si>
    <t>Jiang, XS; Yang, NN; Shi, TQ; Lu, XY; Fang, MJ; Yang, H; Cai, JZ</t>
  </si>
  <si>
    <t>Background Neonatal pain assessment primarily relies on behavioral rating scales. Although these tools provide objective measures, their scores are susceptible to inter-rater variability, potentially introducing bias. Moreover, intermittent assessments cannot capture pain progression over time. Multimodal large language models (MLLMs) offer a novel approach to addressing these limitations; however, their effectiveness in neonatal pain recognition remains largely unexplored.Objective This study aimed to evaluate the performance of several MLLMs in neonatal pain video classification and investigate their applicability, limitations, and potential for clinical implementation.Methods A previously established, annotation-validated multimodal dataset of acute neonatal pain was used. The dataset comprised 426 video recordings of neonatal heel lance procedures. Three MLLMs with dynamic video analysis capabilities (Qwen3-VL-Plus, Gemini-3-Pro, and ERNIE-4.5-Turbo) were evaluated. Carefully designed prompts guided the models to simulate nurses' pain assessments. Model performance was comprehensively evaluated using accuracy, weighted Cohen's kappa coefficient, precision, recall, and F1 score.Results Gemini-3-Pro achieved the best classification performance, with an accuracy of 86.9% and a weighted kappa coefficient of 0.695, followed by Qwen3-VL-Plus (83.6%, kappa = 0.624) and ERNIE-4.5-Turbo (78.4%, kappa = 0.563). Gemini-3-Pro demonstrated an excellent recall of 0.974 and an F1 score of 0.905 for the pain category. However, all models showed relatively lower recall for the no-pain category (0.664-0.868), suggesting a trade-off between pain and no-pain classification and indicating challenges in achieving both high sensitivity and specificity.Conclusion MLLMs demonstrate considerable potential for neonatal pain assessment, with particularly strong performance in pain screening. Their structured reasoning and interpretable outputs may support clinical decision-making. However, the observed performance imbalance between pain and no-pain classification suggests that these models are not yet capable of independently replacing clinical judgment and are better suited as assistive tools to optimize clinical workflows.</t>
  </si>
  <si>
    <t>Jiang, Xiaosong; Yang, Nannan; Shi, Tingqi; Lu, Xiaoyan; Fang, Mingjing; Yang, Hui; Cai, Jianzheng</t>
  </si>
  <si>
    <t>Yang, H (corresponding author), Soochow Univ, Affiliated Hosp 1, Dept Otorhinolaryngol, 899 Pinghai Rd, Suzhou 215006, Jiangsu, Peoples R China.; Cai, JZ (corresponding author), Soochow Univ, Affiliated Hosp 1, Dept Nursing, 899 Pinghai Rd, Suzhou 215006, Jiangsu, Peoples R China.</t>
  </si>
  <si>
    <t>2366587954@qq.com; 15106205726@163.com</t>
  </si>
  <si>
    <t>Aid Project of Jiangsu Ningai Medical Development &amp; Medical Aid Foundation [NDYGN2025029]</t>
  </si>
  <si>
    <t>Aid Project of Jiangsu Ningai Medical Development &amp; Medical Aid Foundation</t>
  </si>
  <si>
    <t>The authors disclosed receipt of the following financial support for the research, authorship, and/or publication of this article: The authors disclosed receipt of the following financial support for the research, authorship, and/or publication of this article: This research was supported by Aid Project of Jiangsu Ningai Medical Development &amp; Medical Aid Foundation and the General Program of China Hospital Reform and Development Research Institute of Nanjing University, Nanjing Drum Tower Hospital (grant number: NDYGN2025029).</t>
  </si>
  <si>
    <t>[Jiang, Xiaosong; Lu, Xiaoyan; Fang, Mingjing] Soochow Univ, Affiliated Hosp 1, Dept Intens Care Med, Suzhou, Peoples R China; [Yang, Nannan] Zhejiang Univ, Sch Med, Affiliated Hosp 1, Dept Operating Room, Hangzhou, Peoples R China; [Shi, Tingqi] Nanjing Univ, Nanjing Drum Tower Hosp, Affiliated Hosp, Med Sch,Dept Qual Management, Nanjing, Peoples R China; [Yang, Hui] Soochow Univ, Affiliated Hosp 1, Dept Otorhinolaryngol, 899 Pinghai Rd, Suzhou 215006, Jiangsu, Peoples R China; [Cai, Jianzheng] Soochow Univ, Affiliated Hosp 1, Dept Nursing, 899 Pinghai Rd, Suzhou 215006, Jiangsu, Peoples R China</t>
  </si>
  <si>
    <t>Soochow University - China; Zhejiang University; Nanjing University; Soochow University - China; Soochow University - China</t>
  </si>
  <si>
    <t>Deciphering the "non-verbal" code: A preliminary exploration of multimodal large language models for neonatal pain recognition</t>
  </si>
  <si>
    <t>multimodal large language models; neonates; pain assessment; video analysis; N-PASS</t>
  </si>
  <si>
    <t>20552076261473729</t>
  </si>
  <si>
    <t>10.1177/20552076261473729</t>
  </si>
  <si>
    <t>http://dx.doi.org/10.1177/20552076261473729</t>
  </si>
  <si>
    <t>LO6XC</t>
  </si>
  <si>
    <t>42502684</t>
  </si>
  <si>
    <t>WOS:001829585600001</t>
  </si>
  <si>
    <t>Demir, M; Yasar, Y; Agackaya, Y; Simsek, YS; Onal, Y</t>
  </si>
  <si>
    <t>Background Endovascular treatment planning for intracranial aneurysms requires integrating vascular geometry, branch preservation, device feasibility, and patient-specific risk tolerance. Because multiple strategies may be clinically acceptable for the same anatomy, treatment selection reflects expert heuristics rather than a single deterministic solution. Whether multimodal large language models (LLMs) can reproduce such expert decision patterns from angiographic inputs remains incompletely characterized. Methods In this retrospective single-center study, 59 patients with unruptured intracranial aneurysms treated with endovascular therapy were analyzed. Four decision agents reviewed each case: (i) the multidisciplinary neurovascular board that performed the index procedure (contextual clinical reference), (ii) an independent interventional neuroradiologist (&gt; 10 years EVT experience), (iii) a multimodal LLM (GPT-5), and (iv) a first-year neurointerventional fellow included as a trainee-level comparator. All evaluators received identical clinical summaries and 6-10 standardized 3D-DSA projections. The blinded expert scored all non-reference proposals on a 4-point ordinal scale that reflects procedural feasibility and alignment with heuristic preferences rather than clinical correctness. Agreement with board decisions for modality-level strategies (SAC/BAC/FD) was quantified using Cohen's kappa (kappa). Results GPT-5 demonstrated moderate concordance with board-selected treatment modalities (kappa = 0.64), within the range of expert-level variability reported in intracranial aneurysm management and higher than agreement observed for the trainee-level comparator (kappa = 0.15). Expert preference-based scoring indicated that most GPT-5 proposals were judged as either preferred strategies or clinically acceptable alternatives (median score 4 vs 3 for the fellow; p &lt; 0.001). Divergence between evaluators occurred primarily at the strategic planning level, whereas similar performance was observed for rule-based subtasks such as device sizing and landing-zone estimation. Conclusions In this retrospective case series, a multimodal LLM generated endovascular treatment strategies that frequently aligned with expert heuristic decision-making patterns when evaluated in a real-world clinical decision-making context. Rather than representing autonomous clinical reasoning, the model appears to reproduce codified expert heuristics embedded in neurointerventional practice. Multimodal LLMs may therefore serve as adjunct tools for standardizing decision patterns and supporting trainees. Prospective multicenter validation incorporating full DICOM workflows and human-in-the-loop oversight is required before clinical integration.</t>
  </si>
  <si>
    <t>Demir, Mustafa; Yasar, Yunus; Agackaya, Yusuf; Simsek, Yigit Serdar; Onal, Yilmaz</t>
  </si>
  <si>
    <t>Demir, M; Yasar, Y (corresponding author), Umraniye Egitim &amp; Arastirma Hastanesi, Dept Intervent Radiol, Umraniye, Turkiye.</t>
  </si>
  <si>
    <t>drmstfdmr1@gmail.com; yagackaya@gmail.com; dronalylmz@gmail.com; dryunusysr@gmail.com; ysimsek97@gmail.com</t>
  </si>
  <si>
    <t>The authors received no financial support for the research, authorship, or publication of this article.</t>
  </si>
  <si>
    <t>[Demir, Mustafa; Yasar, Yunus] Umraniye Egitim &amp; Arastirma Hastanesi, Dept Intervent Radiol, Umraniye, Turkiye; [Agackaya, Yusuf; Simsek, Yigit Serdar] Umraniye Educ &amp; Res Hosp Istanbul, Dept Radiol, Istanbul, Turkiye; [Onal, Yilmaz] Fatih Sultan Mehmet Egitim &amp; Arastirma Hastanesi, Dept Intervent Neuroradiol, Istanbul, Turkiye</t>
  </si>
  <si>
    <t>Istanbul Umraniye Training &amp; Research Hospital; Fatih Sultan Mehmet Training &amp; Research Hospital</t>
  </si>
  <si>
    <t>Evaluating expert decision-pattern alignment in endovascular planning for intracranial aneurysms using a multimodal large language model</t>
  </si>
  <si>
    <t>NEURORADIOLOGY</t>
  </si>
  <si>
    <t>Artificial Intelligence; Intracranial aneurysm; Endovascular treatment; Large multimodal models; Digital subtraction angiography</t>
  </si>
  <si>
    <t>STENT-ASSISTED COILING; ARTIFICIAL-INTELLIGENCE; VARIABILITY</t>
  </si>
  <si>
    <t>Yasar, Yunus/LJL-6514-2024; Demir, Mustafa/ISU-1380-2023; Onal, Yilmaz/AAL-9664-2020</t>
  </si>
  <si>
    <t>SIMSEK, Yigit Serdar/0009-0000-3984-2457</t>
  </si>
  <si>
    <t>0028-3940</t>
  </si>
  <si>
    <t>1432-1920</t>
  </si>
  <si>
    <t>Neuroradiology</t>
  </si>
  <si>
    <t>10.1007/s00234-026-04084-8</t>
  </si>
  <si>
    <t>http://dx.doi.org/10.1007/s00234-026-04084-8</t>
  </si>
  <si>
    <t>Clinical Neurology; Neuroimaging; Radiology, Nuclear Medicine &amp; Medical Imaging</t>
  </si>
  <si>
    <t>Neurosciences &amp; Neurology; Radiology, Nuclear Medicine &amp; Medical Imaging</t>
  </si>
  <si>
    <t>KE8BQ</t>
  </si>
  <si>
    <t>42347983</t>
  </si>
  <si>
    <t>WOS:001805248400001</t>
  </si>
  <si>
    <t>Nakaura, T; Yoshida, N; Kobayashi, N; Nagayama, Y; Uetani, H; Kidoh, M; Oda, S; Funama, Y; Hirai, T</t>
  </si>
  <si>
    <t>Rationale and Objectives: To evaluate the performance of various multimodal large language models (LLMs) in the Japanese Diagnostic Radiology Board Examinations (JDRBE) both with and without images. Materials and Methods: Five multimodal LLMs-GPT-4o, Claude 3 Opus, GPT-4 Vision, Gemini Flash 1.5, and Gemini Pro 1.5-were tested using questions from the JDRBE from 2021 to 2023. The models' performances were assessed in two conditions: with images and without images. Accuracy rates were calculated for each model, both overall and within specific subspecialties, including Abdominal and Pelvic Radiology, Musculoskeletal and Breast Imaging, Neuroradiology and Head and Neck Imaging, Nuclear Medicine, and Thoracic and Cardiac Radiology. Results: The average accuracy rates of the LLMs ranged from 30.21% to 45.00%, with GPT-4o achieving the highest (45.00%). Claude 3 Opus performed best without images (45.83%), while the addition of images did not significantly improve accuracy for any model. Performance varied across subspecialties, with GPT-4o excelling in "Other" (65.63%) and Claude 3 Opus in Neuroradiology and Head and Neck Imaging (55.56%). Importantly, none of the models surpassed the passing threshold of 60%. Conclusion: Our findings demonstrate that multimodal LLMs exhibit a range of accuracy in JDRBE, with GPT-4o and Claude 3 Opus showing the highest overall performance. However, the addition of images did not significantly improve accuracy for any model. Summary: Multimodal LLMs are a very promising tool in the field of radiology. However, our study shows that while there are some promising results, their ability to evaluate radiological medical images is currently limited. Further development seems necessary before they can be used routinely. Key Points: Multimodal LLMs show varying accuracy (30.21-45.83%) on Japanese diagnostic radiology board examinations. Adding images did not significantly improve multimodal LLM performance, and significantly decreased accuracy for one model. Performances of multimodal LLMs varied considerably across radiology subspecialties.</t>
  </si>
  <si>
    <t>Nakaura, Takeshi; Yoshida, Naofumi; Kobayashi, Naoki; Nagayama, Yasunori; Uetani, Hiroyuki; Kidoh, Masafumi; Oda, Seitaro; Funama, Yoshinori; Hirai, Toshinori</t>
  </si>
  <si>
    <t>Nakaura, T (corresponding author), Kumamoto Univ, Grad Sch Med Sci, Dept Diagnost Radiol, Honjo 1-1-1, Kumamoto 8608556, Japan.</t>
  </si>
  <si>
    <t>kff00712@nifty.com</t>
  </si>
  <si>
    <t>[Nakaura, Takeshi; Yoshida, Naofumi; Kobayashi, Naoki; Nagayama, Yasunori; Uetani, Hiroyuki; Kidoh, Masafumi; Oda, Seitaro; Hirai, Toshinori] Kumamoto Univ, Grad Sch Med Sci, Dept Diagnost Radiol, Honjo 1-1-1, Kumamoto 8608556, Japan; [Funama, Yoshinori] Kumamoto Univ, Fac Life Sci, Dept Med Phys, Honjo 1-1-1, Kumamoto 8608556, Japan</t>
  </si>
  <si>
    <t>Kumamoto University; Kumamoto University</t>
  </si>
  <si>
    <t>Performance of Multimodal Large Language Models in Japanese Diagnostic Radiology Board Examinations (2021-2023)</t>
  </si>
  <si>
    <t>Artificial Intelligence; Radiology; Large Language Models; Diagnostic Accuracy; Diagnostic Radiology Board Examination</t>
  </si>
  <si>
    <t>Yoshida, Naofumi/OYE-9969-2025; Nakaura, Takeshi/HQZ-8072-2023; Nagayama, Yasunori/GZG-5667-2022</t>
  </si>
  <si>
    <t>Nagayama, Yasunori/0000-0003-3280-7346; Nakaura, Takeshi/0000-0002-9010-0341</t>
  </si>
  <si>
    <t>2394</t>
  </si>
  <si>
    <t>2401</t>
  </si>
  <si>
    <t>10.1016/j.acra.2024.10.035</t>
  </si>
  <si>
    <t>http://dx.doi.org/10.1016/j.acra.2024.10.035</t>
  </si>
  <si>
    <t>1YZ2O</t>
  </si>
  <si>
    <t>39521632</t>
  </si>
  <si>
    <t>WOS:001476992800001</t>
  </si>
  <si>
    <t>Gupta, P; Zhang, ZH; Song, MJ; Michalowski, M; Hu, X; Stiglic, G; Peltonen, LM; Topaz, M</t>
  </si>
  <si>
    <t>Falls cause millions of injuries and deaths annually, making prevention a key priority in home health care (HHC). Traditional fall risk assessments often overlook the complex interaction of personal, environmental, and behavioral factors. This study addresses these limitations by introducing a novel approach that leverages multimodal data, specifically visual frames and structured prompts, to assess fall risk in in-home patients. Using the multimodal large language model (MLLM), LLaVA-NeXTVideo-7B-hf, we analyze simulated in-home patients' video data to enable a more comprehensive and dynamic evaluation of fall risk, paving the way for intelligent, video-based fall prevention in home health care. Preliminary validation using simulated video data demonstrates the feasibility of using MLLMs for such tasks. Simulated in-home patient video data were processed into 24 equally spaced frames. Twelve visually observable fall risk factors extracted from the literature search, categorized as intrinsic, extrinsic, or behavioral, guided the creation of prompts for the MLLM. Standardized prompts were developed by testing the model with concise prompts for simple inferences and elaborated prompts for complex ones. Each prompt was run 3 times, and consensus results were compared with expert evaluations. The model achieved 85.71% accuracy with concise prompts on 7 simple risk factors and 100% accuracy with elaborated prompts on two complex ones. However, the model consistently failed for 2 risk factors that required clinical judgment or had limited visual data. MLLMs like LLaVA-NeXTVideo 7B-hf show strong potential for augmenting fall risk assessment in HHC when guided by well-structured prompts. The approach focuses on visually inferable factors and is intended to complement, rather than replace, clinical evaluation. This proof-of-concept feasibility study shows that MLLMs can support preliminary fall risk analysis using simulated home health care video data and lays the groundwork for future video-based research in this setting, where existing work remains limited. To our knowledge, this is the first study to evaluate the feasibility of MLLM-based video analysis for fall risk assessment in home health care.</t>
  </si>
  <si>
    <t>Gupta, Pallavi; Zhang, Zhihong; Song, Meijia; Michalowski, Martin; Hu, Xiao; Stiglic, Gregor; Peltonen, Laura-Maria; Topaz, Maxim</t>
  </si>
  <si>
    <t>Gupta, P; Topaz, M (corresponding author), Columbia Univ, Sch Nursing, 560 W 168th St, New York, NY 10032 USA.</t>
  </si>
  <si>
    <t>zz3238@columbia.edu; pallavig702@gmail.com; martinm@umn.edu; gregor.stiglic@um.si; xiao.hu@emory.edu; mt3315@cumc.columbia.edu; laura-maria.peltonen@uef.fi; song0599@umn.edu</t>
  </si>
  <si>
    <t>National Institutes of Health [R01AG081928]; University of Minnesota School of Nursing Foundation [ARIS GS-0001]; Slovenian Research Agency [ARIS GS-0001, P2-0057, N3-0307]; American Nurses Foundation Reimagining Nursing Initiative grant NurseAssist-AI: Leveraging AI to Minimize Documentation and Maximize Decision Support in Home Healthcare</t>
  </si>
  <si>
    <t>National Institutes of Health (United States Department of Health &amp; Human Services, National Institutes of Health (NIH) - USA, Office of the Administrator (NIH)); University of Minnesota School of Nursing Foundation; Slovenian Research Agency (Slovenian Research Agency - Slovenia); American Nurses Foundation Reimagining Nursing Initiative grant NurseAssist-AI: Leveraging AI to Minimize Documentation and Maximize Decision Support in Home Healthcare</t>
  </si>
  <si>
    <t>The National Institutes of Health supported this work under award number R01AG081928 and the University of Minnesota School of Nursing Foundation grant (PI: Michalowski). The Slovenian Research Agency provided additional support through grants ARIS GS-0001, P2-0057, and N3-0307. This work was supported in part by the American Nurses Foundation Reimagining Nursing Initiative grant "NurseAssist-AI: Leveraging AI to Minimize Documentation and Maximize Decision Support in Home Healthcare."</t>
  </si>
  <si>
    <t>[Gupta, Pallavi; Zhang, Zhihong; Topaz, Maxim] Columbia Univ, Sch Nursing, 560 W 168th St, New York, NY 10032 USA; [Zhang, Zhihong; Topaz, Maxim] Columbia Univ, Data Sci Inst, New York, NY 10032 USA; [Song, Meijia; Michalowski, Martin] Univ Minnesota, Sch Nursing, Minneapolis, MN USA; [Hu, Xiao] Emory Univ, Ctr Data Sci, Atlanta, GA USA; [Hu, Xiao] Emory Univ, Nell Hodgson Woodruff Sch Nursing, Atlanta, GA USA; [Hu, Xiao] Emory Univ, Dept Biomed Informat, Sch Med, Atlanta, GA USA; [Hu, Xiao] Emory Univ, Coll Arts &amp; Sci, Dept Comp Sci, Atlanta, GA USA; [Hu, Xiao] Georgia Inst Technol, Wallace H Coulter Dept Biomed Engn, Atlanta, GA USA; [Stiglic, Gregor] Univ Maribor, Fac Hlth Sci, Maribor, Slovenia; [Stiglic, Gregor] Univ Maribor, Fac Elect Engn &amp; Comp Sci, Maribor, Slovenia; [Stiglic, Gregor] Univ Edinburgh, Usher Inst, Edinburgh, Scotland; [Peltonen, Laura-Maria] Univ Eastern Finland, Dept Hlth &amp; Social Management, Kuopio, Finland; [Peltonen, Laura-Maria] Wellbeing Serv Cty North Savo, Kuopio, Finland; [Peltonen, Laura-Maria] Wellbeing Serv Cty Southwest Finland, Turku, Finland; [Peltonen, Laura-Maria] Univ Turku, Dept Nursing Sci, Turku, Finland; [Topaz, Maxim] VNS Hlth, New York, NY USA</t>
  </si>
  <si>
    <t>Columbia University; Columbia University; University of Minnesota System; University of Minnesota Twin Cities; Emory University; Emory University; Emory University; Emory University; University System of Georgia; Georgia Institute of Technology; University of Maribor; University of Maribor; University of Edinburgh; University of Eastern Finland; University of Turku</t>
  </si>
  <si>
    <t>Video-Based Fall Risk Assessment Using Multimodal Large Language Models in Home Health Care</t>
  </si>
  <si>
    <t>CIN-COMPUTERS INFORMATICS NURSING</t>
  </si>
  <si>
    <t>multimodal large language models (MLLMs); video analysis; fall risk assessment; home health care (HHC); AI in home health care; privacy-preserving AI</t>
  </si>
  <si>
    <t>1538-2931</t>
  </si>
  <si>
    <t>1538-9774</t>
  </si>
  <si>
    <t>CIN-COMPUT INFORM NU</t>
  </si>
  <si>
    <t>CIN-Comput. Inform. Nurs.</t>
  </si>
  <si>
    <t>e01485</t>
  </si>
  <si>
    <t>10.1097/CIN.0000000000001485</t>
  </si>
  <si>
    <t>http://dx.doi.org/10.1097/CIN.0000000000001485</t>
  </si>
  <si>
    <t>Computer Science, Interdisciplinary Applications; Medical Informatics; Nursing</t>
  </si>
  <si>
    <t>Computer Science; Medical Informatics; Nursing</t>
  </si>
  <si>
    <t>MK4EW</t>
  </si>
  <si>
    <t>41641937</t>
  </si>
  <si>
    <t>WOS:001844344900001</t>
  </si>
  <si>
    <t>Wan, XH; Liu, MX; Zhang, Y; Kou, GJ; Xu, LQ; Liu, H; Yang, XY; Zuo, XL; Li, YQ</t>
  </si>
  <si>
    <t>BACKGROUND Gastrointestinal diseases have complex etiologies and clinical presentations. An accurate diagnosis requires physicians to integrate diverse information, including medical history, laboratory test results, and imaging findings. Existing artificial intelligence-assisted diagnostic tools are limited to single-modality information, resulting in recommendations that are often incomplete and may be associated with clinical or legal risks. AIM To develop and evaluate a collaborative multimodal large language model (LLM) framework for clinical decision-making in digestive diseases. METHODS In this observational study, DeepGut, a multimodal LLM collaborative diagnostic framework, was developed to integrate four distinct large models into a four-tiered structure. The framework sequentially accomplishes multimodal information extraction, logical "chain" construction, diagnostic and treatment suggestion generation, and risk analysis. The model was evaluated using objective metrics, which assess the reliability and comprehensiveness of model-generated results, and subjective expert opinions, which examine the effectiveness of the framework in assisting physicians. RESULTS The diagnostic and treatment recommendations generated by the DeepGut framework achieved exceptional performance, with a diagnostic accuracy of 97.8%, diagnostic completeness of 93.9%, treatment plan accuracy of 95.2%, and treatment plan completeness of 98.0%, significantly surpassing the capabilities of single-modal LLM-based diagnostic tools. Experts evaluating the framework commended the completeness, relevance, and logical coherence of its outputs. However, the collaborative multimodal LLM approach resulted in increased input and output token counts, leading to higher computational costs and extended diagnostic times. CONCLUSION The framework achieves successful integration of multimodal diagnostic data, demonstrating enhanced performance enabled by multimodal LLM collaboration, which opens new horizons for the clinical application of artificial intelligence-assisted technology.</t>
  </si>
  <si>
    <t>Wan, Xiao-Han; Liu, Mei-Xia; Zhang, Yan; Kou, Guan-Jun; Xu, Lei-Qi; Liu, Han; Yang, Xiao-Yun; Zuo, Xiu-Li; Li, Yan-Qing</t>
  </si>
  <si>
    <t>Li, YQ (corresponding author), Shandong Univ, Dept Gastroenterol, Qilu Hosp, 107 Wenhuaxi Rd, Jinan 250012, Shandong, Peoples R China.</t>
  </si>
  <si>
    <t>liyanqing@sdu.edu.cn</t>
  </si>
  <si>
    <t>China Health Promotion Foundation Young Doctors' Research Foundation for Inflammatory Bowel Disease; Taishan Scholars Program of Shandong Province, China [tsqn202306343]; National Natural Science Foundation of China [82270580, 82070552, 82270578, 82300599]</t>
  </si>
  <si>
    <t>China Health Promotion Foundation Young Doctors' Research Foundation for Inflammatory Bowel Disease; Taishan Scholars Program of Shandong Province, China; National Natural Science Foundation of China (National Natural Science Foundation of China (NSFC))</t>
  </si>
  <si>
    <t>China Health Promotion Foundation Young Doctors' Research Foundation for Inflammatory Bowel Disease; Taishan Scholars Program of Shandong Province, China, NO. tsqn202306343; and National Natural Science Foundation of China, No. 82270580, No. 82070552, No. 82270578, and No. 82300599.</t>
  </si>
  <si>
    <t>[Wan, Xiao-Han; Liu, Mei-Xia; Zhang, Yan; Kou, Guan-Jun; Xu, Lei-Qi; Liu, Han; Yang, Xiao-Yun; Zuo, Xiu-Li; Li, Yan-Qing] Shandong Univ, Dept Gastroenterol, Qilu Hosp, 107 Wenhuaxi Rd, Jinan 250012, Shandong, Peoples R China</t>
  </si>
  <si>
    <t>Shandong University</t>
  </si>
  <si>
    <t>DeepGut: A collaborative multimodal large language model framework for digestive disease assisted diagnosis and treatment</t>
  </si>
  <si>
    <t>WORLD JOURNAL OF GASTROENTEROLOGY</t>
  </si>
  <si>
    <t>Gastrointestinal diseases; Artificial intelligence-assisted diagnosis and treatment; Multimodal large language model; Multiple large language model collaboration; DeepGut</t>
  </si>
  <si>
    <t>Liu, Han/GVT-8296-2022</t>
  </si>
  <si>
    <t>LIU, HAN/0009-0009-7504-9873</t>
  </si>
  <si>
    <t>BAISHIDENG PUBLISHING GROUP INC</t>
  </si>
  <si>
    <t>PLEASANTON</t>
  </si>
  <si>
    <t>7041 Koll Center Parkway, Suite 160, PLEASANTON, CA, UNITED STATES</t>
  </si>
  <si>
    <t>1007-9327</t>
  </si>
  <si>
    <t>2219-2840</t>
  </si>
  <si>
    <t>WORLD J GASTROENTERO</t>
  </si>
  <si>
    <t>World J. Gastroenterol.</t>
  </si>
  <si>
    <t>AUG 21 2025</t>
  </si>
  <si>
    <t>109948</t>
  </si>
  <si>
    <t>10.3748/wjg.v31.i31.109948</t>
  </si>
  <si>
    <t>http://dx.doi.org/10.3748/wjg.v31.i31.109948</t>
  </si>
  <si>
    <t>Gastroenterology &amp; Hepatology</t>
  </si>
  <si>
    <t>6PL5F</t>
  </si>
  <si>
    <t>40901691</t>
  </si>
  <si>
    <t>WOS:001558890600007</t>
  </si>
  <si>
    <t>hybrid; Green Accepted</t>
  </si>
  <si>
    <t>Gertz, RJ; Beste, NC; Dratsch, T; Lennartz, S; Bremm, J; Iuga, AI; Bunck, AC; Laukamp, KR; Schönfeld, M; Kottlors, J</t>
  </si>
  <si>
    <t>ObjectivesThis study evaluates the efficiency, accuracy, and cost-effectiveness of radiology reporting using audio multimodal large language models (LLMs) compared to conventional reporting with speech recognition software. We hypothesized that providing minimal audio input would enable a multimodal LLM to generate complete radiological reports.Materials and methods480 reports from 80 retrospective multimodal imaging studies were reported by two board-certified radiologists using three workflows: conventional workflow (C-WF) with speech recognition software to generate findings and impressions separately and LLM-based workflow (LLM-WF) using the state-of-the-art LLMs GPT-4o and Claude Sonnet 3.5. Outcome measures included reporting time, corrections and personnel cost per report. Two radiologists assessed formal structure and report quality. Statistical analysis used ANOVA and Tukey's post hoc tests (p &lt; 0.05).ResultsLLM-WF significantly reduced reporting time (GPT-4o/Sonnet 3.5: 38.9 s +/- 22.7 s vs. C-WF: 88.0 s +/- 60.9 s, p &lt; 0.01), required fewer corrections (GPT-4o: 1.0 +/- 1.1, Sonnet 3.5: 0.9 +/- 1.0 vs. C-WF: 2.4 +/- 2.5, p &lt; 0.01), and lowered costs (GPT-4o: $2.3 +/- $1.4, Sonnet 3.5: $2.4 +/- $1.4 vs. C-WF: $3.0 +/- $2.1, p &lt; 0.01). Reports generated with Sonnet 3.5 were rated highest in quality, while GPT-4o and conventional reports showed no difference.ConclusionMultimodal LLMs can generate high-quality radiology reports based solely on minimal audio input, with greater speed, fewer corrections, and reduced costs compared to conventional speech-based workflows. However, future implementation may involve licensing costs, and generalizability to broader clinical contexts warrants further evaluation.Key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t>
  </si>
  <si>
    <t>Gertz, Roman Johannes; Beste, Nedim Christoph; Dratsch, Thomas; Lennartz, Simon; Bremm, Johannes; Iuga, Andra-Iza; Bunck, Alexander Christian; Laukamp, Kai Roman; Schoenfeld, Michael; Kottlors, Jonathan</t>
  </si>
  <si>
    <t>Beste, NC (corresponding author), Univ Cologne, Inst Diagnost &amp; Intervent Radiol, Fac Med, Cologne, Germany.; Beste, NC (corresponding author), Univ Cologne, Univ Hosp Cologne, Cologne, Germany.</t>
  </si>
  <si>
    <t>nedim.beste@uk-koeln.de</t>
  </si>
  <si>
    <t>Cologne Clinician Scientist Program (CCSP)/Faculty of Medicine/University of Cologne; Deutsche Forschungsgemeinschaft (DFG, German Research Foundation) [413543196]; Else Kroner-Fresenius-Stiftung [2023_EKEA.77]</t>
  </si>
  <si>
    <t>Cologne Clinician Scientist Program (CCSP)/Faculty of Medicine/University of Cologne; Deutsche Forschungsgemeinschaft (DFG, German Research Foundation) (German Research Foundation (DFG)); Else Kroner-Fresenius-Stiftung</t>
  </si>
  <si>
    <t>Supported by the Cologne Clinician Scientist Program (CCSP)/Faculty of Medicine/University of Cologne. Funded by the Deutsche Forschungsgemeinschaft (DFG, German Research Foundation) (Project No. 413543196). This study was conducted with project funding from the Else Kroner-Fresenius-Stiftung (Grant number: 2023_EKEA.77).</t>
  </si>
  <si>
    <t>[Gertz, Roman Johannes; Beste, Nedim Christoph; Dratsch, Thomas; Lennartz, Simon; Bremm, Johannes; Iuga, Andra-Iza; Bunck, Alexander Christian; Laukamp, Kai Roman; Schoenfeld, Michael; Kottlors, Jonathan] Univ Cologne, Inst Diagnost &amp; Intervent Radiol, Fac Med, Cologne, Germany; [Gertz, Roman Johannes; Beste, Nedim Christoph; Dratsch, Thomas; Lennartz, Simon; Bremm, Johannes; Iuga, Andra-Iza; Bunck, Alexander Christian; Laukamp, Kai Roman; Schoenfeld, Michael; Kottlors, Jonathan] Univ Cologne, Univ Hosp Cologne, Cologne, Germany</t>
  </si>
  <si>
    <t>University of Cologne; University of Cologne</t>
  </si>
  <si>
    <t>From dictation to diagnosis: enhancing radiology reporting with integrated speech recognition in multimodal large language models</t>
  </si>
  <si>
    <t>Radiology reporting; Multimodal LLM; GPT-4o; Audio input; Workflow efficiency</t>
  </si>
  <si>
    <t>Laukamp, Kai/AAH-7230-2020; Bunck, Alexander/M-6389-2014; Kottlors, Jonathan/OPM-8986-2025; Lennartz, Simon/ABK-6970-2022</t>
  </si>
  <si>
    <t>Beste, Nedim/0000-0001-5420-1199</t>
  </si>
  <si>
    <t>1553</t>
  </si>
  <si>
    <t>1561</t>
  </si>
  <si>
    <t>10.1007/s00330-025-11929-y</t>
  </si>
  <si>
    <t>http://dx.doi.org/10.1007/s00330-025-11929-y</t>
  </si>
  <si>
    <t>AUG 2025</t>
  </si>
  <si>
    <t>EM6RP</t>
  </si>
  <si>
    <t>40815310</t>
  </si>
  <si>
    <t>WOS:001551600800001</t>
  </si>
  <si>
    <t>Dietrich, N; McShannon, D; Rzepka, MF</t>
  </si>
  <si>
    <t>Traditional deep learning models for lung sound analysis require large, labeled datasets, whereas multimodal large language models (LLMs) may offer a flexible, prompt-based alternative. This study aimed to evaluate the utility of a general-purpose multimodal LLM, GPT-4o, for lung sound classification from mel-spectrograms and assess whether a few-shot prompt approach improves performance over zero-shot prompting. Using the ICBHI 2017 Respiratory Sound Database, 6898 annotated respiratory cycles were converted into mel-spectrograms. GPT-4o was prompted to classify each spectrogram using both zero-shot and few-shot strategies. Model outputs were evaluated against ground truth labels using performance metrics including accuracy, precision, recall, and F1-score. Few-shot prompting improved overall accuracy (0.363 vs. 0.320) and yielded modest gains in precision (0.316 vs. 0.283), recall (0.300 vs. 0.287), and F1-score (0.308 vs. 0.285) across labels. McNemar's test indicated a statistically significant difference in performance between prompting strategies (p &lt; 0.001). Model repeatability analysis demonstrated high agreement (kappa = 0.76-0.88; agreement: 89-96%), indicating excellent consistency. GPT-4o demonstrated limited but statistically significant performance gains using few-shot prompting for lung sound classification. While current performance remains insufficient for clinical deployment, this prompt-based approach provides a baseline for spectrogram-based multimodal tasks and a foundation for future exploration of prompt-based multimodal inference.</t>
  </si>
  <si>
    <t>Dietrich, Nicholas; McShannon, David; Rzepka, Mark F.</t>
  </si>
  <si>
    <t>Dietrich, N (corresponding author), Univ Toronto, Temerty Fac Med, 1 Kings Coll Cir, Toronto, ON, Canada.</t>
  </si>
  <si>
    <t>nicholas.dietrich@mail.utoronto.ca</t>
  </si>
  <si>
    <t>[Dietrich, Nicholas] Univ Toronto, Temerty Fac Med, 1 Kings Coll Cir, Toronto, ON, Canada; [McShannon, David] McMaster Univ, Fac Engn, Hamilton, ON, Canada; [Rzepka, Mark F.] Hosp Sick Children, Res Inst, Translat Med, Toronto, ON, Canada</t>
  </si>
  <si>
    <t>University of Toronto; McMaster University; University of Toronto; Hospital for Sick Children (SickKids)</t>
  </si>
  <si>
    <t>Evaluating few-shot prompting for spectrogram-based lung sound classification using a multimodal language model</t>
  </si>
  <si>
    <t>RESPIRATORY PHYSICAL-EXAMINATION; RELIABILITY; AUSCULTATION</t>
  </si>
  <si>
    <t>McShannon, David/PFJ-1966-2025</t>
  </si>
  <si>
    <t>Dietrich, Nicholas/0009-0007-1556-8343; McShannon, David/0009-0000-6321-0193</t>
  </si>
  <si>
    <t>JAN 12 2026</t>
  </si>
  <si>
    <t>e0001179</t>
  </si>
  <si>
    <t>10.1371/journal.pdig.0001179</t>
  </si>
  <si>
    <t>http://dx.doi.org/10.1371/journal.pdig.0001179</t>
  </si>
  <si>
    <t>AZ6EW</t>
  </si>
  <si>
    <t>41499578</t>
  </si>
  <si>
    <t>WOS:001660541100004</t>
  </si>
  <si>
    <t>Zhang, W; Chen, J; Zhu, E; Cheng, WH; Li, YP; Li, YH; Wang, YJ</t>
  </si>
  <si>
    <t>Clinical depression diagnosis relies heavily on both verbal and non-verbal cues in patient interviews, yet existing automated methods often operate as black-box models and fail to provide trustworthy explanations, limiting their clinical applicability. Moreover, depression datasets commonly impose strict privacy constraints that prohibit access to raw audio-visual data, and the deployment of large LLMs in real-world medical environments is often constrained by computational cost limitations. To address these challenges, we propose MLlm-DR, a multimodal large language model for explainable depression recognition. We first employ knowledge distillation to transfer high-quality diagnostic rationales from a powerful LLMs to a smaller, deployable LLMs, thereby equipping it with clinically aligned reasoning abilities. We further introduce a lightweight query module (LQ-former) that extracts salient depression-related cues from pre-extracted audio and visual features and maps them into an LLM-compatible representation. MLlm-DR is trained in two stages: multimodal alignment via LQ-former pretraining, followed by multi-task optimization that jointly learns rationale generation and score regression, encouraging consistency and improving interpretability. Experimental results show that MLlm-DR achieves state-of-the-art performance on two interview-based benchmark datasets, CMDC and E-DAIC-WOZ, while simultaneously generating clinically meaningful and readable explanations.</t>
  </si>
  <si>
    <t>Zhang, Wei; Chen, Juan; Zhu, En; Cheng, Wenhong; Li, Yunpeng; Li, Yuhan; Wang, Yanbo J.</t>
  </si>
  <si>
    <t>Zhang, W (corresponding author), Natl Univ Def Technol, Changsha, Peoples R China.</t>
  </si>
  <si>
    <t>liyuhan@nudt.edu.cn; chengwhb@aliyun.com; yunpli@itenebris.com; enzhu@nudt.edu.cn; chenjuan@ict.ac.cn; zhangwei23@nudt.edu.cn; wangyanbo@lyzdfintech.com</t>
  </si>
  <si>
    <t>National Science and Technology Innovation 2030 Major Project [2022ZD0209103]</t>
  </si>
  <si>
    <t>National Science and Technology Innovation 2030 Major Project</t>
  </si>
  <si>
    <t>This work is supported by National Science and Technology Innovation 2030 Major Project under Grant No. 2022ZD0209103.</t>
  </si>
  <si>
    <t>[Zhang, Wei; Zhu, En; Li, Yuhan] Natl Univ Def Technol, Changsha, Peoples R China; [Chen, Juan] Univ Chinese Acad Sci, Beijing, Peoples R China; [Cheng, Wenhong] Shanghai Jiao Tong Univ, Sch Med, Shanghai Mental Hlth Ctr, Shanghai, Peoples R China; [Li, Yunpeng] Nanjing Ind Tenebris Informat Technol Co Ltd, Nanjing, Peoples R China; [Wang, Yanbo J.] Natl Univ Uzbekistan named Mirzo Ulugbek, Tashkent, Uzbekistan</t>
  </si>
  <si>
    <t>National University of Defense Technology - China; Chinese Academy of Sciences; University of Chinese Academy of Sciences, CAS; Shanghai Jiao Tong University</t>
  </si>
  <si>
    <t>MLlm-DR: Towards Explainable Depression Recognition with MultiModal Large Language Models</t>
  </si>
  <si>
    <t>Depression Recognition; MultiModal; Large Language Models; Affective Computing; Emotion recognition</t>
  </si>
  <si>
    <t>10.1145/3796722</t>
  </si>
  <si>
    <t>http://dx.doi.org/10.1145/3796722</t>
  </si>
  <si>
    <t>IJ1HN</t>
  </si>
  <si>
    <t>WOS:001772908000001</t>
  </si>
  <si>
    <t>Yin, HF; Zhao, KK; Miao, Q; Zhou, WS; Hu, CY; Guo, YW; Shi, DM; Yang, QL; Mei, LL; Chen, Y; Song, YL; Grzybowski, A; Jin, K</t>
  </si>
  <si>
    <t>Purpose: To develop and evaluate a multimodal foundation-model-assisted system for differentiating primary open-angle glaucoma (POAG) from non-glaucoma in highly myopic eyes and assessing whether artificial intelligence (AI) assistance changes ophthalmologist diagnostic performance. Design: Retrospective diagnostic model-development study with internal validation and paired sequential multireader evaluation. Participants: Model development used 603 eye-level cases (502 POAG, 101 non-glaucoma); a fixed 150-case set from 149 patients was used for internal test reporting and the paired reader evaluation. Methods: A RETFound-based multimodal classifier used color fundus photographs, optical coherence tomography (OCT) images, and 24 structured OCT/retinal nerve fiber layer (RNFL) variables. Six ophthalmologists reviewed each case without and then with AI assistance after a washout interval. Main Outcome Measures: Model area under the receiver operating characteristic curve (AUC); reader sensitivity, specificity, accuracy, F1 score, confidence, reading time, diagnostic switching, and inter-reader agreement. Results: The final multimodal model achieved an AUC of 0.911 (95% confidence interval [CI], 0.862-0.950) on the fixed 150-case set. In the sequential paired evaluation, unaided versus AI-assisted mean sensitivity was 68.0% versus 75.3%, accuracy was 74.2% versus 79.6%, F1 score was 0.790 versus 0.844, and mean specificity was 91.3% in both phases; Fleiss kappa was 0.583 versus 0.709. Reader-level diagnostic differences were not significant after multiplicity adjustment and were exploratory. Conclusions: In this internal retrospective study, the AI-assisted phase showed numerically higher mean sensitivity, accuracy, confidence, and inter-reader agreement than the unaided phase, with unchanged mean specificity. Reader-level diagnostic differences were not statistically significant after multiplicity adjustment and should be considered exploratory. Prospective multicenter validation is required before clinical deployment.</t>
  </si>
  <si>
    <t>Yin, Houfa; Zhao, Kaikai; Miao, Qi; Zhou, Wanshu; Hu, Chenyang; Guo, Yongwei; Shi, Dongmei; Yang, Qiaoli; Mei, Luoluo; Chen, Yi; Song, Yelei; Grzybowski, Andrzej; Jin, Kai</t>
  </si>
  <si>
    <t>Jin, K (corresponding author), Zhejiang Univ, Affiliated Hosp 2, Eye Ctr, Sch Med, Hangzhou, Peoples R China.; Grzybowski, A (corresponding author), Univ Warmia &amp; Mazury, Dept Ophthalmol, Olsztyn, Poland.</t>
  </si>
  <si>
    <t>ae.grzybowski@gmail.com; jinkai@zju.edu.cn</t>
  </si>
  <si>
    <t>Natural Science Foundation of China [82201195, 82204713]; Education Reform Project of the Second Affiliated Hospital Zhejiang University School of Medicine [20240412]</t>
  </si>
  <si>
    <t>Natural Science Foundation of China (National Natural Science Foundation of China (NSFC)); Education Reform Project of the Second Affiliated Hospital Zhejiang University School of Medicine</t>
  </si>
  <si>
    <t>This work was supported by the Natural Science Foundation of China (grant numbers 82201195 and 82204713) and the Education Reform Project of the Second Affiliated Hospital Zhejiang University School of Medicine (grant number 20240412) .</t>
  </si>
  <si>
    <t>[Yin, Houfa; Zhao, Kaikai; Miao, Qi; Zhou, Wanshu; Hu, Chenyang; Guo, Yongwei; Shi, Dongmei; Yang, Qiaoli; Mei, Luoluo; Jin, Kai] Zhejiang Univ, Affiliated Hosp 2, Eye Ctr, Sch Med, Hangzhou, Peoples R China; [Yin, Houfa; Zhao, Kaikai; Miao, Qi; Zhou, Wanshu; Hu, Chenyang; Guo, Yongwei; Shi, Dongmei; Yang, Qiaoli; Mei, Luoluo; Jin, Kai] Zhejiang Prov Key Lab Ophthalmol, Hangzhou, Peoples R China; [Yang, Qiaoli] Zhejiang Prov Clin Res Ctr Eye Dis, Hangzhou, Peoples R China; [Mei, Luoluo] Zhejiang Prov Engn Inst Eye Dis, Hangzhou, Peoples R China; [Chen, Yi; Song, Yelei] Zhuji Maternal &amp; Child Hlth Hosp, Dept Ophthalmol, Zhuji, Zhejiang, Peoples R China; [Grzybowski, Andrzej] Huzhou Nanxun Dist Peoples Hosp, Dept Ophthalmol, Huzhou, Zhejiang, Peoples R China; [Grzybowski, Andrzej] Hangzhou Med Coll, Sch Clin Med, Hangzhou, Peoples R China; [Grzybowski, Andrzej] Univ Warmia &amp; Mazury, Dept Ophthalmol, Olsztyn, Poland</t>
  </si>
  <si>
    <t>Zhejiang University; Hangzhou Medical College; University of Warmia &amp; Mazury</t>
  </si>
  <si>
    <t>Multimodal foundation model assistance for differentiating primary open-angle glaucoma in highly myopic eyes</t>
  </si>
  <si>
    <t>Artificial intelligence; Glaucoma; High myopia; Optical coherence tomography; Reader study</t>
  </si>
  <si>
    <t>ARTIFICIAL-INTELLIGENCE; GLOBAL PREVALENCE; CARE</t>
  </si>
  <si>
    <t>100352</t>
  </si>
  <si>
    <t>10.1016/j.apjo.2026.100352</t>
  </si>
  <si>
    <t>http://dx.doi.org/10.1016/j.apjo.2026.100352</t>
  </si>
  <si>
    <t>MQ2WT</t>
  </si>
  <si>
    <t>42492673</t>
  </si>
  <si>
    <t>WOS:001848318500001</t>
  </si>
  <si>
    <t>Most, JA; Walker, EH; Mehta, NN; Nagel, ID; Chen, JS; Russell, JF; Scott, NL; Borooah, S</t>
  </si>
  <si>
    <t>Objective: To evaluate the diagnostic accuracy of 4 multimodal large language models (MLLMs) in detecting and grading diabetic retinopathy (DR) using their new image analysis features. Design: A single-center retrospective study. Subjects: Patients diagnosed with prediabetes and diabetes. Methods: Ultra-widefield fundus images from patients seen at the University of California, San Diego, were graded for DR severity by 3 retina specialists using the ETDRS classification system to establish ground truth. Four MLLMs (ChatGPT-4o, Claude 3.5 Sonnet, Google Gemini 1.5 Pro, and Perplexity Llama 3.1 Sonar/Default) were tested using 4 distinct prompts. These assessed multiple-choice disease diagnosis, binary disease classification, and disease severity. Multimodal large language models were assessed for accuracy, sensitivity, and specificity in identifying the presence or absence of DR and relative disease severity. Main Outcome Measures: Accuracy, sensitivity, and specificity of diagnosis. Results: A total of 309 eyes from 188 patients were included in the study. The average patient age was 58.7 (56.7-60.7) years, with 55.3% being female. After specialist grading, 70.2% of eyes had DR of varying severity, and 29.8% had no DR. For disease identification with multiple choices provided, Claude and ChatGPT scored significantly higher (P &lt; 0.0006, per Bonferroni correction) than other MLLMs for accuracy (0.608-0.566) and sensitivity (0.618-0.641). In binary DR versus no DR classification, accuracy was the highest for ChatGPT (0.644) and Perplexity (0.602). Sensitivity varied (ChatGPT [0.539], Perplexity [0.488], Claude [0.179], and Gemini [0.042]), whereas specificity for all models was relatively high (range: 0.870-0.989). For the DR severity prompt with the best overall results (Prompt 3.1), no significant differences between models were found in accuracy (Perplexity [0.411], ChatGPT [0.395], Gemini [0.392], and Claude [0.314]). All models demonstrated low sensitivity (Perplexity [0.247], ChatGPT [0.229], Gemini [0.224], and Claude [0.184]). Specificity ranged from 0.840 to 0.866. Conclusions: Multimodal large language models are powerful tools that may eventually assist retinal image analysis. Currently, however, there is variability in the accuracy of image analysis, and diagnostic performance falls short of clinical standards for safe implementation in DR diagnosis and grading. Further training and optimization of common errors may enhance their clinical utility. Financial Disclosure(s): Proprietary or commercial disclosure may be found in the Footnotes and Disclosures at the end of this article. Ophthalmology Science 2026;6:100911 (c) 2025 by the American Academy of Ophthalmology. This is an open access article under the CC BY-NC-ND license (http://creativecommons.org/licenses/by-nc-nd/4.0/).</t>
  </si>
  <si>
    <t>Most, Jesse A.; Walker, Evan H.; Mehta, Nehal N.; Nagel, Ines D.; Chen, Jimmy S.; Russell, Jonathan F.; Scott, Nathan L.; Borooah, Shyamanga</t>
  </si>
  <si>
    <t>Borooah, S (corresponding author), Univ Calif San Diego, Shiley Eye Inst, 9415 Campus Point Dr, La Jolla, CA 92023 USA.</t>
  </si>
  <si>
    <t>[Most, Jesse A.; Mehta, Nehal N.; Nagel, Ines D.; Scott, Nathan L.; Borooah, Shyamanga] Univ Calif San Diego, Shiley Eye Inst, Jacobs Retina Ctr, La Jolla, CA USA; [Most, Jesse A.] Univ Calif San Diego, Sch Med, La Jolla, CA USA; [Walker, Evan H.; Mehta, Nehal N.; Nagel, Ines D.; Chen, Jimmy S.; Scott, Nathan L.; Borooah, Shyamanga] Univ Calif San Diego, Viterbi Family Dept Ophthalmol, La Jolla, CA USA; [Walker, Evan H.; Mehta, Nehal N.; Nagel, Ines D.; Chen, Jimmy S.; Scott, Nathan L.; Borooah, Shyamanga] Univ Calif San Diego, Shiley Eye Inst, La Jolla, CA USA; [Chen, Jimmy S.] Univ Calif San Diego, UCSD Hlth Dept Biomed Informat, La Jolla, CA USA; [Russell, Jonathan F.] Univ Iowa Hosp &amp; Clin, Dept Ophthalmol &amp; Visual Sci, Iowa City, IA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</si>
  <si>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t>
  </si>
  <si>
    <t>Can Multimodal Large Language Models Diagnose Diabetic Retinopathy from Fundus Photos? A Quantitative Evaluation</t>
  </si>
  <si>
    <t>Diabetic retinopathy; Ultra-widefield fundus photography; Multimodal large language model; Artificial intelligence; Image analysis</t>
  </si>
  <si>
    <t>Most, Jesse/0000-0002-2582-4503; Loss Henriques, Lavinia/0000-0002-5547-4284</t>
  </si>
  <si>
    <t>JAN-FEB 2026</t>
  </si>
  <si>
    <t>100911</t>
  </si>
  <si>
    <t>10.1016/j.xops.2025.100911</t>
  </si>
  <si>
    <t>http://dx.doi.org/10.1016/j.xops.2025.100911</t>
  </si>
  <si>
    <t>7PV0D</t>
  </si>
  <si>
    <t>41030829</t>
  </si>
  <si>
    <t>WOS:001576792300002</t>
  </si>
  <si>
    <t>Shih, YC; Wu, CY; Huang, SW; Tsai, CY</t>
  </si>
  <si>
    <t>Background: Cystoscopy remains the gold standard for diagnosing bladder lesions; however, its diagnostic accuracy is operator dependent and prone to missing subtle abnormalities such as carcinoma in situ or misinterpreting mimic lesions (tumor, inflammation, or normal variants). Artificial intelligence-based image-analysis systems are emerging, yet conventional models remain limited to single tasks and cannot produce explanatory reports or articulate diagnostic reasoning. Multimodal large language models (MM-LLMs) integrate visual recognition, contextual reasoning, and language generation, offering interpretive capabilities beyond conventional artificial intelligence. Objective: This study aims to rigorously evaluate state-of-the-art MM-LLMs for cystoscopic image interpretation and lesion classification using clinician-defined stress-test datasets enriched with rare, diverse, and challenging lesions, focusing on diagnostic Methods: Four MM-LLMs (OpenAI-o3 and ChatGPT-4o [OpenAI]; Gemini 2.5 Pro and MedGemma-27B [Google]) were evaluated under blinded, randomized procedures across two tasks: (1) free-text image interpretation for anatomic site, findings, lesion reasoning, and final diagnosis (n=401) and (2) seven-class tumor-like lesion classification (n=113) within a multiple-choice framework (cystitis, polyps, papilloma, papillary urothelial carcinoma, carcinoma in situ, non-urothelial carcinoma, and none of the above). Three raters independently scored outputs using a 5-point Likert scale, and classification metrics (accuracy, sensitivity, indication, and malignancy endpoints. For optimization, model performance was compared between zero-shot and text-based in-context learning prompts that were prefixed with brief descriptions of tumor features. Results: The 401-image test set spanned 40 subcategories, with 322 (80.3%) containing abnormal findings in the image interpretation task. OpenAI-o3 demonstrated strong reasoning, with high satisfaction for anatomy (339/401, 84.5%) and findings for findings (adjusted P value: q=0.002), +0.24 for lesion reasoning (q=0.047), and +0.19 for final diagnosis. For clinically OpenAI-o3 achieved accuracies of 73.5% for biopsy indication and 62.8% for malignancy, with a balanced sensitivity-specificity trade-off, outperforming other models. Notably, OpenAI-o3 performed best on prevalent malignant lesions. ChatGPT-4o and Gemini 2.5 Pro showed high sensitivity but low specificity, whereas MedGemma-27B underperformed. In-context learning improved OpenAI-o3 microaverage accuracy (40.7%-&gt; 46.0%; MCC 0.311 -&gt; 0.370) but yielded only slight specificity gains and minimal accuracy change in other models, likely constrained by the absence of paired image-text context. Conclusions: MM-LLMs demonstrate meaningful assistive potential in generating interpretable cystoscopy free-text rationales and supporting biopsy triage and training. However, performance in difficult differential diagnoses remains modest and requires further optimization before safe clinical integration.</t>
  </si>
  <si>
    <t>Shih, Yung-Chi; Wu, Cheng-Yang; Huang, Shi-Wei; Tsai, Chung-You</t>
  </si>
  <si>
    <t>Tsai, CY (corresponding author), Far Eastern Mem Hosp, Dept Surg, Div Urol, 21,Sec 2,Nanya S Rd, New Taipei City 220, Taiwan.</t>
  </si>
  <si>
    <t>pgtsai@gmail.com</t>
  </si>
  <si>
    <t>[Shih, Yung-Chi; Tsai, Chung-You] Far Eastern Mem Hosp, Dept Surg, Div Urol, 21,Sec 2,Nanya S Rd, New Taipei City 220, Taiwan; [Wu, Cheng-Yang; Huang, Shi-Wei] Natl Taiwan Univ Hosp, Dept Urol, Yunlin Branch, Touliu, Yunlin, Taiwan; [Huang, Shi-Wei; Tsai, Chung-You] Natl Taiwan Univ, Coll Med, Dept Urol, Taipei, Taiwan; [Tsai, Chung-You] Yuan Ze Univ, Dept Elect Engn, Taoyuan, Taiwan</t>
  </si>
  <si>
    <t>Far Eastern Memorial Hospital; National Taiwan University; National Taiwan University Hospital; National Taiwan University Hospital; National Taiwan University; National Taiwan University Hospital; Yuan Ze University</t>
  </si>
  <si>
    <t>Multimodal Large Language Models for Cystoscopic Image Interpretation and Bladder Lesion Classification: Comparative Study</t>
  </si>
  <si>
    <t>multimodal; large language model; AI; cystoscopy; diagnostic reasoning; finding description; biopsy indication; bladder tumor; artificial intelligence</t>
  </si>
  <si>
    <t>COMPUTER-AIDED DETECTION</t>
  </si>
  <si>
    <t>黃, 士維/0000-0001-9777-8561</t>
  </si>
  <si>
    <t>JAN 28 2026</t>
  </si>
  <si>
    <t>e87193</t>
  </si>
  <si>
    <t>10.2196/87193</t>
  </si>
  <si>
    <t>http://dx.doi.org/10.2196/87193</t>
  </si>
  <si>
    <t>DF4WS</t>
  </si>
  <si>
    <t>41605505</t>
  </si>
  <si>
    <t>WOS:001682179600006</t>
  </si>
  <si>
    <t>Lei, CY; Ji, KY; Zhao, C; Zhong, SS; Cao, CY; Chen, H; Yip, CC; Sintuwong, S; Ding, JB; Pandiyan, PS; Wattanaphanich, S; Johnston, L; Ren, YJ; Duan, XR; Zhai, GT; Zhou, HF</t>
  </si>
  <si>
    <t>BackgroundDelayed diagnosis of rare orbital diseases is attributed to limited clinical awareness. Building on prior evidence of multimodal large language models (MLLMs) for detecting common ocular conditions, this study aims to evaluate whether integrating multimodal clinical data can enhance the diagnostic accuracy of MLLMs for rare orbital diseases.MethodsWe conducted a multinational, multiracial, retrospective study. Two datasets were analyzed: Dataset 1, containing 6,786 single-eye photographs from China, was used to fine-tune a contrastive language-image pre-training (CLIP) for preliminary classification of healthy eyes, orbital diseases, and non-orbital diseases, and to compare its performance against three traditional models and three next-generation models. Dataset 2, comprising 170 participants from China, Singapore, and Thailand, was used to evaluate a MLLM (GPT-4o-Latest). Sequential sensitivity analysis assessed the impact of adding external eye photographs, chief complaints, racial information, and diagnostic reasoning prompts. An AI agent combining the CLIP model with GPT-4o-Latest was further evaluated. The model's ability to generate medical reports and examination recommendations was also assessed.ResultsHere we show that the CLIP model achieves 90.21% preliminary detection accuracy, surpassing all baseline models. MLLM detection accuracy improves significantly with the inclusion of multimodal inputs. When relying on external eye images, the top-5 accuracy is 25.68%. The combined agent raises top-5 accuracy to 85.29%. Generated reports and recommendations display high accuracy, readability, completeness, and low potential for harm.ConclusionsOur study demonstrates the potential of MLLM in improving diagnostic accuracy and supporting clinical decision-making for rare orbital diseases.</t>
  </si>
  <si>
    <t>Lei, Chaoyu; Ji, Kaiyuan; Zhao, Chen; Zhong, Sisi; Cao, Chenyu; Chen, Hao; Yip, Chee Chew; Sintuwong, Sunisa; Ding, Jianbin; Pandiyan, P. S.; Wattanaphanich, Sunsern; Johnston, Luke; Ren, Yujie; Duan, Xuran; Zhai, Guangtao; Zhou, Huifang</t>
  </si>
  <si>
    <t>Zhou, HF (corresponding author), Shanghai Jiao Tong Univ, Hainan Res Inst, Sanya, Hainan, Peoples R China.; Zhou, HF (corresponding author), Shanghai Jiao Tong Univ, Hainan Int Med Ctr, Sch Med, Qionghai, Hainan, Peoples R China.; Zhou, HF (corresponding author), Shanghai Jiao Tong Univ, Shanghai Peoples Hosp 9, Dept Ophthalmol, State Key Lab Eye Hlth,Sch Med, Shanghai, Peoples R China.; Zhai, GT (corresponding author), East China Normal Univ, Sch Informat Sci &amp; Elect Engn, Shanghai, Peoples R China.; Zhai, GT (corresponding author), Shanghai Artificial Intelligence Lab, Shanghai, Peoples R China.; Zhai, GT (corresponding author), Shanghai Jiao Tong Univ, Inst Image Commun &amp; Network Engn, Shanghai, Peoples R China.</t>
  </si>
  <si>
    <t>fangzzfang@sjtu.edu.cn; Zhaiguangtao@sjtu.edu.cn</t>
  </si>
  <si>
    <t>The National Natural Science Foundation of China (82388101, 82271122), National Key RD Program of China (2024YFB4710200, 2024YFB4710205), Science and Technology Commission of Shanghai Municipality (20DZ2270800), Shanghai Eye Disease Research Center (2022Z</t>
  </si>
  <si>
    <t>This work was supported by the National Natural Science Foundation of China (82388101, 82271122), National Key R&amp;D Program of China (2024YFB4710200, 2024YFB4710205), Science and Technology Commission of Shanghai Municipality (20DZ2270800), Shanghai Eye Disease Research Center (2022ZZ01003), Shanghai Municipal Commission of Health and Family Planning Project (2022XD006), Shanghai Jiao Tong University 2030 Initiative (WH510272301), Shanghai Three-Year Plan for the Inheritance and Innovative Development of Traditional Chinese Medicine (2-5-1), Hainan Province Science and Technology Special Fund (ZDYF2024LCLH004), Shanghai Jiao Tong University Hainan Institute's Independent Research Initiative (HRSJ-ZSZX-009), the Fundamental Research Funds for the Central Universities (YG2024QNA22).</t>
  </si>
  <si>
    <t>[Lei, Chaoyu; Zhou, Huifang] Shanghai Jiao Tong Univ, Hainan Res Inst, Sanya, Hainan, Peoples R China; [Lei, Chaoyu; Zhou, Huifang] Shanghai Jiao Tong Univ, Hainan Int Med Ctr, Sch Med, Qionghai, Hainan, Peoples R China; [Lei, Chaoyu; Zhao, Chen; Zhong, Sisi; Ren, Yujie; Duan, Xuran; Zhou, Huifang] Shanghai Jiao Tong Univ, Shanghai Peoples Hosp 9, Dept Ophthalmol, State Key Lab Eye Hlth,Sch Med, Shanghai, Peoples R China; [Ji, Kaiyuan; Zhai, Guangtao] East China Normal Univ, Sch Informat Sci &amp; Elect Engn, Shanghai, Peoples R China; [Ji, Kaiyuan; Zhai, Guangtao] Shanghai Artificial Intelligence Lab, Shanghai, Peoples R China; [Cao, Chenyu; Chen, Hao] Shanghai Jiao Tong Univ, Sch Med, Shanghai, Peoples R China; [Yip, Chee Chew; Pandiyan, P. S.] Khoo Teck Puat Hosp, Dept Ophthalmol &amp; Visual Sci, Singapore, Singapore; [Sintuwong, Sunisa; Wattanaphanich, Sunsern] Mettapracharak Wat Rai Khing Hosp, Dept Ophthalmol, Nakhon Pathom, Thailand; [Ding, Jianbin] Natl Univ Singapore Hosp, Dept Ophthalmol, Singapore, Singapore; [Johnston, Luke] Shanghai Jiao Tong Univ, Sch Math Sci, Shanghai, Peoples R China; [Zhai, Guangtao] Shanghai Jiao Tong Univ, Inst Image Commun &amp; Network Engn, Shanghai, Peoples R China</t>
  </si>
  <si>
    <t>Shanghai Jiao Tong University; Shanghai Jiao Tong University; Shanghai Jiao Tong University; East China Normal University; Shanghai Artificial Intelligence Laboratory; Shanghai Jiao Tong University; National University of Singapore; Shanghai Jiao Tong University; Shanghai Jiao Tong University</t>
  </si>
  <si>
    <t>Sequential sensitivity analysis of multimodal large language models for rare orbital disease detection</t>
  </si>
  <si>
    <t>Lei, Chaoyu/PLB-9847-2026; Zhai, Guangtao/G-5258-2013</t>
  </si>
  <si>
    <t>Lei, Chaoyu/0009-0002-8776-8743</t>
  </si>
  <si>
    <t>FEB 20 2026</t>
  </si>
  <si>
    <t>10.1038/s43856-026-01447-3</t>
  </si>
  <si>
    <t>http://dx.doi.org/10.1038/s43856-026-01447-3</t>
  </si>
  <si>
    <t>FW4CE</t>
  </si>
  <si>
    <t>41720932</t>
  </si>
  <si>
    <t>WOS:001728989400001</t>
  </si>
  <si>
    <t>Miyamoto, Y; Nakaura, T; Nakamura, H; Hirai, T; Iwatsuki, M</t>
  </si>
  <si>
    <t>BackgroundMultimodal large language models (LLMs) have the capability to process and integrate both text and image data, offering promising applications in the medical field. This study aimed to evaluate the performance of representative multimodal LLMs in the 2023 Japanese Surgical Specialist Examination, with a focus on image-based questions across various surgical subspecialties. MethodsA total of 98 examination questions, including 43 image-based questions, from the 2023 Japanese Surgical Specialist Examination were administered to three multimodal LLMs: GPT-4 Omni, Claude 3.5 Sonnet, and Gemini Pro 1.5. Each model's performance was assessed under two conditions: with and without images. Statistical analysis was conducted using McNemar's test to evaluate the significance of accuracy differences between the two conditions. ResultsAmong the three LLMs, Claude 3.5 Sonnet achieved the highest overall accuracy at 84.69%, exceeding the passing threshold of 80%, which is consistent with the standard set by the Japan Surgical Society for board certification. GPT-4 Omni closely approached the threshold with an accuracy of 79.59%, while Gemini Pro 1.5 scored 61.22%. Claude 3.5 Sonnet demonstrated the highest accuracy in four of six subspecialties for image-based questions and was the only model to show a statistically significant improvement with image inclusion (76.74% with images vs. 62.79% without images, p = 0.041). By contrast, GPT-4 Omni and Gemini Pro 1.5 did not exhibit significant performance changes with image inclusion.ConclusionClaude 3.5 Sonnet outperformed the other models in most surgical subspecialties for image-based questions and was the only model to benefit significantly from image inclusion. These findings suggest that multimodal LLMs, particularly Claude 3.5 Sonnet, hold promise as diagnostic and educational support tools in surgical domains, and that variation in visual reasoning capabilities may account for model-level differences in image-based performance.</t>
  </si>
  <si>
    <t>Miyamoto, Yuji; Nakaura, Takeshi; Nakamura, Hiro; Hirai, Toshinori; Iwatsuki, Masaaki</t>
  </si>
  <si>
    <t>Miyamoto, Y (corresponding author), Kumamoto Univ, Grad Sch Med Sci, Dept Gastroenterol Surg, 1-1-1 Honjo, Kumamoto 8608556, Japan.; Miyamoto, Y (corresponding author), Kumamoto Univ, Div Translat Res &amp; Adv Treatment Gastrointestinal, Kumamoto, Japan.</t>
  </si>
  <si>
    <t>miyamotoyuji@kumamoto-u.ac.jp</t>
  </si>
  <si>
    <t>[Miyamoto, Yuji; Nakamura, Hiro; Iwatsuki, Masaaki] Kumamoto Univ, Grad Sch Med Sci, Dept Gastroenterol Surg, 1-1-1 Honjo, Kumamoto 8608556, Japan; [Miyamoto, Yuji] Kumamoto Univ, Div Translat Res &amp; Adv Treatment Gastrointestinal, Kumamoto, Japan; [Nakaura, Takeshi; Hirai, Toshinori] Kumamoto Univ, Grad Sch Med Sci, Dept Diagnost Radiol, Kumamoto, Japan</t>
  </si>
  <si>
    <t>Kumamoto University; Kumamoto University; Kumamoto University</t>
  </si>
  <si>
    <t>Performance of multimodal large language models in the Japanese surgical specialist examination</t>
  </si>
  <si>
    <t>BMC MEDICAL EDUCATION</t>
  </si>
  <si>
    <t>Artificial intelligence; Surgical specialist examination; Large language models; Multimodal models; Medical education</t>
  </si>
  <si>
    <t>Nakaura, Takeshi/HQZ-8072-2023</t>
  </si>
  <si>
    <t>1472-6920</t>
  </si>
  <si>
    <t>BMC MED EDUC</t>
  </si>
  <si>
    <t>BMC Med. Educ.</t>
  </si>
  <si>
    <t>OCT 9 2025</t>
  </si>
  <si>
    <t>1379</t>
  </si>
  <si>
    <t>10.1186/s12909-025-07938-6</t>
  </si>
  <si>
    <t>http://dx.doi.org/10.1186/s12909-025-07938-6</t>
  </si>
  <si>
    <t>Education &amp; Educational Research; Education, Scientific Disciplines</t>
  </si>
  <si>
    <t>8LK9U</t>
  </si>
  <si>
    <t>41068861</t>
  </si>
  <si>
    <t>WOS:001591468500010</t>
  </si>
  <si>
    <t>Nguyen, VA; Ha, TMA; Nguyen, TTH</t>
  </si>
  <si>
    <t>Introduction &gt; Multimodal large language models (LLMs) can generate free-text interpretations of clinical images, but their performance on orthodontic cephalometric superimpositions is unknown. This study compared zero-shot interpretations from three LLMs with those of a second-year orthodontic resident. Methods &gt; Ninety lateral cephalometric superimposition images from a private orthodontic practice were analyzed, including 30 nongrowing, 30 growing, and 30 orthognathic cases. Each image included overall maxillary regional, and mandibular regional superimpositions. ChatGPT 5.5, Gemini 3.1 Pro, Claude Opus 4.8, and the resident interpreted the same images using the same prompt, with no case context provided. Two senior orthodontists scored each interpretation against adjudicated reference interpretations using a 16-item rubric, yielding total scores from 0 to 32 and four domain scores. Friedman tests compared methods; Wilcoxon signed-rank tests with Holm adjustment compared each LLM with the resident. Results &gt; Total scores differed significantly among methods (Friedman P &lt; 0.001; Kendall W = 0.592). Median total scores were 30.5 (interquartile range [IQR]: 28-32) for the resident, 17 (IQR: 14-22) for ChatGPT, 12 (IQR: 9-16) for Gemini, and 9.5 (IQR: 4.25-14) for Claude. All LLMs scored significantly lower than the resident overall, by domain, and within each case type (adjusted P &lt; 0.001). Conclusions &gt; In zero-shot cephalometric superimposition interpretation, all tested multimodal LLMs performed substantially below a second-year orthodontic resident. These models should not be used as stand-alone interpreters without expert review.</t>
  </si>
  <si>
    <t>Nguyen, Viet Anh; Ha, Thi Minh Anh; Nguyen, Thi Thu Huong</t>
  </si>
  <si>
    <t>Nguyen, VA (corresponding author), Hanoi Med Univ, Sch Dent, Hanoi 10000, Vietnam.</t>
  </si>
  <si>
    <t>bsvietanhniengrang@gmail.com</t>
  </si>
  <si>
    <t>[Nguyen, Viet Anh; Nguyen, Thi Thu Huong] Hanoi Med Univ, Sch Dent, Hanoi 10000, Vietnam; [Ha, Thi Minh Anh] Viet Anh Orthodont Clin, Hanoi, Vietnam</t>
  </si>
  <si>
    <t>Hanoi Medical University</t>
  </si>
  <si>
    <t>Performance of multimodal large language models in interpreting lateral cephalometric superimpositions: A comparative observer-performance study</t>
  </si>
  <si>
    <t>INTERNATIONAL ORTHODONTICS</t>
  </si>
  <si>
    <t>Artificial intelligence; Large language model; Orthodontics; Cephalometry; Cephalometric; superimposition; Observer performance</t>
  </si>
  <si>
    <t>ELSEVIER MASSON SAS EDITEUR</t>
  </si>
  <si>
    <t>ISSY LES MOULINEAUX CEDEX</t>
  </si>
  <si>
    <t>62, RUE CAMILLE DESMOULINS, ISSY LES MOULINEAUX CEDEX, 92442, FRANCE</t>
  </si>
  <si>
    <t>1761-7227</t>
  </si>
  <si>
    <t>1879-680X</t>
  </si>
  <si>
    <t>INT ORTHOD</t>
  </si>
  <si>
    <t>Int. Orthod.</t>
  </si>
  <si>
    <t>101216</t>
  </si>
  <si>
    <t>10.1016/j.ortho.2026.101216</t>
  </si>
  <si>
    <t>http://dx.doi.org/10.1016/j.ortho.2026.101216</t>
  </si>
  <si>
    <t>MA0OK</t>
  </si>
  <si>
    <t>42508094</t>
  </si>
  <si>
    <t>WOS:001837302000001</t>
  </si>
  <si>
    <t>Hatipoglu, Ö; Baytar, M; Hatipoglu, FP</t>
  </si>
  <si>
    <t>Objective This study aimed to comparatively evaluate the performance of multiple multimodal large language models (MLLMs) in interpreting dental periapical radiographs using a structured framework that incorporates diagnostic accuracy, tooth-level anatomical precision, localization, and composite correctness across various attributes. Materials and methods This paired, cross-sectional study assessed six contemporary MLLMs (Microsoft Copilot, ChatGPT-o4-mini-high, ChatGPT-5.2 Thinking, Gemini 2.5 Flash, Gemini 3 Pro, and Grok-3) using 55 de-identified dental periapical radiographs selected from a clinical archive according to predefined inclusion and exclusion criteria. Radiographs were selected to represent mutually exclusive tooth-status categories, including dental caries, composite restorations, amalgam restorations, and sound teeth. The reference labels for tooth status and anatomical identifiers were established before model evaluation through independent assessment and consensus by experienced clinicians. Each image was evaluated by all models under standardized prompting conditions. Performance was assessed across tasks of increasing complexity, including tooth-status diagnosis, jaw identification, tooth region, side determination, FDI tooth numbering, localization accuracy, and overall correctness across all attributes. Paired statistical analyses were performed using Cochran's Q test and generalized estimating equations with Holm's adjustment for multiple comparisons. Results Tooth status diagnosis accuracy was moderate and comparable across models (45.5-60.0%), with no significant between-model differences. In contrast, significant heterogeneity was observed for localization-related tasks, including side determination, FDI tooth numbering, composite localization, and complete accuracy (p &lt; 0.05). Adjusted analyses demonstrated that Gemini 3 Pro showed the highest adjusted accuracy for localization-dependent outcomes and overall correctness, with higher odds than several other models in pairwise comparisons. None of the models showed a consistent advantage for tooth status diagnosis alone. Conclusion The performance of MLLMs in dental periapical radiograph interpretation is task-dependent and increasingly model-specific as anatomical precision requirements increase. While MLLMs may support education and structured discussions of radiographic findings, their reliability for autonomous tooth-level diagnosis and localization remains limited.Clinical Significance MLLMs may support dental education and patient communication by assisting with the explanation of basic radiographic features. However, their reliability decreases for tooth-level localization and comprehensive anatomical accuracy, indicating that MLLMs should not be used as stand-alone tools for clinical decision-making based on periapical radiographs.</t>
  </si>
  <si>
    <t>Hatipoglu, Omer; Baytar, Muhammed; Pertek Hatipoglu, Fatma</t>
  </si>
  <si>
    <t>Hatipoglu, Ö (corresponding author), Recep Tayyip Erdogan Univ, Fac Dent, Dept Restorat Dent, Rize, Turkiye.</t>
  </si>
  <si>
    <t>pertekk_165@homail.com; muhammed.baytar@erdogan.edu.tr; omerhtp@gmail.com</t>
  </si>
  <si>
    <t>[Hatipoglu, Omer; Baytar, Muhammed] Recep Tayyip Erdogan Univ, Fac Dent, Dept Restorat Dent, Rize, Turkiye; [Pertek Hatipoglu, Fatma] Recep Tayyip Erdogan Univ, Dept Endodont, Rize, Turkiye</t>
  </si>
  <si>
    <t>Recep Tayyip Erdogan University; Recep Tayyip Erdogan University</t>
  </si>
  <si>
    <t>Diagnostic and localization performance of multimodal large language models in the interpretation of dental periapical radiographs</t>
  </si>
  <si>
    <t>BMC ORAL HEALTH</t>
  </si>
  <si>
    <t>Artificial Intelligence; Large Language Models; Periapical Radiography; Diagnostic Accuracy</t>
  </si>
  <si>
    <t>Baytar, Muhammed/0009-0005-7839-1325</t>
  </si>
  <si>
    <t>1472-6831</t>
  </si>
  <si>
    <t>BMC Oral Health</t>
  </si>
  <si>
    <t>JUN 8 2026</t>
  </si>
  <si>
    <t>1428</t>
  </si>
  <si>
    <t>10.1186/s12903-026-08870-x</t>
  </si>
  <si>
    <t>http://dx.doi.org/10.1186/s12903-026-08870-x</t>
  </si>
  <si>
    <t>MQ9FS</t>
  </si>
  <si>
    <t>42260554</t>
  </si>
  <si>
    <t>WOS:001848747800003</t>
  </si>
  <si>
    <t>Yan, RZ; Luo, HQ; Lu, JY; Liu, DR; Posluszny, H; Dhaliwal, MP; Macleod, J; Qin, Y; Yang, CR; Hartman, TJ; Hu, X</t>
  </si>
  <si>
    <t>Background: Accurate dietary assessment is essential for health research. While smartphone-based food image recognition offers a convenient alternative to traditional methods, existing computer vision approaches struggle with real-world food images and analyze only basic macronutrients, limiting their utility for comprehensive nutritional research. Methods: We developed DietAI24, a framework for automated nutrition estimation from food images that combines multimodal large language models (MLLMs) with Retrieval-Augmented Generation (RAG) technology to ground the MLLM's visual recognition in authoritative nutrition databases rather than relying on the model's internal knowledge. In our work, we used the Food and Nutrient Database for Dietary Studies (FNDDS) as the authoritative nutrition database. Through this approach, DietAI24 enables accurate nutrient estimation without extensive data collection or model training. Results: DietAI24 significantly outperforms existing methods when evaluated against commercial platforms and computer vision baselines using the ASA24 and Nutrition5k datasets. Performance is measured through mean absolute error (MAE). DietAI24 achieves a 63% reduction in MAE for food weight estimation and four key nutrients and food components compared to existing methods when tested on real-world mixed dishes (p &lt; 0.05). Notably, DietAI24 estimates 65 distinct nutrients and food components, far exceeding the basic macronutrient profiles of existing solutions. Conclusions: DietAI24 demonstrates that integrating MLLMs with RAG and standardized nutrition databases can substantially improve dietary assessment accuracy while enabling comprehensive nutrient analysis. This framework offers a scalable solution for nutrition research and clinical applications, potentially transforming large-scale epidemiological studies and personalized dietary interventions through more accurate and less burdensome dietary data collection.</t>
  </si>
  <si>
    <t>Yan, Runze; Luo, Hanqi; Lu, Jiaying; Liu, Darren; Posluszny, Hannah; Dhaliwal, Mehak Preet; Macleod, Janice; Qin, Yao; Yang, Carl; Hartman, Terry J.; Hu, Xiao</t>
  </si>
  <si>
    <t>Hu, X (corresponding author), Emory Univ, Ctr Data Sci, Nell Hodgson Woodruff Sch Nursing, Atlanta, GA 30322 USA.; Hu, X (corresponding author), Emory Univ, Coll Arts &amp; Sci, Dept Comp Sci, Atlanta, GA 30322 USA.; Hu, X (corresponding author), Emory Univ, Dept Biomed Informat, Sch Med, Atlanta, GA 30322 USA.</t>
  </si>
  <si>
    <t>xiao.hu@emory.edu</t>
  </si>
  <si>
    <t>[Yan, Runze; Lu, Jiaying; Liu, Darren; Hu, Xiao] Emory Univ, Ctr Data Sci, Nell Hodgson Woodruff Sch Nursing, Atlanta, GA 30322 USA; [Luo, Hanqi; Posluszny, Hannah] Emory Univ, Rollins Sch Publ Hlth, Hubert Dept Global Hlth, Atlanta, GA 30322 USA; [Liu, Darren; Yang, Carl; Hu, Xiao] Emory Univ, Coll Arts &amp; Sci, Dept Comp Sci, Atlanta, GA 30322 USA; [Dhaliwal, Mehak Preet; Qin, Yao] Univ Calif Santa Barbara, Dept Elect &amp; Comp Engn, Santa Barbara, CA USA; [Macleod, Janice] Janice MacLeod Consulting, Glen Burnie, MD USA; [Hartman, Terry J.] Emory Univ, Rollins Sch Publ Hlth, Dept Epidemiol, Atlanta, GA USA; [Hu, Xiao] Emory Univ, Dept Biomed Informat, Sch Med, Atlanta, GA 30322 USA</t>
  </si>
  <si>
    <t>Emory University; Emory University; Rollins School Public Health; Emory University; University of California System; University of California Santa Barbara; Emory University; Rollins School Public Health; Emory University</t>
  </si>
  <si>
    <t>DietAI24 as a framework for comprehensive nutrition estimation using multimodal large language models</t>
  </si>
  <si>
    <t>HEALTH</t>
  </si>
  <si>
    <t>Lu, Jiaying/MVY-4724-2025; Luo, Hanqi/AAZ-9394-2020</t>
  </si>
  <si>
    <t>Yan, Runze/0000-0002-6558-4567; Posluszny, Hannah/0000-0001-6540-8881; Liu, Sizuo/0009-0004-5019-4402; Lu, Jiaying/0000-0001-9052-6951; Luo, Hanqi/0000-0001-6253-5818</t>
  </si>
  <si>
    <t>NOV 5 2025</t>
  </si>
  <si>
    <t>458</t>
  </si>
  <si>
    <t>10.1038/s43856-025-01159-0</t>
  </si>
  <si>
    <t>http://dx.doi.org/10.1038/s43856-025-01159-0</t>
  </si>
  <si>
    <t>9LJ4H</t>
  </si>
  <si>
    <t>41193610</t>
  </si>
  <si>
    <t>WOS:001609118600002</t>
  </si>
  <si>
    <t>Haupt, M; Bischoff, A; Atoubi, M; Thomas, RP; Maurer, MH</t>
  </si>
  <si>
    <t>Background/Objectives: To characterize the zero-shot diagnostic behavior of three commercial multimodal large language models (MLLMs) on cardiopulmonary chest radiograph findings and to assess sex-stratified performance differences. Methods: GPT-5.4, Claude Opus 4.5, and Gemini 2.5 Pro were evaluated in 4500 pathology-specific radiograph evaluations based on frontal chest radiographs from the publicly available CheXpert dataset. Three balanced cohorts of 1500 images each were constructed for cardiomegaly, pulmonary edema, and pleural effusion (375 per sex-by-label subgroup). All models received identical zero-shot prompts requesting binary classification. The primary outcome was area under the receiver operating characteristic curve (AUC-ROC) with 95% bootstrap confidence intervals. Secondary outcomes were sensitivity and specificity. Results: A total of 4500 pathology-specific radiograph evaluations were performed across the three cohorts (2250 male and 2250 female cohort entries; mean age 58.4 +/- 18.0 years). GPT-5.4 achieved the highest discrimination (AUC-ROC 0.836-0.883) but showed very low sensitivity (0.043-0.424) with near-perfect specificity (0.977-0.997). Claude Opus 4.5 showed moderate discrimination (AUC-ROC 0.698-0.761) with balanced sensitivity (0.396-0.876) and specificity (0.461-0.863). Gemini 2.5 Pro showed moderate discrimination (AUC-ROC 0.745-0.770) but favored sensitivity (0.673-0.973) at the expense of specificity (0.241-0.804). Sex-stratified analyses showed consistently higher AUC point estimates in male patients for cardiomegaly and pulmonary edema, but smaller and less directional differences for pleural effusion. Conclusions: Commercial MLLMs differ considerably in operating profiles, ranging from ultraconservative to aggressive detection, so that strong aggregate discrimination can mask sensitivity too low for reliable detection. None of the evaluated models are currently suitable for autonomous chest radiograph interpretation. Sex-stratified differences were modest but non-uniform, supporting subgroup-aware reporting rather than reliance on pooled metrics alone.</t>
  </si>
  <si>
    <t>Haupt, Matteo; Bischoff, Arne; Atoubi, Myriam; Thomas, Rohit Philip; Maurer, Martin H.</t>
  </si>
  <si>
    <t>Haupt, M (corresponding author), Carl von Ossietzky Univ Oldenburg, Dept Diagnost &amp; Intervent Radiol, D-26129 Oldenburg, Germany.</t>
  </si>
  <si>
    <t>matteo.haupt@uni-oldenburg.de</t>
  </si>
  <si>
    <t>[Haupt, Matteo; Bischoff, Arne; Atoubi, Myriam; Thomas, Rohit Philip; Maurer, Martin H.] Carl von Ossietzky Univ Oldenburg, Dept Diagnost &amp; Intervent Radiol, D-26129 Oldenburg, Germany</t>
  </si>
  <si>
    <t>Carl von Ossietzky Universitat Oldenburg</t>
  </si>
  <si>
    <t>Benchmarking Multimodal Large Language Models for Cardiopulmonary Findings on Chest Radiographs: Sex-Stratified Discrimination and Operating Characteristics</t>
  </si>
  <si>
    <t>artificial intelligence; chest radiography; multimodal large language models; benchmark; sex-stratified analysis</t>
  </si>
  <si>
    <t>2131</t>
  </si>
  <si>
    <t>10.3390/diagnostics16132131</t>
  </si>
  <si>
    <t>http://dx.doi.org/10.3390/diagnostics16132131</t>
  </si>
  <si>
    <t>KX5FB</t>
  </si>
  <si>
    <t>42449912</t>
  </si>
  <si>
    <t>WOS:001817948400001</t>
  </si>
  <si>
    <t>Stelling, H; Kraus, A; Grieb, G; Breidung, D; Güler, I</t>
  </si>
  <si>
    <t>The electrocardiogram (ECG) is a central tool in cardiovascular diagnostics, yet interpretation requires expertise and remains subject to variability. Multimodal large language models (MLLMs) have shown emerging capabilities in medical image analysis, but their performance in ECG interpretation remains insufficiently characterized. This study evaluated the diagnostic accuracy and inter-run reliability of five MLLMs across ECG interpretation tasks. Thirteen standard 12-lead ECGs were presented to five models (ChatGPT-5.3, Gemini 3.1 Pro, Claude Opus 4.6, Grok 4.1, and ERNIE 5.0) across five independent runs per case, yielding 2275 task-level assessments. Six categorical interpretation tasks (rhythm, electrical axis, PR/P-wave morphology, QRS duration, ST/T-wave morphology, and QTc interval) were compared with expert-consensus ground truth, while heart rate estimation was evaluated using mean absolute error (MAE). Overall categorical accuracy ranged from 52.3% to 64.9%. QRS duration classification achieved the highest accuracy (66.2-90.8%), whereas ST/T-wave assessment showed the lowest performance (20.0-41.5%). Heart rate MAE ranged from 14.8 to 46.7 bpm. A dissociation between diagnostic accuracy and inter-run reliability was observed across models. These findings indicate that current MLLMs do not achieve clinically reliable ECG interpretation performance and highlight the importance of assessing diagnostic accuracy and inter-run reliability when evaluating artificial intelligence systems in biomedical diagnostics.</t>
  </si>
  <si>
    <t>Stelling, Henrik; Kraus, Armin; Grieb, Gerrit; Breidung, David; Guler, Ibrahim</t>
  </si>
  <si>
    <t>Güler, I (corresponding author), Friedrich Alexander Univ Erlangen Nurnberg FAU, Dept Hlth Management, Lange Gasse 20, D-90403 Nurnberg, Germany.; Güler, I (corresponding author), Otto von Guericke Univ, Dept Plast Aesthet &amp; Hand Surg, D-39120 Magdeburg, Germany.</t>
  </si>
  <si>
    <t>ibrahim.gueler@med.ovgu.de; henrikstelling@googlemail.com; david.breidung@usz.ch; armin.kraus@med.ovgu.de; gerritgrieb@gmx.de</t>
  </si>
  <si>
    <t>[Stelling, Henrik] Rubensstr 125, D-12157 Berlin, Germany; [Stelling, Henrik; Guler, Ibrahim] Friedrich Alexander Univ Erlangen Nurnberg FAU, Dept Hlth Management, Lange Gasse 20, D-90403 Nurnberg, Germany; [Kraus, Armin; Guler, Ibrahim] Otto von Guericke Univ, Dept Plast Aesthet &amp; Hand Surg, D-39120 Magdeburg, Germany; [Grieb, Gerrit] Gemeinschaftskrankenhaus Havelhohe, Dept Plast Surg &amp; Hand Surg, Kladower Damm 221, D-14089 Berlin, Germany; [Grieb, Gerrit] Rhein Westfal TH Aachen, Dept Plast Surg &amp; Hand Surg, Pauwelsstr 30, D-52074 Aachen, Germany; [Breidung, David] Univ Witten Herdecke, Dept Hlth, D-58455 Witten, Germany; [Breidung, David] Univ Hosp Zurich, Dept Plast Surg &amp; Hand Surg, Ramistr 100, CH-8091 Zurich, Switzerland</t>
  </si>
  <si>
    <t>University of Erlangen Nuremberg; Otto von Guericke University; RWTH Aachen University; Witten Herdecke University; University of Zurich; University Zurich Hospital</t>
  </si>
  <si>
    <t>Artificial Intelligence for Biomedical Diagnostics: Diagnostic Accuracy and Reliability of Multimodal Large Language Models in Electrocardiogram Interpretation</t>
  </si>
  <si>
    <t>LIFE-BASEL</t>
  </si>
  <si>
    <t>electrocardiography; electrocardiogram interpretation; cardiovascular diagnostics; diagnostic accuracy; biomedical signal analysis; multimodal large language models; artificial intelligence; cardiac rhythm analysis; clinical electrocardiography; cardiovascular physiology</t>
  </si>
  <si>
    <t>12-LEAD ELECTROCARDIOGRAMS; AMERICAN-COLLEGE; RECOMMENDATIONS; COMPETENCE; AGREEMENT</t>
  </si>
  <si>
    <t>2075-1729</t>
  </si>
  <si>
    <t>Life-Basel</t>
  </si>
  <si>
    <t>681</t>
  </si>
  <si>
    <t>10.3390/life16040681</t>
  </si>
  <si>
    <t>http://dx.doi.org/10.3390/life16040681</t>
  </si>
  <si>
    <t>Biology; Microbiology</t>
  </si>
  <si>
    <t>Life Sciences &amp; Biomedicine - Other Topics; Microbiology</t>
  </si>
  <si>
    <t>HC5YE</t>
  </si>
  <si>
    <t>42073489</t>
  </si>
  <si>
    <t>WOS:001750838300001</t>
  </si>
  <si>
    <t>Moglia, A; Nastasio, EC; Mainardi, L; Cerveri, P</t>
  </si>
  <si>
    <t>Pancreatic cancer remains one of the deadliest malignancies, primarily because of its subtle CT appearance and frequent late-stage diagnosis. We introduce MiniGPT-Pancreas, a lightweight multimodal large language model (MLLM) that interprets natural-language queries within an interactive ChatGPT-style interface, as well as computed tomography images, and returns precise bounding-box predictions for the pancreas and associated tumors. A cascaded fine-tuning strategy was applied to MiniGPTv2, a multi-task general-purpose MLLM, with a focus on pancreas and tumor detection, using the National Institute of Health (NIH) and Medical Segmentation Decathlon (MSD) pancreas datasets. Pancreas detection achieved an average intersection over Union (IoU) of 0.57 on NIH and MSD datasets, outperforming the base MiniGPT-Pancreas model and more recent MLLMs like GLM-4.1V-9B-Base (general-purpose) and UMIT (specific to the biomedical domain). Tumor observation on MSD yielded an accuracy, precision, recall, and F1 score of all about 0.87, surpassing MiniGPT-v2, GLM-4.1V-9B-Base, and UMIT. For tumor localization, the IoU was 0.28, higher than UMIT (IoU=0.07), but lower than GLM-4.1V-9B-Base (IoU=0.48). On multi-organ detection on the AbdomenCT-1k dataset, MiniGPT-Pancreas outperformed GLM-4.1V-9B-Base and UMIT in all organs, with an IoU of 0.50 on pancreas vs. 0.43 and 0.03, respectively. MiniGPT-Pancreas was rated highly by an international group of 10 expert general surgeons (Italy, Singapore, and the UK) as a potential training tool, especially for verification (4.5/5.0), and training of young specialists (4.5/5.0) on a 5-point Likert scale. While operating on 2D slices limits volumetric context, MiniGPT-Pancreas demonstrates that compact MLLMs can rival specialized vision networks in pancreas imaging, offering an intuitive, language-driven tool for AI-assisted radiology. The code is publicly available at https://github.com/elianastasio/MiniGPTPancreas.</t>
  </si>
  <si>
    <t>Moglia, Andrea; Nastasio, Elia Clement; Mainardi, Luca; Cerveri, Pietro</t>
  </si>
  <si>
    <t>Moglia, A (corresponding author), Politecn Milan, Dept Elect Informat &amp; Bioengn, Via Giuseppe Ponzio 34, I-20133 Milan, Lombardy, Italy.</t>
  </si>
  <si>
    <t>e.nastasio@unibs.it; pietro.cerveri@unipv.it; andrea.moglia@polimi.it; luca.mainardi@polimi.it</t>
  </si>
  <si>
    <t>Politecnico di Milano</t>
  </si>
  <si>
    <t>Open access funding provided by Politecnico di Milano within the CRUI-CARE Agreement.</t>
  </si>
  <si>
    <t>[Moglia, Andrea; Nastasio, Elia Clement; Mainardi, Luca; Cerveri, Pietro] Politecn Milan, Dept Elect Informat &amp; Bioengn, Via Giuseppe Ponzio 34, I-20133 Milan, Lombardy, Italy; [Nastasio, Elia Clement] Univ Brescia, Dept Informat Engn, Via Branze 38, I-25123 Brescia, Italy; [Cerveri, Pietro] Univ Pavia, Dept Ind &amp; Informat Engn, Via Adolfo Ferrata 5, I-27100 Pavia, Lombardy, Italy</t>
  </si>
  <si>
    <t>Polytechnic University of Milan; University of Brescia; University of Pavia</t>
  </si>
  <si>
    <t>MiniGPT-Pancreas: Multimodal Large Language Model for Pancreas Cancer Observation and Localization in CT Images</t>
  </si>
  <si>
    <t>JOURNAL OF HEALTHCARE INFORMATICS RESEARCH</t>
  </si>
  <si>
    <t>Vision-language models medical imaging; Multimodal large language models medical imaging; Multimodal large language models pancreas; Artificial intelligence pancreas; Generative artificial intelligence medical imaging; AI pancreas</t>
  </si>
  <si>
    <t>MAINARDI, LUCA/CAG-8179-2022; Moglia, Andrea/JVM-8313-2024</t>
  </si>
  <si>
    <t>Moglia, Andrea/0000-0002-3365-580X</t>
  </si>
  <si>
    <t>2509-4971</t>
  </si>
  <si>
    <t>2509-498X</t>
  </si>
  <si>
    <t>J HEALTHC INFORM RES</t>
  </si>
  <si>
    <t>J. Healthc. Inform. Res.</t>
  </si>
  <si>
    <t>69</t>
  </si>
  <si>
    <t>10.1007/s41666-025-00224-6</t>
  </si>
  <si>
    <t>http://dx.doi.org/10.1007/s41666-025-00224-6</t>
  </si>
  <si>
    <t>Computer Science, Information Systems; Health Care Sciences &amp; Services; Medical Informatics</t>
  </si>
  <si>
    <t>Computer Science; Health Care Sciences &amp; Services; Medical Informatics</t>
  </si>
  <si>
    <t>DC3ZO</t>
  </si>
  <si>
    <t>41658402</t>
  </si>
  <si>
    <t>WOS:001616958000001</t>
  </si>
  <si>
    <t>Güzel, HE; Özenbas, C; Saravi, B</t>
  </si>
  <si>
    <t>Background: Accurate identification and positioning of thoracic devices on chest radiographs is critical for patient safety in intensive care. Multimodal large language models (LLMs) offer potentially generalizable automated evaluation, but their performance in this domain is underexplored. Methods: Three multimodal LLMs (GPT-4o, gpt-4o-2024-08-06; Gemini 3.1 Flash Lite Preview; Claude Sonnet 4.6) were evaluated on 4813 chest radiographs from the RANZCR CLiP dataset for device presence and positioning of ETT, NGT, CVC, and Swan-Ganz catheters. Performance was quantified with 95% Wilson confidence intervals, balanced accuracy, MCC, Cochran's Q, Bonferroni-corrected McNemar, and Cohen's/Fleiss' kappa. Six additional analyses were performed: a blinded paired reader study (n = 377; two board-certified radiologists, blinded to ground truth and to all LLM outputs), external validation on PadChest (n = 200, device-presence detection only-PadChest lacks granular position labels), three-variant prompt-sensitivity analysis (n = 103), repeat-inference stability across three runs (n = 50), systematic error taxonomy, and a failure-case analysis. Results: Device-presence performance varied widely across models; abnormal-position sensitivity was uniformly poor (MCC &lt;= 0.028; balanced accuracy 0.41-0.53). Inter-model agreement was poor to slight (Fleiss' kappa: 0.005-0.383 for presence; -0.280 to -0.025 for classification). Radiologists numerically outperformed all three LLMs in 42/42 paired comparisons; the superiority was statistically significant after Bonferroni correction in 33/42 (32/42 at p &lt; 0.001). PadChest replicated the negative finding for device-presence detection (malposition not externally validated). Prompts and inference stochasticity introduced 2-3 &amp; times; sensitivity swings and run-to-run kappa from 0.20 to 0.85. Case failures concentrated systematically in multi-device cases (p &lt; 0.0001) but not in abnormal-position cases (p = 0.14). Conclusions: Current general-purpose multimodal LLMs are not yet reliable for autonomous thoracic-device assessment; their failure patterns are structurally characterizable across models, prompts, and case types and support, at most a circumscribed role, as adjunct device-presence screening tools. The findings do not generalize to purpose-built, regulator-approved clinical AI systems.</t>
  </si>
  <si>
    <t>Guzel, Hamza Eren; Ozenbas, Cemre; Saravi, Babak</t>
  </si>
  <si>
    <t>Saravi, B (corresponding author), Heinrich Heine Univ Dusseldorf, Med Fac, Dept Oral Maxillofacial &amp; Facial Plast Surg, D-40225 Dusseldorf, Germany.; Saravi, B (corresponding author), Heinrich Heine Univ Dusseldorf, Univ Hosp Dusseldorf, D-40225 Dusseldorf, Germany.</t>
  </si>
  <si>
    <t>cozenbas@hotmail.com; hamzaerenguzel@gmail.com; babak.saravi@med.uni-duesseldorf.de</t>
  </si>
  <si>
    <t>[Guzel, Hamza Eren] Univ Hlth Sci, Izmir City Hosp, Dept Radiol, TR-35540 Izmir, Turkiye; [Ozenbas, Cemre] Tinaztepe Univ, Private Buca Hosp, Dept Radiol, TR-35540 Izmir, Turkiye; [Saravi, Babak] Heinrich Heine Univ Dusseldorf, Med Fac, Dept Oral Maxillofacial &amp; Facial Plast Surg, D-40225 Dusseldorf, Germany; [Saravi, Babak] Heinrich Heine Univ Dusseldorf, Univ Hosp Dusseldorf, D-40225 Dusseldorf, Germany</t>
  </si>
  <si>
    <t>University of Health Sciences Turkey; Izmir Tinaztepe University; Heinrich Heine University Dusseldorf; Heinrich Heine University Dusseldorf; Heinrich Heine University Dusseldorf Hospital</t>
  </si>
  <si>
    <t>Performance of Multimodal Large Language Models in Detection and Position Assessment of Thoracic Devices on Chest Radiographs</t>
  </si>
  <si>
    <t>chest radiography; large language models; thoracic devices; artificial intelligence; device malposition; multimodal AI; diagnostic accuracy; central venous catheter</t>
  </si>
  <si>
    <t>Saravi, Babak/AAV-9666-2020; Özenbaş, Cemre/ABS-3405-2022; GUZEL, HAMZA/LWJ-6110-2024</t>
  </si>
  <si>
    <t>MAY 23 2026</t>
  </si>
  <si>
    <t>1602</t>
  </si>
  <si>
    <t>10.3390/diagnostics16111602</t>
  </si>
  <si>
    <t>http://dx.doi.org/10.3390/diagnostics16111602</t>
  </si>
  <si>
    <t>JJ3LX</t>
  </si>
  <si>
    <t>42279469</t>
  </si>
  <si>
    <t>WOS:001790700000001</t>
  </si>
  <si>
    <t>Suh, PS; Ko, JS; Shim, WH; Heo, H; Woo, CY; Park, H; Suh, CH</t>
  </si>
  <si>
    <t>Objective: To evaluate the accuracy and reasoning capabilities of large multimodal language models compared with those of neuroradiology subspecialty-trained radiologists in neuroradiology case interpretation. Materials and Methods: This experimental study used custom-made 401 radiologic quizzes derived from articles published in RadioGraphics covering neuroradiology and head and neck topics (October 2020 to February 2024). We prompted the GPT-4 Turbo with Vision (GPT-4V), GPT-4 Omni, Gemini Flash, and Claude models to provide the top three differential diagnoses with a rationale and describe examination characteristics such as imaging modality, sequence, use of contrast, image plane, and body part. The temperature was adjusted to 0 and 1 (T1). Two neuroradiologists answered the same questions. The accuracies of the large language models (LLMs) and the neuroradiologists were compared using generalized estimating equations. Three neuroradiologists assessed the rationale provided by the LLMs for their differential diagnoses using four-point scales, separately for specific lesion locations and imaging findings, and evaluated the presence of hallucinations and the overall acceptability of the responses. Results: Top-3 accuracy (i.e., correct answers present among top-3 differential diagnoses) of LLMs ranged from 29.9% (120 of 401) to 49.4% (198 of 401, obtained with GPT-4V in the T1 setting), while radiologists achieved 80.3% (322 of 401) and 68.3% (274 of 401), respectively (P &lt; 0.001). Regarding the rationale for differential diagnoses, GPT-4V (T1) accurately identified both the specific lesion location and imaging findings in 30.7% (123 of 401) and 12.9% (16 of 124) of cases without textual clinical history. Hallucinations occurred in 4.5% (18 of 401), and only 29.4% (118 of 401) of the LLM-generated analyses were deemed acceptable. GPT-4V (T1) demonstrated high accuracy in identifying the imaging modality (97.4% [800 of 821]) and scanned body parts (92.2% [756 of 820]). Conclusion: LLMs remarkably underperformed compared with neuroradiologists and showed unsatisfactory reasoning for their differential diagnoses, with performance declining further in cases without textual input of clinical history. These findings highlight the limitations of current multimodal LLMs in neuroradiological interpretation and their reliance on text input.</t>
  </si>
  <si>
    <t>Suh, Pae Sun; Ko, Ji Su; Shim, Woo Hyun; Heo, Hwon; Woo, Chang-Yun; Park, Hyungjun; Suh, Chong Hyun</t>
  </si>
  <si>
    <t>Suh, CH (corresponding author), Univ Ulsan, Asan Med Ctr, Dept Radiol, Coll Med, 88 Olymp Ro 43-Gil, Seoul 05505, South Korea.; Suh, CH (corresponding author), Univ Ulsan, Res Inst Radiol, Asan Med Ctr, Coll Med, 88 Olymp Ro 43-Gil, Seoul 05505, South Korea.</t>
  </si>
  <si>
    <t>chonghyunsuh@amc.seoul.kr</t>
  </si>
  <si>
    <t>Asan Institute for Life Sciences, Asan Medical Center, Seoul, Korea [2025IT0007]</t>
  </si>
  <si>
    <t>Asan Institute for Life Sciences, Asan Medical Center, Seoul, Korea</t>
  </si>
  <si>
    <t>Funding Statement This research was supported by a grant (2025IT0007) from the Asan Institute for Life Sciences, Asan Medical Center, Seoul, Korea.</t>
  </si>
  <si>
    <t>[Suh, Pae Sun] Yonsei Univ, Res Inst Radiol Sci, Coll Med, Dept Radiol, Seoul, South Korea; [Suh, Pae Sun] Yonsei Univ, Ctr Clin Imaging Data Sci, Coll Med, Seoul, South Korea; [Ko, Ji Su] Sungkyunkwan Univ, Kangbuk Samsung Hosp, Dept Radiol, Sch Med, Seoul, South Korea; [Shim, Woo Hyun; Suh, Chong Hyun] Univ Ulsan, Asan Med Ctr, Dept Radiol, Coll Med, 88 Olymp Ro 43-Gil, Seoul 05505, South Korea; [Shim, Woo Hyun; Suh, Chong Hyun] Univ Ulsan, Res Inst Radiol, Asan Med Ctr, Coll Med, 88 Olymp Ro 43-Gil, Seoul 05505, South Korea; [Shim, Woo Hyun; Heo, Hwon] Univ Ulsan, Asan Med Inst Convergence Sci &amp; Technol, Asan Med Ctr, Dept Med Sci,Coll Med, Seoul, South Korea; [Woo, Chang-Yun] Univ Ulsan, Asan Med Ctr, Dept Internal Med, Coll Med, Seoul, South Korea; [Park, Hyungjun] Shihwa Med Ctr, Dept Pulmonol, Shihung, South Korea</t>
  </si>
  <si>
    <t>Yonsei University; Yonsei University Health System; Yonsei University; Yonsei University Health System; Sungkyunkwan University (SKKU); Samsung Medical Center; Samsung Kangbuk Hospital; University of Ulsan; Asan Medical Center; University of Ulsan; Asan Medical Center; University of Ulsan; Asan Medical Center; University of Ulsan; Asan Medical Center</t>
  </si>
  <si>
    <t>Evaluating the Accuracy and Diagnostic Reasoning of Multimodal Large Language Models in Interpreting Neuroradiology Cases From RadioGraphics</t>
  </si>
  <si>
    <t>KOREAN JOURNAL OF RADIOLOGY</t>
  </si>
  <si>
    <t>Large language model; Vision capability; Image interpretation; Rationale evaluation</t>
  </si>
  <si>
    <t>Suh, Pae Sun/JFJ-5780-2023; Heo, Hwon/PII-3099-2026</t>
  </si>
  <si>
    <t>KOREAN SOCIETY OF RADIOLOGY</t>
  </si>
  <si>
    <t>71, YANGJAECHEON-RO, SEOCHO-GU, SEOUL, SOUTH KOREA</t>
  </si>
  <si>
    <t>1229-6929</t>
  </si>
  <si>
    <t>2005-8330</t>
  </si>
  <si>
    <t>KOREAN J RADIOL</t>
  </si>
  <si>
    <t>Korean J. Radiol.</t>
  </si>
  <si>
    <t>214</t>
  </si>
  <si>
    <t>10.3348/kjr.2025.1045</t>
  </si>
  <si>
    <t>http://dx.doi.org/10.3348/kjr.2025.1045</t>
  </si>
  <si>
    <t>EE5BE</t>
  </si>
  <si>
    <t>41735814</t>
  </si>
  <si>
    <t>WOS:001699173100005</t>
  </si>
  <si>
    <t>Mine, Y; Okazaki, S; Taji, T; Kawaguchi, H; Kakimoto, N; Murayama, T</t>
  </si>
  <si>
    <t>Background: /purpose: Large language models (LLMs) have been studied in text based healthcare tasks, but their performance in multimodal dental applications has not yet been fully explored. This study evaluated the performance of four multimodal LLMs on dental licensing examination questions with both text-only and visually-based components. Materials and methods: Four multimodal LLMs, ChatGPT-4o (4o), OpenAI o1(o1), Claude 3.5 Sonnet (Sonnet), and Gemini 2.0 Flash Thinking Experimental (Gemini), were tested on 353 questions from the 2024 Japanese National Dental Examination, including 204 text-only and 149 visually-based questions spanning 17 dental specialties. A zero-shot approach was used without prompt engineering. Performance was analyzed using Cochran's Q test and McNemar's test with Bonferroni correction. Results: o1 achieved the highest overall correct response rate (81.9 %), followed by Sonnet (71.7 %), Gemini (66.6 %), and 4o (65.7 %). All models performed significantly better on text-only questions (79.9-92.2 %) than on visually-based questions (45.6-67.8 %). Performance varied by specialty, with highest scores in basic medical sciences (Dental pharmacology: 100 %; Oral physiology: 86.7-100 %) and lower scores in clinical specialties requiring visual interpretation (Orthodontics: 36.4-66.7 %). Taji Conclusion: Multimodal LLMs demonstrate promising performance on dental examination questions, particularly in text-based scenarios, but significant challenges remain in complex visual interpretation. The remarkable zero-shot performance of newer models such as o1 suggests potential applications in dental education and certain aspects of clinical decision support, although further advances are needed before reliable application in visually complex diagnostic workflows. &lt;feminine ordinal indicator&gt; 2025 Association for Dental Sciences of the Republic of China. Publishing services by Elsevier B.V. This is an open access article under the CC BY-NC-ND license (http://creativecommons. org/licenses/by-nc-nd/4.0/).</t>
  </si>
  <si>
    <t>Mine, Yuichi; Okazaki, Shota; Taji, Tsuyoshi; Kawaguchi, Hiroyuki; Kakimoto, Naoya; Murayama, Takeshi</t>
  </si>
  <si>
    <t>SmaSo-X Challenge Project Young Researchers Research Grant from the Graduate School of Innovation and Practice for Smart Society, Hiroshima University</t>
  </si>
  <si>
    <t>This study was partially supported by SmaSo-X Challenge Project Young Researchers Research Grant from the Graduate School of Innovation and Practice for Smart Society, Hiroshima University to Y.M.</t>
  </si>
  <si>
    <t>[Mine, Yuichi; Okazaki, Shota; Murayama, Takeshi] Hiroshima Univ, Project Res Ctr Integrating Digital Dent, Hiroshima, Japan; [Mine, Yuichi; Okazaki, Shota; Murayama, Takeshi] Hiroshima Univ, Grad Sch Biomed &amp; Hlth Sci, Dept Med Syst Engn, 1-2-3 Kasumi Minami Ku, Hiroshima 7348553, Japan; [Taji, Tsuyoshi] Hiroshima Univ, Grad Sch Biomed &amp; Hlth Sci, Dept Oral Biol &amp; Engn, Hiroshima, Japan; [Kawaguchi, Hiroyuki] Hiroshima Univ Hosp, Dept Gen Dent, Hiroshima, Japan; [Kakimoto, Naoya] Hiroshima Univ, Grad Sch Biomed &amp; Hlth Sci, Dept Oral &amp; Maxillofacial Radiol, Hiroshima, Japan</t>
  </si>
  <si>
    <t>Hiroshima University; Hiroshima University; Hiroshima University; Hiroshima University; Hiroshima University</t>
  </si>
  <si>
    <t>Benchmarking multimodal large language models on the dental licensing examination: Challenges with clinical image interpretation</t>
  </si>
  <si>
    <t>JOURNAL OF DENTAL SCIENCES</t>
  </si>
  <si>
    <t>Multimodal large language models; Image recognition; ChatGPT-4o; OpenAI o1; Claude 3.5 sonnet; Gemini 2.0 flash thinking experimental</t>
  </si>
  <si>
    <t>Mine, Yuichi/HHN-1257-2022</t>
  </si>
  <si>
    <t>ELSEVIER TAIWAN</t>
  </si>
  <si>
    <t>TAIPEI</t>
  </si>
  <si>
    <t>RM N-412, 4F, CHIA HSIN BUILDING 11, NO 96, ZHONG SHAN N ROAD SEC 2, TAIPEI, 10449, TAIWAN</t>
  </si>
  <si>
    <t>1991-7902</t>
  </si>
  <si>
    <t>2213-8862</t>
  </si>
  <si>
    <t>J DENT SCI</t>
  </si>
  <si>
    <t>J. Dental Sci.</t>
  </si>
  <si>
    <t>2427</t>
  </si>
  <si>
    <t>2435</t>
  </si>
  <si>
    <t>10.1016/j.jds.2025.03.018</t>
  </si>
  <si>
    <t>http://dx.doi.org/10.1016/j.jds.2025.03.018</t>
  </si>
  <si>
    <t>8AS1V</t>
  </si>
  <si>
    <t>41040605</t>
  </si>
  <si>
    <t>WOS:001584173700033</t>
  </si>
  <si>
    <t>Zhao, XY; Shen, Y; He, JJ; Zhou, QY; Jiang, LS; Zhou, ZR; An, FM; Zhan, Q; Sun, J; Feng, W</t>
  </si>
  <si>
    <t>BACKGROUND Ulcerative colitis (UC) is a chronic inflammatory disorder that typically affects adults aged 20-40 years and presents with hematochezia and diarrhea. Endoscopic evaluation using the Mayo Endoscopic Subscore (MES; 0-3) is standard for assessing disease severity, but grading depends heavily on endoscopist experience and is prone to interobserver variability. Recent advances in multimodal large language models (MLLMs), such as GPT and Gemini, enable automated interpretation of medical images and text, offering potential for objective and reproducible MES grading. However, their accuracy and consistency across intestinal segments remain largely untested. AIM To compare the diagnostic accuracy of five MLLMs in UC MES evaluation and to assess consistency across segments and grades. METHODS We collected 402 endoscopic images from patients with UC covering the entire colon. Three experienced experts independently graded all images according to MES criteria, and 283 images with a unanimous consensus were included as the reference standard. These images were evaluated by five MLLMs and two senior physicians under two conditions: Without segmental context and with anatomical segmental information. Model and physician performance were compared, and stratified analyses were conducted by intestinal segment and MES grade. RESULTS The diagnostic accuracies of the two inflammatory bowel disease physicians were 81.6% and 78.4%, respectively, with strong interobserver agreement (kappa = 0.692). Among the MLLMs, GPT-5 achieved the highest overall performance (F1 = 0.720) with accuracy comparable with that of physician 2 (71.7% vs 78.4%, P = 0.068). Other models exhibited significantly lower performance (all P &lt; 0.001). The sigmoid colon was the most accurately assessed region (mean F1 = 0.682), whereas the rectum and ileocecal region were the most challenging (0.447 and 0.493, respectively). The addition of segmental information improved the accuracy of lower-performing models. Both models and physicians showed the lowest accuracy for MES = 1, reflecting the subjective nature of mild disease activity. CONCLUSION This study suggested that GPT-5 holds potential for static-image-based MES grading, but performance varies and requires external validation and optimization. Future work will optimize artificial intelligence endoscopy through tuning and multimodality.</t>
  </si>
  <si>
    <t>Zhao, Xiao-Yi; Shen, Yue; He, Jun-Jie; Zhou, Qun-Yan; Jiang, Li-Sha; Zhou, Zi-Ru; An, Fang-Mei; Zhan, Qiang; Sun, Jing; Feng, Wei</t>
  </si>
  <si>
    <t>Feng, W (corresponding author), Nanjing Med Univ, Affiliated Wuxi Peoples Hosp, Dept Informat, 299 Qingyang Rd, Wuxi 214023, Jiangsu, Peoples R China.</t>
  </si>
  <si>
    <t>fengwei@njmu.edu.cn</t>
  </si>
  <si>
    <t>Program of Jiangsu Branch of the National Clinical Research Center for Digestive Diseases [JSZX202301]; Basic Research Program of Jiangsu [BK20231146]; Key Program of Wuxi Medical Center, Nanjing Medical University [WMCM202305]; Doctoral Talent Fund of Wuxi People's Hospital [BSRC202408]; Scientific Research Project of Wuxi Municipal Health Commission [M202503]</t>
  </si>
  <si>
    <t>Program of Jiangsu Branch of the National Clinical Research Center for Digestive Diseases; Basic Research Program of Jiangsu; Key Program of Wuxi Medical Center, Nanjing Medical University; Doctoral Talent Fund of Wuxi People's Hospital; Scientific Research Project of Wuxi Municipal Health Commission</t>
  </si>
  <si>
    <t>Supported by the Program of Jiangsu Branch of the National Clinical Research Center for Digestive Diseases, No. JSZX202301; Basic Research Program of Jiangsu, No. BK20231146; Key Program of Wuxi Medical Center, Nanjing Medical University, No. WMCM202305; Doctoral Talent Fund of Wuxi People's Hospital, No. BSRC202408; and Scientific Research Project of Wuxi Municipal Health Commission, No. M202503.</t>
  </si>
  <si>
    <t>[Zhao, Xiao-Yi; Shen, Yue; Zhou, Qun-Yan; Jiang, Li-Sha; Zhou, Zi-Ru; An, Fang-Mei; Zhan, Qiang; Sun, Jing] Nanjing Med Univ, Affiliated Wuxi Peoples Hosp, Dept Gastroenterol, Wuxi 214023, Jiangsu, Peoples R China; [He, Jun-Jie] Chinese Acad Sci, Inst Biophys, State Key Lab Epigenet Regulat &amp; Intervent, Beijing 100101, Peoples R China; [Feng, Wei] Nanjing Med Univ, Affiliated Wuxi Peoples Hosp, Dept Informat, 299 Qingyang Rd, Wuxi 214023, Jiangsu, Peoples R China</t>
  </si>
  <si>
    <t>Nanjing Medical University; Chinese Academy of Sciences; Institute of Biophysics, CAS; Nanjing Medical University</t>
  </si>
  <si>
    <t>Comparative evaluation of multimodal large language models for Mayo Endoscopic Subscore grading in ulcerative colitis</t>
  </si>
  <si>
    <t>Ulcerative colitis; Mayo Endoscopic Subscore; Endoscopic assessment; Artificial intelligence; Multimodal large language models; Diagnostic accuracy</t>
  </si>
  <si>
    <t>An, Fangmei/AAV-6977-2021; Feng, Wei/KHE-1366-2024</t>
  </si>
  <si>
    <t>JUN 28 2026</t>
  </si>
  <si>
    <t>118690</t>
  </si>
  <si>
    <t>10.3748/wjg.118690</t>
  </si>
  <si>
    <t>http://dx.doi.org/10.3748/wjg.118690</t>
  </si>
  <si>
    <t>KL5KU</t>
  </si>
  <si>
    <t>WOS:001809817100002</t>
  </si>
  <si>
    <t>Zhao, YZ; Wang, Q; Wang, YW; Zhao, RW; Feng, R; Zhang, XB</t>
  </si>
  <si>
    <t>Pediatric respiratory diseases are a leading cause of hospital admissions and childhood mortality worldwide, highlighting the critical need for accurate and timely diagnosis to support effective treatment and long-term care. Chest radiography remains the most widely used imaging modality for pediatric pulmonary assessment. Consequently, reliable AI-assisted diagnostic methods are essential for alleviating the workload of clinical radiologists. However, most existing deep learning-based approaches are data-driven and formulate diagnosis as a black-box image classification task, resulting in limited interpretability and reduced clinical trustworthiness. To address these challenges, we propose a trustworthy two-stage diagnostic paradigm for pediatric chest X-ray diagnosis that closely aligns with the radiological workflow in clinical practice, in which the diagnosis procedure is constrained by evidence. In the first stage, a vision-language model fine-tuned on pediatric data identifies radiological findings from chest radiographs, producing structured and interpretable diagnostic evidence. In the second stage, a multimodal large language model integrates the radiograph, extracted findings, patient demographic information, and external medical domain knowledge with RAG mechanism to generate the final diagnosis. Experiments conducted on the VinDr-PCXR dataset demonstrate that our method achieves 90.1% diagnostic accuracy, 70.9% F1-score, and 82.5% AUC, representing up to a 13.1% increase in diagnosis accuracy over the state-of-the-art baselines. These results validate the effectiveness of combining multimodal reasoning with explicit medical evidence and domain knowledge, and indicate the strong potential of the proposed approach for trustworthy pediatric radiology diagnosis.</t>
  </si>
  <si>
    <t>Zhao, Yuze; Wang, Qing; Wang, Yingwen; Zhao, Ruiwei; Feng, Rui; Zhang, Xiaobo</t>
  </si>
  <si>
    <t>Zhao, RW (corresponding author), Fudan Univ, Coll Biomed Engn, Shanghai 200433, Peoples R China.; Zhang, XB (corresponding author), Fudan Univ, Childrens Hosp, Natl Childrens Med Ctr, Shanghai 201102, Peoples R China.; Zhao, RW (corresponding author), Fudan Zhangjiang Inst, Shanghai 200120, Peoples R China.</t>
  </si>
  <si>
    <t>22211240021@m.fudan.edu.cn; yingwenwang@fudan.edu.cn; fengrui@fudan.edu.cn; zhangxiaobo0307@163.com; yzzhao23@m.fudan.edu.cn; rwzhao@fudan.edu.cn</t>
  </si>
  <si>
    <t>Noncommunicable Chronic Diseases-National Science and Technology Major Project, Research on the Pathogenesis of Pancreatic Cancer and Novel Strategies for Precision Medicine [2025ZD0552303]; Science and Technology Commission of Shanghai Municipality [24511104200]; Shanghai Municipal Commission of Economy and Informatization [2024-GZL-RGZN-01013]</t>
  </si>
  <si>
    <t>Noncommunicable Chronic Diseases-National Science and Technology Major Project, Research on the Pathogenesis of Pancreatic Cancer and Novel Strategies for Precision Medicine; Science and Technology Commission of Shanghai Municipality (Science &amp; Technology Commission of Shanghai Municipality (STCSM)); Shanghai Municipal Commission of Economy and Informatization</t>
  </si>
  <si>
    <t>This work was supported (in part) by the Science and Technology Commission of Shanghai Municipality (No.24511104200). Shanghai Municipal Commission of Economy and Informatization, Corpus Construction for Large Language Models in Pediatric Respiratory Diseases (No.2024-GZL-RGZN-01013). 2025 National Major Science and Technology Project-Noncommunicable Chronic Diseases-National Science and Technology Major Project, Research on the Pathogenesis of Pancreatic Cancer and Novel Strategies for Precision Medicine (No.2025ZD0552303).</t>
  </si>
  <si>
    <t>[Zhao, Yuze; Zhao, Ruiwei] Fudan Univ, Coll Biomed Engn, Shanghai 200433, Peoples R China; [Wang, Qing; Wang, Yingwen; Feng, Rui; Zhang, Xiaobo] Fudan Univ, Childrens Hosp, Natl Childrens Med Ctr, Shanghai 201102, Peoples R China; [Zhao, Ruiwei; Feng, Rui] Fudan Zhangjiang Inst, Shanghai 200120, Peoples R China; [Feng, Rui] Fudan Univ, Coll Comp Sci &amp; Artificial Intelligence, Shanghai Key Lab Intelligent Informat Proc, Shanghai 200433, Peoples R China</t>
  </si>
  <si>
    <t>Fudan University; Fudan University; Fudan University</t>
  </si>
  <si>
    <t>Evidence-Guided Diagnostic Reasoning for Pediatric Chest Radiology Based on Multimodal Large Language Models</t>
  </si>
  <si>
    <t>medical image diagnosis; chest X-ray; multi-modal diagnosis; multimodal large language model; pediatric disease diagnosis</t>
  </si>
  <si>
    <t>MAR 6 2026</t>
  </si>
  <si>
    <t>10.3390/jimaging12030111</t>
  </si>
  <si>
    <t>http://dx.doi.org/10.3390/jimaging12030111</t>
  </si>
  <si>
    <t>FR6CV</t>
  </si>
  <si>
    <t>41892913</t>
  </si>
  <si>
    <t>WOS:001725739200001</t>
  </si>
  <si>
    <t>Chen, MZ; Gui, YY; Luo, GB; Yang, YC</t>
  </si>
  <si>
    <t>Brain signal analysis is essential for both neuroscience research and clinical diagnostics, yet current approaches face critical limitations. End-to-end models require task-specific retraining and exhibit limited generalization, while pre-trained models lack semantic depth and still depend on extensive fine-tuning. Meanwhile, general-purpose multimodal foundation models, though powerful in other domains, struggle to interpret brain signals due to representational misalignment and lack of domain knowledge. This study introduces a Multimodal foundation modEl for zero-shoT and multI-taSk brain signal analysis (METIS) through a unified language-signal alignment framework. METIS is pretrained on the largest and most diverse brain-signal corpus to date, comprising over 70 000 h of recordings from more than 11 000 subjects across 20 datasets. In a comprehensive zero-shot evaluation across 12 datasets, METIS outperformed the leading generalist model by over 20.9% in average accuracy. Remarkably, without any fine-tuning, METIS's performance matches or exceeds that of supervised, task-specific models. Furthermore, METIS demonstrates exceptional data efficiency and strong generalization, achieving an average AUROC advantage of over 16.0% in few-shot settings and 15.9% in cross-dataset transfer. This work establishes a new paradigm for general-purpose brain signal analysis, paving the way for next-generation neurotechnology. The code is available at https://github.com/mingzhi-c/metis-brain-signal-foundation-model.</t>
  </si>
  <si>
    <t>Chen, Mingzhi; Gui, Yiyu; Luo, Guibo; Yang, Yuchao</t>
  </si>
  <si>
    <t>Luo, GB; Yang, YC (corresponding author), Peking Univ, Sch Elect &amp; Comp Engn, Shenzhen Grad Sch, New Cornerstone Sci Lab,Guangdong Prov Key Lab In, Shenzhen, Peoples R China.; Yang, YC (corresponding author), Chinese Inst Brain Res CIBR, Ctr Brain Inspired Intelligence, Beijing, Peoples R China.; Yang, YC (corresponding author), Peking Univ, Beijing Adv Innovat Ctr Integrated Circuits, Sch Integrated Circuits, New Cornerstone Sci Lab, Beijing, Peoples R China.</t>
  </si>
  <si>
    <t>luogb@pku.edu.cn; yuchaoyang@pku.edu.cn</t>
  </si>
  <si>
    <t>Shenzhen Science and Technology Program [JCYJ2024120212590701]</t>
  </si>
  <si>
    <t>Shenzhen Science and Technology Program (Shenzhen Science and Technology Program)</t>
  </si>
  <si>
    <t>This work was supported by the Shenzhen Science and Technology Program (JCYJ20241202125907011).</t>
  </si>
  <si>
    <t>[Chen, Mingzhi; Gui, Yiyu; Luo, Guibo; Yang, Yuchao] Peking Univ, Sch Elect &amp; Comp Engn, Shenzhen Grad Sch, New Cornerstone Sci Lab,Guangdong Prov Key Lab In, Shenzhen, Peoples R China; [Yang, Yuchao] Chinese Inst Brain Res CIBR, Ctr Brain Inspired Intelligence, Beijing, Peoples R China; [Yang, Yuchao] Peking Univ, Beijing Adv Innovat Ctr Integrated Circuits, Sch Integrated Circuits, New Cornerstone Sci Lab, Beijing, Peoples R China</t>
  </si>
  <si>
    <t>Peking University; Chinese Institute for Brain Research, Beijing; Peking University</t>
  </si>
  <si>
    <t>A Language-Guided Multimodal Foundation Model for Zero-Shot and Multi-Task Brain Signal Analysis</t>
  </si>
  <si>
    <t>brain signal analysis; foundation models; language-signal alignment; zero-shot learning</t>
  </si>
  <si>
    <t>SLEEP</t>
  </si>
  <si>
    <t>10.1002/aisy.70486</t>
  </si>
  <si>
    <t>http://dx.doi.org/10.1002/aisy.70486</t>
  </si>
  <si>
    <t>LM7EJ</t>
  </si>
  <si>
    <t>WOS:001828246100001</t>
  </si>
  <si>
    <t>Cuadra, A; Breuch, J; Estrada, S; Ihim, D; Hung, I; Askaryar, D; Hassanien, M; Fessele, KL; Landay, JA</t>
  </si>
  <si>
    <t>Digital forms help us access services and opportunities, but they are not equally accessible to everyone, such as older adults or those with sensory impairments. Large language models (LLMs) and multimodal interfaces offer a unique opportunity to increase form accessibility. Informed by prior literature and needfinding, we built a holistic multimodal LLM agent for health data entry. We describe the process of designing and building our system, and the results of a study with older adults (N =10). All participants, regardless of age or disability status, were able to complete a standard 47-question form independently using our system-one blind participant said it was "a prayer answered." Our video analysis revealed how different modalities provided alternative interaction paths in complementary ways (e.g., the buttons helped resolve transcription errors and speech helped provide more options when the pre-canned answer choices were insufficient). We highlight key design guidelines, such as designing systems that dynamically adapt to individual needs.</t>
  </si>
  <si>
    <t>Cuadra, Andrea; Breuch, Justine; Estrada, Samantha; Ihim, David; Hung, Isabelle; Askaryar, Derek; Hassanien, Marwan; Fessele, Kristen L.; Landay, James A.</t>
  </si>
  <si>
    <t>Cuadra, A (corresponding author), Stanford Univ, Stanford, CA 94305 USA.</t>
  </si>
  <si>
    <t>Stanford HAI and a Memorial Sloan Kettering Cancer Center Support Grant/Core Grant [P30 CA008748]; National Cancer Institute, and through the Gordon and Betty Moore Foundation [GBMF9048]; Stanford PRISM Baker Postdoctoral Fellowship</t>
  </si>
  <si>
    <t>Stanford HAI and a Memorial Sloan Kettering Cancer Center Support Grant/Core Grant; National Cancer Institute, and through the Gordon and Betty Moore Foundation; Stanford PRISM Baker Postdoctoral Fellowship</t>
  </si>
  <si>
    <t>We would like to thank our previous collaborators, especially Professor Deborah Estrin and Dr. Armin Shahrokni, for their contributions establishing and developing the ideas that this work is built on. We would additionally like to thank Professor Monica Lam and Shicheng (George) Liu from the Stanford Open Virtual Assistant Lab for their support with systematically prompting GPT-4. Thanks to Kimi Wenzel and Professor Geoff Kaufman for sharing their questionnaires with us, and for taking time to talk to us about our work. Thanks to Professor Shiela Strauss for her support computing IRR. Thanks to our colleagues in the Interaction Design and Hybrid Digital Physical Spaces groups at Stanford for their feedback throughout the development of our system, in particular to Jackie Yang, Matt Jorke, and Alan Cheng. Finally, thanks to our participants! This work was supported in part by Stanford HAI and a Memorial Sloan Kettering Cancer Center Support Grant/Core Grant (Grant No. P30 CA008748) through funding from the National Cancer Institute, and through the Gordon and Betty Moore Foundation, Grant GBMF9048 to Dr. Fessele. Dr. Andrea Cuadra was additionally supported by a Stanford PRISM Baker Postdoctoral Fellowship.</t>
  </si>
  <si>
    <t>[Cuadra, Andrea; Breuch, Justine; Estrada, Samantha; Ihim, David; Askaryar, Derek; Hassanien, Marwan; Landay, James A.] Stanford Univ, Stanford, CA 94305 USA; [Hung, Isabelle] Monta Vista High Sch, Cupertino, CA USA; [Fessele, Kristen L.] Mem Sloan Kettering Canc Ctr, New York, NY USA</t>
  </si>
  <si>
    <t>Stanford University; Memorial Sloan Kettering Cancer Center</t>
  </si>
  <si>
    <t>Digital Forms for All: A Holistic Multimodal Large Language Model Agent for Health Data Entry</t>
  </si>
  <si>
    <t>Accessibility; Health - Clinical; Input Techniques; Text/Speech/Language; User Experience Design; Older Adults; Mobile Devices: Phones/Tablets; Artifact or System; Field Study; Interaction Design; Prototyping/Implementation; Qualitative Methods</t>
  </si>
  <si>
    <t>GERIATRIC ASSESSMENT; INSTRUMENTAL ACTIVITIES; RELIABILITY; SCALE</t>
  </si>
  <si>
    <t>Fessele, Kristen/AAQ-2176-2020</t>
  </si>
  <si>
    <t>Landay, James/0000-0003-1520-8894; Fessele, Kristen/0000-0003-2336-6841; Askaryar, Derek/0009-0002-7649-4687; Breuch, Justine/0009-0000-7792-9510; Cuadra, Andrea/0000-0002-1845-0240; Hung, Isabelle/0009-0006-2952-8580; Estrada, Samantha/0009-0003-1184-1075; Hassanien, Marwan/0009-0000-2562-8302</t>
  </si>
  <si>
    <t>10.1145/3659624</t>
  </si>
  <si>
    <t>http://dx.doi.org/10.1145/3659624</t>
  </si>
  <si>
    <t>RR2F4</t>
  </si>
  <si>
    <t>WOS:001229316000031</t>
  </si>
  <si>
    <t>Patel, A; Vallamchetla, SK; Safa, A; Tatit, C; Bestic, O; Knox, AK; Roberts, M; Tatum, WO; Freund, B</t>
  </si>
  <si>
    <t>Differentiating epileptic from functional seizures is a clinical challenge; while smartphone videos can aid diagnosis, they often require expert review, causing delays. We evaluated the accuracy of four successive multimodal large language models (LLMs), Gemini 1.5 Pro, 2.0 Flash, 2.5 Flash, and 2.5 Pro, in differentiating seizure types from smartphone videos without clinical context. In this prospective diagnostic study at a tertiary epilepsy center, 24 videos from 15 patients were analyzed, with video-electroencephalography monitoring as the gold standard. Of the 24 events (19 epileptic, 5 functional), diagnostic accuracy improved with successive models: Gemini 1.5 Pro (33.3%), Gemini 2.0 Flash (25.0%), and both Gemini 2.5 Flash and Pro (54.2%). In exploratory pairwise comparisons, Gemini 2.5 pro showed higher accuracy than Gemini 1.5 Pro (p = 0.01) and Gemini 2.0 Flash (p = 0.003). Performance was influenced by video features; for example, diagnosis was more accurate for the Gemini 2.5 models when videos focused on the upper body/face (80.0%-90.0%) compared to a whole-body view (28.6%-35.7%). All models reported high confidence scores (median 8.0-9.0) that were poorly aligned and did not correlate with correctness. Successive LLMs show improved yet modest accuracy for seizure classification from video alone, highlighting the need for domain-specific fine-tuning before clinical implementation.</t>
  </si>
  <si>
    <t>Patel, Anshum; Vallamchetla, Sai Krishna; Safa, Adrian; Tatit, Caroline; Bestic, Olivia; Knox, Alicia Kissinger; Roberts, Mark; Tatum, William O.; Freund, Brin</t>
  </si>
  <si>
    <t>Freund, B (corresponding author), Mayo Clin, Dept Neurol, 4500 Mellish Dr, Jacksonville, FL 32224 USA.</t>
  </si>
  <si>
    <t>Freund.Brin@mayo.edu</t>
  </si>
  <si>
    <t>[Patel, Anshum; Vallamchetla, Sai Krishna; Safa, Adrian; Tatit, Caroline; Bestic, Olivia; Knox, Alicia Kissinger; Tatum, William O.; Freund, Brin] Mayo Clin, Dept Neurol, 4500 Mellish Dr, Jacksonville, FL 32224 USA; [Roberts, Mark] Mayo Clin, Dept Informat Technol, Rochester, MN USA</t>
  </si>
  <si>
    <t>Mayo Clinic; Mayo Clinic</t>
  </si>
  <si>
    <t>Diagnostic accuracy of multimodal large language models in differentiating epileptic from functional seizures in smartphone recorded videos</t>
  </si>
  <si>
    <t>Large language models (LLMs); Artificial intelligence; Epilepsy; Seizure classification; Diagnostic accuracy; Clinical decision support</t>
  </si>
  <si>
    <t>Vallamchetla, Sai Krishna/OYE-6494-2025</t>
  </si>
  <si>
    <t>P. Tatit, Caroline/0000-0002-3213-5167</t>
  </si>
  <si>
    <t>APR 7 2026</t>
  </si>
  <si>
    <t>11719</t>
  </si>
  <si>
    <t>10.1038/s41598-026-46333-z</t>
  </si>
  <si>
    <t>http://dx.doi.org/10.1038/s41598-026-46333-z</t>
  </si>
  <si>
    <t>GG9VO</t>
  </si>
  <si>
    <t>41946796</t>
  </si>
  <si>
    <t>WOS:001736167900017</t>
  </si>
  <si>
    <t>Wolber, JC; Samadi, ME; Sellin, J; Schuppert, A</t>
  </si>
  <si>
    <t>Introduction: Management of type 1 Diabetes remains a significant challenge as blood glucose levels can fluctuate dramatically and are highly individual. We introduce an innovative approach that combines multimodal Large Language models (mLLMs), mechanistic modeling of individual glucose metabolism and machine learning (ML) for forecasting blood glucose levels. Methods: This study uses the D1NAMO dataset (6 patients with meal images) to demonstrate mLLM integration for glucose prediction. An mLLM (Pixtral Large) was employed to estimate macronutrients from meal images, providing automated meal analysis without manual food logging. We compare three distinct approaches: (1) Baseline using only glucose dynamics and basic insulin features, (2) LastMeal providing additional information about the last meal ingested by the patient, and (3) B &amp; eacute;zier incorporating mechanistically modeled temporal features using optimized cubic B &amp; eacute;zier curves to model temporal impacts of individual macronutrients on blood glucose. The modeled feature impacts served as input features for a LightGBM model. We also validate the mechanistic modeling component on the AZT1D dataset (24 patients with structured carbohydrate and correction insulin logs). Results: The B &amp; eacute;zier approach achieved the best performance across both datasets: D1NAMO RMSE of 15.06 at 30 min and 28.15 at 60 min; AZT1D RMSE of 16.61 at 30 min and 24.58 at 60 min. One-way ANOVA revealed statistically significant differences across prediction horizons of 45 to 120 min for the AZT1D dataset. Patient-specific B &amp; eacute;zier curves revealed distinct metabolic response patterns: simple sugars peaked at 0.74 h, complex sugars at 3.07 h, and proteins at 4.36 h post-ingestion. Feature importance analysis showed temporal evolution from glucose change dominance to macronutrient prominence at longer horizons. Patient-specific modeling uncovered individual metabolic signatures with varying nutritional sensitivity and circadian influences. Conclusion: This study demonstrates the potential of combining mLLMs with mechanistic modeling for personalized diabetes management. The optimized B &amp; eacute;zier curve approach provides superior temporal mapping while patient-specific models reveal individual metabolic signatures essential for personalized care.</t>
  </si>
  <si>
    <t>Wolber, J. C.; Samadi, M. E.; Sellin, J.; Schuppert, A.</t>
  </si>
  <si>
    <t>Wolber, JC; Sellin, J (corresponding author), Rhein Westfal TH Aachen, Inst Digitalizat &amp; Gen Med, Med Fac, Pauwelsstr 30, D-52074 Aachen, Germany.; Wolber, JC; Schuppert, A (corresponding author), Rhein Westfal TH Aachen, Inst Computat Biomed, Med Fac, Pauwelsstr 30, D-52074 Aachen, Germany.</t>
  </si>
  <si>
    <t>jsellin@ukaachen.de; aschuppert@ukaachen.de; msamadieinol@ukaachen.de; jwolber@ukaachen.de</t>
  </si>
  <si>
    <t>Interdisciplinary Center for Clinical Research (IZKF) , Germany within the faculty of Medicine at the RWTH Aachen University</t>
  </si>
  <si>
    <t>This work was supported by a grant from the Interdisciplinary Center for Clinical Research (IZKF) , Germany within the faculty of Medicine at the RWTH Aachen University.</t>
  </si>
  <si>
    <t>[Wolber, J. C.; Sellin, J.] Rhein Westfal TH Aachen, Inst Digitalizat &amp; Gen Med, Med Fac, Pauwelsstr 30, D-52074 Aachen, Germany; [Wolber, J. C.; Samadi, M. E.; Schuppert, A.] Rhein Westfal TH Aachen, Inst Computat Biomed, Med Fac, Pauwelsstr 30, D-52074 Aachen, Germany; [Sellin, J.] Rhein Westfal TH Aachen, Med Fac, Ctr Rare Dis Aachen, Pauwelsstr 30, D-52074 Aachen, Germany</t>
  </si>
  <si>
    <t>RWTH Aachen University; RWTH Aachen University; RWTH Aachen University</t>
  </si>
  <si>
    <t>Multimodal large language models and mechanistic modeling for glucose forecasting in type 1 diabetes patients</t>
  </si>
  <si>
    <t>Type 1 diabetes; Health monitoring; Large language models; Multimodality; Machine learning; Mechanistic modeling</t>
  </si>
  <si>
    <t>GLYCEMIC INDEX; PREDICTION; METABOLISM; RESPONSES; PROTEIN; FAT</t>
  </si>
  <si>
    <t>E. Samadi, Moein/0000-0002-3916-1085; Schuppert, Andreas/0000-0003-3783-6605; Wolber, Jonas/0009-0005-3385-5528</t>
  </si>
  <si>
    <t>104945</t>
  </si>
  <si>
    <t>10.1016/j.jbi.2025.104945</t>
  </si>
  <si>
    <t>http://dx.doi.org/10.1016/j.jbi.2025.104945</t>
  </si>
  <si>
    <t>9OQ3V</t>
  </si>
  <si>
    <t>41177244</t>
  </si>
  <si>
    <t>WOS:001611346000001</t>
  </si>
  <si>
    <t>Haupt, M; Weiss, D; Bellersen, T; Maurer, MH</t>
  </si>
  <si>
    <t>Multimodal large language models (LLMs) that process text and images are increasingly discussed for medical imaging, yet their diagnostic performance on radiographs remains poorly characterized. We evaluated three commercially available multimodal LLMs (GPT-4o, Claude 3.5 Sonnet, Gemini 1.5 Pro) in a strict zero-shot setting for pediatric wrist fracture detection and compared them with a domain-trained Inception v3 convolutional neural network (CNN) on the same GRAZPEDWRI-DX dataset. We constructed a balanced patient-level test cohort of 1,000 children (2,298 radiographs; 500 fracture, 500 non-fracture). The CNN achieved high diagnostic performance (AUROC 0.905, AUPRC 0.920), whereas all LLMs performed close to chance (accuracies &lt; 0.55, Matthews correlation coefficients approximate to 0) and produced bounding boxes often inconsistent with expert annotations. These findings indicate that, in a strict zero-shot setting, the three commercial multimodal LLMs evaluated here lack reliable diagnostic ability for pediatric wrist fracture detection and should therefore be regarded as exploratory research tools rather than clinically dependable systems for pediatric radiograph interpretation.</t>
  </si>
  <si>
    <t>Haupt, Matteo; Weiss, David; Bellersen, Tim; Maurer, Martin H.</t>
  </si>
  <si>
    <t>Haupt, M (corresponding author), Carl Von Ossietzky Univ Oldenburg, Dept Diagnost &amp; Intervent Radiol, Oldenburg, Germany.</t>
  </si>
  <si>
    <t>Carl von Ossietzky Universitt Oldenburg (3092)</t>
  </si>
  <si>
    <t>[Haupt, Matteo; Weiss, David; Bellersen, Tim; Maurer, Martin H.] Carl Von Ossietzky Univ Oldenburg, Dept Diagnost &amp; Intervent Radiol, Oldenburg, Germany</t>
  </si>
  <si>
    <t>Zero-shot multimodal large language models underperform a domain-trained CNN baseline in pediatric wrist fracture detection</t>
  </si>
  <si>
    <t>JUN 17 2026</t>
  </si>
  <si>
    <t>18873</t>
  </si>
  <si>
    <t>10.1038/s41598-026-58763-w</t>
  </si>
  <si>
    <t>http://dx.doi.org/10.1038/s41598-026-58763-w</t>
  </si>
  <si>
    <t>JS2YV</t>
  </si>
  <si>
    <t>42310365</t>
  </si>
  <si>
    <t>WOS:001796772800006</t>
  </si>
  <si>
    <t>Mine, Y; Iwamoto, Y; Okazaki, S; Nishimura, T; Tabata, E; Takeda, S; Peng, TY; Nomura, R; Kakimoto, N; Murayama, T</t>
  </si>
  <si>
    <t>Background Multimodal large language models (LLMs) have potential for medical image analysis, yet their reliability for pediatric panoramic radiographs remains uncertain.Aim This study evaluated two multimodal LLMs (OpenAI o1, Claude 3.5 Sonnet) for detecting and counting teeth (including tooth germs) on pediatric panoramic radiographs.Design Eighty-seven pediatric panoramic radiographs from an open-source data set were analyzed. Two pediatric dentists annotated the presence or absence of each potential tooth position. Each image was processed five times by the LLMs using identical prompts, and the results were compared with the expert annotations. Standard performance metrics and Fleiss' kappa were calculated.Results Detailed examination revealed that subtle developmental stages and minor tooth loss were consistently misidentified. Claude 3.5 Sonnet had higher sensitivity but significantly lower specificity (29.8% +/- 21.5%), resulting in many false positives. OpenAI o1 demonstrated superior specificity compared to Claude 3.5 Sonnet, but still failed to correctly detect subtle defects in certain mixed dentition cases. Both models showed large variability in repeated runs.Conclusion Both LLMs failed to achieve clinically acceptable performance and cannot reliably identify nuanced discrepancies critical for pediatric dentistry. Further refinements and consistency improvements are essential before routine clinical use.</t>
  </si>
  <si>
    <t>Mine, Yuichi; Iwamoto, Yuko; Okazaki, Shota; Nishimura, Taku; Tabata, Eimi; Takeda, Saori; Peng, Tzu-Yu; Nomura, Ryota; Kakimoto, Naoya; Murayama, Takeshi</t>
  </si>
  <si>
    <t>Mine, Y (corresponding author), Hiroshima Univ, Project Res Ctr Integrating Digital Dent, Hiroshima, Japan.; Mine, Y (corresponding author), Hiroshima Univ, Grad Sch Biomed &amp; Hlth Sci, Dept Med Syst Engn, Hiroshima, Japan.</t>
  </si>
  <si>
    <t>[Mine, Yuichi; Okazaki, Shota; Murayama, Takeshi] Hiroshima Univ, Project Res Ctr Integrating Digital Dent, Hiroshima, Japan; [Mine, Yuichi; Okazaki, Shota; Nishimura, Taku; Tabata, Eimi; Takeda, Saori; Murayama, Takeshi] Hiroshima Univ, Grad Sch Biomed &amp; Hlth Sci, Dept Med Syst Engn, Hiroshima, Japan; [Iwamoto, Yuko; Nishimura, Taku; Tabata, Eimi; Nomura, Ryota] Hiroshima Univ, Grad Sch Biomed &amp; Hlth Sci, Dept Pediat Dent, Hiroshima, Japan; [Peng, Tzu-Yu] Taipei Med Univ, Coll Oral Med, Sch Dent, Taipei, Taiwan; [Kakimoto, Naoya] Hiroshima Univ, Grad Sch Biomed &amp; Hlth Sci, Dept Oral &amp; Maxillofacial Radiol, Hiroshima, Japan</t>
  </si>
  <si>
    <t>Challenges and Limitations of Multimodal Large Language Models in Interpreting Pediatric Panoramic Radiographs</t>
  </si>
  <si>
    <t>INTERNATIONAL JOURNAL OF PAEDIATRIC DENTISTRY</t>
  </si>
  <si>
    <t>artificial intelligence; multimodal large language models; panoramic radiograph; pediatric patients</t>
  </si>
  <si>
    <t>Mine, Yuichi/0000-0002-7057-1955; Iwamoto, Yuko/0000-0002-9387-7746</t>
  </si>
  <si>
    <t>0960-7439</t>
  </si>
  <si>
    <t>1365-263X</t>
  </si>
  <si>
    <t>INT J PAEDIATR DENT</t>
  </si>
  <si>
    <t>Int. J. Paediatr. Dent.</t>
  </si>
  <si>
    <t>10.1111/ipd.70029</t>
  </si>
  <si>
    <t>http://dx.doi.org/10.1111/ipd.70029</t>
  </si>
  <si>
    <t>Dentistry, Oral Surgery &amp; Medicine; Pediatrics</t>
  </si>
  <si>
    <t>DG2JH</t>
  </si>
  <si>
    <t>40958411</t>
  </si>
  <si>
    <t>WOS:001572094000001</t>
  </si>
  <si>
    <t>Kim, C; Cho, S; Yoon, JH</t>
  </si>
  <si>
    <t>Objectives: Large language models (LLMs) are increasingly used in clinical practice, but their performance can deteriorate when radiology reports are incomplete. We evaluated whether multimodal LLMs (integrating text and images) could enhance accuracy and interpretability in chest radiography reports, thereby improving their utility for clinical decision support. Specifically, we aimed to assess the robustness of LLMs in generating accurate impressions from chest radiography reports when provided with incomplete data, and whether multimodal input could mitigate performance loss. Methods: We analyzed 300 radiology image-report pairs from the MIMIC-CXR database. Three LLMs-OpenFlamingo, MedFlamingo, IDEFICS-were tested in text-only and multimodal formats. Chest X-ray impressions were generated from complete text reports and then regenerated after systematically removing 20%, 50%, and 80% of the text. The effect of adding images was evaluated using chest X-rays, and model performance was compared using three statistical methods. Hallucination rates were quantified. Results: In the text-only setting, OpenFlamingo, MedFlamingo, and IDEFICS demonstrated comparable performance (ROUGE-L: 0.23 vs. 0.21 vs. 0.21; F1RadGraph: 0.20 vs. 0.16 vs. 0.16; F1CheXbert: 0.49 vs. 0.41 vs. 0.41), with OpenFlamingo performing best on complete text (p &lt; 0.001). All models exhibited performance decline with incomplete data. However, multimodal input significantly improved the performance of MedFlamingo and IDEFICS (p &lt; 0.001), equaling or surpassing OpenFlamingo even under incomplete text conditions. Regarding hallucination, MedFlamingo showed a lower false-negative rate in multimodal compared with unimodal use, while false-positive rates were similar. Conclusions: LLMs may produce suboptimal outputs when radiology data are incomplete, but multimodal LLMs enhance reliability and may strengthen clinical decision-making support.</t>
  </si>
  <si>
    <t>Kim, Choonghan; Cho, Seonhee; Yoon, Joo Heung</t>
  </si>
  <si>
    <t>Yoon, JH (corresponding author), UPMC Montefiore, Dept Med, Div Pulm Allergy &amp; Crit Care Med, NW628,3459 Fifth Ave, Pittsburgh, PA 15213 USA.</t>
  </si>
  <si>
    <t>yoonjh@upmc.edu</t>
  </si>
  <si>
    <t>National Institute of Health of the United States [NIH R35GM159939, NIH K23GM138984]; Korea Health Industry Development Institute [RS-2024-00439677]; Institute of Information &amp; communications Technology Planning &amp; Evaluation (IITP) grant - Korea government (MSIT) [RS-2022-00143911]</t>
  </si>
  <si>
    <t>National Institute of Health of the United States; Korea Health Industry Development Institute; Institute of Information &amp; communications Technology Planning &amp; Evaluation (IITP) grant - Korea government (MSIT)</t>
  </si>
  <si>
    <t>This study was supported by the National Institute of Health (Grant No. NIH R35GM159939, NIH K23GM138984) , of the United States, and the Korea Health Industry Development Institute (No. RS-2024-00439677) to Joo Heung Yoon.This study was also supported by Institute of Information &amp; communications Technology Planning &amp; Evaluation (IITP) grant funded by the Korea government (MSIT) (RS-2022-00143911, AI Excellence Global Innovative Leader Education Program.</t>
  </si>
  <si>
    <t>[Kim, Choonghan; Cho, Seonhee] Korea Adv Inst Sci &amp; Technol KAIST, Kim Jaechul Grad Sch AI, Daejeon, South Korea; [Yoon, Joo Heung] Univ Pittsburgh, Dept Med, Div Pulm Allergy Crit Care &amp; Sleep Med, Pittsburgh, PA USA</t>
  </si>
  <si>
    <t>Korea Advanced Institute of Science &amp; Technology (KAIST); Pennsylvania Commonwealth System of Higher Education (PCSHE); University of Pittsburgh</t>
  </si>
  <si>
    <t>Utility of Multimodal Large Language Models in Analyzing Chest X-Rays with Incomplete Contextual Information</t>
  </si>
  <si>
    <t>HEALTHCARE INFORMATICS RESEARCH</t>
  </si>
  <si>
    <t>Large Language Models; Information Integration; Semantics; Radiography; Clinical Decision Support Systems</t>
  </si>
  <si>
    <t>ERROR</t>
  </si>
  <si>
    <t>Yoon, Joo Heung/ABE-1612-2022</t>
  </si>
  <si>
    <t>Yoon, Joo Heung/0000-0002-0127-8384</t>
  </si>
  <si>
    <t>KOREAN SOC MEDICAL INFORMATICS</t>
  </si>
  <si>
    <t>1618 KYUNGHEEGUNG ACHIM BLDG 3, 72 NAESOO-DONG CHONGRO-KU, SEOUL, 110-872, SOUTH KOREA</t>
  </si>
  <si>
    <t>2093-3681</t>
  </si>
  <si>
    <t>2093-369X</t>
  </si>
  <si>
    <t>HEALTHC INFORM RES</t>
  </si>
  <si>
    <t>Healthc. Inform. Res.</t>
  </si>
  <si>
    <t>416</t>
  </si>
  <si>
    <t>425</t>
  </si>
  <si>
    <t>10.4258/hir.2025.31.4.416</t>
  </si>
  <si>
    <t>http://dx.doi.org/10.4258/hir.2025.31.4.416</t>
  </si>
  <si>
    <t>C2126</t>
  </si>
  <si>
    <t>41265427</t>
  </si>
  <si>
    <t>WOS:001620298200010</t>
  </si>
  <si>
    <t>Le Guellec, B; Bruge, C; Chalhoub, N; Chaton, V; De Sousa, E; Gaillandre, Y; Hanafi, R; Masy, M; Vannod-Michel, Q; Hamroun, A; Kuchcinski, G</t>
  </si>
  <si>
    <t>Purpose: The purpose of this study was to compare the ability of two multimodal models (GPT-4o and Gemini 1.5 Pro) with that of radiologists to generate differential diagnoses from textual context alone, key images alone, or a combination of both using complex neuroradiology cases. Materials and methods: This retrospective study included neuroradiology cases from the "Diagnosis Please" series published in the Radiologyjournal between January 2008 and September 2024. The two multimodal models were asked to provide three differential diagnoses from textual context alone, key images alone, or the complete case. Six board-certified neuroradiologists solved the cases in the same setting, randomly assigned to two groups: context alone first and images alone first. Three radiologists solved the cases without, and then with the assistance of Gemini 1.5 Pro. An independent radiologist evaluated the quality of the image descriptions provided by GPT-4o and Gemini for each case. Differences in correct answers between multimodal models and radiologists were analyzed using McNemar test. Results: GPT-4o and Gemini 1.5 Pro outperformed radiologists using clinical context alone (mean accuracy, 34.0 % [18/53] and 44.7 % [23.7/53] vs. 16.4 % [8.7/53]; both P &lt; 0.01). Radiologists outperformed GPT-4o and Gemini 1.5 Pro using images alone (mean accuracy, 42.0 % [22.3/53] vs. 3.8 % [2/53], and 7.5 % [4/53]; both P &lt;0.01) and the complete cases (48.0 % [25.6/53] vs. 34.0 % [18/53], and 38.7 % [20.3/53]; both P &lt; 0.001). While radiologists improved their accuracy when combining multimodal information (from 42.1 % [22.3/53] for images alone to 50.3 % [26.7/53] for complete cases; P &lt; 0.01), GPT-4o and Gemini 1.5 Pro did not benefit from the multimodal context (from 34.0 % [18/53] for text alone to 35.2 % [18.7/53] for complete cases for GPT-4o; P = 0.48, and from 44.7 % [23.7/53] to 42.8 % [22.7/53] for Gemini 1.5 Pro; P = 0.54). Radiologists benefited significantly from the suggestion of Gemini 1.5 Pro, increasing their accuracy from 47.2 % [25/53] to 56.0 % [27/53] (P &lt; 0.01). Both GPT-4o and Gemini 1.5 Pro correctly identified the imaging modality in 53/53 (100 %) and 51/53 (96.2 %) cases, respectively, but frequently failed to identify key imaging findings (43/53 cases [81.1 %] with incorrect identification of key imaging findings for GPT-4o and 50/53 [94.3 %] for Gemini 1.5). Conclusion: Radiologists show a specific ability to benefit from the integration of textual and visual information, whereas multimodal models mostly rely on the clinical context to suggest diagnoses.</t>
  </si>
  <si>
    <t>Le Guellec, Bastien; Bruge, Cyril; Chalhoub, Najib; Chaton, Victor; De Sousa, Edouard; Gaillandre, Yann; Hanafi, Riyad; Masy, Matthieu; Vannod-Michel, Quentin; Hamroun, Aghiles; Kuchcinski, Gregory</t>
  </si>
  <si>
    <t>Le Guellec, B (corresponding author), CHU Lille, Salengro Hosp, Dept Neuroradiol, F-59000 Lille, France.; Le Guellec, B (corresponding author), Univ Lille, CHU Lille, RID AGE Facteurs Risque &amp; Determinants Mol Malad L, Inst Pasteur Lille,INSERM,U1167, F-59000 Lille, France.; Le Guellec, B (corresponding author), Univ Lille, INSERM, U1172, LilNCog Lille Neurosci &amp; Cognit, F-59000 Lille, France.</t>
  </si>
  <si>
    <t>bastien.leguellec@chu-lille.fr</t>
  </si>
  <si>
    <t>[Le Guellec, Bastien; Chalhoub, Najib; De Sousa, Edouard; Gaillandre, Yann; Hanafi, Riyad; Vannod-Michel, Quentin; Kuchcinski, Gregory] CHU Lille, Salengro Hosp, Dept Neuroradiol, F-59000 Lille, France; [Le Guellec, Bastien; Hamroun, Aghiles] Univ Lille, CHU Lille, RID AGE Facteurs Risque &amp; Determinants Mol Malad L, Inst Pasteur Lille,INSERM,U1167, F-59000 Lille, France; [Le Guellec, Bastien; Kuchcinski, Gregory] Univ Lille, INSERM, U1172, LilNCog Lille Neurosci &amp; Cognit, F-59000 Lille, France; [Bruge, Cyril] Lens Hosp, Dept Radiol, F-62300 Lens, France; [Chaton, Victor] St Philibert Hosp, Dept Neuroradiol, F-59160 Lille, France; [Masy, Matthieu] Valenciennes Hosp, Dept Neuroradiol, F-59300 Valenciennes, France; [Hamroun, Aghiles] CHU Lille, Publ Hlth Epidemiol Dept, Maison Reg Rech Clin, F-59000 Lille, France</t>
  </si>
  <si>
    <t>Universite de Lille; CHU Lille; Universite de Lille; Pasteur Network; Institut National de la Sante et de la Recherche Medicale (Inserm); CHU Lille; Institut Pasteur Lille; Institut National de la Sante et de la Recherche Medicale (Inserm); Universite de Lille; CH de Valenciennes; Universite de Lille; CHU Lille</t>
  </si>
  <si>
    <t>ARIANES Investigators</t>
  </si>
  <si>
    <t>Comparison between multimodal foundation models and radiologists for the diagnosis of challenging neuroradiology cases with text and images</t>
  </si>
  <si>
    <t>DIAGNOSTIC AND INTERVENTIONAL IMAGING</t>
  </si>
  <si>
    <t>Artificial intelligence; ChatGPT; Gemini; Large language models; Multimodal models</t>
  </si>
  <si>
    <t>/AAI-9605-2020</t>
  </si>
  <si>
    <t>VANNOD-MICHEL, Quentin/0000-0003-3596-3379</t>
  </si>
  <si>
    <t>ELSEVIER MASSON, CORP OFF</t>
  </si>
  <si>
    <t>PARIS</t>
  </si>
  <si>
    <t>65 CAMILLE DESMOULINS CS50083 ISSY-LES-MOULINEAUX, 92442 PARIS, FRANCE</t>
  </si>
  <si>
    <t>2211-5684</t>
  </si>
  <si>
    <t>DIAGN INTERV IMAG</t>
  </si>
  <si>
    <t>Diagn. Interv. Imaging</t>
  </si>
  <si>
    <t>345</t>
  </si>
  <si>
    <t>352</t>
  </si>
  <si>
    <t>10.1016/j.diii.2025.04.006</t>
  </si>
  <si>
    <t>http://dx.doi.org/10.1016/j.diii.2025.04.006</t>
  </si>
  <si>
    <t>8MO6P</t>
  </si>
  <si>
    <t>40348653</t>
  </si>
  <si>
    <t>WOS:001592245600004</t>
  </si>
  <si>
    <t>Theocharidou, CC; Tsinaris, Z; Karachristos, C; Theocharidou, A; Kourtidis, M; Papadopoulou, K; Peristeri, AM; Astreinidis, A; Simichanidou, A; Giannaki, C; Tzimou, M; Kaimakamis, E; Voutsas, V; Soulountsi, V; Lavrentieva, A</t>
  </si>
  <si>
    <t>Background: Chest radiography remains central to post-procedural assessment of central venous catheter (CVC) placement in intensive care units. Multimodal large language models (MLLMs) can process medical images, but their reliability for practical radiography tasks remains uncertain. This study assessed the diagnostic performance of MLLMs and intensivists for CVC access classification, CVC tip assessment, and pneumothorax-related radiographic findings. Methods: In this retrospective diagnostic performance study, consecutive portable anteroposterior chest radiographs obtained after CVC placement in adult critically ill patients were independently evaluated by four intensivists and five MLLMs. A radiologist consensus served as the reference standard. Interobserver agreement and diagnostic performance were assessed using Fleiss' kappa, Gwet AC1, Cohen's kappa, accuracy, sensitivity, specificity, precision, F1 score, balanced accuracy, and Matthews correlation coefficient. Results: The final cohort included 183 unique radiographs. Intensivist reviewers showed high performance for CVC access classification but lower and more heterogeneous performance for CVC tip-position assessment. Among MLLMs, CVC access accuracy ranged from 0.339 to 0.874, whereas CVC tip assessment was dominated by almost universal classification of tips as appropriate, with near-zero specificity and chance-level balanced accuracy. For pneumothorax-related findings, all MLLMs classified every case as negative. Intensivist reviewers had higher balanced accuracy than MLLMs for CVC access classification (difference, 0.420; 95% CI, 0.349-0.490; p &lt; 0.001) and CVC tip assessment (difference, 0.247; 95% CI, 0.205-0.290; p &lt; 0.001). Pneumothorax analyses were exploratory because only five positive cases were present. Conclusions: The evaluated MLLMs showed unreliable diagnostic performance compared with experienced intensivists. Apparent performance was influenced by class imbalance and dominant-response behavior, supporting cautious task-specific validation and complete diagnostic performance reporting.</t>
  </si>
  <si>
    <t>Theocharidou, Christina-Chrysanthi; Tsinaris, Zafeiris; Karachristos, Christos; Theocharidou, Anastasia; Kourtidis, Michail; Papadopoulou, Kiriaki; Peristeri, Athanasia-Marina; Astreinidis, Athanasios; Simichanidou, Anna; Giannaki, Chrysavgi; Tzimou, Myrto; Kaimakamis, Evangelos; Voutsas, Vasileios; Soulountsi, Vasiliki; Lavrentieva, Athina</t>
  </si>
  <si>
    <t>Theocharidou, CC (corresponding author), Gen Hosp Thessaloniki G Papanikolaou, Intens Care Unit 1, Thessaloniki 57010, Greece.</t>
  </si>
  <si>
    <t>vvoutsas@yahoo.gr; chrtheoch@hotmail.gr</t>
  </si>
  <si>
    <t>[Theocharidou, Christina-Chrysanthi; Karachristos, Christos; Kourtidis, Michail; Papadopoulou, Kiriaki; Peristeri, Athanasia-Marina; Giannaki, Chrysavgi; Tzimou, Myrto; Kaimakamis, Evangelos; Voutsas, Vasileios; Soulountsi, Vasiliki; Lavrentieva, Athina] Gen Hosp Thessaloniki G Papanikolaou, Intens Care Unit 1, Thessaloniki 57010, Greece; [Tsinaris, Zafeiris] Aristotle Univ Thessaloniki, AHEPA Univ Hosp, Sch Med, Dept Microbiol, Thessaloniki 54636, Greece; [Theocharidou, Anastasia] Interbalkan Med Ctr, Radiol Dept, Thessaloniki 54622, Greece; [Astreinidis, Athanasios] AHEPA Univ Hosp, Clin Radiol Dept, Intervent Radiol Unit, Thessaloniki 54636, Greece; [Simichanidou, Anna] Theagen Anticanc Hosp, Radiol Dept, Thessaloniki 54639, Greece; [Tzimou, Myrto] Democritus Univ Thrace, Med Sch, Deparment Med, Alexandroupolis 68100, Greece</t>
  </si>
  <si>
    <t>George Papanikolaou General Hospital of Thessaloniki; Aristotle University of Thessaloniki; Ahepa University Hospital; Aristotle University of Thessaloniki; Ahepa University Hospital; Democritus University of Thrace</t>
  </si>
  <si>
    <t>Diagnostic Performance of Multimodal Large Language Models for Central Venous Catheter Assessment Chest Radiographs in the Intensive Care Unit</t>
  </si>
  <si>
    <t>MEDICAL SCIENCES</t>
  </si>
  <si>
    <t>multimodal large language models; chest radiography; central venous catheter; intensive care unit; diagnostic performance; pneumothorax</t>
  </si>
  <si>
    <t>Kaimakamis, Evangelos/AFT-1945-2022; Theocharidou, Christina Chrysanthi/IXD-6225-2023</t>
  </si>
  <si>
    <t>2076-3271</t>
  </si>
  <si>
    <t>MED SCI-BASEL</t>
  </si>
  <si>
    <t>Med. Sci.</t>
  </si>
  <si>
    <t>JUN 14 2026</t>
  </si>
  <si>
    <t>10.3390/medsci14020315</t>
  </si>
  <si>
    <t>http://dx.doi.org/10.3390/medsci14020315</t>
  </si>
  <si>
    <t>KD9ZI</t>
  </si>
  <si>
    <t>42346854</t>
  </si>
  <si>
    <t>WOS:001804701500001</t>
  </si>
  <si>
    <t>Campo-Beamud, C; Ruiz, AA; Quijano, JB; Beamud, EC; Gómez-Romero, FJ; Ruíz, AJF; Copete, S</t>
  </si>
  <si>
    <t>Background/aims Ocular surface infections remain a major cause of visual loss worldwide, yet diagnosis often relies on slow or insensitive microbiological techniques. Artificial intelligence may complement emerging molecular tools by supporting rapid triage and diagnostic reasoning. This study benchmarked publicly available multimodal large language models (LLMs) against corneal specialists for the diagnosis, treatment and urgency triage of infectious keratitis and conjunctivitis.Methods A single-centre diagnostic-accuracy study included 60 microbiologically confirmed infectious keratitis and conjunctivitis cases, each comprising a slit-lamp photograph and a paired clinical vignette. Six multimodal LLMs (GPT-4o, GPT-5, Gemini, Claude, Perplexity and Grok) were evaluated for diagnosis, treatment and urgency triage under three input conditions (image-only, text-only and image+text). Outputs were compared with two corneal specialists.Results LLM performance depended strongly on input modality. Image-only accuracy was lowest (best GPT-5, 61.4%; kappa=0.38) with frequent misclassification of fungal and Acanthamoeba keratitis and hallucinations confined to this setting. Text input improved results (GPT-5, 83.3%; kappa=0.78), though accuracy remained below specialists (87-90%; kappa approximate to 0.8). Combined image+text achieved near-human accuracy without consistently surpassing corneal specialists (Perplexity 96.7%; kappa=0.95; GPT-5 91.7%; kappa=0.87). Treatment accuracy remained lower (81-85% vs 90-98%), while urgency triage matched experts in multimodal input.Conclusion Publicly accessible multimodal LLMs can approach expert-level performance in diagnosis and triage when provided with clinical context and slit-lamp images. Gaps in therapeutic reasoning and rare pathogen recognition underscore the need for targeted refinement and validation. These models may complement specialist care, supporting rapid triage and integration with molecular or metagenomic diagnostics, especially in resource-limited settings.</t>
  </si>
  <si>
    <t>Campo-Beamud, Carlos; Ruiz, Antonio Adan; Quijano, Jesus Bastante; Beamud, Esther Campo; Gomez-Romero, Francisco Javier; Ruiz, Alfredo Julian Fernandez; Copete, Sergio</t>
  </si>
  <si>
    <t>Campo-Beamud, C (corresponding author), Hosp Gen Univ Ciudad Real, Ophthalmol Dept, Ciudad Real, Spain.</t>
  </si>
  <si>
    <t>jbastantequijano@gmail.com; ccampob@sescam.jccm.es; fjgomezr@sescam.jccm.es; ajfernandezr@sescam.jccm.com; esthercampobeamud@gmail.com; adan_990@hotmail.com; sergiocp.ab@gmail.com</t>
  </si>
  <si>
    <t>[Campo-Beamud, Carlos; Ruiz, Antonio Adan; Quijano, Jesus Bastante; Beamud, Esther Campo; Ruiz, Alfredo Julian Fernandez] Hosp Gen Univ Ciudad Real, Ophthalmol Dept, Ciudad Real, Spain; [Gomez-Romero, Francisco Javier] Hosp Gen Univ Ciudad Real, Translat Res Unit, Ciudad Real, Spain; [Gomez-Romero, Francisco Javier] Univ Castilla La Mancha, Fac Med, Ciudad Real, Spain; [Copete, Sergio] Complejo Hosp Univ Albacete, Ophthalmol Deparment, Albacete, Spain</t>
  </si>
  <si>
    <t>Universidad de Castilla-La Mancha</t>
  </si>
  <si>
    <t>Publicly available multimodal large language models for ocular surface infections: benchmarking against corneal specialists in triage, diagnosis and treatment</t>
  </si>
  <si>
    <t>BRITISH JOURNAL OF OPHTHALMOLOGY</t>
  </si>
  <si>
    <t>Infection; Cornea; Imaging; Microbiology; Artificial Intelligence</t>
  </si>
  <si>
    <t>gomez-romero, francisco javier/JDM-2403-2023</t>
  </si>
  <si>
    <t>BMJ PUBLISHING GROUP</t>
  </si>
  <si>
    <t>BRITISH MED ASSOC HOUSE, TAVISTOCK SQUARE, LONDON WC1H 9JR, ENGLAND</t>
  </si>
  <si>
    <t>0007-1161</t>
  </si>
  <si>
    <t>1468-2079</t>
  </si>
  <si>
    <t>BRIT J OPHTHALMOL</t>
  </si>
  <si>
    <t>Br. J. Ophthalmol.</t>
  </si>
  <si>
    <t>10.1136/bjo-2025-328867</t>
  </si>
  <si>
    <t>http://dx.doi.org/10.1136/bjo-2025-328867</t>
  </si>
  <si>
    <t>GG8EJ</t>
  </si>
  <si>
    <t>41946559</t>
  </si>
  <si>
    <t>WOS:001736055100001</t>
  </si>
  <si>
    <t>Güler, I; Kraus, A; Grieb, G; Stelling, H</t>
  </si>
  <si>
    <t>Background Multimodal large language models (MLLMs) are increasingly applied to visual assessment tasks, yet their ability to evaluate aesthetic treatment outcomes remains unclear.Objectives The aim of this study was to assess whether contemporary MLLMs can identify treatment state and detect region-specific aesthetic improvement following botulinum neurotoxin treatment.Methods In this observational study, 23 paired facial image cases (46 images; 460 model evaluations) were analyzed. Four MLLMs (GPT-5.4 Pro [OpenAI, San Francisco, CA], Grok 4.1 [xAI, San Francisco, CA], Gemini 3.1 Pro [Google DeepMind, Mountain View, CA], and Claude Opus 4.6 [Anthropic, San Francisco, CA]) performed 5 independent inference runs per case. Models identified the posttreatment image and assessed regional improvement (forehead, glabella, and periorbital). Accuracy, sensitivity, specificity, balanced accuracy, Matthews correlation coefficient, and Fleiss' kappa were calculated descriptively. Performance was compared with majority-class baselines. Exploratory outputs included aesthetic scores and apparent age estimates.Results All models identified the posttreatment image (100% accuracy). Region-specific improvement detection frequently failed to exceed majority-class baselines (65.2%-91.3%). Gemini 3.1 Pro showed the highest performance for the forehead (74.8%) and glabella (63.5%), whereas no model reached the periorbital baseline. Inter-run reliability varied widely (kappa -0.113 to 0.719). High reliability did not imply correctness. All models systematically overestimated improvement (62.6%-94.8% of predictions exceeded ground truth). False positives exceeded false negatives in all 12 model-task combinations. Exploratory outputs indicated perceived rejuvenation.Conclusions MLLMs recognize the format of aesthetic change but not its clinical nuance. Bridging this gap requires more than improved accuracy: a coordinated agenda of domain-specific fine-tuning, expert-rater benchmarking, and structured outcome frameworks, supported by governance of training-data provenance and clear safeguards before any clinical or research deployment.Level of Evidence: 5 (Therapeutic) For image description, please refer to the figure legend and surrounding text.</t>
  </si>
  <si>
    <t>Guler, Ibrahim; Kraus, Armin; Grieb, Gerrit; Stelling, Henrik</t>
  </si>
  <si>
    <t>Güler, I (corresponding author), Otto von Guericke Univ, Dept Plast, Aesthet &amp; Hand Surg, Univ Pl 2, D-39120 Magdeburg, Germany.</t>
  </si>
  <si>
    <t>ibrahim.gueler@med.ovgu.de</t>
  </si>
  <si>
    <t>The authors received no financial support for the research, authorship, and publication of this article, including payment of the article processing charge.</t>
  </si>
  <si>
    <t>[Guler, Ibrahim; Kraus, Armin] Otto von Guericke Univ, Dept Plast, Aesthet &amp; Hand Surg, Univ Pl 2, D-39120 Magdeburg, Germany; [Grieb, Gerrit] Dept Plast Surg &amp; Hand Surg, Gemeinschaftskrankenhaus Havelhohe, Berlin, Germany; [Stelling, Henrik] Pract Nucl Med, Berlin, Germany</t>
  </si>
  <si>
    <t>Evaluation of Aesthetic Outcomes Following Botulinum Toxin Treatment Using Multimodal Large Language Models: A Paired Before-and-After Analysis</t>
  </si>
  <si>
    <t>AESTHETIC SURGERY JOURNAL OPEN FORUM</t>
  </si>
  <si>
    <t>ARTIFICIAL-INTELLIGENCE; FUTURE</t>
  </si>
  <si>
    <t>2631-4797</t>
  </si>
  <si>
    <t>AESTHET SURG J OPEN</t>
  </si>
  <si>
    <t>Aesthet. Surg. J. Open Forum</t>
  </si>
  <si>
    <t>ojag112</t>
  </si>
  <si>
    <t>10.1093/asjof/ojag112</t>
  </si>
  <si>
    <t>http://dx.doi.org/10.1093/asjof/ojag112</t>
  </si>
  <si>
    <t>KM9QX</t>
  </si>
  <si>
    <t>42405004</t>
  </si>
  <si>
    <t>WOS:001810780200001</t>
  </si>
  <si>
    <t>Yang, HR; Lin, KY; Lin, PC; Tsai, JJ; Chen, PC</t>
  </si>
  <si>
    <t>Background: Multimodal large language models (MLLMs) show promise in medical imaging, but their performance is highly dependent on prompt engineering. This study systematically evaluates how different prompting strategies affect diagnostic accuracy in clinical laboratory image interpretation. Methods: We evaluated five MLLMs (ChatGPT-4o, Gemini 2.0 Flash, Claude 3.5 Sonnet, Grok-2, and Perplexity Pro (Claude 3.5 Sonnet)) using 177 proficiency testing images across three domains: blood smears (n = 78), urinalysis (n = 50), and parasitology (n = 49). Three prompting approaches were compared: (1) complex multi-choice prompts with 20 diagnostic options, (2) zero-shot open-ended prompts, and (3) two-step descriptive-reasoning prompts. Images were sourced from the Taiwan Society of Laboratory Medicine external quality assurance archives with expert consensus diagnoses. Results: Zero-shot prompting significantly outperformed complex multi-choice prompts across all models and domains (p &lt; 0.001). With zero-shot prompts, Gemini achieved 78.5% overall accuracy (urinalysis: 92.0%; parasitology: 75.5%; blood smears: 64.1%), representing a 17% improvement over complex prompts. Two-step descriptive-reasoning prompts further improved blood smear accuracy by 8-12% for top-performing models, but showed minimal benefit in urinalysis and parasitology. The re-query mechanism ("please reconsider") improved urinalysis accuracy by 7.6% but had a negligible effect on blood smears and parasitology. Conclusions: Prompting strategy critically determines MLLM diagnostic performance. Zero-shot approaches with minimal constraints consistently outperform complex multi-choice formats. The remarkable performance of general-purpose models in structured domains like urinalysis (&gt;90% accuracy) demonstrates the considerable progress of multimodal AI. However, complex morphological tasks like blood smear interpretation require either specialized prompting techniques or domain-specific fine-tuning. These findings provide evidence-based guidance for optimizing AI integration in clinical laboratories.</t>
  </si>
  <si>
    <t>Yang, Hui-Ru; Lin, Kuei-Ying; Lin, Ping-Chang; Tsai, Jih-Jin; Chen, Po-Chih</t>
  </si>
  <si>
    <t>Chen, PC (corresponding author), Kaohsiung Med Univ Hosp, Dept Lab Med, Kaohsiung 807, Taiwan.; Chen, PC (corresponding author), Kaohsiung Med Univ, Dept Med Lab Sci &amp; Biotechnol, Kaohsiung 807, Taiwan.</t>
  </si>
  <si>
    <t>jijits@cc.kmu.edu.tw; poki@kmu.edu.tw</t>
  </si>
  <si>
    <t>Kaohsiung Medical University Chung-Ho Memorial Hospital [KMUH114-4G01]</t>
  </si>
  <si>
    <t>Kaohsiung Medical University Chung-Ho Memorial Hospital (Kaohsiung Medical University Hospital)</t>
  </si>
  <si>
    <t>This research was funded by Kaohsiung Medical University Chung-Ho Memorial Hospital, Taiwan (grant number KMUH114-4G01; https://www.kmuh.org.tw).</t>
  </si>
  <si>
    <t>[Yang, Hui-Ru; Lin, Kuei-Ying; Chen, Po-Chih] Kaohsiung Med Univ Hosp, Dept Lab Med, Kaohsiung 807, Taiwan; [Yang, Hui-Ru; Lin, Kuei-Ying; Chen, Po-Chih] Kaohsiung Med Univ, Dept Med Lab Sci &amp; Biotechnol, Kaohsiung 807, Taiwan; [Lin, Ping-Chang; Tsai, Jih-Jin] Kaohsiung Med Univ Hosp, Trop Med Ctr, Kaohsiung 807, Taiwan; [Tsai, Jih-Jin] Kaohsiung Med Univ, Coll Med, Sch Med, Kaohsiung 807, Taiwan; [Tsai, Jih-Jin] Kaohsiung Med Univ Hosp, Dept Internal Med, Div Infect Dis, Kaohsiung 807, Taiwan</t>
  </si>
  <si>
    <t>Kaohsiung Medical University; Kaohsiung Medical University Hospital; Kaohsiung Medical University; Kaohsiung Medical University; Kaohsiung Medical University Hospital; Kaohsiung Medical University; Kaohsiung Medical University; Kaohsiung Medical University Hospital</t>
  </si>
  <si>
    <t>Comparative Evaluation of Five Multimodal Large Language Models for Medical Laboratory Image Recognition: Impact of Prompting Strategies on Diagnostic Accuracy</t>
  </si>
  <si>
    <t>artificial intelligence; multimodal large language models; clinical laboratory; proficiency testing; image recognition; prompt engineering; blood smears; urinalysis; parasitology</t>
  </si>
  <si>
    <t>TSAI, JIH-JIN/OQK-8707-2025</t>
  </si>
  <si>
    <t>10.3390/diagnostics16091258</t>
  </si>
  <si>
    <t>http://dx.doi.org/10.3390/diagnostics16091258</t>
  </si>
  <si>
    <t>HW0YV</t>
  </si>
  <si>
    <t>42121962</t>
  </si>
  <si>
    <t>WOS:001764073400001</t>
  </si>
  <si>
    <t>Do, J; Suresh, V; Zhang, L; Chavre, BM; Cha, J; Pugliese, R</t>
  </si>
  <si>
    <t>This research letter proposes a novel model design leveraging natively multimodal large language models to identify fall risks and generate visualizations of recommended home environmental modifications, aiming to improve the accessibility and impact of personalized fall prevention advice for older adults. Through a pilot rating study, this work demonstrates that multimodal large language models can generate safe and actionable advice to reduce fall risk in lived spaces of older adults, and also generate realistic edits based on original images. While this concept needs further testing and clinical comparison, it highlights a promising avenue for further innovation of fall prevention tactics.</t>
  </si>
  <si>
    <t>Do, Justin; Suresh, Vivaswat; Zhang, Lily; Chavre, Bharvi M.; Cha, Jeremy; Pugliese, Robert</t>
  </si>
  <si>
    <t>Do, J (corresponding author), Thomas Jefferson Univ, Sidney Kimmel Med Coll, 925 Chestnut St, Philadelphia, PA 19107 USA.</t>
  </si>
  <si>
    <t>jhd012@students.jefferson.edu</t>
  </si>
  <si>
    <t>[Do, Justin; Zhang, Lily; Chavre, Bharvi M.; Cha, Jeremy; Pugliese, Robert] Thomas Jefferson Univ, Sidney Kimmel Med Coll, 925 Chestnut St, Philadelphia, PA 19107 USA; [Suresh, Vivaswat; Pugliese, Robert] Thomas Jefferson Univ, Hlth Design Lab, Philadelphia, PA 19107 USA</t>
  </si>
  <si>
    <t>Thomas Jefferson University; Thomas Jefferson University</t>
  </si>
  <si>
    <t>Leveraging Multimodal Large Language Models for Fall Risk Reduction in Older Adults in the Home: Proposed Model Design</t>
  </si>
  <si>
    <t>JMIR AGING</t>
  </si>
  <si>
    <t>LLM; multimodal; image generation; fall risk; older adults; large language model</t>
  </si>
  <si>
    <t>Zhang, Lily/0009-0003-3955-2697; Suresh, Vivaswat/0009-0005-4691-8567</t>
  </si>
  <si>
    <t>2561-7605</t>
  </si>
  <si>
    <t>JMIR Aging</t>
  </si>
  <si>
    <t>e77591</t>
  </si>
  <si>
    <t>10.2196/77591</t>
  </si>
  <si>
    <t>http://dx.doi.org/10.2196/77591</t>
  </si>
  <si>
    <t>Geriatrics &amp; Gerontology; Gerontology; Medical Informatics</t>
  </si>
  <si>
    <t>Geriatrics &amp; Gerontology; Medical Informatics</t>
  </si>
  <si>
    <t>HZ1SO</t>
  </si>
  <si>
    <t>42127229</t>
  </si>
  <si>
    <t>WOS:001766157800001</t>
  </si>
  <si>
    <t>Chaieb, M; Ben Ameur, N; Ghazouani, H; Jaghdam, IH</t>
  </si>
  <si>
    <t>Alzheimer's Disease (AD), the most widespread neurodegenerative disease in the world, presents significant diagnostic challenges that require a comprehensive multimodal data analysis. This study introduces BrainMIND-LLM, a novel multimodal LLM-based framework for the automated generation of diagnostic reports in AD. This framework leverages a specialized multimodal architecture that integrates 3D neuroimaging with comprehensive clinical data. The methodology processes 3D MRI and PET images through a 3D EVA-ViT encoder refined by a Q-Former and an enhanced multimodal projection layer while clinical text, including demographic data, cognitive assessments, CSF biomarkers, and APOE genotype, is tokenized and processed by a tokenizer. These refined visual and clinical representations are then concatenated and decoded by a T5 model to produce coherent diagnostic reports. One of the key contributions of this work is the generation of synthetic diagnostic reports for model training and evaluation, using the ADNI dataset as a fundamental basis and achieving state-of-the-art performance on natural language generation metrics, including a BERTScore of 0.9133, ROUGE-L of 0.5068, with a gap of +0.0034 in BERTScore and a substantial +0.1412 in ROUGE-L compared to state-of-the-art models. Internally, ablation studies validated the model's effectiveness and confirmed its optimal architecture, while external evaluations showed that BrainMIND-LLM outperformed general-purpose LLMs in generating clinically relevant reports. These results indicate the framework's ability to produce consistent diagnostic reports and indicate its utility as a support tool in the clinical assessment of AD. The full implementation is publicly accessible via the following GitHub repository: BrainMIND-LLM.</t>
  </si>
  <si>
    <t>Chaieb, Marouene; Ben Ameur, Nour; Ghazouani, Haythem; Jaghdam, Ines Hilali</t>
  </si>
  <si>
    <t>Chaieb, M (corresponding author), Univ Manouba, Natl Sch Comp Sci, Manouba 2010, Tunisia.; Chaieb, M (corresponding author), Univ Tunis, Inst Super Gest Tunis, LARODEC Lab, Bardo 2000, Tunisia.</t>
  </si>
  <si>
    <t>marouene.chaieb@ensi-uma.tn</t>
  </si>
  <si>
    <t>Princess Nourah bint Abdulrahman University, Riyadh, Saudi Arabia [PNURSP2026R845]</t>
  </si>
  <si>
    <t>Princess Nourah bint Abdulrahman University, Riyadh, Saudi Arabia (Princess Nourah bint Abdulrahman University)</t>
  </si>
  <si>
    <t>Princess Nourah bint Abdulrahman University Researchers Supporting Project number (PNURSP2026R845), Princess Nourah bint Abdulrahman University, Riyadh, Saudi Arabia.</t>
  </si>
  <si>
    <t>[Chaieb, Marouene; Ben Ameur, Nour] Univ Manouba, Natl Sch Comp Sci, Manouba 2010, Tunisia; [Chaieb, Marouene] Univ Tunis, Inst Super Gest Tunis, LARODEC Lab, Bardo 2000, Tunisia; [Ben Ameur, Nour] Univ Tunis El Manar, Inst Super Informat El Manar, Res Team Intelligent Syst Imaging &amp; Artificial Vis, LR16ES06 Lab Rech Informat Modelisat &amp; Traitement, Ariana 2080, Tunisia; [Jaghdam, Ines Hilali] Univ Carthage, Natl Engn Sch Carthage ENICarthage, Tunis 2035, Tunisia; [Ghazouani, Haythem; Jaghdam, Ines Hilali] Princess Nourah Bint Abdulrahman Univ, Appl Coll, Dept Comp Sci &amp; Informat Technol, POB 84428, Riyadh 11671, Saudi Arabia</t>
  </si>
  <si>
    <t>Universite de la Manouba; Universite de Tunis; Universite de Carthage; Princess Nourah bint Abdulrahman University</t>
  </si>
  <si>
    <t>BrainMIND-LLM: An AI-powered multimodal large language model for neurodegenerative disease analysis and automated clinical report generation</t>
  </si>
  <si>
    <t>Multimodal large language models; Medical report generation; Neuroimaging analysis; 3D Vision transformer</t>
  </si>
  <si>
    <t>Ghazouani, Haythem/N-1013-2014; CHAIEB, Marouene/S-8687-2018</t>
  </si>
  <si>
    <t>332</t>
  </si>
  <si>
    <t>133541</t>
  </si>
  <si>
    <t>10.1016/j.eswa.2026.133541</t>
  </si>
  <si>
    <t>http://dx.doi.org/10.1016/j.eswa.2026.133541</t>
  </si>
  <si>
    <t>LI7ZD</t>
  </si>
  <si>
    <t>WOS:001825590100001</t>
  </si>
  <si>
    <t>Park, J; Kim, S; Yoon, B; Hyun, J; Choi, K</t>
  </si>
  <si>
    <t>The rapid evolution of artificial intelligence, especially in large language models (LLMs), has significantly impacted various domains, including healthcare. In chest X-ray (CXR) analysis, previous studies have employed LLMs, but with limitations: either underutilizing the LLMs' capability for multitask learning or lacking clinical accuracy. This article presents M4CXR, a multimodal LLM designed to enhance CXR interpretation. The model is trained on a visual instruction-following dataset that integrates various task-specific datasets in a conversational format. As a result, the model supports multiple tasks such as medical report generation (MRG), visual grounding, and visual question answering (VQA). M4CXR achieves state-of-the-art clinical accuracy in MRG by employing a chain-of-thought (CoT) prompting strategy, in which it identifies findings in CXR images and subsequently generates corresponding reports. The model is adaptable to various MRG scenarios depending on the available inputs, such as single-image, multiimage, and multistudy contexts. In addition to MRG, M4CXR performs visual grounding at a level comparable to specialized models and demonstrates outstanding performance in VQA. Both quantitative and qualitative assessments reveal M4CXR's versatility in MRG, visual grounding, and VQA, while consistently maintaining clinical accuracy.</t>
  </si>
  <si>
    <t>Park, Jonggwon; Kim, Soobum; Yoon, Byungmu; Hyun, Jihun; Choi, Kyoyun</t>
  </si>
  <si>
    <t>Choi, K (corresponding author), DEEPNOID Inc, Seoul 08377, South Korea.</t>
  </si>
  <si>
    <t>kychoi@deepnoid.com; jhyun@deepnoid.com; jgpark@deepnoid.com; bmyoon@deepnoid.com; soobumk@deepnoid.com</t>
  </si>
  <si>
    <t>Technology Innovation Program - Ministry of Trade Industry &amp; Energy (MOTIE, South Korea) [RS-2025-02221011]</t>
  </si>
  <si>
    <t>Technology Innovation Program - Ministry of Trade Industry &amp; Energy (MOTIE, South Korea) (Ministry of Trade, Industry &amp; Energy (MOTIE), Republic of Korea)</t>
  </si>
  <si>
    <t>This work was supported by the Technology Innovation Program (RS-2025-02221011, Development of Medical-Specialized Multimodal Hyperscale Generative AI Technology for Global Integration) funded by the Ministry of Trade Industry &amp; Energy (MOTIE, South Korea).</t>
  </si>
  <si>
    <t>[Park, Jonggwon; Kim, Soobum; Yoon, Byungmu; Hyun, Jihun; Choi, Kyoyun] DEEPNOID Inc, Seoul 08377, South Korea</t>
  </si>
  <si>
    <t>M4CXR: Exploring Multitask Potentials of Multimodal Large Language Models for Chest X-Ray Interpretation</t>
  </si>
  <si>
    <t>Visualization; Accuracy; Biomedical imaging; Grounding; Cognition; X-ray imaging; Training; Question answering (information retrieval); Oral communication; Large language models; Chest X-ray (CXR); medical imaging; medical report generation (MRG); multitask learning; multimodal large language model (LLM); visual grounding; visual question answering (VQA)</t>
  </si>
  <si>
    <t>Choi, Kyoyun/OKS-0042-2025; Park, Jonggwon/KRP-3218-2024</t>
  </si>
  <si>
    <t>Kim, Soobum/0009-0002-5088-1208; Park, Jonggwon/0000-0003-4131-0729; Yoon, Byungmu/0009-0006-5387-4328; Choi, Kyoyun/0000-0002-8240-4716; Hyun, Jihun/0009-0001-2623-8143</t>
  </si>
  <si>
    <t>17841</t>
  </si>
  <si>
    <t>17855</t>
  </si>
  <si>
    <t>10.1109/TNNLS.2025.3587687</t>
  </si>
  <si>
    <t>http://dx.doi.org/10.1109/TNNLS.2025.3587687</t>
  </si>
  <si>
    <t>8SM9B</t>
  </si>
  <si>
    <t>40748811</t>
  </si>
  <si>
    <t>WOS:001542544300001</t>
  </si>
  <si>
    <t>Sohail, A; Patel, OM; Venditti, JCS; Choi, J; Wu, AJ</t>
  </si>
  <si>
    <t>Multimodal large language models (MLLMs) have demonstrated substantial progress in medical and legal domains in recent years; however, their capabilities from the lens of forensic science, a field at the intersection of complex medical reasoning and legal interpretation, remains largely unexplored. Forensic medicine uniquely depends on the accurate integration of often ambiguous text and visual information, yet systematic evaluations of MLLMs in this setting are lacking. We conducted a comprehensive benchmarking study of eleven state-of-the-art MLLMs, including proprietary (GPT-4o, Claude 4 Sonnet, Gemini 2.5 Flash) and open-source (Llama 4, Qwen 2.5-VL) models. Models were evaluated on 847 examination-style forensic questions drawn from various academic literature, case studies, and clinical assessments, covering nine forensic subdomains. Both text-only and image-based questions were included. Model performance was assessed using direct and chain-of-thought prompting, with automated scoring verified through manual revision. Performance improved consistently with newer model generations. Chain-of-thought prompting improved accuracy on text-based and multiple-choice tasks for most models, though this trend did not hold for image-based and open-ended questions. Visual reasoning and complex inference tasks revealed persistent limitations, with models underperforming in image interpretation and nuanced forensic scenarios. Model performance remained stable across forensic subdomains, suggesting topic type alone did not drive variability. These findings provide the first systematic baseline for MLLM performance in forensic science and inform pathways for their cautious integration into medico-legal workflows.</t>
  </si>
  <si>
    <t>Sohail, Ashmaan; Patel, Om M.; Venditti, Jack C. S.; Choi, Jihwan; Wu, Addison J.</t>
  </si>
  <si>
    <t>Wu, AJ (corresponding author), Princeton Univ, Dept Comp Sci, Princeton, NJ 08544 USA.</t>
  </si>
  <si>
    <t>addisonwu@princeton.edu</t>
  </si>
  <si>
    <t>[Sohail, Ashmaan] Queens Univ, Dept Comp Engn, Stephen JR Smith Fac Engn &amp; Appl Sci, Kingston, ON K7L 3N6, Canada; [Patel, Om M.] McMaster Univ, Fac Hlth Sci, Hamilton, ON L8S 4L8, Canada; [Venditti, Jack C. S.; Choi, Jihwan] Loyalist Coll &amp; Vocat Inst, Kingston, ON K7M 1B9, Canada; [Wu, Addison J.] Princeton Univ, Dept Comp Sci, Princeton, NJ 08544 USA</t>
  </si>
  <si>
    <t>McMaster University; Princeton University</t>
  </si>
  <si>
    <t>Benchmarking Multimodal Large Language Models for Forensic Sciences: A Comprehensive Dataset and Evaluation Framework</t>
  </si>
  <si>
    <t>Low earth orbit satellites; Feedback; MIMICs; Circuits; Millimeter wave integrated circuits; Monolithic integrated circuits; Videos; Video equipment; Communication systems; Protocols; LLM; NLP; medicine; forensic science; evaluation</t>
  </si>
  <si>
    <t>68028</t>
  </si>
  <si>
    <t>68038</t>
  </si>
  <si>
    <t>10.1109/ACCESS.2026.3684872</t>
  </si>
  <si>
    <t>http://dx.doi.org/10.1109/ACCESS.2026.3684872</t>
  </si>
  <si>
    <t>HX5CG</t>
  </si>
  <si>
    <t>WOS:001765032000027</t>
  </si>
  <si>
    <t>Fornaro, M; Venerito, V; Panigrahi, S; Sabbagh, S; Iannone, F; Gupta, L</t>
  </si>
  <si>
    <t>Large language models (LLMs) with multimodal capabilities may support automated assessment of cutaneous disease activity in dermatomyositis (DM). We evaluated the performance of Claude v3.5 Sonnet in scoring the Cutaneous Dermatomyositis Disease Area and Severity Index (CDASI) compared with expert rheumatologists. Thirty published DM cases with available clinical images were retrospectively analyzed. Two expert rheumatologists independently scored CDASI activity and damage domains. Claude v3.5 Sonnet assessed the same images using structured prompting based on CDASI definitions. Agreement was evaluated using intraclass correlation coefficients (ICCs) with a two-way random-effects model for absolute agreement. The LLM demonstrated better agreement for activity than for damage assessment. Global CDASI activity showed good agreement with expert raters (ICC 0.71, 95% CI 0.45-0.86), whereas damage reliability was lower (ICC 0.41, 95% CI 0.25-0.67). Agreement was moderate for activity-related domains including erythema (ICC 0.61), scaling (ICC 0.57), and erosions (ICC 0.57), while lower concordance was observed for chronic damage-related features such as poikiloderma (ICC 0.47, 95% CI 0.10-0.73). Hand assessments demonstrated the strongest performance, particularly for periungual changes (ICC 1.0, 95% CI 1.0-1.0) and global hand scores (ICC 0.95, 95% CI 0.91-0.97). The model also markedly reduced evaluation time compared with clinicians (42 s vs. 8.4 min per case), corresponding to an approximately 92% reduction in scoring time. Multimodal LLMs demonstrated promising agreement with expert raters for CDASI activity assessment and markedly improved efficiency, although lower reliability in damage domains reinforces the continued need for physician oversight.</t>
  </si>
  <si>
    <t>Fornaro, Marco; Venerito, Vincenzo; Panigrahi, Swapnasha; Sabbagh, Sara; Iannone, Florenzo; Gupta, Latika</t>
  </si>
  <si>
    <t>Gupta, L (corresponding author), Royal Wolverhampton Hosp NHS Trust, Dept Rheumatol, Wolverhampton, England.; Gupta, L (corresponding author), Univ Birmingham, Coll Med &amp; Hlth, Sch Infect Infammat &amp; Immunol, Dept Infect, Birmingham, England.; Gupta, L (corresponding author), Francis Crick Inst, London, England.</t>
  </si>
  <si>
    <t>vincenzo.venerito@uniba.it; marco.fornaro@uniba.it; sxp288@student.bham.ac.uk; drlatikagupta@gmail.com; florenzo.iannone@uniba.it; ssabbagh@mcw.edu</t>
  </si>
  <si>
    <t>[Fornaro, Marco; Venerito, Vincenzo; Iannone, Florenzo] Univ Bari, Dept Precis &amp; Regenerat Med, Unit Rheumatol, Area Jon DiMePRe J, Bari, Italy; [Panigrahi, Swapnasha] Univ Birmingham, Birmingham, England; [Sabbagh, Sara] Med Coll Wisconsin, Dept Pediat, Div Rheumatol, Milwaukee, WI USA; [Gupta, Latika] Royal Wolverhampton Hosp NHS Trust, Dept Rheumatol, Wolverhampton, England; [Gupta, Latika] Univ Birmingham, Coll Med &amp; Hlth, Sch Infect Infammat &amp; Immunol, Dept Infect, Birmingham, England; [Gupta, Latika] Francis Crick Inst, London, England</t>
  </si>
  <si>
    <t>Universita degli Studi di Bari Aldo Moro; University of Birmingham; Medical College of Wisconsin; University of Birmingham; Francis Crick Institute</t>
  </si>
  <si>
    <t>Assessment of CDASI scoring by a multimodal large language model: a comparative study with expert assessors</t>
  </si>
  <si>
    <t>RHEUMATOLOGY INTERNATIONAL</t>
  </si>
  <si>
    <t>Dermatomyositis; Artificial intelligence; Large language models; Disease activity; Skin diseases</t>
  </si>
  <si>
    <t>DERMATOMYOSITIS DISEASE AREA; SEVERITY INDEX</t>
  </si>
  <si>
    <t>Fornaro, Marco/AAI-1734-2019; Sabbagh, Sara/LGY-4252-2024; Iannone, Florenzo/AIC-3027-2022; Venerito, Vincenzo/HKV-1293-2023; Gupta, Latika/GPP-3394-2022</t>
  </si>
  <si>
    <t>Panigrahi, Swapnasha/0009-0009-3489-6283</t>
  </si>
  <si>
    <t>Europaplatz 3, HEIDELBERG, GERMANY</t>
  </si>
  <si>
    <t>0172-8172</t>
  </si>
  <si>
    <t>1437-160X</t>
  </si>
  <si>
    <t>RHEUMATOL INT</t>
  </si>
  <si>
    <t>Rheumatol. Int.</t>
  </si>
  <si>
    <t>10.1007/s00296-026-06205-1</t>
  </si>
  <si>
    <t>http://dx.doi.org/10.1007/s00296-026-06205-1</t>
  </si>
  <si>
    <t>Rheumatology</t>
  </si>
  <si>
    <t>KU4GK</t>
  </si>
  <si>
    <t>42420687</t>
  </si>
  <si>
    <t>WOS:001815850500004</t>
  </si>
  <si>
    <t>Alsayegh, A; Masood, T</t>
  </si>
  <si>
    <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
  </si>
  <si>
    <t>Alsayegh, Ali; Masood, Tariq</t>
  </si>
  <si>
    <t>Alsayegh, A (corresponding author), Univ Strathclyde, Dept Design Mfg &amp; Engn Management, Glasgow City, Scotland.</t>
  </si>
  <si>
    <t>a.alsayegh@strath.ac.uk</t>
  </si>
  <si>
    <t>Kuwait General Secretariat of the Supreme Council for Planning and Development; University of Strathclyde through its Gold Open Access agreement</t>
  </si>
  <si>
    <t>This research was conducted as part of the author's PhD studies, which are financially supported by the Kuwait General Secretariat of the Supreme Council for Planning and Development. The article processing charge was covered separately by the University of Strathclyde through its Gold Open Access agreement.</t>
  </si>
  <si>
    <t>[Alsayegh, Ali; Masood, Tariq] Univ Strathclyde, Dept Design Mfg &amp; Engn Management, Glasgow City, Scotland</t>
  </si>
  <si>
    <t>University of Strathclyde</t>
  </si>
  <si>
    <t>Benchmarking Commercial Speech Recognition and Multimodal Large Language Models on Dysarthric Speech: Severity-Stratified Baselines and Architecture-Specific Prompting Effects</t>
  </si>
  <si>
    <t>INTERNATIONAL JOURNAL OF INTELLIGENT SYSTEMS</t>
  </si>
  <si>
    <t>assistive intelligent systems; dysarthria; human-machine interaction; multimodal large language models; speech recognition</t>
  </si>
  <si>
    <t>Alsayegh, Ali/KTH-9076-2024; MASOOD, Tariq/AAN-1978-2020</t>
  </si>
  <si>
    <t>0884-8173</t>
  </si>
  <si>
    <t>1098-111X</t>
  </si>
  <si>
    <t>INT J INTELL SYST</t>
  </si>
  <si>
    <t>Int. J. Intell. Syst.</t>
  </si>
  <si>
    <t>6065038</t>
  </si>
  <si>
    <t>10.1155/int/6065038</t>
  </si>
  <si>
    <t>http://dx.doi.org/10.1155/int/6065038</t>
  </si>
  <si>
    <t>ME4TW</t>
  </si>
  <si>
    <t>WOS:001840309000001</t>
  </si>
  <si>
    <t>Accurate assessment of burn depth and total body surface area (TBSA) is critical for clinical decision-making; however, it remains subjective and prone to interobserver variability. Multimodal large language models (MLLMs) are increasingly encountered in clinical contexts, but whether these systems can reliably assess burn images remains unclear. We evaluated four MLLMs (GPT-5.4 Pro, Grok 4.1, Gemini 3.1 Pro, and Claude Opus 4.6) on 50 clinical burn photographs using a repeated-inference design with five independent runs per model. Burn depth classification was assessed in numeric and text-based formats, alongside ordinal TBSA estimation. Performance varied across the models, with burn depth accuracy ranging from 34.0 +/- 6.5% to 76.4 +/- 6.8% and TBSA accuracy from 32.8 +/- 9.4% to 68.4 +/- 3.3%. Inter-run reliability (Fleiss' kappa) ranged from slight (kappa = 0.171) to almost perfect (kappa = 0.916), demonstrating response variability not captured by single-query evaluations. Notably, no model combined high accuracy and high reliability, indicating a dissociation between performance and consistency. All models showed a tendency toward overestimation of burn depth, including assignment of fourth degree burns despite their absence in the dataset. Error direction analysis revealed model-specific and task-dependent biases, including opposing patterns within the same model. Internal consistency between numeric and text classifications was near-perfect (99.6-100%), indicating format-invariant but systematically biased outputs. These findings demonstrate that MLLM performance is characterized by stochastic response instability invisible to single-query evaluations. Such inconsistency for identical inputs represents a fundamental limitation for workflows requiring consistent outputs across repeated evaluations. (c) 2026 The Author(s). Published by Elsevier Ltd on behalf of British Association of Plastic, Reconstructive and Aesthetic Surgeons. This is an open access article under the CC BY license (http://creativecommons.org/licenses/by/4.0/).</t>
  </si>
  <si>
    <t>Güler, I (corresponding author), Univ Hosp Magdeburg, Dept Plast Aesthet &amp; Hand Surg, Leipziger Str 44, D-39120 Magdeburg, Germany.</t>
  </si>
  <si>
    <t>ibrahim.gueler@med.ovgu.de; henrik.stelling@fau.de; armin.kraus@med.ovgu.de; gerritgrieb@gmx.de</t>
  </si>
  <si>
    <t>[Guler, Ibrahim; Kraus, Armin] Univ Hosp Magdeburg, Dept Plast Aesthet &amp; Hand Surg, Leipziger Str 44, D-39120 Magdeburg, Germany; [Guler, Ibrahim; Stelling, Henrik] Friedrich Alexander Univ Erlangen Nurnberg FAU, Dept Hlth Management, Lange Gasse 20, D-90403 Nurnberg, Germany; [Grieb, Gerrit] Gemeinschaftskrankenhaus Havelhohe, Dept Plast Surg &amp; Hand Surg, Berlin, Germany; [Grieb, Gerrit] Rhein Westfal TH Aachen, Med Fac, Dept Plast Surg &amp; Hand Surg, Aachen, Germany; [Stelling, Henrik] Pract Nucl Med, Rubensstr 125, D-12157 Berlin, Germany</t>
  </si>
  <si>
    <t>University Hospital Magdeburg; University of Erlangen Nuremberg; RWTH Aachen University</t>
  </si>
  <si>
    <t>AI-based burn image assessment: Reliability and clinical error patterns of multimodal large language models in a repeated-inference study</t>
  </si>
  <si>
    <t>JOURNAL OF PLASTIC RECONSTRUCTIVE AND AESTHETIC SURGERY</t>
  </si>
  <si>
    <t>Burns; Artificial intelligence; Clinical image analysis; Burn depth classification; Total body surface area; Multimodal large language models</t>
  </si>
  <si>
    <t>1748-6815</t>
  </si>
  <si>
    <t>1878-0539</t>
  </si>
  <si>
    <t>J PLAST RECONSTR AES</t>
  </si>
  <si>
    <t>J. Plast. Reconstr. Aesthet. Surg.</t>
  </si>
  <si>
    <t>119</t>
  </si>
  <si>
    <t>366</t>
  </si>
  <si>
    <t>374</t>
  </si>
  <si>
    <t>10.1016/j.bjps.2026.05.070</t>
  </si>
  <si>
    <t>http://dx.doi.org/10.1016/j.bjps.2026.05.070</t>
  </si>
  <si>
    <t>LW1JG</t>
  </si>
  <si>
    <t>42303556</t>
  </si>
  <si>
    <t>WOS:001834638500001</t>
  </si>
  <si>
    <t>Güler, I; Grieb, G; Kraus, A; Moog, P; Cambaz, U; Yavasca, E; Stelling, H</t>
  </si>
  <si>
    <t>Artificial intelligence (AI) is increasingly integrated into assessment contexts, yet evidence on the reliability and measurement properties of large language models (LLMs) in high-stakes evaluation settings remains limited. This study examines the performance and reproducibility of contemporary multimodal LLMs in a structured medical assessment environment. A cross-sectional dual-setup design was applied using a complete national medical licensing examination (240 multiple-choice items, including image-based questions). Setup 1 evaluated ten models in a single run to characterize overall performance. Setup 2 assessed six models across five independent runs each to quantify measurement stability. Accuracy with 95% confidence intervals, inter-run agreement using Cohen's kappa, and paired comparisons using McNemar's test were analyzed. Accuracy ranged from 72.08% to 92.92%. All models demonstrated near-perfect inter-run agreement (mean kappa &gt;= 0.96) with minimal variability. After correction, only a small number of pairwise comparisons remained significant, indicating convergence among leading systems. In an exploratory submodule, performance on the small set of image-based items was comparable to or slightly higher than performance on text-only items. These findings demonstrate that multimodal LLMs achieve high accuracy and high inter-run reproducibility on a large-scale assessment, supporting their use as objects of AI-based assessment research while leaving questions of cognitive equivalence with human examinees beyond the scope of accuracy-based evaluation.</t>
  </si>
  <si>
    <t>Guler, Ibrahim; Grieb, Gerrit; Kraus, Armin; Moog, Philipp; Cambaz, Uzay; Yavasca, Ezgi; Stelling, Henrik</t>
  </si>
  <si>
    <t>Social Science Citation Index (SSCI)</t>
  </si>
  <si>
    <t>Güler, I (corresponding author), Otto von Guericke Univ, Dept Plast Aesthet &amp; Hand Surg, D-39120 Magdeburg, Germany.; Güler, I (corresponding author), Gemeinschaftskrankenhaus Havelhohe, Dept Plast Surg &amp; Hand Surg, Kladower Damm 221, D-14089 Berlin, Germany.; Güler, I (corresponding author), Friedrich Alexander Univ Erlangen Nurnberg FAU, Dept Hlth Management, Lange Gasse 20, D-90403 Nurnberg, Germany.</t>
  </si>
  <si>
    <t>ibrahim.gueler@med.ovgu.de; philipp.moog1@mri.tum.de; henrikstelling@googlemail.com; uzay.cambaz@student.uni-tuebingen.de; ezgi.yavasca@charite.de; gerritgrieb@gmx.de; armin.kraus@med.ovgu.de</t>
  </si>
  <si>
    <t>[Guler, Ibrahim; Kraus, Armin] Otto von Guericke Univ, Dept Plast Aesthet &amp; Hand Surg, D-39120 Magdeburg, Germany; [Guler, Ibrahim; Grieb, Gerrit] Gemeinschaftskrankenhaus Havelhohe, Dept Plast Surg &amp; Hand Surg, Kladower Damm 221, D-14089 Berlin, Germany; [Guler, Ibrahim; Stelling, Henrik] Friedrich Alexander Univ Erlangen Nurnberg FAU, Dept Hlth Management, Lange Gasse 20, D-90403 Nurnberg, Germany; [Grieb, Gerrit] Rhein Westfal TH Aachen, Dept Plast Surg &amp; Hand Surg, Pauwelsstr 30, D-52074 Aachen, Germany; [Moog, Philipp] Tech Univ Munich, Klinikum Rechts Isar, Dept Plast Surg &amp; Hand Surg, Ismaninger Str 22, D-81675 Munich, Germany; [Cambaz, Uzay] Eberhard Karls Univ Tubingen, Fac Med, Geschwister Scholl Pl, D-72074 Tubingen, Germany; [Yavasca, Ezgi; Stelling, Henrik] Klinikum Ernst Bergmann, Dept Nucl Med, D-14467 Potsdam, Germany; [Stelling, Henrik] Pract Nucl Med, Rubensstr 125, D-12157 Berlin, Germany</t>
  </si>
  <si>
    <t>Otto von Guericke University; University of Erlangen Nuremberg; RWTH Aachen University; Technical University of Munich; Eberhard Karls University of Tubingen; Eberhard Karls University Hospital; Klinikum Ernst von Bergmann</t>
  </si>
  <si>
    <t>Artificial Intelligence in Medical Assessment: Reliability and Performance of Multimodal Large Language Models in a High-Stakes Licensing Examination</t>
  </si>
  <si>
    <t>BEHAVIORAL SCIENCES</t>
  </si>
  <si>
    <t>artificial intelligence in assessment; medical assessment; large language models; multimodal AI; medical licensing examination; Turkish Medical Specialization Entrance Examination (TUS); psychometrics; reliability analysis; reproducibility; AI benchmarking</t>
  </si>
  <si>
    <t>PROPORTION; QUESTIONS; AGREEMENT</t>
  </si>
  <si>
    <t>2076-328X</t>
  </si>
  <si>
    <t>BEHAV SCI-BASEL</t>
  </si>
  <si>
    <t>Behav. Sci.</t>
  </si>
  <si>
    <t>MAY 19 2026</t>
  </si>
  <si>
    <t>822</t>
  </si>
  <si>
    <t>10.3390/bs16050822</t>
  </si>
  <si>
    <t>http://dx.doi.org/10.3390/bs16050822</t>
  </si>
  <si>
    <t>Psychology, Multidisciplinary</t>
  </si>
  <si>
    <t>Psychology</t>
  </si>
  <si>
    <t>IL9YM</t>
  </si>
  <si>
    <t>42193701</t>
  </si>
  <si>
    <t>WOS:001774850900001</t>
  </si>
  <si>
    <t>Liang, BY; Gao, YF; Wang, TB; Zhang, L; Wang, Q</t>
  </si>
  <si>
    <t>Background and objectives:Recent advances in multimodal large language models (MLLMs) have shown promise in medical image interpretation, yet their utility in surgical contexts remains unexplored. This study evaluates six MLLMs' performance in interpreting diverse imaging modalities for laryngeal cancer surgery.Methods:We analyzed 169 images (X-rays, CT scans, laryngoscopy, and pathology findings) from 50 patients using six state-of-the-art MLLMs. Model performance was assessed across 1084 clinically relevant questions by two independent physicians.Results:Claude 3.5 Sonnet achieves the highest accuracy (79.43%, 95% CI: 77.02%-81.84%). Performance varied significantly across imaging modalities and between commercial and open-source models, with a 19-percentage point gap between the best commercial and open-source solutions.Conclusion:Advanced MLLMs show promising potential as clinical decision support tools in laryngeal cancer surgery, while performance variations suggest the need for specialized model development and clinical workflow integration. Future research should focus on developing specialized MLLMs trained on large-scale multi-center laryngeal cancer datasets.</t>
  </si>
  <si>
    <t>Liang, Bingyu; Gao, Yifan; Wang, Taibao; Zhang, Lei; Wang, Qin</t>
  </si>
  <si>
    <t>Wang, Q (corresponding author), Anhui Med Univ, Dept Otolaryngol Head &amp; Neck Surg, Affiliated Hosp 1, 218,Jixi Rd, Hefei 230032, Anhui Province, Peoples R China.</t>
  </si>
  <si>
    <t>wangtaibao0201@163.com; 2542005693@qq.com; ahmuliangbingyu@163.com; yifangao@mail.ustc.edu.cn; wangqin@ahmu.edu.cn</t>
  </si>
  <si>
    <t>Foundation of Anhui Provincial Department of Education [2022AH051156]; Applied Medical Research Project of Hefei Municipal Health Commission [Hwk2023zc002]</t>
  </si>
  <si>
    <t>Foundation of Anhui Provincial Department of Education; Applied Medical Research Project of Hefei Municipal Health Commission</t>
  </si>
  <si>
    <t>This work is supported in part by the Foundation of Anhui Provincial Department of Education(Grant No. 2022AH051156), in part by the 2023 Applied Medical Research Project of Hefei Municipal Health Commission (Grant No. Hwk2023zc002).</t>
  </si>
  <si>
    <t>[Liang, Bingyu; Wang, Taibao; Zhang, Lei; Wang, Qin] Anhui Med Univ, Dept Otolaryngol Head &amp; Neck Surg, Affiliated Hosp 1, 218,Jixi Rd, Hefei 230032, Anhui Province, Peoples R China; [Gao, Yifan] Univ Sci &amp; Technol China, Sch Biomed Engn, Div Life Sci &amp; Med, Hefei, Anhui Province, Peoples R China; [Gao, Yifan] Shanghai Innovat Inst, Shanghai, Peoples R China</t>
  </si>
  <si>
    <t>Anhui Medical University; Chinese Academy of Sciences; University of Science &amp; Technology of China, CAS</t>
  </si>
  <si>
    <t>Multimodal large language models address clinical queries in laryngeal cancer surgery: a comparative evaluation of image interpretation across different models</t>
  </si>
  <si>
    <t>Gao, Yifan/KFQ-4836-2024</t>
  </si>
  <si>
    <t>Liang, Bing-Yu/0009-0009-7643-4087</t>
  </si>
  <si>
    <t>2730</t>
  </si>
  <si>
    <t>10.1097/JS9.0000000000002234</t>
  </si>
  <si>
    <t>http://dx.doi.org/10.1097/JS9.0000000000002234</t>
  </si>
  <si>
    <t>0DX6A</t>
  </si>
  <si>
    <t>39869389</t>
  </si>
  <si>
    <t>WOS:001445062100017</t>
  </si>
  <si>
    <t>Hassanein, FEA; Saad, SM; Hussein, RR; Abou-Bakr, A</t>
  </si>
  <si>
    <t>To evaluate the performance of a multimodal large language model (LLM) for longitudinal trajectory classification and risk stratification of oral lichen planus (OLP), compared with expert panel consensus. This retrospective diagnostic accuracy study included 300 patients with histopathologically confirmed OLP and at least 24 months of follow-up. Multimodal longitudinal case profiles (serial clinical records, intraoral photographs, and histopathology reports) were independently assessed by (ChatGPT, OpenAI) and an expert panel (the reference standard), both blinded to the results. The primary outcome was sensitivity for the detecting expert-defined high-risk cases (one-versus-rest). Secondary outcomes included overall trajectory classification and three-level risk stratification. Expert consensus classified 156 cases (52.0%) as stable benign, 92 (30.7%) as inflammatory progression, and 52 (17.3%) as suspicious malignant evolution. Risk stratification was 73 low (24.3%), 161 moderate (53.7%), and 66 high (22.0%). For high-risk detection, sensitivity was 78.8% (95% CI 67.2-87.5), and specificity was 99.6% (95% CI 97.6-100.0). Overall trajectory classification accuracy was 94.7%. Three-level risk stratification accuracy was 76.3%, with most errors representing downward shifts (98.6%). The multimodal LLM showed high concordance with expert consensus for longitudinal OLP surveillance, with high accuracy of trajectory classification and high specificity for high-risk identification. These findings suggest that multimodal LLMs may support trajectory-based assessment through integration of longitudinal clinical information, although prospective external validation remains necessary.</t>
  </si>
  <si>
    <t>Hassanein, Fatma E. A.; Saad, Salma M.; Hussein, Radwa R.; Abou-Bakr, Asmaa</t>
  </si>
  <si>
    <t>Abou-Bakr, A (corresponding author), Galala Univ, Fac Dent, Oral Med &amp; Periodontol, Suez, Egypt.</t>
  </si>
  <si>
    <t>asmaa.abdalraouf@gu.edu.eg</t>
  </si>
  <si>
    <t>Galala University</t>
  </si>
  <si>
    <t>Open access funding provided by The Science, Technology &amp; Innovation Funding Authority (STDF) in cooperation with The Egyptian Knowledge Bank (EKB).</t>
  </si>
  <si>
    <t>[Hassanein, Fatma E. A.] King Salman Int Univ, Fac Dent, Oral Med Periodontol &amp; Oral Diag, El Tor, Egypt; [Saad, Salma M.] Cairo Univ, Fac Dent, Oral Med &amp; Periodontol Dept, Giza, Egypt; [Hussein, Radwa R.] Ain Shams Univ, Oral Med &amp; Periodontol, Cairo, Egypt; [Abou-Bakr, Asmaa] Galala Univ, Fac Dent, Oral Med &amp; Periodontol, Suez, Egypt</t>
  </si>
  <si>
    <t>Trajectory-aware risk stratification of oral lichen planus using a multimodal large language model: a longitudinal diagnostic accuracy study</t>
  </si>
  <si>
    <t>Oral lichen planus; Artificial intelligence; Large language model; Risk stratification; Longitudinal monitoring</t>
  </si>
  <si>
    <t>AUG 13 2026</t>
  </si>
  <si>
    <t>25294</t>
  </si>
  <si>
    <t>10.1038/s41598-026-65667-2</t>
  </si>
  <si>
    <t>http://dx.doi.org/10.1038/s41598-026-65667-2</t>
  </si>
  <si>
    <t>MS7SO</t>
  </si>
  <si>
    <t>42595833</t>
  </si>
  <si>
    <t>WOS:001850002300009</t>
  </si>
  <si>
    <t>Ozkan, E; Koyun, M</t>
  </si>
  <si>
    <t>Background/Objectives: Bone age assessment is critical in pediatric endocrinology and forensic medicine. Although recently developed multimodal large language models (LLMs) show potential in medical imaging, their diagnostic performance in bone age determination has not been sufficiently evaluated. This study evaluates the performance of four multimodal LLMs (ChatGPT-5, Gemini 2.5 Pro, Grok-3, and Claude 4 Sonnet) in bone age determination using the Gilsanz-Ratib (GR) atlas. Methods: This retrospective study included 245 pediatric patients (109 male, 136 female) under the age of 18 who underwent left wrist radiography. Each model estimated bone age using the patient's radiograph and GR atlas as reference (atlas-assisted prompting). Bone age assessments made by an experienced radiologist using the GR atlas were evaluated as the reference standard. Performance was assessed using mean absolute error (MAE), intraclass correlation coefficient (ICC), and Bland-Altman analysis. Results: ChatGPT-5 demonstrated statistically superior performance, with an MAE of 1.46 years and ICC of 0.849, showing the highest alignment with the reference standard. Gemini 2.5 Pro showed moderate performance, with an MAE of 2.24 years; Grok-3 (MAE: 3.14 years) and Claude 4 Sonnet (MAE: 4.29 years) had error rates that were too high for clinical use. Conclusions: Significant performance differences exist among multimodal LLMs, despite atlas-supported prompting. Only ChatGPT-5 qualified as "clinically useful," demonstrating potential as an auxiliary tool or educational support under expert supervision. Other models' reliability remains insufficient.</t>
  </si>
  <si>
    <t>Ozkan, Erdem; Koyun, Mustafa</t>
  </si>
  <si>
    <t>Ozkan, E (corresponding author), Kastamonu Training &amp; Res Hosp, Dept Radiol, TR-37150 Kastamonu, Turkiye.</t>
  </si>
  <si>
    <t>erdem.ozkan1@saglik.gov.tr; mustafa.koyun1@saglik.gov.tr</t>
  </si>
  <si>
    <t>[Ozkan, Erdem; Koyun, Mustafa] Kastamonu Training &amp; Res Hosp, Dept Radiol, TR-37150 Kastamonu, Turkiye</t>
  </si>
  <si>
    <t>Atlas-Assisted Bone Age Estimation from Hand-Wrist Radiographs Using Multimodal Large Language Models: A Comparative Study</t>
  </si>
  <si>
    <t>bone age; artificial intelligence; large language model; radiology; ChatGPT; Google Gemini; Claude; Grok</t>
  </si>
  <si>
    <t>SAMPLE-SIZE; GREULICH; PYLE; PERFORMANCE; CHILDREN</t>
  </si>
  <si>
    <t>koyun, mustafa/HJI-2260-2023; Özkan, Erdem/JMC-3581-2023</t>
  </si>
  <si>
    <t>10.3390/diagnostics16030487</t>
  </si>
  <si>
    <t>http://dx.doi.org/10.3390/diagnostics16030487</t>
  </si>
  <si>
    <t>DO5XF</t>
  </si>
  <si>
    <t>41681804</t>
  </si>
  <si>
    <t>WOS:001688357600001</t>
  </si>
  <si>
    <t>Güler, I; Kraus, A; Grieb, G; Breidung, D; Lautenbach, M; Stelling, H</t>
  </si>
  <si>
    <t>Background/Objectives: Multimodal large language models (MLLMs) are increasingly evaluated for diagnostic tasks in medical imaging, including radiographic interpretation. However, most studies focus primarily on binary fracture detection and rarely assess clinically relevant fracture characteristics such as displacement or intra-articular extension, which influence treatment decisions. In addition, most evaluations rely on single-run inference designs that do not assess response reproducibility. This study evaluated the diagnostic performance and inter-run reliability of five MLLMs for radiographic assessment of distal radius fractures. Methods: Fifty fracture-positive distal radius radiographs were evaluated by five MLLMs (ChatGPT 5.3, Gemini 3.1 Pro, Claude Opus 4.6, Grok 4.1, and ERNIE 5.0) across five independent zero-shot inference runs (n = 1250 observations). Diagnostic tasks included fracture detection, intra-articular extension, and displacement. Sex and age were exploratory endpoints. Performance was summarized using sensitivity (fracture detection) and accuracy (other tasks), with inter-run reliability assessed via Fleiss' kappa. Results: Performance varied across tasks and models. Fracture detection sensitivity ranged from 39.6% to 99.6%, with two models exceeding 90%. Intra-articular extension accuracy ranged from 51.6% to 55.6%, consistent with chance-level performance. Displacement classification ranged from 34.8% to 70.4%. One model achieved substantial inter-run agreement across binary tasks (kappa &gt; 0.60), whereas two models showed slight agreement (kappa &lt; 0.20). Conclusions: Only two models exceeded 90% sensitivity for fracture detection, while intra-articular extension remained at chance level (&lt;= 55.6%). Substantial inter-run reliability (kappa &gt; 0.60) was observed in only one model. These findings indicate that current MLLMs do not reliably support multidimensional fracture assessment and that single-run evaluations overestimate robustness.</t>
  </si>
  <si>
    <t>Guler, Ibrahim; Kraus, Armin; Grieb, Gerrit; Breidung, David; Lautenbach, Martin; Stelling, Henrik</t>
  </si>
  <si>
    <t>Güler, I (corresponding author), Otto von Guericke Univ, Dept Plast Aesthet &amp; Hand Surg, D-39120 Magdeburg, Germany.; Güler, I (corresponding author), Friedrich Alexander Univ Erlangen Nurnberg FAU, Dept Hlth Management, Lange Gasse 20, D-90403 Nurnberg, Germany.</t>
  </si>
  <si>
    <t>ibrahim.gueler@med.ovgu.de; david.breidung@usz.ch; henrikstelling@googlemail.com; m.lautenbach@waldfriede.de; armin.kraus@med.ovgu.de; gerritgrieb@gmx.de</t>
  </si>
  <si>
    <t>[Guler, Ibrahim; Kraus, Armin] Otto von Guericke Univ, Dept Plast Aesthet &amp; Hand Surg, D-39120 Magdeburg, Germany; [Guler, Ibrahim; Stelling, Henrik] Friedrich Alexander Univ Erlangen Nurnberg FAU, Dept Hlth Management, Lange Gasse 20, D-90403 Nurnberg, Germany; [Grieb, Gerrit] Gemeinschaftskrankenhaus Havelhoehe, Dept Plast Surg &amp; Hand Surg, Kladower Damm 221, D-14089 Berlin, Germany; [Grieb, Gerrit] Rhein Westfal TH Aachen, Med Fac, Dept Plast Surg &amp; Hand Surg, Pauwelsstr 30, D-52074 Aachen, Germany; [Breidung, David] Univ Witten Herdecke, Dept Hlth, D-58455 Witten, Germany; [Breidung, David] Univ Hosp Zurich, Dept Plast Surg &amp; Hand Surg, Ramistr 100, CH-8091 Zurich, Switzerland; [Lautenbach, Martin] Waldfriede Hosp, Dept Hand Surg Orthoped &amp; Trauma Surg, Argentin Allee 40, D-14163 Berlin, Germany; [Stelling, Henrik] Rubensstr 125, D-12157 Berlin, Germany</t>
  </si>
  <si>
    <t>Otto von Guericke University; University of Erlangen Nuremberg; RWTH Aachen University; Witten Herdecke University; University of Zurich; University Zurich Hospital</t>
  </si>
  <si>
    <t>AI in Hand and Wrist Radiography: Multimodal Large Language Models for Distal Radius Fracture Detection and Characterization</t>
  </si>
  <si>
    <t>multimodal large language models; generative artificial intelligence; orthopedic radiography; distal radius fracture; fracture detection; intra-articular extension; fracture displacement; sensitivity; inter-run reliability; medical image interpretation</t>
  </si>
  <si>
    <t>AGREEMENT</t>
  </si>
  <si>
    <t>Lautenbach, Martin/IUQ-4118-2023</t>
  </si>
  <si>
    <t>APR 15 2026</t>
  </si>
  <si>
    <t>1171</t>
  </si>
  <si>
    <t>10.3390/diagnostics16081171</t>
  </si>
  <si>
    <t>http://dx.doi.org/10.3390/diagnostics16081171</t>
  </si>
  <si>
    <t>HE0BT</t>
  </si>
  <si>
    <t>42072797</t>
  </si>
  <si>
    <t>WOS:001751797300001</t>
  </si>
  <si>
    <t>Ciflik, KB; Ciflik, BO</t>
  </si>
  <si>
    <t>Introduction Pneumothorax is a potentially life-threatening clinical condition requiring rapid diagnosis and intervention. It may present with symptoms such as dyspnoea, cough, chest pain, tachycardia, and tachypnoea. Heavy workload and technical limitations of chest radiographs may necessitate support for clinicians during the evaluation process. Recently, large language models (LLMs) have increased interest in using their ability to process both text and medical images as supportive tools in diagnostic processes. This study analyzed the performance of two widely used multimodal LLMs in diagnosing pneumothorax in a real clinical setting. Materials and methods Clinical information and anonymized chest X-rays were presented to both models using an eight-question evaluation file. The responses obtained were compared with the consensus assessment of two thoracic surgeons, considered the gold standard. Results Pneumothorax was detected in 30 of the total 240 patients (12.5%). ChatGPT demonstrated 100% sensitivity, 91.4% specificity, 62.5% positive predictive value (PPV), and 100% negative predictive value (NPV) in detecting pneumothorax. Gemini had a sensitivity of 70.0%, specificity of 92.9%, PPV of 58.3%, and NPV of 95.6%. The performance of both models in determining the side of pneumothorax was markedly low: ChatGPT had a sensitivity of 14.3%, and Gemini had a sensitivity of 10.0%. When it involved determining the type of pneumothorax, ChatGPT demonstrated a sensitivity of 36.7% (95% CI: 21.9-54.5), while Gemini showed a sensitivity of 60.0% (95% CI: 42.3-75.4). Both models exhibited high specificity (&gt; 91%). When assessing the need for tube thoracostomy, ChatGPT showed 57.7% sensitivity and 94.4% specificity, whereas Gemini showed 46.2% sensitivity and 95.8% specificity. NPV was high and PPV was low in both models. Conclusion Multimodal LLMs demonstrated high sensitivity in ruling out pneumothorax; however, limitations in agreement, localisation, and management decisions restrict their role to cautious, supportive use under specialist supervision.</t>
  </si>
  <si>
    <t>Ciflik, Kadir Baturhan; Ozdemir Ciflik, Busra</t>
  </si>
  <si>
    <t>Ciflik, BO (corresponding author), Kirikkale Univ, Fac Med, Dept Thorac Surg, Kirikkale, Turkiye.</t>
  </si>
  <si>
    <t>ozdemirbusra89@gmail.com; baturhanciflik@gmail.com</t>
  </si>
  <si>
    <t>[Ciflik, Kadir Baturhan] Kirikkale Yuksek Ihtisas Hosp, Dept Thorac Surg, Kirikkale, Turkiye; [Ozdemir Ciflik, Busra] Kirikkale Univ, Fac Med, Dept Thorac Surg, Kirikkale, Turkiye</t>
  </si>
  <si>
    <t>Kirikkale University; Kirikkale Yuksek Ihtisas Hospital; Kirikkale University</t>
  </si>
  <si>
    <t>Evaluation of multimodal large language models for pneumothorax assessment in real-world clinical scenarios</t>
  </si>
  <si>
    <t>BMC PULMONARY MEDICINE</t>
  </si>
  <si>
    <t>ChatGPT; Gemini; Pneumothorax; Artificial intelligence</t>
  </si>
  <si>
    <t>MANAGEMENT</t>
  </si>
  <si>
    <t>Çiflik, Kadir Baturhan/HPG-9632-2023; ÖZDEMİR ÇİFLİK, Büşra/IAM-0655-2023</t>
  </si>
  <si>
    <t>1471-2466</t>
  </si>
  <si>
    <t>BMC PULM MED</t>
  </si>
  <si>
    <t>BMC Pulm. Med.</t>
  </si>
  <si>
    <t>10.1186/s12890-026-04151-z</t>
  </si>
  <si>
    <t>http://dx.doi.org/10.1186/s12890-026-04151-z</t>
  </si>
  <si>
    <t>Respiratory System</t>
  </si>
  <si>
    <t>EY0BI</t>
  </si>
  <si>
    <t>41645118</t>
  </si>
  <si>
    <t>WOS:001712424100002</t>
  </si>
  <si>
    <t>Wu, QX; Zhang, PP; Yi, ZF; Shen, Y; Bai, Y; Tan, HN; Dong, P; Xue, Z; Roberts, N; Wang, MY</t>
  </si>
  <si>
    <t>Background: Multimodal large language models are increasingly used in radiological diagnosis, but their performance has not been systematically evaluated across volumetric (3D) imaging, real-world clinical versus public teaching cases, and bilingual contexts. Objective: The aim of the study is to develop a bilingual radiology benchmark and characterize the diagnostic performance of state-of-the-art multimodal large language models across input modality, clinical setting (public teaching vs routine clinical), disease rarity, and clinical-history language and to disentangle linguistic from clinical-content effects through a cross-linguistic control experiment. Methods: We constructed RadM-Bench, comprising 720 cases evenly distributed across 9 radiological subspecialties: 360 English public teaching cases enriched in rare diseases (RadEdu) and 360 Chinese routine clinical cases (RealClin). In total, 4 proprietary models (GPT-4o, O3, Gemini-2-Flash, and Gemini-2.5-Flash-Thinking) and 6 open-source models (Qwen2.5-VL-72B/7B, InternVL3-78B/8B, Llama-4-Scout-17B-16E, and MedGemma-4B) were evaluated under 4 input conditions: clinical history alone, history with radiologist-selected 2D key images, and history with volumetric data sampled at 2 and 10 frames per second (fps). Each response was scored on a 4-tier 0-3 diagnostic-quality rubric by 2 board-certified radiologists blinded to model identity. Mean scores with bias-corrected and accelerated bootstrap 95% CIs are reported. To disentangle language from clinical content, all 360 RealClin histories were translated into English and re-evaluated, with paired comparisons by Wilcoxon signed-rank tests and Benjamini-Hochberg false-discovery-rate correction. Results: Mean performance remained below 1.5 on the 0-3 scale for all 10 models on both datasets. Adding radiologist-selected 2D key images to clinical history improved performance in all 10 models (+19.8% to +139.2%). In RealClin at fps=10, all 8 evaluable models scored lower with volumetric input than with the 2D-image baseline (-5.3% to-31.4%); MedGemma-4B and Llama-4-Scout-17B-16E could only be evaluated at fps=2 due to context-window and graphics processing unit-memory constraints. At fps=2, a total of 8 out of 10 models declined (-6.8% to-28.6%), while Qwen2.5-VL-7B and InternVL3-8B showed marginal improvements (+2.4% and +2.1%). Cross-dataset transfer diverged by model category: proprietary models declined from RadEdu to RealClin (eg, O3 with images: 1.14 to 0.79), whereas Chinese-centric open-source models improved (eg, InternVL3-78B: 0.48 to 0.75). The rare-disease premium observed in 9 out of 10 models in RadEdu reversed in RealClin, where common-disease scores exceeded rare-disease scores in 7 out of 10 models under history-only input. Translating RealClin histories into English produced a numerical decrease in mean score for all 10 models, which were statistically significant in 9 out of 10 models after false discovery rate correction, excluding a Chinese-language penalty. Conclusions: Within the scope of this benchmark, multimodal inputs improved performance over clinical history alone, but performance gaps remain in volumetric data processing and cross-context generalization, with mean diagnostic performance across the 10 evaluated models remaining below clinically actionable levels on both datasets.</t>
  </si>
  <si>
    <t>Wu, Qingxia; Zhang, Peipei; Yi, Zhifeng; Shen, Yu; Bai, Yan; Tan, Hongna; Dong, Pei; Xue, Zhong; Roberts, Neil; Wang, Meiyun</t>
  </si>
  <si>
    <t>Wang, MY (corresponding author), Zhengzhou Univ, Henan Prov Peoples Hosp, Dept Med Imaging, 7 Weiwu Rd, Zhengzhou 450003, Henan, Peoples R China.; Wang, MY (corresponding author), Zhengzhou Univ, Peoples Hosp, 7 Weiwu Rd, Zhengzhou 450003, Henan, Peoples R China.</t>
  </si>
  <si>
    <t>mywang@zzu.edu.cn</t>
  </si>
  <si>
    <t>National Natural Science Foundation of China [82441022, 82441023, 82371934]; National Key Research and Development Program of China [2023YFC2414200]; Joint Fund of Henan Province Science and Technol-ogy Research and Development Program [225200810062]; Beijing Natural Science Foundation [IS24053]</t>
  </si>
  <si>
    <t>National Natural Science Foundation of China (National Natural Science Foundation of China (NSFC)); National Key Research and Development Program of China; Joint Fund of Henan Province Science and Technol-ogy Research and Development Program; Beijing Natural Science Foundation (Beijing Natural Science Foundation)</t>
  </si>
  <si>
    <t>Funding This study was funded by the National Natural Science Foundation of China (82441022, 82441023, and 82371934) , National Key Research and Development Program of China (2023YFC2414200) , Joint Fund of Henan Province Science and Technol-ogy Research and Development Program (225200810062) , and Beijing Natural Science Foundation (IS24053) .</t>
  </si>
  <si>
    <t>[Wu, Qingxia; Shen, Yu; Bai, Yan; Tan, Hongna; Wang, Meiyun] Zhengzhou Univ, Henan Prov Peoples Hosp, Dept Med Imaging, 7 Weiwu Rd, Zhengzhou 450003, Henan, Peoples R China; [Wu, Qingxia; Shen, Yu; Bai, Yan; Tan, Hongna; Wang, Meiyun] Zhengzhou Univ, Peoples Hosp, 7 Weiwu Rd, Zhengzhou 450003, Henan, Peoples R China; [Wu, Qingxia; Dong, Pei] United Imaging Intelligence, Dept Res &amp; Cooperat, Beijing, Peoples R China; [Zhang, Peipei] Hangzhou Canc Hosp, Dept Nucl Med, Hangzhou, Zhejiang, Peoples R China; [Yi, Zhifeng] Huangshi Cent Hosp, Emergency Dept, Huangshi, Hubei, Peoples R China; [Xue, Zhong] United Imaging Intelligence, Dept Res &amp; Cooperat, Shanghai, Peoples R China; [Roberts, Neil] Henan Acad Sci, Biomed Res Inst, Zhengzhou, Henan, Peoples R China; [Roberts, Neil] Univ Edinburgh, Inst Regenerat &amp; Repair, Ctr Reprod Hlth, Edinburgh, Scotland</t>
  </si>
  <si>
    <t>A Bilingual Benchmark for Evaluating Diagnostic Performance of Multimodal Large Language Models in Radiology (RadM-Bench): Evaluation Development and Validation</t>
  </si>
  <si>
    <t>benchmark; multimodal; large language model; radiology; diagnosis</t>
  </si>
  <si>
    <t>AUG 7 2026</t>
  </si>
  <si>
    <t>e92183</t>
  </si>
  <si>
    <t>10.2196/92183</t>
  </si>
  <si>
    <t>http://dx.doi.org/10.2196/92183</t>
  </si>
  <si>
    <t>MS1II</t>
  </si>
  <si>
    <t>42566748</t>
  </si>
  <si>
    <t>WOS:001849568300010</t>
  </si>
  <si>
    <t>Zheng, DS; Pang, PCI; He, P; Sun, Y; Yan, HJ; Xiong, XY; Cui, LG; Tan, T; Bao, LY</t>
  </si>
  <si>
    <t>Large language models (LLMs) have emerged in medical image analysis and can provide accurate and personalized medical services for doctors and patients. However, by simply utilizing textual information and ignoring other modal details such as images, LLMs fail to achieve high accuracy in the early diagnosis of breast cancer and thus have not yet been seamlessly integrated into the clinical practice of breast cancer diagnosis. Therefore, this study proposes that the Parallel Multimodal Language Model (PMLM) combines images and text, integrates visual and semantic information in text for early screening and diagnosis of breast cancer, and improves the accuracy of early screening and diagnosis, while also enhancing health system access. In addition, existing multimodal diagnostic methods are evaluated. The final experimental results reveal that the PMLM achieves an F1 of 0.87 [95% CI: 0.85-0.89] and an Area Under Curve (AUC) of 0.90 [95% CI, 0.89, 0.92] in the early diagnosis of breast cancer, both of which exceeded those of the existing baseline model.</t>
  </si>
  <si>
    <t>Zheng, Dashun; Pang, Patrick Cheong-Iao; He, Ping; Sun, Yue; Yan, Hongju; Xiong, Xiangyu; Cui, Ligang; Tan, Tao; Bao, Lingyun</t>
  </si>
  <si>
    <t>Pang, PCI; Tan, T (corresponding author), Macao Polytech Univ, Fac Appl Sci, Macau, Peoples R China.; Bao, LY (corresponding author), Westlake Univ, Affiliated Hangzhou Peoples Hosp 1, Sch Med, Ultrasound Dept, Hangzhou, Peoples R China.</t>
  </si>
  <si>
    <t>taotanjs@gmail.com; mail@patrickpang.net; baolingyun2021@163.com</t>
  </si>
  <si>
    <t>Macao Science and Technology Development Fund; Macao Polytechnic University [fca.9d32.2766.7]</t>
  </si>
  <si>
    <t>Macao Science and Technology Development Fund; Macao Polytechnic University</t>
  </si>
  <si>
    <t>This study is supported by the Macao Science and Technology Development Fund (File No. 0105/2022/A) and Macao Polytechnic University (Submission Code: fca.9d32.2766.7).</t>
  </si>
  <si>
    <t>[Zheng, Dashun; Pang, Patrick Cheong-Iao; Sun, Yue; Xiong, Xiangyu; Tan, Tao] Macao Polytech Univ, Fac Appl Sci, Macau, Peoples R China; [He, Ping; Cui, Ligang] Peking Univ Third Hosp, Dept Ultrasound, Beijing, Peoples R China; [Yan, Hongju; Bao, Lingyun] Westlake Univ, Affiliated Hangzhou Peoples Hosp 1, Sch Med, Ultrasound Dept, Hangzhou, Peoples R China</t>
  </si>
  <si>
    <t>Macao Polytechnic University; Peking University; Westlake University</t>
  </si>
  <si>
    <t>Parallel Multimodal Language Model: Enhanced Breast Nodule Diagnosis through Parallel Multimodal Representations and Large Language Models</t>
  </si>
  <si>
    <t>breast cancer; large language models; medical diagnosis; multimodal learning; ultrasound report</t>
  </si>
  <si>
    <t>Xiong, Xiangyu/LZE-1404-2025; Pang, Patrick/B-2515-2016</t>
  </si>
  <si>
    <t>Tan, Tao/0000-0001-5403-0887; Pang, Patrick/0000-0002-8820-5443</t>
  </si>
  <si>
    <t>2500085</t>
  </si>
  <si>
    <t>10.1002/aisy.202500085</t>
  </si>
  <si>
    <t>http://dx.doi.org/10.1002/aisy.202500085</t>
  </si>
  <si>
    <t>WOS:001533170300001</t>
  </si>
  <si>
    <t>An, ST; Yuan, JM; Pan, Y; Ye, MQ; Chen, ZH; Li, MY; Yan, PY; Yao, JL; Guan, YJ; Lin, Y; Wang, WJ; Dilimulati, H; Teng, YY; Dai, KY; Bai, YQ; Ge, JB; Deng, D</t>
  </si>
  <si>
    <t>Myocardial ischemia remains one of the principal causes of mortality and morbidity worldwide, necessitating novel approaches to facilitate early diagnosis and subsequent risk evaluation following reperfusion. Although advancements in wearables capable of ECG (electrocardiogram) monitoring have been initiated, these devices have encountered barriers due to limited capacities to encapsulate the temporally complex nature of ischemic events, notably in risk stratifying reperfusion injury. In this paper, we describe a framework that leverages bionic, wearable ECG sensor technologies along with multimodal large language models using a coherent temporal modeling effort to address the intertwining of fine-grained temporal dependencies, heterogeneous biomedical modalities, and interpretable risk stratification. Our temporally hierarchical fusion transformer utilizes a cross-granularity attention mechanism to model intrabeat, interbeat, and long-term dependencies all simultaneously. The validation of our system was carried out using 4 datasets across n = 108,778 patients, 17,173 of whom were ischemia-positive cases (4,627 from PTB-XL, 5,243 from MIMIC-IV, 6,891 from CODE-15%, and 412 in the wearable cohort). The area under receiver operating characteristic curve (AUROC) for the model for ischemia was 0.947, and the C-index for post-reperfusion risk stratification was 0.923, with a relative AUROC improvement of 4.8% to 9.5% over the best baseline in each dataset. Importantly, we achieved an average lead time of 18.4 min prior to the ischemic event to allow the clinician to enact interventions. Ultimately, this research demonstrates a prototype of an intelligent cardiovascular care monitoring system that couples advanced sensing with clinical decision support.</t>
  </si>
  <si>
    <t>An, Songtao; Yuan, Jiamin; Pan, Yang; Ye, Miaoqing; Chen, Zhenghan; Li, Minying; Yan, Panyue; Yao, Jiali; Guan, Yujie; Lin, Yan; Wang, Wenjuan; Dilimulati, Haliminai; Teng, Yuanyin; Dai, Keyu; Bai, Yuqi; Ge, Junbo; Deng, Dong</t>
  </si>
  <si>
    <t>Deng, D (corresponding author), Guangzhou Univ Chinese Med, Sch Pharmaceut Sci, Guangzhou 510006, Peoples R China.; Ge, JB (corresponding author), Zhengzhou Univ, Fuwai Cent China Cardiovasc Hosp, Henan Prov Cell &amp; Gene Engn Technol Res Ctr Cardio, Cent China Fuwai Hosp,Henan Prov Cell &amp; Gene Engn, Zhengzhou 450003, Peoples R China.; Bai, YQ (corresponding author), Nanjing Med Univ, Affiliated BenQ Hosp, Nanjing BenQ Med Ctr, Nanjing 210019, Peoples R China.</t>
  </si>
  <si>
    <t>bai_peking@163.com; dengdong@gzucm.edu.cn; jbge@zs-hospital.sh.cn</t>
  </si>
  <si>
    <t>National Natural Science Grant of China [81970312]; Soochow University Horizontal Project [H230269 and H240140]; Youth Programme of National Natural Science Foundation of China [82304983]</t>
  </si>
  <si>
    <t>National Natural Science Grant of China (National Natural Science Foundation of China (NSFC)); Soochow University Horizontal Project; Youth Programme of National Natural Science Foundation of China</t>
  </si>
  <si>
    <t>The project is funded by the Youth Programme of National Natural Science Foundation of China (No. 82304983), the National Natural Science Grant of China (No. 81970312), the Soochow University Horizontal Project (Code Numbers: H230269 and H240140), and the Multi-center Clinical Research Project for Major Diseases in Suzhou (Grant Number: DZXYJ202302). This research is supported by the Undergraduate Innovation Laboratory of School of Pharmaceutical Science, Guangzhou University of Chinese Medicine.</t>
  </si>
  <si>
    <t>[Guan, Yujie; Lin, Yan; Deng, Dong] Guangzhou Univ Chinese Med, Sch Pharmaceut Sci, Guangzhou 510006, Peoples R China; [An, Songtao; Wang, Wenjuan; Dilimulati, Haliminai] Zhengzhou Univ, Fuwai Cent China Cardiovasc Hosp,Key Lab Cardiovas, Natl Hlth Commiss,Cent China Subctr Natl Ctr Cardi, Cent China Fuwai Hosp,Henan Cardiovasc Dis Ctr, Zhengzhou 450046, Peoples R China; [An, Songtao; Wang, Wenjuan; Dilimulati, Haliminai] Zhengzhou Univ, Fuwai Cent China Cardiovasc Hosp, Cent China Fuwai Hosp, Dept Cardiol, Zhengzhou 450046, Peoples R China; [An, Songtao; Wang, Wenjuan; Dilimulati, Haliminai; Ge, Junbo] Fudan Univ, Zhongshan Hosp, Shanghai Inst Cardiovasc Dis, Natl Clin Res Ctr Intervent Med,Dept Cardiol, Shanghai 200000, Peoples R China; [An, Songtao; Wang, Wenjuan; Dilimulati, Haliminai; Ge, Junbo] Zhengzhou Univ, Fuwai Cent China Cardiovasc Hosp, Henan Prov Cell &amp; Gene Engn Technol Res Ctr Cardio, Cent China Fuwai Hosp,Henan Prov Cell &amp; Gene Engn, Zhengzhou 450003, Peoples R China; [Yuan, Jiamin] Soochow Univ, Affiliated Hosp 1, Dept Cardiol, Suzhou 215000, Peoples R China; [Pan, Yang] Youjiang Med Univ Nationalities, Affiliated Hosp, Dept Resp &amp; Crit Care Med, Baise 533000, Peoples R China; [Pan, Yang] Key Lab Res &amp; Dev Clin Mol Diag High Incidence Dis, Baise 533000, Peoples R China; [Ye, Miaoqing] Shaanxi Prov Hosp Tradit Chinese Med, Dept Hepatol, Xian 710003, Peoples R China; [Chen, Zhenghan] Peking Univ, Sch Software &amp; Microelect, Beijing 100871, Peoples R China; [Li, Minying] Guangzhou Univ Chinese Med, Sch Basic Med Sci, Guangzhou 510006, Peoples R China; [Yan, Panyue] Shaanxi Univ Chinese Med, Sch Clin Med 1, Xian 712046, Peoples R China; [Yao, Jiali] Naval Med Univ, Clin Canc Inst, Ctr Translat Med, Shanghai 200433, Peoples R China; [Teng, Yuanyin] Zhejiang Univ, Inst Hematol, Hangzhou 310003, Peoples R China; [Dai, Keyu] Wenzhou Med Univ, Alberta Inst, Wenzhou 325035, Peoples R China; [Bai, Yuqi] Nanjing Med Univ, Affiliated BenQ Hosp, Nanjing BenQ Med Ctr, Nanjing 210019, Peoples R China</t>
  </si>
  <si>
    <t>Guangzhou University of Chinese Medicine; Zhengzhou University; Zhengzhou University; Fudan University; Zhengzhou University; Soochow University - China; Youjiang Medical University for Nationalities; Peking University; Guangzhou University of Chinese Medicine; Shaanxi University of Chinese Medicine; Naval Medical University; Zhejiang University; Wenzhou Medical University; Nanjing Medical University</t>
  </si>
  <si>
    <t>Bionic Wearable ECG with Multimodal Large Language Models: Coherent Temporal Modeling for Early Ischemia Warning and Reperfusion Risk Stratification</t>
  </si>
  <si>
    <t>CYBORG AND BIONIC SYSTEMS</t>
  </si>
  <si>
    <t>Yao, Jiali/HKV-7730-2023; Guan, Yujie/PAU-0516-2025; Teng, Yuanyin/NTQ-2626-2025</t>
  </si>
  <si>
    <t>AMER ASSOC ADVANCEMENT SCIENCE</t>
  </si>
  <si>
    <t>WASHINGTON</t>
  </si>
  <si>
    <t>1200 NEW YORK AVE, NW, WASHINGTON, DC 20005 USA</t>
  </si>
  <si>
    <t>2692-7632</t>
  </si>
  <si>
    <t>CYBORG BIONIC SYST</t>
  </si>
  <si>
    <t>Cyborg Bionic Syst.</t>
  </si>
  <si>
    <t>MAR 2 2026</t>
  </si>
  <si>
    <t>0501</t>
  </si>
  <si>
    <t>10.34133/cbsystems.0501</t>
  </si>
  <si>
    <t>http://dx.doi.org/10.34133/cbsystems.0501</t>
  </si>
  <si>
    <t>Engineering, Biomedical; Robotics</t>
  </si>
  <si>
    <t>Engineering; Robotics</t>
  </si>
  <si>
    <t>EK1LQ</t>
  </si>
  <si>
    <t>42158527</t>
  </si>
  <si>
    <t>WOS:001702996600001</t>
  </si>
  <si>
    <t>Camlet, A; Kusiak, A; Ossowska, A; Swietlik, D</t>
  </si>
  <si>
    <t>Background: Periodontitis is a multifactorial disease leading to the loss of clinical attachment and alveolar bone. The diagnosis of periodontitis involves a clinical examination and radiographic evaluation, including panoramic images. Panoramic radiographs are cost-effective methods widely used in periodontitis classification. The remaining bone height (RBH) is a parameter used to assess the alveolar bone level. Large language models are widely utilized in the medical sciences. ChatGPT, the leading conversational model, has recently been extended to process visual data. The aim of this study was to assess the effectiveness of the ChatGPT models 4.5, o1, o3 and o4-mini-high in RBH measurement and tooth counts in relation to dental professionals' evaluations. Methods: The analysis was based on 10 panoramic images, from which 252, 251, 246 and 271 approximal sites were qualified for the RBH measurement (using the models 4.5, o1, o3 and o4-mini-high, respectively). Three examiners were asked to independently evaluate the RBH in approximal sites, while the tooth count was achieved by consensus. Subsequently, the results were compared with the ChatGPT outputs. Results: ChatGPT 4.5, ChatGPT o3 and ChatGPT o4-mini-high achieved substantial agreement with clinicians in the assessment of tooth counts (kappa = 0.65, kappa = 0.66, kappa = 0.69, respectively), while ChatGPT o1 achieved moderate agreement (kappa = 0.52). In the context of RBH values, the ChatGPT models consistently exhibited a positive mean bias compared with the clinicians. ChatGPT 4.5 was reported to provide the lowest bias (+12 percentage points (pp) for the distal surfaces, width of the 95% CI for limits of agreement (LoAs) similar to 60 pp; +11 pp for the mesial surfaces, LoA width similar to 54 pp). Conclusions: ChatGPT 4.5 and ChatGPT o3 show potential in the assessment of tooth counts on a panoramic radiograph; however, their present level of accuracy is insufficient for clinical use. In the current stage of development, the ChatGPT models substantially overestimated the RBH values; therefore, they are not applicable for classifying periodontal disease.</t>
  </si>
  <si>
    <t>Camlet, Albert; Kusiak, Aida; Ossowska, Agata; Swietlik, Dariusz</t>
  </si>
  <si>
    <t>Swietlik, D (corresponding author), Med Univ Gdansk, Div Biostat &amp; Neural Networks, Debinki 1 St, PL-80211 Gdansk, Poland.</t>
  </si>
  <si>
    <t>akusiak@gumed.edu.pl; dariusz.swietlik@gumed.edu.pl; acamlet@gumed.edu.pl; agata.ossowska@gumed.edu.pl</t>
  </si>
  <si>
    <t>[Camlet, Albert; Kusiak, Aida; Ossowska, Agata] Med Univ Gdansk, Dept Periodontol &amp; Oral Mucosa Dis, Orzeszkowej 18 St, PL-80208 Gdansk, Poland; [Swietlik, Dariusz] Med Univ Gdansk, Div Biostat &amp; Neural Networks, Debinki 1 St, PL-80211 Gdansk, Poland</t>
  </si>
  <si>
    <t>Fahrenheit Universities; Medical University Gdansk; Fahrenheit Universities; Medical University Gdansk</t>
  </si>
  <si>
    <t>Advances in Periodontal Diagnostics: Application of MultiModal Language Models in Visual Interpretation of Panoramic Radiographs</t>
  </si>
  <si>
    <t>periodontitis; bone loss; panoramic radiographs; large language models; multimodal language models; ChatGPT; convolutional neural networks; deep learning</t>
  </si>
  <si>
    <t>BEAM COMPUTED-TOMOGRAPHY; ALVEOLAR BONE LEVELS</t>
  </si>
  <si>
    <t>Ossowska, Agata/JDD-2925-2023; Świetlik, Dariusz/AHA-8011-2022; Kusiak, Aida/Y-9420-2019</t>
  </si>
  <si>
    <t>Ossowska, Agata/0000-0001-5812-6915; Camlet, Albert/0009-0007-1515-9064; Świetlik, Dariusz/0000-0002-9127-7368; Kusiak, Aida/0000-0003-2846-1469</t>
  </si>
  <si>
    <t>JUL 23 2025</t>
  </si>
  <si>
    <t>1851</t>
  </si>
  <si>
    <t>10.3390/diagnostics15151851</t>
  </si>
  <si>
    <t>http://dx.doi.org/10.3390/diagnostics15151851</t>
  </si>
  <si>
    <t>6EC6U</t>
  </si>
  <si>
    <t>40804816</t>
  </si>
  <si>
    <t>WOS:001551179100001</t>
  </si>
  <si>
    <t>Zhao, YQ; Li, ZY; Jin, Z; Zhang, F; Wang, ZL; Wu, LW; Dou, CF; Zhao, HY; Xu, XH</t>
  </si>
  <si>
    <t>Multimodal large language models (MLLMs) have already begun to be used in visual question answering (VQA), autonomous driving, and smart healthcare, showing great application potential. However, existing MLLMs have significant gaps compared with human intelligence in terms of spatial awareness tasks, especially in accurately identifying and interpreting complex spatial relationships between target entities. This deficiency severely impacts the accuracy of VQA, the safety of autonomous driving, and the reliability of smart healthcare. In order to meet the requirements for the accuracy of spatial relationship recognition in specific applications, we propose a novel framework named PGPL, which attempts to enhance the spatial awareness ability of an MLLM by integrating precise geometric position information between target entities on the MLLM without the need for additional training of the MLLM. Specifically, the PGPL framework leverages the spatial position generation model and the scene graph generation model to obtain geometric absolute position and geometric relative position of the target entities in the visual input. And then, it introduces a multidimensional information fusion strategy to guide the MLLM to accurately answer questions related to spatial awareness. The quantitative experimental results of six popular datasets and twelve MLLMs, as well as the related qualitative experimental results, fully demonstrate the importance of the precise geometric position information for correctly answering spatial awareness questions, and demonstrate the superiority of the PGPL framework.</t>
  </si>
  <si>
    <t>Zhao, Yongqiang; Li, Zhenyu; Jin, Zhi; Zhang, Feng; Wang, Ziliang; Wu, Lianwei; Dou, Chengfeng; Zhao, Haiyan; Xu, Xinhai</t>
  </si>
  <si>
    <t>Jin, Z (corresponding author), Peking Univ, Key Lab High Confidence Software Technol, Minist Educ, Beijing 100871, Peoples R China.; Jin, Z (corresponding author), Peking Univ, Sch Comp Sci, Beijing 100871, Peoples R China.; Zhang, F; Xu, XH (corresponding author), Acad Mil Sci, Beijing 100089, Peoples R China.</t>
  </si>
  <si>
    <t>zhangfeng@nudt.edu.cn; xuxinhai@nudt.edu.cn; zhijin@pku.edu.cn</t>
  </si>
  <si>
    <t>National Science and Technology Major Project [2020AAA0109401]; National Natural Science Foundation of China [62192731]; Key Laboratory of High Confidence Software Technologies (Peking University)</t>
  </si>
  <si>
    <t>National Science and Technology Major Project; National Natural Science Foundation of China (National Natural Science Foundation of China (NSFC)); Key Laboratory of High Confidence Software Technologies (Peking University)</t>
  </si>
  <si>
    <t>This work was supported by National Science and Technology Major Project (Grant No. 2020AAA0109401) and National Natural Science Foundation of China (Grant No. 62192731). We would like to express our gratitude to Key Laboratory of High Confidence Software Technologies (Peking University), Ministry of Education, for providing computing resources.</t>
  </si>
  <si>
    <t>[Zhao, Yongqiang; Jin, Zhi; Wang, Ziliang; Dou, Chengfeng; Zhao, Haiyan] Peking Univ, Key Lab High Confidence Software Technol, Minist Educ, Beijing 100871, Peoples R China; [Zhao, Yongqiang; Jin, Zhi; Wang, Ziliang; Dou, Chengfeng; Zhao, Haiyan] Peking Univ, Sch Comp Sci, Beijing 100871, Peoples R China; [Li, Zhenyu; Zhang, Feng; Xu, Xinhai] Acad Mil Sci, Beijing 100089, Peoples R China; [Wu, Lianwei] Northwestern Polytech Univ, Sch Comp Sci, Xian 710072, Peoples R China</t>
  </si>
  <si>
    <t>Peking University; Peking University; Northwestern Polytechnical University</t>
  </si>
  <si>
    <t>PGPL: enhancing spatial awareness abilities of multimodal large language models based on precise geometric position learning</t>
  </si>
  <si>
    <t>SCIENCE CHINA-INFORMATION SCIENCES</t>
  </si>
  <si>
    <t>multimodal large language model; spatial awareness; geometric position learning; geometric absolute position; geometric relative position; multidimensional information fusion</t>
  </si>
  <si>
    <t>Li, ZhenYu/HSH-9452-2023; Zhao, Yongqiang/X-8054-2019</t>
  </si>
  <si>
    <t>SCIENCE PRESS</t>
  </si>
  <si>
    <t>BEIJING</t>
  </si>
  <si>
    <t>16 DONGHUANGCHENGGEN NORTH ST, BEIJING 100717, PEOPLES R CHINA</t>
  </si>
  <si>
    <t>1674-733X</t>
  </si>
  <si>
    <t>1869-1919</t>
  </si>
  <si>
    <t>SCI CHINA INFORM SCI</t>
  </si>
  <si>
    <t>Sci. China-Inf. Sci.</t>
  </si>
  <si>
    <t>122103</t>
  </si>
  <si>
    <t>10.1007/s11432-024-4416-8</t>
  </si>
  <si>
    <t>http://dx.doi.org/10.1007/s11432-024-4416-8</t>
  </si>
  <si>
    <t>Computer Science, Information Systems; Engineering, Electrical &amp; Electronic</t>
  </si>
  <si>
    <t>8MF9H</t>
  </si>
  <si>
    <t>WOS:001592016500001</t>
  </si>
  <si>
    <t>Güler, I; Grieb, G; Kraus, A; Lautenbach, M; Stelling, H</t>
  </si>
  <si>
    <t>Background/Objectives: Multimodal large language models (MLLMs) offer potential for automated fracture detection, yet their diagnostic stability under repeated inference remains underexplored. This study evaluates the diagnostic accuracy, stability, and intra-model consistency of four MLLMs in detecting hand fractures on plain radiographs. Methods: In total, images of hand radiographs of 65 adult patients with confirmed hand fractures (30 phalangeal, 30 metacarpal, 5 scaphoid) were evaluated by four models: GPT-5 Pro, Gemini 2.5 Pro, Claude Sonnet 4.5, and Mistral Medium 3.1. Each image was independently analyzed five times per model using identical zero-shot prompts (1300 total inferences). Diagnostic accuracy, inter-run reliability (Fleiss' kappa), case-level agreement profiles, subgroup performance, and exploratory demographic inference (age, sex) were assessed. Results: GPT-5 Pro achieved the highest accuracy (64.3%) and consistency (kappa = 0.71), followed by Gemini 2.5 Pro (56.9%, kappa = 0.57). Mistral Medium 3.1 exhibited high agreement (kappa = 0.88) despite low accuracy (38.5%), indicating systematic error ("confident hallucination"). Claude Sonnet 4.5 showed low accuracy (33.8%) and consistency (kappa = 0.33), reflecting instability. While phalangeal fractures were reliably detected by top models, scaphoid fractures remained challenging. Demographic analysis revealed poor capabilities, with age estimation errors exceeding 12 years and sex prediction accuracy near random chance. Conclusions: Diagnostic accuracy and consistency are distinct performance dimensions; high intra-model agreement does not imply correctness. While GPT-5 Pro demonstrated the most favorable balance of accuracy and stability, other models exhibited critical failure modes ranging from systematic bias to random instability. At present, MLLMs should be regarded as experimental diagnostic reasoning systems rather than reliable standalone tools for clinical fracture detection.</t>
  </si>
  <si>
    <t>Guler, Ibrahim; Grieb, Gerrit; Kraus, Armin; Lautenbach, Martin; Stelling, Henrik</t>
  </si>
  <si>
    <t>ibrahim.gueler@med.ovgu.de; henrikstelling@googlemail.com; m.lautenbach@waldfriede.de; gerritgrieb@gmx.de; armin.kraus@med.ovgu.de</t>
  </si>
  <si>
    <t>[Guler, Ibrahim; Kraus, Armin] Otto von Guericke Univ, Dept Plast Aesthet &amp; Hand Surg, D-39120 Magdeburg, Germany; [Guler, Ibrahim] Friedrich Alexander Univ Erlangen Nurnberg FAU, Dept Hlth Management, Lange Gasse 20, D-90403 Nurnberg, Germany; [Grieb, Gerrit] Gemeinschaftskrankenhaus Havelhoehe, Dept Plast Surg &amp; Hand Surg, Kladower Damm 221, D-14089 Berlin, Germany; [Grieb, Gerrit] Rhein Westfal TH Aachen, Med Fac, Burn Ctr, Dept Plast Surg &amp; Hand Surg, Pauwelsstr 30, D-52074 Aachen, Germany; [Lautenbach, Martin] Waldfriede Hosp, Dept Hand Surg Orthoped &amp; Trauma Surg, Argentin Allee 40, D-14163 Berlin, Germany; [Stelling, Henrik] Pract Nucl Med, Rubensstr 125, D-12157 Berlin, Germany</t>
  </si>
  <si>
    <t>Otto von Guericke University; University of Erlangen Nuremberg; RWTH Aachen University</t>
  </si>
  <si>
    <t>Diagnostic Accuracy and Stability of Multimodal Large Language Models for Hand Fracture Detection: A Multi-Run Evaluation on Plain Radiographs</t>
  </si>
  <si>
    <t>multimodal large language models; hand fractures; radiography; diagnostic accuracy; inter-run reliability; artificial intelligence; fracture detection; medical imaging; exploratory analysis; hand surgery</t>
  </si>
  <si>
    <t>Kraus, Armin/0000-0001-6557-2163; Stelling, Henrik/0009-0006-9391-3918</t>
  </si>
  <si>
    <t>FEB 1 2026</t>
  </si>
  <si>
    <t>424</t>
  </si>
  <si>
    <t>10.3390/diagnostics16030424</t>
  </si>
  <si>
    <t>http://dx.doi.org/10.3390/diagnostics16030424</t>
  </si>
  <si>
    <t>DO5XN</t>
  </si>
  <si>
    <t>41681742</t>
  </si>
  <si>
    <t>WOS:001688358400001</t>
  </si>
  <si>
    <t>Dumancic, L; Cug, MA; Juras, DV; Monteiro, L; Albuquerque, R; Brailo, V</t>
  </si>
  <si>
    <t>Objective: The aim was to evaluate the diagnostic accuracy and temporal reproducibility of multimodal large language models (LLMs) in the image-based diagnosis of oral mucosal lesions. Materials and Methods: The study included 100 anonymized clinical photographs of oral mucosal conditions obtained from the archive of the Department of Oral Medicine, School of Dental Medicine, University of Zagreb. Images were categorized into four subgroups: physiological variations, benign mucosal lesions, oral potentially malignant disorders, and oral cancer (25 images each). Three multimodal LLMs (ChatGPT-5.1 Plus, Gemini 3 Pro, and Perplexity Pro) analyzed each image using an identical prompt and were required to provide a single most probable diagnosis based solely on visual features. To evaluate temporal reproducibility, the entire evaluation was repeated in three independent testing cycles conducted at one-month intervals. Diagnostic accuracy was compared using chi-square tests, while intra-model agreement across cycles was assessed using Fleiss' kappa. Results: Gemini demonstrated the highest diagnostic accuracy, reaching 78% correct responses in cycles 2 and 3, significantly outperforming ChatGPT (55-57%) and Perplexity (28-31%) (p &lt; 0.00001). Subgroup analyses showed similar trends, with Gemini achieving the highest accuracy across most lesion categories. Intra-model agreement across cycles was moderate for ChatGPT (kappa = 0.525), fair for Gemini (kappa = 0.338) and Perplexity (kappa = 0.409). Gemini also showed the highest proportion of responses that remained correct across all three cycles (51%). Conclusions: Multimodal LLMs demonstrate promising diagnostic capabilities in the image-based assessment of oral mucosal lesions; however, variability in reproducibility highlights the need for cautious clinical implementation and further validation.</t>
  </si>
  <si>
    <t>Dumancic, Lovro; Cug, Marko Antonio; Juras, Danica Vidovic; Monteiro, Luis; Albuquerque, Rui; Brailo, Vlaho</t>
  </si>
  <si>
    <t>Brailo, V (corresponding author), Univ Zagreb, Dept Oral Med, Sch Dent Med, Zagreb 10000, Croatia.; Brailo, V (corresponding author), Univ Clin Hosp Ctr Zagreb, Dept Oral Med, Clin Dent, Zagreb 10000, Croatia.</t>
  </si>
  <si>
    <t>ldumancic@sfzg.unizg.hr; mcug@sfzg.unizg.hr; rui.albuquerque@nhs.net; brailo@sfzg.unizg.hr; djuras@sfzg.unizg.hr</t>
  </si>
  <si>
    <t>[Dumancic, Lovro; Cug, Marko Antonio; Juras, Danica Vidovic; Brailo, Vlaho] Univ Zagreb, Dept Oral Med, Sch Dent Med, Zagreb 10000, Croatia; [Juras, Danica Vidovic; Brailo, Vlaho] Univ Clin Hosp Ctr Zagreb, Dept Oral Med, Clin Dent, Zagreb 10000, Croatia; [Monteiro, Luis] Univ Inst Hlth Sci, IUCS CESPU Inst Univ Ciencias Saude, Cooperat Ensino Super Politecn &amp; Univ, UNIPRO Oral Pathol &amp; Rehabil Res Unit, P-4585116 Gandra, Portugal; [Albuquerque, Rui] Guys &amp; St Thomas NHS Fdn Trust, Dept Oral Med, London SE1 9RT, England; [Albuquerque, Rui] Kings Coll London, Fac Dent Oral &amp; Craniofacial Sci, London SE1 9RT, England</t>
  </si>
  <si>
    <t>University of Zagreb; University of Zagreb, School of Dental Medicine; Instituto Superior de Ciencias da Saude Egas Moniz; Guy's &amp; St Thomas' NHS Foundation Trust; King's College London; University of London; King's College London</t>
  </si>
  <si>
    <t>Exploratory Evaluation of Diagnostic Accuracy and Temporal Reproducibility of Multimodal Large Language Models in the Image-Based Assessment of Oral Mucosal Lesions</t>
  </si>
  <si>
    <t>artificial intelligence; multimodal large language models; oral lesion; diagnosis; reproducibility</t>
  </si>
  <si>
    <t>Brailo, Vlaho/AAH-9586-2020; Vidović Juras, Danica/A-4790-2013; Monteiro, Luis/AFQ-6669-2022</t>
  </si>
  <si>
    <t>4046</t>
  </si>
  <si>
    <t>10.3390/app16084046</t>
  </si>
  <si>
    <t>http://dx.doi.org/10.3390/app16084046</t>
  </si>
  <si>
    <t>HC5SN</t>
  </si>
  <si>
    <t>WOS:001750823600001</t>
  </si>
  <si>
    <t>Eren, E; Ilgün, M; Kibar, B; Okur, S; Arslan, T; Aktas, MS; Eroglu, MS</t>
  </si>
  <si>
    <t>This multicenter observer-performance study evaluated whether systemic diseases in cats can be inferred from fundus images and structured fundus descriptors and compared the diagnostic performance of large language models (LLMs) with experienced and novice veterinary clinicians. A total of 50 feline cases with representative fundus photographs and harmonized descriptors were retrospectively collected from three centers in T &amp; uuml;rkiye. Each case was assigned a single canonical diagnosis by a masked expert panel. Two LLMs (ChatGPT-5, ChatGPT-5 Thinking) are tested in text-only and text and image (multimodal) modes and compared with two expert ophthalmologists and two novice clinicians. The primary endpoint was an ordinal diagnostic score (0-3), while secondary endpoints included Top-1/Top-2/Top-3 accuracy, inter-reader agreement, and response times. Multimodal LLMs achieved near-expert diagnostic performance, with Top-1, Top-2, and Top-3 accuracies ranging from 34 % to 46 %, 62-74 %, and 74-86 %, respectively. Multimodal LLMs performed significantly better than novice readers (p &lt; 0.05), whereas no significant differences were found between LLMs and expert clinicians. Response times were substantially shorter for LLMs (13.7-84.6 s) compared to humans (117-132 s), indicating potential workflow efficiency gains. These findings suggest that multimodal LLMs can provide rapid, near-expert-level diagnostic support in interpreting feline fundus images for systemic disease screening. Incorporating LLM assisted analysis into veterinary ophthalmology workflows could enhance diagnostic efficiency without compromising clinician oversight.</t>
  </si>
  <si>
    <t>Eren, Emre; Ilgun, Murat; Kibar, Busra; Okur, Sitkican; Arslan, Taner; Aktas, Mustafa Sinan; Eroglu, Muhammed Sertac</t>
  </si>
  <si>
    <t>Eren, E (corresponding author), Ataturk Univ, Fac Vet Med, Dept Internal Med, Erzurum, Turkiye.</t>
  </si>
  <si>
    <t>emre.eren@atauni.edu.tr</t>
  </si>
  <si>
    <t>[Eren, Emre; Aktas, Mustafa Sinan; Eroglu, Muhammed Sertac] Ataturk Univ, Fac Vet Med, Dept Internal Med, Erzurum, Turkiye; [Ilgun, Murat] Vet Clin, DVM Grad, Istanbul, Turkiye; [Kibar, Busra] Aydin Adnan Menderes Univ, Dept Vet Surg, Aydin, Turkiye; [Okur, Sitkican; Arslan, Taner] Ataturk Univ, Dept Vet Surg, Erzurum, Turkiye</t>
  </si>
  <si>
    <t>Ataturk University; Adnan Menderes University; Ataturk University</t>
  </si>
  <si>
    <t>Reading systemic disease from the feline fundus: A multicenter comparison of multimodal large language models and veterinary clinicians</t>
  </si>
  <si>
    <t>VETERINARY JOURNAL</t>
  </si>
  <si>
    <t>Retinal imaging; Reader study; Observer performance; Inter-rater agreement; Proportional odds model; Clinical decision support</t>
  </si>
  <si>
    <t>CATS</t>
  </si>
  <si>
    <t>EREN, EMRE/KUC-8203-2024; EROGLU, Muhammed Sertac/AAW-6570-2021; EROGLU, Muhammed/AAW-6570-2021; Okur, Sıtkıcan/AAA-7176-2021</t>
  </si>
  <si>
    <t>Kibar, Büşra/0000-0002-1490-8832; Arslan, Taner/0009-0001-4222-3718; EREN, EMRE/0000-0003-3118-7384; EROGLU, Muhammed Sertac/0000-0003-1061-8421</t>
  </si>
  <si>
    <t>1090-0233</t>
  </si>
  <si>
    <t>1532-2971</t>
  </si>
  <si>
    <t>VET J</t>
  </si>
  <si>
    <t>Vet. J.</t>
  </si>
  <si>
    <t>314</t>
  </si>
  <si>
    <t>106476</t>
  </si>
  <si>
    <t>10.1016/j.tvjl.2025.106476</t>
  </si>
  <si>
    <t>http://dx.doi.org/10.1016/j.tvjl.2025.106476</t>
  </si>
  <si>
    <t>Veterinary Sciences</t>
  </si>
  <si>
    <t>9UI2B</t>
  </si>
  <si>
    <t>41183651</t>
  </si>
  <si>
    <t>WOS:001615213200001</t>
  </si>
  <si>
    <t>Most, JA; Folk, GA; Walker, EH; Nagel, ID; Mehta, NN; Flester, E; Borooah, S</t>
  </si>
  <si>
    <t>This single-center retrospective study evaluated the performance of four multimodal large language models (MLLMs) (ChatGPT-4o, Claude 3.5 Sonnet, Google Gemini 1.5 Pro, Perplexity Sonar Large) in detecting and grading the severity of age-related macular degeneration (AMD) from ultrawide field fundus images. Images from 76 patients (136 eyes; mean age 81.1 years; 69.7% female) seen at the University of California San Diego were graded independently for AMD severity by two junior retinal specialists (and an adjudicating senior retina specialist for disagreements) using the Age-Related Eye Disease Study (AREDS) classification. The cohort included 17 (12.5%) eyes with 'No AMD', 18 (13.2%) with 'Early AMD', 50 (36.8%) with 'Intermediate AMD', and 51 (37.5%) with 'Advanced AMD'. Between December 2024 and February 2025, each MLLM was prompted with single images and standardized queries to assess the primary outcomes of accuracy, sensitivity, and specificity in binary disease classification, disease severity grading, open-ended diagnosis, and multiple-choice diagnosis (with distractor diseases). Secondary outcomes included precision, F1 scores, Cohen's kappa, model performance comparisons, and error analysis. ChatGPT-4o demonstrated the highest accuracy for binary disease classification [mean 0.824 (95% confidence interval (CI)): 0.743, 0.875)], followed by Perplexity Sonar Large [mean 0.815 (95% CI: 0.744, 0.879)], both of which were significantly more accurate (P &lt; 0.00033) Than Gemini 1.5 Pro [mean 0.669 (95% CI: 0.581, 0.743)] and Claude 3.5 Sonnet [mean 0.301 (95% CI: 0.221, 0.375)]. For severity grading, Perplexity Sonar Large was most accurate [mean 0.463 (95% CI: 0.368, 0.537)], though differences among models were not statistically significant. ChatGPT-4o led in open-ended and multiple-choice diagnostic tasks. In summary, while MLLMs show promise for automated AMD detection and grading from fundus images, their current reliability is insufficient for clinical application, highlighting the need for further model development and validation.</t>
  </si>
  <si>
    <t>Most, Jesse A.; Folk, Gillian A.; Walker, Evan H.; Nagel, Ines D.; Mehta, Nehal N.; Flester, Elena; Borooah, Shyamanga</t>
  </si>
  <si>
    <t>Borooah, S (corresponding author), Univ Calif San Diego, Shiley Eye Inst, Jacobs Retina Ctr, La Jolla, CA 92093 USA.; Borooah, S (corresponding author), Univ Calif San Diego, Shiley Eye Inst, Viterbi Family Dept Ophthalmol, La Jolla, CA 92093 USA.</t>
  </si>
  <si>
    <t>[Most, Jesse A.; Nagel, Ines D.; Mehta, Nehal N.; Borooah, Shyamanga] Univ Calif San Diego, Shiley Eye Inst, Jacobs Retina Ctr, La Jolla, CA 92093 USA; [Most, Jesse A.; Folk, Gillian A.; Flester, Elena] Univ Calif San Diego, Sch Med, La Jolla, CA 92037 USA; [Walker, Evan H.; Nagel, Ines D.; Mehta, Nehal N.; Borooah, Shyamanga] Univ Calif San Diego, Shiley Eye Inst, Viterbi Family Dept Ophthalmol, La Jolla, CA 92093 USA</t>
  </si>
  <si>
    <t>University of California System; University of California San Diego; University of California San Diego; University of California System; University of California San Diego; University of California System; University of California San Diego</t>
  </si>
  <si>
    <t>Evaluating the clinical utility of multimodal large language models for detecting age-related macular degeneration from retinal imaging</t>
  </si>
  <si>
    <t>Age-related macular degeneration; Artificial intelligence; Deep learning; Large language models; Multi-modal large language models; Ultrawide field fundus</t>
  </si>
  <si>
    <t>PERFORMANCE</t>
  </si>
  <si>
    <t>Most, Jesse/0000-0002-2582-4503</t>
  </si>
  <si>
    <t>SEP 26 2025</t>
  </si>
  <si>
    <t>33214</t>
  </si>
  <si>
    <t>10.1038/s41598-025-18306-1</t>
  </si>
  <si>
    <t>http://dx.doi.org/10.1038/s41598-025-18306-1</t>
  </si>
  <si>
    <t>7YI2S</t>
  </si>
  <si>
    <t>41006661</t>
  </si>
  <si>
    <t>WOS:001582556200018</t>
  </si>
  <si>
    <t>Mehta, NN; Walker, E; Flester, E; Folk, G; Agnihotri, A; Nagel, ID; Tran, M; Goldbaum, MH; Borooah, S; Scott, NL</t>
  </si>
  <si>
    <t>Purpose: To evaluate the diagnostic and treatment recommendation performance of multimodal large language models (MLLMs) in identifying and classifying retinal lesions as choroidal nevus or melanoma, as well as compare their performance with expert human graders. Methods: This retrospective cross-sectional study included 48 eyes from 47 patients diagnosed with either choroidal nevus or melanoma. Patient demographics, including age, sex, ethnicity, best-corrected visual acuity (BCVA), and symptoms, were documented. Color fundus, autofluorescence, optical coherence tomography, and B-scan images were collected. The ocular images and patient characteristics were presented to ChatGPT 4.0, Gemini Advanced 1.5 Pro, and Perplexity Pro. Responses were recorded and compared with the clinical diagnoses and treatment recommendations made by two expert human graders. Diagnostic and treatment agreement, accuracy, sensitivity, and specificity were analyzed. Results: Gemini consistently outperformed ChatGPT and Perplexity across diagnostic and treatment prompts. The highest model performance was observed for prompts requesting treatment recommendations with clinical information, where Gemini achieved the highest accuracy (0.725), followed by Perplexity (0.647) and ChatGPT (0.314). Performance was lowest for prompts requiring strict clinical criteria, with all models showing poor sensitivity. Both human graders outperformed all MLLMs in accuracy and sensitivity on most prompts (P &lt; 0.005). Accuracy did not improve when provided demographic or clinical data, except for Gemini. Conclusions: Human graders outperform current MLLMs, which show only moderate ability to diagnose choroidal nevi or melanoma from imaging. Translational Relevance: This study highlights limitations and potential of MLLMs in aiding diagnosis and treatment of choroidal lesions.</t>
  </si>
  <si>
    <t>Mehta, Nehal Nailesh; Walker, Evan; Flester, Elena; Folk, Gillian; Agnihotri, Akshay; Nagel, Ines D.; Tran, Melanie; Goldbaum, Michael H.; Borooah, Shyamanga; Scott, Nathan L.</t>
  </si>
  <si>
    <t>Borooah, S (corresponding author), Univ Calif San Diego, Shiley Eye Inst, Retinal Div, 9415 Campus Point Dr, La Jolla, CA 92093 USA.; Scott, NL (corresponding author), Univ Calif San Diego, Shiley Eye Inst, Ocular Oncol, 9415 Campus Point Dr, La Jolla, CA 92093 USA.</t>
  </si>
  <si>
    <t>sborooah@health.ucsd.edu; nlscott@health.ucsd.edu</t>
  </si>
  <si>
    <t>[Mehta, Nehal Nailesh; Flester, Elena; Folk, Gillian; Agnihotri, Akshay; Nagel, Ines D.; Tran, Melanie; Goldbaum, Michael H.; Borooah, Shyamanga; Scott, Nathan L.] Univ Calif San Diego, Shiley Eye Inst, Jacobs Retina Ctr, La Jolla, CA USA; [Mehta, Nehal Nailesh; Walker, Evan; Agnihotri, Akshay; Nagel, Ines D.; Goldbaum, Michael H.; Borooah, Shyamanga; Scott, Nathan L.] Univ Calif San Diego, Viterbi Family Dept Ophthalmol, La Jolla, CA USA; [Mehta, Nehal Nailesh; Walker, Evan; Agnihotri, Akshay; Nagel, Ines D.; Tran, Melanie; Borooah, Shyamanga; Scott, Nathan L.] Univ Calif San Diego, Shiley Eye Inst, La Jolla, CA USA; [Flester, Elena; Folk, Gillian; Tran, Melanie] Univ Calif San Diego, Sch Med, La Jolla, CA USA</t>
  </si>
  <si>
    <t>Assessing the Clinical Utility of Multimodal Large Language Models in the Diagnosis and Management of Pigmented Choroidal Lesions</t>
  </si>
  <si>
    <t>TRANSLATIONAL VISION SCIENCE &amp; TECHNOLOGY</t>
  </si>
  <si>
    <t>nevus; melanoma; MLLM</t>
  </si>
  <si>
    <t>Goldbaum, Michael/AAG-4258-2020; Borooah, Shyamanga/AAM-6581-2021</t>
  </si>
  <si>
    <t>ASSOC RESEARCH VISION OPHTHALMOLOGY INC</t>
  </si>
  <si>
    <t>ROCKVILLE</t>
  </si>
  <si>
    <t>12300 TWINBROOK PARKWAY, ROCKVILLE, MD 20852-1606 USA</t>
  </si>
  <si>
    <t>2164-2591</t>
  </si>
  <si>
    <t>TRANSL VIS SCI TECHN</t>
  </si>
  <si>
    <t>Transl. Vis. Sci. Technol.</t>
  </si>
  <si>
    <t>10.1167/tvst.14.10.13</t>
  </si>
  <si>
    <t>http://dx.doi.org/10.1167/tvst.14.10.13</t>
  </si>
  <si>
    <t>M7101</t>
  </si>
  <si>
    <t>41085353</t>
  </si>
  <si>
    <t>WOS:001630844000004</t>
  </si>
  <si>
    <t>Li, WJ; Zhang, YJ; Sun, HR; Li, YQ; Zhang, FR; Xu, MZ; Clausich, VB; Mellin, S; Yang, RH; Wang, CR; Wang, JZS; Yao, SY; Li, G; Xu, YD; Wang, HY; Huang, YL; Wang, AL; Shi, C; Zhang, Y; Guo, JN; Yang, LQ; Li, RX; Xu, Y; Liu, JW; Zhang, Y; Liu, L; Sanromán, CG; Wang, L</t>
  </si>
  <si>
    <t>Chest X-ray (CXR) imaging is one of the most widely used diagnostic modalities in clinical practice, encompassing a broad spectrum of diagnostic tasks. Recent advancements have seen the extensive application of reasoning-based multimodal large language models (MLLMs) in medical imaging to enhance diagnostic efficiency and interpretability. However, existing multimodal models predominantly rely on "one-time" diagnostic approaches, lacking verifiable supervision of the reasoning process. This leads to challenges in multi-task CXR diagnosis, including lengthy reasoning, sparse rewards, and frequent hallucinations. To address these issues, we propose CX-Mind, the first generative model to achieve interleaved "think-answer" reasoning for CXR tasks, driven by curriculum-based reinforcement learning and verifiable process rewards (CuRL-VPR). Specifically, we constructed an instruction-tuning dataset, CX-Set, comprising 708,473 images and 2,619,148 samples, and generated 42,828 high-quality interleaved reasoning data points supervised by clinical reports. Optimization was conducted in two stages under the Group Relative Policy Optimization framework: initially stabilizing basic reasoning with closed-domain tasks, followed by transfer to open-domain diagnostics, incorporating rule-based conditional process rewards to bypass the need for pretrained reward models. Extensive experimental results demonstrate that CX-Mind significantly outperforms existing medical and general-domain MLLMs in visual understanding, text generation, and spatiotemporal alignment, achieving an average performance improvement of 25.1 % over comparable CXR-specific models. On a real-world clinical dataset (Rui-CXR), CX-Mind achieves a mean recall@1 across 14 diseases that substantially surpasses the second-best results, with multi-center expert evaluations further confirming its clinical utility across multiple dimensions. CX-Mind establishes a new paradigm for constructing interpretable, and high-performing medical MLLMs.</t>
  </si>
  <si>
    <t>Li, Wenjie; Zhang, Yujie; Sun, Haoran; Li, Yueqi; Zhang, Fanrui; Xu, Mengzhe; Clausich, Victoria Borja; Mellin, Sade; Yang, Renhao; Wang, Chenrun; Wang, Jethro Zih-Shuo; Yao, Shiyi; Li, Gen; Xu, Yidong; Wang, Hanyu; Huang, Yilin; Wang, Angela Lin; Shi, Chen; Zhang, Yin; Guo, Jianan; Yang, Luqi; Li, Renxuan; Xu, Yang; Liu, Jiawei; Zhang, Yao; Liu, Lei; Sanroman, Carlos Gutierrez; Wang, Lei</t>
  </si>
  <si>
    <t>Wang, L (corresponding author), Shanghai Jiao Tong Univ, Sch Med, Coll Hlth Sci &amp; Technol, Shanghai, Peoples R China.; Wang, L (corresponding author), Shanghai Jiao Tong Univ, Ruijin Hosp, Clin Ctr Sports Med, Dept Orthopaed,Sch Med, Shanghai, Peoples R China.</t>
  </si>
  <si>
    <t>ray_wangs@hotmail.com</t>
  </si>
  <si>
    <t>Key Research and Development Plan of the Ministry of Science and Technology [2023YFC2410705]; National Natural Science Foundation of China [32171317, GS50110000180982472419]; Shanghai Municipal Science and Technology Commission Project [25ZR1402348]</t>
  </si>
  <si>
    <t>Key Research and Development Plan of the Ministry of Science and Technology; National Natural Science Foundation of China (National Natural Science Foundation of China (NSFC)); Shanghai Municipal Science and Technology Commission Project (Shanghai Municipal Science &amp; Technology Major Project)</t>
  </si>
  <si>
    <t>The work was supported by Key Research and Development Plan of the Ministry of Science and Technology (2023YFC2410705) , the National Natural Science Foundation of China (32171317 and GS50110000180982472419) and Shanghai Municipal Science and Technology Commission Project (25ZR1402348) . We gratefully acknowledge the Shanghai Key Laboratory of Intelligent Information Processing at the School of Computer Science, Fudan University, and Professor Bo Yan for their invaluable support.</t>
  </si>
  <si>
    <t>[Li, Wenjie; Yang, Renhao; Wang, Lei] Shanghai Jiao Tong Univ, Sch Med, Coll Hlth Sci &amp; Technol, Shanghai, Peoples R China; [Li, Wenjie; Zhang, Yujie] Shanghai Innovat Inst, Shanghai, Peoples R China; [Li, Wenjie; Yang, Renhao; Yao, Shiyi; Li, Gen; Xu, Yidong; Wang, Hanyu; Huang, Yilin; Wang, Angela Lin; Shi, Chen; Zhang, Yin; Guo, Jianan; Yang, Luqi; Li, Renxuan; Xu, Yang; Wang, Lei] Shanghai Jiao Tong Univ, Ruijin Hosp, Clin Ctr Sports Med, Dept Orthopaed,Sch Med, Shanghai, Peoples R China; [Sun, Haoran; Liu, Lei] Fudan Univ, Intelligent Med Inst, Sch Basic Med Sci, Shanghai, Peoples R China; [Li, Yueqi] Zhejiang Univ, Affiliated Hosp 1, Coll Med, Dept Hematol, Hangzhou, Peoples R China; [Zhang, Fanrui; Liu, Jiawei] Univ Sci &amp; Technol China, MoE Key Lab Brain Inspired Intelligent Percept &amp; C, Hefei, Peoples R China; [Xu, Mengzhe] Univ Cambridge, Dept Publ Hlth &amp; Primary Care, Cambridge, England; [Clausich, Victoria Borja] Univ CEU Cardenal Herrera, Fac Hlth Sci, Dept Med, Valencia, Spain; [Mellin, Sade] Univ Helsinki, Fac Med, Helsinki, Finland; [Wang, Chenrun] Shanghai Jiao Tong Univ, Sch Comp Sci, X LANCE Lab, Shanghai, Peoples R China; [Wang, Jethro Zih-Shuo] Chinese Acad Med Sci &amp; Peking Union Med Coll, Natl Canc Ctr, Natl Clin Res Ctr Canc, Dept Hepatobiliary Surg,Canc Hosp, Beijing, Peoples R China; [Wang, Jethro Zih-Shuo] Ohio State Univ, Wexner Med Ctr, James Comprehens Canc Ctr, Dept Surg, Columbus, OH USA; [Xu, Yidong] Beihang Univ, Ningbo Inst Technol, Ningbo, Peoples R China; [Zhang, Yao] UCL, Dept Mech Engn, London, England; [Liu, Lei; Sanroman, Carlos Gutierrez] Hosp Univ &amp; Politecn La Fe, Dept Pediat Surg, Serv Cirugia Pediat, Valencia, Spain</t>
  </si>
  <si>
    <t>Shanghai Jiao Tong University; Shanghai Jiao Tong University; Fudan University; Zhejiang University; Chinese Academy of Sciences; University of Science &amp; Technology of China, CAS; University of Cambridge; Universidad CEU Cardenal Herrera; University of Helsinki; Shanghai Jiao Tong University; Chinese Academy of Medical Sciences - Peking Union Medical College; Cancer Institute &amp; Hospital - CAMS; Peking Union Medical College; James Cancer Hospital &amp; Solove Research Institute; Ohio State University; University System of Ohio; Ohio State University; Beihang University; University College London; University of London; University College London; Hospital Universitari i Politecnic La Fe</t>
  </si>
  <si>
    <t>CX-Mind: a pioneering multimodal large language model for interleaved reasoning in chest X-ray via curriculum-guided reinforcement learning</t>
  </si>
  <si>
    <t>Medical reasoning; Multimodal large language models; Chest X-ray; Reinforcement learning; Curriculum learning</t>
  </si>
  <si>
    <t>zhang, yujie/LXU-8925-2024; Li, Wenjie/POU-6588-2026; yangyang, yang/GRO-2293-2022</t>
  </si>
  <si>
    <t>Xu, Mengzhe/0009-0009-8461-8396; Mellin, Sade/0009-0002-0432-6051; Liu, Lei/0000-0001-9987-7758; Zhang, Fanrui/0000-0002-1078-430X; haoran, Sun/0009-0007-7817-1773; yang, renhao/0000-0002-0983-3709; Wang, Chenrun/0009-0000-1926-0011</t>
  </si>
  <si>
    <t>104027</t>
  </si>
  <si>
    <t>10.1016/j.inffus.2025.104027</t>
  </si>
  <si>
    <t>http://dx.doi.org/10.1016/j.inffus.2025.104027</t>
  </si>
  <si>
    <t>AM9JJ</t>
  </si>
  <si>
    <t>WOS:001651923100001</t>
  </si>
  <si>
    <t>Mavrych, V; Yousef, EM; Yaqinuddin, A; Shaikh, AA; Bolgova, O</t>
  </si>
  <si>
    <t>Multimodal large language models (LLMs) with image recognition capabilities have emerged as potential tools for medical image analysis, yet their performance in specialized domains like histology remains largely unexplored. The objective of this study was to systematically evaluate the performance of leading multimodal LLMs in histological image interpretation and assess their visual recognition capabilities. Four multimodal LLMs (GPT-4o, Claude Sonnet 4, Gemini 2.5 Flash, and Copilot) were evaluated using 144 histological images representing four tissue types (epithelial, connective, muscle, and nervous) at three magnification levels. Each image was assessed using three standardized questions: tissue identification, morphological features, and functional analysis. Three expert faculty members independently graded responses using a 4-point scale (1 = Poor to 4 = Excellent). Friedman tests, ICC, and post-hoc power analyses were performed with statistical significance set at p &lt; .05. A clear performance hierarchy emerged with Gemini demonstrating superior performance (mean score: 3.35/4.00), significantly outperforming all other models. Copilot and GPT-4o tied for second place (both 2.76/4.00), while Claude showed the lowest performance (2.55/4.00). Performance varied across tissue types, with epithelial tissue showing the greatest inter-model variation. Inter-rater reliability was good across all models (ICC &gt; 0.85), confirming assessment consistency. Post-hoc power analysis validated statistical significance for primary comparisons but indicated insufficient power to distinguish between the three lower-performing models. Current multimodal LLMs exhibit significant limitations in visual recognition relative to text processing performance. The substantial cross-modal performance gaps reveal some constraints in visual processing architectures, though the underlying mechanisms require further investigation. These findings establish technical benchmarks for multimodal LLM development and highlight the need for specialized visual processing innovations in their imaging processes.</t>
  </si>
  <si>
    <t>Mavrych, Volodymyr; Yousef, Einas M.; Yaqinuddin, Ahmed; Shaikh, Aftab Ahmed; Bolgova, Olena</t>
  </si>
  <si>
    <t>Bolgova, O (corresponding author), Alfaisal Univ, Coll Med, Riyadh, Saudi Arabia.</t>
  </si>
  <si>
    <t>obolgova@alfaisal.edu</t>
  </si>
  <si>
    <t>[Mavrych, Volodymyr; Yousef, Einas M.; Yaqinuddin, Ahmed; Shaikh, Aftab Ahmed; Bolgova, Olena] Alfaisal Univ, Coll Med, Riyadh, Saudi Arabia</t>
  </si>
  <si>
    <t>Alfaisal University</t>
  </si>
  <si>
    <t>Visual recognition limitations in multimodal large language models: A comparative analysis of histological image interpretation</t>
  </si>
  <si>
    <t>Yaqinuddin, Ahmed/AIB-2069-2022; Bolgova, Olena/MXL-8132-2025; Yousef, Einas/LMO-8107-2024; Mavrych, Volodymyr/KEJ-4758-2024</t>
  </si>
  <si>
    <t>MAR 20 2026</t>
  </si>
  <si>
    <t>e0001306</t>
  </si>
  <si>
    <t>10.1371/journal.pdig.0001306</t>
  </si>
  <si>
    <t>http://dx.doi.org/10.1371/journal.pdig.0001306</t>
  </si>
  <si>
    <t>FI4EH</t>
  </si>
  <si>
    <t>41855191</t>
  </si>
  <si>
    <t>WOS:001719492400002</t>
  </si>
  <si>
    <t>Jeong, H; Jeon, KJ; Lee, CN; Choi, YJ; Jo, GD; Han, SS</t>
  </si>
  <si>
    <t>Objectives This study aimed to conduct a comprehensive evaluation of general-purpose multimodal large language model (LLM) chatbots in oral radiology. Methods Ninety text- and image-based oral radiology questions from a Korean dental university were extracted and categorized into six educational contents and two question types. ChatGPT-4o and Gemini 2.0 Flash were evaluated with following items: accuracy with group differences across six contents (using Fisher's exact test with Bonferroni correction, P &lt; .0167), answer consistency across ten repeated outputs (evaluated as the mean agreement and Fleiss' kappa coefficient), and hallucination (evaluated as the mean of the 5-point Global Quality Score assigned by two oral radiologists). Results Multimodal LLM chatbots (ChatGPT-4o and Gemini 2.0 Flash) achieved excellent performance on text-based questions with over 80% accuracy but showed limited performance on image-based tasks, with accuracy under 30%. Additionally, image-based tasks exhibited high response variability, and hallucinations were frequently observed, providing incorrect information. These findings suggest that AI chatbots are not yet suitable for reliable use in oral radiology. Conclusions This study provided timely insights into the capabilities and limitations of general-purpose multimodal LLM chatbots in the oral radiology, and will serve as a foundation for more safe and effective applications of AI chatbots in the oral radiology field in the future. Advances in knowledge This is the first study to comprehensively assess multimodal LLM chatbots in oral radiology. It provides key insights into the performance benchmarks for AI chatbots in oral radiology, promoting the responsible and transparent integration of AI into dental education.</t>
  </si>
  <si>
    <t>Jeong, Hui; Jeon, Kug Jin; Lee, Chena; Choi, Yoon Joo; Jo, Gyu-Dong; Han, Sang-Sun</t>
  </si>
  <si>
    <t>Han, SS (corresponding author), Yonsei Univ, Coll Dent, Dept Oral &amp; Maxillofacial Radiol, 50-1 Yonsei Ro, Seoul 03722, South Korea.</t>
  </si>
  <si>
    <t>sshan@yuhs.ac</t>
  </si>
  <si>
    <t>National Research Foundation of Korea (NRF); Korean government (MSIT) [RS-2022-NR068890]</t>
  </si>
  <si>
    <t>National Research Foundation of Korea (NRF) (National Research Foundation of Korea); Korean government (MSIT)</t>
  </si>
  <si>
    <t>This work was supported by the National Research Foundation of Korea (NRF) grant funded by the Korean government (MSIT) (RS-2022-NR068890).</t>
  </si>
  <si>
    <t>[Jeong, Hui; Jeon, Kug Jin; Lee, Chena; Choi, Yoon Joo; Jo, Gyu-Dong; Han, Sang-Sun] Yonsei Univ, Coll Dent, Dept Oral &amp; Maxillofacial Radiol, 50-1 Yonsei Ro, Seoul 03722, South Korea; [Jeong, Hui; Jeon, Kug Jin; Han, Sang-Sun] Yonsei Univ, Inst Innovat Digital Healthcare, Seoul 03722, South Korea; [Jeong, Hui; Han, Sang-Sun] Yonsei Univ, Coll Dent, Oral Sci Res Ctr, Seoul 03722, South Korea</t>
  </si>
  <si>
    <t>Yonsei University; Yonsei University Health System; Yonsei University; Yonsei University; Yonsei University Health System</t>
  </si>
  <si>
    <t>Leveraging multimodal large language model chatbots in oral radiology: a comprehensive evaluation using questions from a Korean dental university</t>
  </si>
  <si>
    <t>DENTOMAXILLOFACIAL RADIOLOGY</t>
  </si>
  <si>
    <t>oral radiology; multimodal large language model; accuracy; answer consistency; hallucination</t>
  </si>
  <si>
    <t>Jo, Gyu-Dong/NFU-0377-2025</t>
  </si>
  <si>
    <t>Choi, Yoon Joo/0000-0001-9225-3889; Lee, Chena/0000-0002-8943-4192; Jeon, Kug Jin/0000-0002-5862-2975; Han, Sang-Sun/0000-0003-1775-7862</t>
  </si>
  <si>
    <t>0250-832X</t>
  </si>
  <si>
    <t>1476-542X</t>
  </si>
  <si>
    <t>DENTOMAXILLOFAC RAD</t>
  </si>
  <si>
    <t>Dentomaxillofac. Radiol.</t>
  </si>
  <si>
    <t>276</t>
  </si>
  <si>
    <t>10.1093/dmfr/twaf083</t>
  </si>
  <si>
    <t>http://dx.doi.org/10.1093/dmfr/twaf083</t>
  </si>
  <si>
    <t>Dentistry, Oral Surgery &amp; Medicine; Radiology, Nuclear Medicine &amp; Medical Imaging</t>
  </si>
  <si>
    <t>ET2JD</t>
  </si>
  <si>
    <t>41386253</t>
  </si>
  <si>
    <t>WOS:001644509600001</t>
  </si>
  <si>
    <t>Wan, ZY; Guo, YH; Bao, SX; Wang, Q; Malin, BA</t>
  </si>
  <si>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</si>
  <si>
    <t>Wan, Zhiyu; Guo, Yuhang; Bao, Shunxing; Wang, Qian; Malin, Bradley A.</t>
  </si>
  <si>
    <t>Wan, ZY (corresponding author), Vanderbilt Univ, Med Ctr, Dept Biomed Informat, Nashville, TN 37235 USA.; Wan, ZY (corresponding author), Shanghai Tech Univ, Sch Biomed Engn, Shanghai, Peoples R China.</t>
  </si>
  <si>
    <t>wanzhy@shanghaitech.edu.cn</t>
  </si>
  <si>
    <t>National Institutes of Health [RM1HG009034]</t>
  </si>
  <si>
    <t>This research received partial funding from the National Institutes of Health through the following grant: RM1HG009034 (to B.A.M.).</t>
  </si>
  <si>
    <t>[Wan, Zhiyu; Malin, Bradley A.] Vanderbilt Univ, Med Ctr, Dept Biomed Informat, Nashville, TN 37235 USA; [Wan, Zhiyu; Guo, Yuhang; Wang, Qian] Shanghai Tech Univ, Sch Biomed Engn, Shanghai, Peoples R China; [Bao, Shunxing] Vanderbilt Univ, Dept Elect &amp; Comp Engn, Nashville, TN USA; [Malin, Bradley A.] Vanderbilt Univ, Dept Comp Sci, Nashville, TN USA; [Malin, Bradley A.] Vanderbilt Univ, Dept Biostat, Med Ctr, Nashville, TN USA</t>
  </si>
  <si>
    <t>Vanderbilt University; ShanghaiTech University; Vanderbilt University; Vanderbilt University; Vanderbilt University</t>
  </si>
  <si>
    <t>Evaluating Sex and Age Biases in Multimodal Large Language Models for Skin Disease Identification from Dermatoscopic Images</t>
  </si>
  <si>
    <t>HEALTH DATA SCIENCE</t>
  </si>
  <si>
    <t>Wan, Zhiyu/ACA-8019-2022; Guo, Yuhang/GVT-3867-2022; Malin, Bradley/KJR-0424-2024</t>
  </si>
  <si>
    <t>Wan, Zhiyu/0000-0003-3752-5778; Wang, Qian/0000-0002-3490-3836; Malin, Bradley/0000-0003-3040-5175; Bao, Shunxing/0000-0001-6376-4292</t>
  </si>
  <si>
    <t>2765-8783</t>
  </si>
  <si>
    <t>HEALTH DATA SCI</t>
  </si>
  <si>
    <t>Health Data Sci.</t>
  </si>
  <si>
    <t>APR 1 2025</t>
  </si>
  <si>
    <t>0256</t>
  </si>
  <si>
    <t>10.34133/hds.0256</t>
  </si>
  <si>
    <t>http://dx.doi.org/10.34133/hds.0256</t>
  </si>
  <si>
    <t>Computer Science, Interdisciplinary Applications; Health Care Sciences &amp; Services</t>
  </si>
  <si>
    <t>Computer Science; Health Care Sciences &amp; Services</t>
  </si>
  <si>
    <t>5YS2U</t>
  </si>
  <si>
    <t>40170800</t>
  </si>
  <si>
    <t>WOS:001547513100001</t>
  </si>
  <si>
    <t>Hirano, Y; Miki, S; Yamagishi, Y; Hanaoka, S; Nakao, T; Kikuchi, T; Nakamura, Y; Nomura, Y; Yoshikawa, T; Abe, O</t>
  </si>
  <si>
    <t>PurposeTo assess and compare the accuracy and legitimacy of multimodal large language models (LLMs) on the Japan Diagnostic Radiology Board Examination (JDRBE).Materials and methodsThe dataset comprised questions from JDRBE 2021, 2023, and 2024, with ground-truth answers established through consensus among multiple board-certified diagnostic radiologists. Questions without associated images and those lacking unanimous agreement on answers were excluded. Eight LLMs were evaluated: GPT-4 Turbo, GPT-4o, GPT-4.5, GPT-4.1, o3, o4-mini, Claude 3.7 Sonnet, and Gemini 2.5 Pro. Each model was evaluated under two conditions: with inputting images (vision) and without (text-only). Performance differences between the conditions were assessed using McNemar's exact test. Two diagnostic radiologists (with 2 and 18 years of experience) independently rated the legitimacy of responses from four models (GPT-4 Turbo, Claude 3.7 Sonnet, o3, and Gemini 2.5 Pro) using a five-point Likert scale, blinded to model identity. Legitimacy scores were analyzed using Friedman's test, followed by pairwise Wilcoxon signed-rank tests with Holm correction.ResultsThe dataset included 233 questions. Under the vision condition, o3 achieved the highest accuracy at 72%, followed by o4-mini (70%) and Gemini 2.5 Pro (70%). Under the text-only condition, o3 topped the list with an accuracy of 67%. Addition of image input significantly improved the accuracy of two models (Gemini 2.5 Pro and GPT-4.5), but not the others. Both o3 and Gemini 2.5 Pro received significantly higher legitimacy scores than GPT-4 Turbo and Claude 3.7 Sonnet from both raters.ConclusionRecent multimodal LLMs, particularly o3 and Gemini 2.5 Pro, have demonstrated remarkable progress on JDRBE questions, reflecting their rapid evolution in diagnostic radiology.Secondary abstractEight multimodal large language models were evaluated on the Japan Diagnostic Radiology Board Examination. OpenAI's o3 and Google DeepMind's Gemini 2.5 Pro achieved high accuracy rates (72% and 70%) and received good legitimacy scores from human raters, demonstrating steady progress.</t>
  </si>
  <si>
    <t>Hirano, Yuichiro; Miki, Soichiro; Yamagishi, Yosuke; Hanaoka, Shouhei; Nakao, Takahiro; Kikuchi, Tomohiro; Nakamura, Yuta; Nomura, Yukihiro; Yoshikawa, Takeharu; Abe, Osamu</t>
  </si>
  <si>
    <t>Hirano, Y (corresponding author), Univ Tokyo Hosp, Dept Radiol, 7-3-1 Hongo,Bunkyo Ku, Tokyo, Japan.</t>
  </si>
  <si>
    <t>yhirano-tky@umin.ac.jp</t>
  </si>
  <si>
    <t>The University of Tokyo; HIMEDIC Inc.; Siemens Healthcare K.K; Japan Diagnostic Radiology Board Examination</t>
  </si>
  <si>
    <t>The University of Tokyo (University of Tokyo); HIMEDIC Inc.; Siemens Healthcare K.K; Japan Diagnostic Radiology Board Examination</t>
  </si>
  <si>
    <t>The Department of Computational Diagnostic Radiology and Preventive Medicine, The University of Tokyo Hospital, is sponsored by HIMEDIC Inc. and Siemens Healthcare K.K. We thank the Japan Radiological Society for granting permission to cite questions from the Japan Diagnostic Radiology Board Examination.</t>
  </si>
  <si>
    <t>[Hirano, Yuichiro; Yamagishi, Yosuke; Abe, Osamu] Univ Tokyo Hosp, Dept Radiol, 7-3-1 Hongo,Bunkyo Ku, Tokyo, Japan; [Miki, Soichiro; Hanaoka, Shouhei; Nakao, Takahiro; Kikuchi, Tomohiro; Nakamura, Yuta; Nomura, Yukihiro; Yoshikawa, Takeharu] Univ Tokyo Hosp, Dept Computat Diagnost Radiol &amp; Prevent Med, 7-3-1 Hongo,Bunkyo Ku, Tokyo, Japan; [Kikuchi, Tomohiro] Jichi Med Univ, Sch Med, Dept Radiol, 3311-1 Yakushiji, Shimotsuke, Tochigi, Japan; [Nomura, Yukihiro] Chiba Univ, Ctr Frontier Med Engn, 1-33 Yayoicho,Inage Ku, Chiba, Japan</t>
  </si>
  <si>
    <t>University of Tokyo; University of Tokyo; Jichi Medical University; Chiba University</t>
  </si>
  <si>
    <t>Assessing accuracy and legitimacy of multimodal large language models on Japan Diagnostic Radiology Board Examination</t>
  </si>
  <si>
    <t>Artificial Intelligence (AI); Large Language Model (LLM); ChatGPT; Multimodal; Vision-language Model (VLM); Reasoning Model</t>
  </si>
  <si>
    <t>Nakamura, Yuta/JCE-1174-2023; Hirano, Yuichiro/OOK-3144-2025; Abe, Osamu/ADH-8478-2022; Kikuchi, Tomohiro/HZH-6657-2023; Yamagishi, Yosuke/LXW-5975-2024</t>
  </si>
  <si>
    <t>Nakamura, Yuta/0000-0001-6962-6704; Hanaoka, Shouhei/0000-0002-7496-1651; Hirano, Yuichiro/0000-0003-1564-0513; Abe, Osamu/0000-0002-1180-2629; Miki, Soichiro/0000-0001-6365-6531; Kikuchi, Tomohiro/0000-0002-4222-4569; Yoshikawa, Takeharu/0000-0002-1924-5468; Yamagishi, Yosuke/0009-0006-7688-3075; Nomura, Yukihiro/0000-0001-6471-9936</t>
  </si>
  <si>
    <t>209</t>
  </si>
  <si>
    <t>217</t>
  </si>
  <si>
    <t>10.1007/s11604-025-01861-y</t>
  </si>
  <si>
    <t>http://dx.doi.org/10.1007/s11604-025-01861-y</t>
  </si>
  <si>
    <t>DA8SO</t>
  </si>
  <si>
    <t>40938561</t>
  </si>
  <si>
    <t>WOS:001570164200001</t>
  </si>
  <si>
    <t>Yin, HF; Yu, T; Wu, W; Shen, LX; Shi, DM; Chen, Y; Zhao, KK; Grzybowski, A; Jin, K</t>
  </si>
  <si>
    <t>Background Distinguishing glaucomatous damage from structural and functional changes related to high myopia remains a persistent clinical challenge. Objective To evaluate multimodal large language models (LLMs) for the differential diagnosis of high myopia alone versus high myopia with glaucoma under direct-answer and chain-of-thought (CoT) prompting, and to compare physician-rated response quality across models. Methods We analyzed a fixed retrospective archive of 100 patients, including 50 patients with high myopia without glaucoma and 50 patients with high myopia and primary open-angle glaucoma (POAG). High myopia was defined according to the source clinical archive as spherical equivalent of -6.0 diopters or less and/or axial length of 26.0 mm or greater. Four multimodal LLMs were assessed in Direct and CoT modes. Two ophthalmologists, each with more than 10 years of clinical experience, independently rated each output on clinical logic, medical knowledge/conclusion accuracy, and evidence use/multimodal consistency; one rater was a chief physician and the other was an attending physician. Diagnostic correctness was compared using Cochran's Q and McNemar tests; physician ratings were compared using Friedman and Wilcoxon signed-rank tests; weighted Cohen's kappa and intraclass correlation coefficients (ICCs) were used to assess inter-rater agreement. Results In Direct mode, case-level accuracies were 83.0% for Gemini 3 Flash Preview, 75.0% for Kimi-k2.5, 65.0% for GPT-5.4, and 49.0% for Qwen3.5-Plus. In CoT mode, case-level accuracies were 78.0% for Gemini 3 Flash Preview, 75.0% for Qwen3.5-Plus, 73.0% for GPT-5.4, and 69.0% for Kimi-k2.5. Cross-model differences were significant in Direct mode (Cochran's Q = 31.16, p &lt; 0.001) but not in CoT mode (Q = 3.23, p = 0.357). Inter-rater agreement was strong, with weighted Cohen's kappa values of 0.80, 0.84, and 0.83 across the three physician-rated domains and ICC(3, k) = 0.92 for the combined total score. Conclusion Multimodal LLMs showed variable performance on this retrospective benchmark for differentiating high myopia from high myopia with glaucoma, but CoT prompting did not consistently improve diagnostic accuracy. Physician ratings provided complementary evidence on clinical coherence and multimodal evidence use, supporting a broader benchmark-oriented evaluation framework for ophthalmic LLM applications.</t>
  </si>
  <si>
    <t>Yin, Houfa; Yu, Tao; Wu, Wei; Shen, Lixia; Shi, Dongmei; Chen, Yi; Zhao, Kaikai; Grzybowski, Andrzej; Jin, Kai</t>
  </si>
  <si>
    <t>Jin, K (corresponding author), Zhejiang Univ, Eye Ctr Affiliated Hosp 2, Sch Med, Hangzhou, Peoples R China.; Jin, K (corresponding author), Zhejiang Prov Engn Inst Eye Dis, Zhejiang Prov Clin Res Ctr Eye Dis, Zhejiang Prov Key Lab Ophthalmol, Hangzhou, Peoples R China.</t>
  </si>
  <si>
    <t>jinkai@zju.edu.cn</t>
  </si>
  <si>
    <t>Natural Science Foundation of China [82201195, 82204713]; Education Reform Project of the Second Affiliated Hospital Zhejiang University School of Medicine [20240412]; Zhejiang Provincial Department of Education Research Project [Y202454784]</t>
  </si>
  <si>
    <t>Natural Science Foundation of China (National Natural Science Foundation of China (NSFC)); Education Reform Project of the Second Affiliated Hospital Zhejiang University School of Medicine; Zhejiang Provincial Department of Education Research Project</t>
  </si>
  <si>
    <t>The author(s) declared that financial support was received for this work and/or its publication. This work was financially supported by the Natural Science Foundation of China (Grant No. 82201195, 82204713), and the Education Reform Project of the Second Affiliated Hospital Zhejiang University School of Medicine (Grant No. 20240412), and the Zhejiang Provincial Department of Education Research Project (Grant No. Y202454784).</t>
  </si>
  <si>
    <t>[Yin, Houfa; Yu, Tao; Wu, Wei; Shen, Lixia; Shi, Dongmei; Zhao, Kaikai; Jin, Kai] Zhejiang Univ, Eye Ctr Affiliated Hosp 2, Sch Med, Hangzhou, Peoples R China; [Yin, Houfa; Yu, Tao; Wu, Wei; Shen, Lixia; Shi, Dongmei; Zhao, Kaikai; Jin, Kai] Zhejiang Prov Engn Inst Eye Dis, Zhejiang Prov Clin Res Ctr Eye Dis, Zhejiang Prov Key Lab Ophthalmol, Hangzhou, Peoples R China; [Chen, Yi] Hangzhou Med Coll, Sch Clin Med, Hangzhou, Peoples R China; [Grzybowski, Andrzej] Univ Warmia &amp; Mazury, Dept Ophthalmol, Olsztyn, Poland; [Grzybowski, Andrzej] Fdn Ophthalmol Dev, Inst Res Ophthalmol, Poznan, Poland</t>
  </si>
  <si>
    <t>Evaluating multimodal large language models for differential diagnosis of high myopia versus high myopia with Glaucoma</t>
  </si>
  <si>
    <t>chain-of-thought; glaucoma; high myopia; large language model; multimodal diagnosis; ophthalmology; primary open-angle glaucoma</t>
  </si>
  <si>
    <t>OPTICAL COHERENCE TOMOGRAPHY</t>
  </si>
  <si>
    <t>JUL 31 2026</t>
  </si>
  <si>
    <t>1864498</t>
  </si>
  <si>
    <t>10.3389/fmed.2026.1864498</t>
  </si>
  <si>
    <t>http://dx.doi.org/10.3389/fmed.2026.1864498</t>
  </si>
  <si>
    <t>MS7RW</t>
  </si>
  <si>
    <t>WOS:001850000500001</t>
  </si>
  <si>
    <t>Khan, ZR; Khan, K; Nayab, M; Akram, MU; Ali, S; Shakoor, HA; Haque, A; Ahmed, M</t>
  </si>
  <si>
    <t>Latest multimodal LLMs, capable of analyzing textual data and images. have potential application in decision support systems in diagnostics. Their performance and clinical reasoning abilities in benign hematology remain underexplored. This study evaluates and compares diagnostic performance and clinical reasoning of 3 LLM in classification of anemia, based on CBC triggers and peripheral blood smears, benchmarked with expert validated cases. A total of 270 LLM generated responses were evaluated for accuracy and clinical reasoning, using real world, expert validated anemia cases. LLMs (Gemini 2.5 Pro, Chat-GPT4o and Claude Opus 4 Pro) were presented with focused prompt, digital image and CBC parameters as multimodal input. LLM accuracy scores and rubric-derived clinical reasoning was calculated. Kruskal-Wallis H test was used to detect significant differences in clinical reasoning across LLMs, followed up with Dunn's Post Hoc Pairwise comparisons where indicated. Correlation between accuracy and clinical reasoning scores was evaluated using Spearman's correlation coefficient. Gemini 2.5 Pro showed the highest accuracy values (54%) among the three LLMs in Overall Accuracy, while Chat GPT 4o scored the lowest (38%). Class-wise accuracies showed Claude Opus Pro 4 (76%) as the most accurate for Iron Deficiency Anemia and Gemini 2.5 (50%) for Hemoglobinopathy. There was a significant difference among LLMs in diagnosis of Hemoglobinopathy (p = 0.016). A significant difference in clinical reasoning scores was noted across LLMs for Iron Deficiency Anemia (H statistic = 6.216, p = 0.0446). Post hoc pairwise comparisons revealed Gemini versus Claude pair to be statistically significant (p = 0.040). A similar observation was made across LLM scores for the Hemoglobinopathy class (H statistic = 6.743, p = 0.0343). Post hoc pairwise comparisons revealed Gemini versus GPT-4o pair to be statistically significant (p = 0.0390) Additionally, Spearman correlation coefficient for accuracy versus clinical reasoning scores demonstrated consistently strong correlations across the three anemia subtypes for Gemini 2.5 Pro and Claude Opus 4. (rho scores between 0.79 and 0.83), with GPT 4o showing modest correlation. While Gemini 2.5 Pro and Claude Opus 4 Pro perform relatively better among the three LLMs, their accuracy and clinical reasoning scores show only partial readiness for integration in Hematology training/teaching and workflows. These values should, however, be viewed as indicative rather than conclusive due to limited dataset. Although the results do provide insight but should be interpreted as preliminary and hypothesis-generating.</t>
  </si>
  <si>
    <t>Khan, Zahra Rashid; Khan, Kamran; Nayab, Maham; Akram, Muhammad Usman; Ali, Sundas; Shakoor, Huma Abdul; Haque, Ayesha; Ahmed, Meeral</t>
  </si>
  <si>
    <t>Ahmed, M (corresponding author), Loyola Univ Chicago, Dept Psychol, Chicago, IL 60660 USA.</t>
  </si>
  <si>
    <t>mahmed33@luc.edu</t>
  </si>
  <si>
    <t>[Khan, Zahra Rashid; Haque, Ayesha] Natl Univ Sci &amp; Technol, NUST Sch Hlth Sci, Islamabad, Pakistan; [Khan, Kamran; Nayab, Maham; Akram, Muhammad Usman] Natl Univ Sci &amp; Technol, Coll Elect &amp; Mech Engn, Rawalpindi, Pakistan; [Ali, Sundas] Pakistan Inst Med Sci PIMS, Islamabad, Pakistan; [Shakoor, Huma Abdul] Atom Energy Canc Hosp, Islamabad, Pakistan; [Ahmed, Meeral] Loyola Univ Chicago, Dept Psychol, Chicago, IL 60660 USA</t>
  </si>
  <si>
    <t>National University of Sciences &amp; Technology - Pakistan; National University of Sciences &amp; Technology - Pakistan; Loyola University Chicago</t>
  </si>
  <si>
    <t>Evaluating Clinical Reasoning and Diagnostic Performance of Multimodal Large Language Models in Benign Hematology-A Comparative Analysis</t>
  </si>
  <si>
    <t>INTERNATIONAL JOURNAL OF IMAGING SYSTEMS AND TECHNOLOGY</t>
  </si>
  <si>
    <t>anemia; artificial intelligence; clinical reasoning; diagnosis; hematology; large language model</t>
  </si>
  <si>
    <t>Khan, Kamran/LMO-1627-2024; Nayab, Maham/LKM-3513-2024</t>
  </si>
  <si>
    <t>Rashid, Zahra/0009-0000-6084-9784</t>
  </si>
  <si>
    <t>0899-9457</t>
  </si>
  <si>
    <t>1098-1098</t>
  </si>
  <si>
    <t>INT J IMAG SYST TECH</t>
  </si>
  <si>
    <t>Int. J. Imaging Syst. Technol.</t>
  </si>
  <si>
    <t>JUL 11 2026</t>
  </si>
  <si>
    <t>e70409</t>
  </si>
  <si>
    <t>10.1002/ima.70409</t>
  </si>
  <si>
    <t>http://dx.doi.org/10.1002/ima.70409</t>
  </si>
  <si>
    <t>Engineering, Electrical &amp; Electronic; Optics; Imaging Science &amp; Photographic Technology</t>
  </si>
  <si>
    <t>Engineering; Optics; Imaging Science &amp; Photographic Technology</t>
  </si>
  <si>
    <t>KV4GV</t>
  </si>
  <si>
    <t>WOS:001816530400001</t>
  </si>
  <si>
    <t>Zhang, YT; Pan, Y; Zhong, TY; Dong, PX; Xie, KN; Liu, YX; Jiang, HQ; Wu, ZH; Liu, ZL; Zhao, W; Zhang, W; Zhao, SJ; Zhang, T; Jiang, X; Shen, DG; Liu, TM; Zhang, X</t>
  </si>
  <si>
    <t>Medical images and radiology reports are essential for physicians to diagnose medical conditions. However, the vast diversity and cross-source heterogeneity inherent in these data have posed significant challenges to the generalizability of current data-mining methods for clinical decision-making. Recently, multimodal large language models (MLLMs), especially Gemini-Vision-series (Gemini) and GPT-4-series (GPT-4) models, have revolutionized numerous domains, significantly impacting the medical field. In this study, we conducted a detailed evaluation of the performance of the Gemini series models (including Gemini-1.0-Pro-Vision, Gemini-1.5-Pro, and Gemini-1.5-Flash) and GPT series models (including GPT-4o, GPT-4-Turbo, and GPT-3.5-Turbo) across 14 medical datasets, covering 5 medical imaging categories (dermatology, radiology, dentistry, ophthalmology, and endoscopy) and 3 radiology report datasets. The investigated tasks encompass disease classification, lesion segmentation, anatomical localization, disease diagnosis, report generation, and lesion detection. Moreover, we also validated the performance of the Claude-3-Opus, Yi-Large, Yi-Large-Turbo, and LLaMA 3 models to gain a comprehensive understanding of the MLLM models in the medical field. Our experimental results demonstrated that Gemini-series models excelled in report generation and lesion detection but faces challenges in disease classification and anatomical localization. Conversely, GPT-series models exhibited proficiency in lesion segmentation and anatomical localization but encountered difficulties in disease diagnosis and lesion detection. Additionally, both the Gemini series and GPT series contain models that have demonstrated commendable generation efficiency. While both models hold promise in reducing physician workload, alleviating pressure on limited healthcare resources, and fostering collaboration between clinical practitioners and artificial intelligence technologies, substantial enhancements and comprehensive validations remain imperative before clinical deployment.</t>
  </si>
  <si>
    <t>Zhang, Yutong; Pan, Yi; Zhong, Tianyang; Dong, Peixin; Xie, Kangni; Liu, Yuxiao; Jiang, Hanqi; Wu, Zihao; Liu, Zhengliang; Zhao, Wei; Zhang, Wei; Zhao, Shijie; Zhang, Tuo; Jiang, Xi; Shen, Dinggang; Liu, Tianming; Zhang, Xin</t>
  </si>
  <si>
    <t>Zhang, X (corresponding author), Northwestern Polytech Univ, Inst Med Res, Xian 710072, Peoples R China.</t>
  </si>
  <si>
    <t>xzhang@nwpu.edu.cn</t>
  </si>
  <si>
    <t>National Natural Science Foundation of China [62376221, 31971288, 62131009, 62476291]</t>
  </si>
  <si>
    <t>The study is supported by National Natural Science Foundation of China (62376221, 31971288, 62131009, 62476291) .</t>
  </si>
  <si>
    <t>[Zhang, Yutong; Zhang, Xin] Northwestern Polytech Univ, Inst Med Res, Xian 710072, Peoples R China; [Pan, Yi; Jiang, Hanqi; Wu, Zihao; Liu, Zhengliang; Liu, Tianming] Univ Georgia, Sch Comp, Athens, GA 30602 USA; [Pan, Yi; Jiang, Xi] Univ Elect Sci &amp; Technol China, Sch Life Sci &amp; Technol, Chengdu 611731, Peoples R China; [Zhong, Tianyang; Dong, Peixin; Zhao, Shijie; Zhang, Tuo] Northwestern Polytech Univ, Sch Automat, Xian 710072, Peoples R China; [Xie, Kangni] Northwestern Polytech Univ, Sch Elect &amp; Informat, Xian 710072, Peoples R China; [Liu, Yuxiao; Shen, Dinggang] ShanghaiTech Univ, Sch Biomed Engn, Shanghai 201210, Peoples R China; [Zhao, Wei] Cent South Univ, Xiangya Hosp 2, Dept Radiol, Changsha 410011, Peoples R China; [Zhao, Wei] Clin Res Ctr Med Imaging Hunan Prov, Changsha 410011, Peoples R China; [Zhao, Wei] Chinese Acad Sci, Inst Biomed &amp; Hlth Engn, Shenzhen Inst Adv Technol, Shenzhen 518055, Peoples R China; [Zhang, Wei] Augusta Univ, Sch Comp &amp; Cyber Sci, Augusta, GA 30912 USA</t>
  </si>
  <si>
    <t>Northwestern Polytechnical University; University System of Georgia; University of Georgia; University of Electronic Science &amp; Technology of China; Northwestern Polytechnical University; Northwestern Polytechnical University; ShanghaiTech University; Central South University; Chinese Academy of Sciences; Shenzhen Institute of Advanced Technology, CAS; University System of Georgia; Augusta University</t>
  </si>
  <si>
    <t>Potential of multimodal large language models for data mining of medical images and free-text reports</t>
  </si>
  <si>
    <t>META-RADIOLOGY</t>
  </si>
  <si>
    <t>Pan, Yi/NLO-0974-2025; Zhao, Wei/MVX-7431-2025; Zhang, Wei/ABA-9882-2020; wu, zihao/R-8745-2019; Zhang, Tuo/NHP-8722-2025; Liu, Tianming/GLS-1211-2022</t>
  </si>
  <si>
    <t>Zhang, Xin/0000-0002-5927-9283</t>
  </si>
  <si>
    <t>KEAI PUBLISHING LTD</t>
  </si>
  <si>
    <t>16 DONGHUANGCHENGGEN NORTH ST, Building 5, Room 411, BEIJING, DONGCHENG DISTRICT 100009, PEOPLES R CHINA</t>
  </si>
  <si>
    <t>2950-1628</t>
  </si>
  <si>
    <t>Meta-Radiology</t>
  </si>
  <si>
    <t>100103</t>
  </si>
  <si>
    <t>10.1016/j.metrad.2024.100103</t>
  </si>
  <si>
    <t>http://dx.doi.org/10.1016/j.metrad.2024.100103</t>
  </si>
  <si>
    <t>Computer Science, Artificial Intelligence; Computer Science, Interdisciplinary Applications; Radiology, Nuclear Medicine &amp; Medical Imaging</t>
  </si>
  <si>
    <t>Computer Science; Radiology, Nuclear Medicine &amp; Medical Imaging</t>
  </si>
  <si>
    <t>7RH6A</t>
  </si>
  <si>
    <t>WOS:001577798200001</t>
  </si>
  <si>
    <t>Yin, HF; Zhao, KK; Shi, DL; Grzybowski, A; Jin, K</t>
  </si>
  <si>
    <t>Background Large language models (LLMs) excel in text-based medical exams, but their ability to integrate multimodal data, critical for ophthalmology, is underexplored. This study evaluates vision-language LLMs' accuracy and reasoning in complex ophthalmic questions.Methods We assessed three multimodal LLMs (CLM-V, ChatGPT-5, MiniCPM-V 4.5) on 316 bilingual ophthalmology questions (175 English Basic and Clinical Science Course single-choice, 141 Chinese senior professional title multiple-choice questions) across cornea, uvea, glaucoma, retina and orbit. Each question paired a clinical vignette with an image. Models were tested with reasoning-enabled and reasoning-disabled prompts. Accuracy was measured against reference standards, and reasoning quality was evaluated using automated rubric scoring (accuracy, data synthesis, logic, option analysis, safety) and expert review. Four cases were analysed qualitatively.Results Reasoning-enabled prompting increased mean artificial intelligence-assisted total scores in the English dataset from 14.97 to 16.07 for CLM-V, 20.77 to 23.97 for ChatGPT-5 and 10.83 to 12.60 for MiniCPM-V 4.5; in the Chinese dataset, the corresponding scores were 9.03 to 10.27, 19.95 to 22.00 and 11.05 to 13.30, respectively. Human evaluation showed substantial inter-rater agreement (kappa=0.87) and again ranked ChatGPT-5 highest. Qualitative case analyses illustrated that reasoning-enabled outputs were often more clinically interpretable, although the magnitude of benefit was model-dependent and dataset-dependent.Conclusion Multimodal LLMs demonstrate potential in ophthalmic question-answering, with reasoning-enabled prompting being associated with improved interpretability and, in most settings, numerically higher performance. However, limitations in subspecialty robustness and image interpretation necessitate rigorous reasoning evaluation for safe educational and clinical applications.</t>
  </si>
  <si>
    <t>Yin, Houfa; Zhao, Kaikai; Shi, Danli; Grzybowski, Andrzej; Jin, Kai</t>
  </si>
  <si>
    <t>Jin, K (corresponding author), Zhejiang Univ, Eye Ctr, Affiliated Hosp 2, Sch Med, Hangzhou, Zhejiang, Peoples R China.; Jin, K (corresponding author), Zhejiang Prov Engn Inst Eye Dis, Zhejiang Prov Clin Res Ctr Eye Dis, Zhejiang Prov Key Lab Ophthalmol, Hangzhou, Zhejiang, Peoples R China.</t>
  </si>
  <si>
    <t>ae.grzybowski@gmail.com; danli.shi@polyu.edu.hk; zhaokaikai@cumt.edu.cn; jinkai@zju.edu.cn; yinhoufa@zju.edu.cn</t>
  </si>
  <si>
    <t>This work was financially supported by the Natural Science Foundation of China (grant number 82201195, 82204713) and the Education Reform Project of the Second Affiliated Hospital Zhejiang University School of Medicine (grant number 20240412).</t>
  </si>
  <si>
    <t>[Yin, Houfa; Zhao, Kaikai; Jin, Kai] Zhejiang Univ, Eye Ctr, Affiliated Hosp 2, Sch Med, Hangzhou, Zhejiang, Peoples R China; [Yin, Houfa; Zhao, Kaikai; Jin, Kai] Zhejiang Prov Engn Inst Eye Dis, Zhejiang Prov Clin Res Ctr Eye Dis, Zhejiang Prov Key Lab Ophthalmol, Hangzhou, Zhejiang, Peoples R China; [Zhao, Kaikai] Hangzhou Mocular Med Technol Inc, Hangzhou, Zhejiang, Peoples R China; [Shi, Danli] Hong Kong Polytech Univ, Sch Optometry, Hong Kong, Peoples R China; [Shi, Danli] Hong Kong Polytech Univ, Res Ctr SHARP Vis RCSV, Hong Kong, Peoples R China; [Grzybowski, Andrzej] Univ Warmia &amp; Mazury, Dept Ophthalmol, Olsztyn, Poland; [Grzybowski, Andrzej] Fdn Ophthalmol Dev, Inst Res Ophthalmol, Poznan, Poland</t>
  </si>
  <si>
    <t>Zhejiang University; Hong Kong Polytechnic University; Hong Kong Polytechnic University; University of Warmia &amp; Mazury</t>
  </si>
  <si>
    <t>Evaluating reasoning in multimodal large language models for ophthalmology: a bilingual benchmark study using clinical vignettes and imaging</t>
  </si>
  <si>
    <t>Artificial Intelligence; Imaging; Diagnostic tests/Investigation; Retina; Glaucoma</t>
  </si>
  <si>
    <t>INTELLIGENCE</t>
  </si>
  <si>
    <t>Jin, Kai/GRS-2857-2022; Shi, Danli/KLD-8383-2024; Grzybowski, A/E-4486-2010</t>
  </si>
  <si>
    <t>Shi, Danli/0000-0001-6094-137X</t>
  </si>
  <si>
    <t>10.1136/bjo-2025-328992</t>
  </si>
  <si>
    <t>http://dx.doi.org/10.1136/bjo-2025-328992</t>
  </si>
  <si>
    <t>JL8FA</t>
  </si>
  <si>
    <t>42270291</t>
  </si>
  <si>
    <t>WOS:001792377700001</t>
  </si>
  <si>
    <t>Saraç, U; Paydas, AB; Gençeli, M; Üstüntas, T; Yücel, M; Çokbiçer, A; Sap, F; Baysal, T; Oflaz, MB</t>
  </si>
  <si>
    <t>We evaluated three multimodal LLMs, ChatGPT (GPT-5.2), Gemini 3, and Microsoft Copilot, in pediatric ECG interpretation, focusing on clinically significant abnormalities and emergency arrhythmias with likelihood ratios as primary outcome measures. This prospective comparative diagnostic accuracy study (STARD/STARD-AI) included 264 pediatric patients with 12-lead ECGs (November 2024-November 2025). De-identified images were submitted via standardized zero-shot prompt. Three blinded pediatric cardiologists established the reference diagnosis by majority-vote consensus. Cases were classified as Tier 1 (normal), Tier 2 (abnormal, non-urgent), or Tier 3 (urgent). Two binary endpoints were assessed: clinically significant abnormality (Tier 2 + 3 vs Tier 1) and emergency abnormality (Tier 3 vs Tier 1 + 2). Clinically significant abnormalities were present in 54.5% of patients. AUC values ranged from 0.550 to 0.623, reflecting modest discrimination. For the clinically significant endpoint, + LR values were 2.05 (ChatGPT), 1.26 (Gemini), and 1.21 (Copilot); - LR values were 0.68, 0.55, and 0.81, indicating limited rule-in and insufficient rule-out utility. For the emergency endpoint, Gemini achieved 100% sensitivity (95% CI = 85.1-100.0) with - LR 0.07 (95% CI = 0.00-1.12) in a small subgroup (n = 22); however, specificity of 30.2% and + LR of 1.40 indicate overcalling rather than diagnostic precision. No model achieved clinically meaningful rule-in utility for either endpoint.Conclusions: Current multimodal LLMs showed limited diagnostic utility in pediatric ECG interpretation, with + LR values near 1.0 across both endpoints. Standalone deployment is not supported; these tools may at most serve as adjunctive screening aids under clinician oversight. What is Known:center dot Deep learning algorithms trained on large ECG datasets perform well in adult populations, but evidence in pediatric ECG interpretation is limited.center dot General-purpose LLMs show variable accuracy in medical examinations; reliability in subspecialty domains such as pediatric cardiology remains unproven.What is New:center dot This is the[FCA1] first head-to-head comparative diagnostic accuracy study of multimodal LLMs in pediatric ECG evaluation, using likelihood ratios as primary outcome measures.center dot All three LLMs showed limited rule-in utility (+LR near 1.0); Gemini achieved potentially meaningful rule-out performance for emergency arrhythmias (-LR = 0.07), but with wide confidence intervals reflecting the small emergency subgroup (n = 22).center dot Gemini's 100% sensitivity in the emergency subgroup reflects overcalling (specificity 30.2%) consistent with a triage/screening behavior rather than diagnostic precision.</t>
  </si>
  <si>
    <t>Sarac, Ugur; Paydas, Ayse Busra; Genceli, Mustafa; Ustuntas, Talha; Yucel, Mehtap; Cokbicer, Abdulkerim; Sap, Fatih; Baysal, Tamer; Oflaz, Mehmet Burhan</t>
  </si>
  <si>
    <t>Saraç, U (corresponding author), Necmettin Erbakan Univ, Fac Med, Dept Pediat Cardiol, Konya, Turkiye.</t>
  </si>
  <si>
    <t>aysbsra93@gmail.com; mburhanoflaz@gmail.com; talhaustuntas@gmail.com; mhtpyucel@hotmail.com; fatihsap@gmail.com; md.ugursarac@gmail.com; genceli.mstf13@gmail.com; cokbicerkerim@gmail.com; tbaysal2@yahoo.com</t>
  </si>
  <si>
    <t>Necmettin Erbakan University</t>
  </si>
  <si>
    <t>Necmettin Erbakan University (Necmettin Erbakan University)</t>
  </si>
  <si>
    <t>Open access funding provided by the Scientific and Technological Research Council of Turkiye (TUB &amp; Idot;TAK).</t>
  </si>
  <si>
    <t>[Sarac, Ugur; Paydas, Ayse Busra; Sap, Fatih; Baysal, Tamer; Oflaz, Mehmet Burhan] Necmettin Erbakan Univ, Fac Med, Dept Pediat Cardiol, Konya, Turkiye; [Genceli, Mustafa] Necmettin Erbakan Univ, Fac Med, Dept Pediat Infect Dis, Konya, Turkiye; [Ustuntas, Talha; Cokbicer, Abdulkerim] Necmettin Erbakan Univ, Fac Med, Dept Pediat, Konya, Turkiye; [Yucel, Mehtap] Necmettin Erbakan Univ, Fac Med, Dept Publ Hlth, Konya, Turkiye</t>
  </si>
  <si>
    <t>Necmettin Erbakan University; Necmettin Erbakan University; Necmettin Erbakan University; Necmettin Erbakan University</t>
  </si>
  <si>
    <t>Comparative evaluation of multimodal large language models for diagnostic accuracy in pediatric electrocardiography: a prospective comparative diagnostic accuracy study</t>
  </si>
  <si>
    <t>EUROPEAN JOURNAL OF PEDIATRICS</t>
  </si>
  <si>
    <t>Artificial intelligence; Large language models; Pediatric electrocardiography; Diagnostic accuracy; Likelihood ratios; Arrhythmia detection</t>
  </si>
  <si>
    <t>ARTIFICIAL-INTELLIGENCE; CARDIOLOGIST</t>
  </si>
  <si>
    <t>Paydas, Ayse/QJW-2816-2026; saraç, uğur/PHF-2603-2026; Gençeli, Mustafa/JUU-4068-2023; Üstüntaş, Talha/LVR-2476-2024; YUCEL, Mehtap/MFI-9210-2025</t>
  </si>
  <si>
    <t>Üstüntaş, Talha/0009-0004-2385-0953; Çokbiçer, Abdülkerim/0000-0002-8454-5555</t>
  </si>
  <si>
    <t>0340-6199</t>
  </si>
  <si>
    <t>1432-1076</t>
  </si>
  <si>
    <t>EUR J PEDIATR</t>
  </si>
  <si>
    <t>Eur. J. Pediatr.</t>
  </si>
  <si>
    <t>MAR 24 2026</t>
  </si>
  <si>
    <t>185</t>
  </si>
  <si>
    <t>206</t>
  </si>
  <si>
    <t>10.1007/s00431-026-06874-x</t>
  </si>
  <si>
    <t>http://dx.doi.org/10.1007/s00431-026-06874-x</t>
  </si>
  <si>
    <t>Pediatrics</t>
  </si>
  <si>
    <t>FK4ET</t>
  </si>
  <si>
    <t>41872525</t>
  </si>
  <si>
    <t>WOS:001720854700002</t>
  </si>
  <si>
    <t>Haider, SA; Prabha, S; Gomez-Cabello, CA; Borna, S; Genovese, A; Trabilsy, M; Elegbede, A; Yang, JF; Galvao, A; Tao, C; Forte, AJ</t>
  </si>
  <si>
    <t>Background/Objectives: Facial analysis is critical for preoperative planning in facial plastic surgery, but traditional methods can be time consuming and subjective. This study investigated the potential of Artificial Intelligence (AI) for objective and efficient facial analysis in plastic surgery, with a specific focus on Multimodal Large Language Models (MLLMs). We evaluated their ability to analyze facial skin quality, volume, symmetry, and adherence to aesthetic standards such as neoclassical facial canons and the golden ratio. Methods: We evaluated four MLLMs-ChatGPT-4o, ChatGPT-4, Gemini 1.5 Pro, and Claude 3.5 Sonnet-using two evaluation forms and 15 diverse facial images generated by a Generative Adversarial Network (GAN). The general analysis form evaluated qualitative skin features (texture, type, thickness, wrinkling, photoaging, and overall symmetry). The facial ratios form assessed quantitative structural proportions, including division into equal fifths, adherence to the rule of thirds, and compatibility with the golden ratio. MLLM assessments were compared with evaluations from a plastic surgeon and manual measurements of facial ratios. Results: The MLLMs showed promise in analyzing qualitative features, but they struggled with precise quantitative measurements of facial ratios. Mean accuracy for general analysis were ChatGPT-4o (0.61 +/- 0.49), Gemini 1.5 Pro (0.60 +/- 0.49), ChatGPT-4 (0.57 +/- 0.50), and Claude 3.5 Sonnet (0.52 +/- 0.50). In facial ratio assessments, scores were lower, with Gemini 1.5 Pro achieving the highest mean accuracy (0.39 +/- 0.49). Inter-rater reliability, based on Cohen's Kappa values, ranged from poor to high for qualitative assessments (kappa &gt; 0.7 for some questions) but was generally poor (near or below zero) for quantitative assessments. Conclusions: Current general purpose MLLMs are not yet ready to replace manual clinical assessments but may assist in general facial feature analysis. These findings are based on testing models not specifically trained for facial analysis and serve to raise awareness among clinicians regarding the current capabilities and inherent limitations of readily available MLLMs in this specialized domain. This limitation may stem from challenges with spatial reasoning and fine-grained detail extraction, which are inherent limitations of current MLLMs. Future research should focus on enhancing the numerical accuracy and reliability of MLLMs for broader application in plastic surgery, potentially through improved training methods and integration with other AI technologies such as specialized computer vision algorithms for precise landmark detection and measurement.</t>
  </si>
  <si>
    <t>Haider, Syed Ali; Prabha, Srinivasagam; Gomez-Cabello, Cesar A.; Borna, Sahar; Genovese, Ariana; Trabilsy, Maissa; Elegbede, Adekunle; Yang, Jenny Fei; Galvao, Andrea; Tao, Cui; Forte, Antonio Jorge</t>
  </si>
  <si>
    <t>Forte, AJ (corresponding author), Mayo Clin, Div Plast Surg, Jacksonville, FL 32224 USA.; Forte, AJ (corresponding author), Mayo Clin, Ctr Digital Hlth, Rochester, MN 55905 USA.</t>
  </si>
  <si>
    <t>ajvforte@yahoo.com.br</t>
  </si>
  <si>
    <t>[Haider, Syed Ali; Prabha, Srinivasagam; Gomez-Cabello, Cesar A.; Borna, Sahar; Genovese, Ariana; Trabilsy, Maissa; Elegbede, Adekunle; Yang, Jenny Fei; Forte, Antonio Jorge] Mayo Clin, Div Plast Surg, Jacksonville, FL 32224 USA; [Galvao, Andrea] Univ Ctr UNICHRISTUS, Sch Dent, BR-60190180 Fortaleza, Brazil; [Tao, Cui] Mayo Clin, Dept Artificial Intelligence &amp; Informat, Jacksonville, FL 32224 USA; [Forte, Antonio Jorge] Mayo Clin, Ctr Digital Hlth, Rochester, MN 55905 USA</t>
  </si>
  <si>
    <t>Facial Analysis for Plastic Surgery in the Era of Artificial Intelligence: A Comparative Evaluation of Multimodal Large Language Models</t>
  </si>
  <si>
    <t>artificial intelligence; multimodal large language models; large language models; facial analysis; facial plastic surgery</t>
  </si>
  <si>
    <t>SATISFACTION; ORTHODONTICS; HEALTH; BEAUTY; FACE; AI</t>
  </si>
  <si>
    <t>Tao, Cui/G-8429-2011; Genovese, Ariana/CAF-1752-2022; Forte, Antonio Jorge/I-2970-2019; Srinivasagam, Prabha/AAG-3009-2021</t>
  </si>
  <si>
    <t>Tao, Cui/0000-0002-4267-1924; Haider, Syed Ali/0009-0007-5621-2861; Genovese, Ariana/0009-0000-9678-2163; Forte, Antonio Jorge/0000-0003-2004-7538; Trabilsy, Maissa/0009-0009-1239-9147; Galvão, Andréa/0000-0002-7489-1868</t>
  </si>
  <si>
    <t>MAY 16 2025</t>
  </si>
  <si>
    <t>3484</t>
  </si>
  <si>
    <t>10.3390/jcm14103484</t>
  </si>
  <si>
    <t>http://dx.doi.org/10.3390/jcm14103484</t>
  </si>
  <si>
    <t>3DE1U</t>
  </si>
  <si>
    <t>40429479</t>
  </si>
  <si>
    <t>WOS:001497516400001</t>
  </si>
  <si>
    <t>Claman, D; Sezgin, E</t>
  </si>
  <si>
    <t>Instructional and clinical technologies have been transforming dental education. With the emergence of artificial intelligence (AI), the opportunities of using AI in education has increased. With the recent advancement of generative AI, large language models (LLMs) and foundation models gained attention with their capabilities in natural language understanding and generation as well as combining multiple types of data, such as text, images, and audio. A common example has been ChatGPT, which is based on a powerful LLM-the GPT model. This paper discusses the potential benefits and challenges of incorporating LLMs in dental education, focusing on periodontal charting with a use case to outline capabilities of LLMs. LLMs can provide personalized feedback, generate case scenarios, and create educational content to contribute to the quality of dental education. However, challenges, limitations, and risks exist, including bias and inaccuracy in the content created, privacy and security concerns, and the risk of overreliance. With guidance and oversight, and by effectively and ethically integrating LLMs, dental education can incorporate engaging and personalized learning experiences for students toward readiness for real-life clinical practice.</t>
  </si>
  <si>
    <t>Claman, Daniel; Sezgin, Emre</t>
  </si>
  <si>
    <t>Sezgin, E (corresponding author), Nationwide Childrens Hosp, Abigail Wexner Res Inst, Ctr Biobehav Hlth, 700 Childrens Dr, Columbus, OH 43205 USA.</t>
  </si>
  <si>
    <t>emre.sezgin@nationwidechildrens.org</t>
  </si>
  <si>
    <t>We used the generative AI tool, ChatGPT by OpenAI [35] , to draft example cases (Textbox 1-Textbox 4) .</t>
  </si>
  <si>
    <t>[Claman, Daniel] Nationwide Childrens Hosp, Pediat Dent, Columbus, OH USA; [Sezgin, Emre] Ohio State Univ, Coll Med, Dept Pediat, Columbus, OH USA; [Sezgin, Emre] Nationwide Childrens Hosp, Abigail Wexner Res Inst, Ctr Biobehav Hlth, 700 Childrens Dr, Columbus, OH 43205 USA</t>
  </si>
  <si>
    <t>University System of Ohio; Ohio State University; Nationwide Childrens Hospital; University System of Ohio; Ohio State University; University System of Ohio; Ohio State University; Nationwide Childrens Hospital; Research Institute at Nationwide Children's Hospital; Center for Biobehavioral Health</t>
  </si>
  <si>
    <t>Artificial Intelligence in Dental Education: Opportunities and Challenges of Large Language Models and Multimodal Foundation Models</t>
  </si>
  <si>
    <t>JMIR MEDICAL EDUCATION</t>
  </si>
  <si>
    <t>artificial intelligence; large language models; dental education; GPT; ChatGPT; periodontal health; AI; LLM; LLMs; chatbot; natural language; generative pretrained transformer; innovation; technology; large language model</t>
  </si>
  <si>
    <t>Sezgin, Emre/I-7969-2019</t>
  </si>
  <si>
    <t>Sezgin, Emre/0000-0001-8798-9605</t>
  </si>
  <si>
    <t>2369-3762</t>
  </si>
  <si>
    <t>JMIR MED EDUC</t>
  </si>
  <si>
    <t>JMIR Med. Educ.</t>
  </si>
  <si>
    <t>e52346</t>
  </si>
  <si>
    <t>10.2196/52346</t>
  </si>
  <si>
    <t>http://dx.doi.org/10.2196/52346</t>
  </si>
  <si>
    <t>H9U7K</t>
  </si>
  <si>
    <t>39331527</t>
  </si>
  <si>
    <t>WOS:001326817300001</t>
  </si>
  <si>
    <t>Watanabe, T; Baba, A; Fukuda, T; Watanabe, K; Woo, J; Ojiri, H</t>
  </si>
  <si>
    <t>ObjectivesThis study aimed to assess the performance of state-of-the-art multimodal large language models (LLMs), specifically GPT-4o, Claude 3 Opus, and Gemini 1.5 Pro, on Japanese Nuclear Medicine Board Examination (JNMBE) questions and to evaluate the influence of visual information on the decision-making process.MethodsThis study utilized 92 questions with images from the JNMBE (2019-2023). The LLMs' responses were assessed under two conditions: providing both text and images and providing only text. Each model answered all questions thrice, and the most frequent answer choice was considered the final answer. The accuracy and agreement rates among the model answers were evaluated using statistical tests.ResultsGPT-4o, Claude 3 Opus, and Gemini 1.5 Pro exhibited no significant differences in terms of accuracy between the text-and-image and text-only conditions. GPT-4o and Claude 3 Opus demonstrated accuracies of 54.3% (95% CI: 44.2%-64.1%) each when provided with both text and images; however, they selected the same options as in the text-only condition for 71.7% of the questions. Gemini 1.5 Pro performed significantly worse than GPT-4o under text and image conditions. The agreement rates among the model answers ranged from weak to moderate.ConclusionThe influence of images on decision-making in nuclear medicine is limited to the latest multimodal LLMs, and their diagnostic ability in this highly specialized field remains insufficient. Improving the utilization of image information and enhancing the answer reproducibility are crucial for the effective application of LLMs in nuclear medicine education and practice. Further advancements in these areas are necessary to harness the potential of LLMs as assistants in nuclear medicine diagnosis.</t>
  </si>
  <si>
    <t>Watanabe, Takashi; Baba, Akira; Fukuda, Takeshi; Watanabe, Ken; Woo, Jun; Ojiri, Hiroya</t>
  </si>
  <si>
    <t>Watanabe, T (corresponding author), Jikei Univ, Sch Med, Dept Radiol, 3-25-8 Nishi Shimbashi,Minato Ku, Tokyo 1058461, Japan.</t>
  </si>
  <si>
    <t>bal.s.rimso@gmail.com</t>
  </si>
  <si>
    <t>[Watanabe, Takashi; Baba, Akira; Fukuda, Takeshi; Watanabe, Ken; Woo, Jun; Ojiri, Hiroya] Jikei Univ, Sch Med, Dept Radiol, 3-25-8 Nishi Shimbashi,Minato Ku, Tokyo 1058461, Japan</t>
  </si>
  <si>
    <t>Jikei University</t>
  </si>
  <si>
    <t>Role of visual information in multimodal large language model performance: an evaluation using the Japanese nuclear medicine board examination</t>
  </si>
  <si>
    <t>Large language models; Visual information; Japanese nuclear medicine board examination</t>
  </si>
  <si>
    <t>224</t>
  </si>
  <si>
    <t>10.1007/s12149-024-01992-8</t>
  </si>
  <si>
    <t>http://dx.doi.org/10.1007/s12149-024-01992-8</t>
  </si>
  <si>
    <t>U8Q0G</t>
  </si>
  <si>
    <t>39538110</t>
  </si>
  <si>
    <t>WOS:001353876000001</t>
  </si>
  <si>
    <t>Gu, X; Tang, W; Han, JP; Sangha, V; Liu, FL; Gowda, SN; Ribeiro, AH; Schwab, P; Branson, K; Clifton, L; Ribeiro, ALP; Liu, ZDH; Clifton, DA</t>
  </si>
  <si>
    <t>Cardiovascular diseases remain a major contributor to the global burden of healthcare, highlighting the importance of accurate and scalable methods for cardiac monitoring. Cardiac biosignals, most notably electrocardiograms (ECG) and photoplethysmograms, are essential for diagnosing, preventing and managing cardiovascular conditions across clinical and home settings. However, their acquisition varies substantially across scenarios and devices, whereas existing analytical models often rely on homogeneous datasets and static bespoke models, limiting their robustness and generalizability in diverse real-world contexts. Here we present a cardiac sensing foundation model (CSFM) that leverages transformer architectures and a generative masked pretraining strategy to learn unified representations from heterogeneous health records. CSFM is pretrained on a multimodal integration of data from various large-scale datasets, comprising cardiac signals from approximately 1.7 million individuals and their corresponding clinical or machine-generated text reports. The embeddings derived from CSFM act as effective, transferable features across diverse cardiac sensing scenarios, supporting a seamless adaptation to the varied input configurations and sensor modalities. Extensive evaluations across diagnostic tasks, demographic recognition, vital sign measurement, clinical outcome prediction and ECG question answering demonstrate that CSFM consistently outperforms traditional one-modal-one-task approaches. Notably, CSFM maintains favourable performance across both 12-lead and single-lead ECGs, as well as in scenarios involving ECG only, photoplethysmogram only or a combination of both. This highlights its potential as a versatile and scalable foundation for comprehensive cardiac monitoring.</t>
  </si>
  <si>
    <t>Gu, Xiao; Tang, Wei; Han, Jinpei; Sangha, Veer; Liu, Fenglin; Gowda, Shreyank N.; Ribeiro, Antonio H.; Schwab, Patrick; Branson, Kim; Clifton, Lei; Ribeiro, Antonio Luiz P.; Liu, Zhangdaihong; Clifton, David A.</t>
  </si>
  <si>
    <t>Gu, X; Liu, ZDH; Clifton, DA (corresponding author), Univ Oxford, Dept Engn Sci, Oxford, England.; Liu, ZDH; Clifton, DA (corresponding author), Univ Oxford, Oxford Suzhou Ctr Adv Res, Suzhou, Peoples R China.</t>
  </si>
  <si>
    <t>zhang.liu@oscar.ox.ac.uk; xiao.gu@eng.ox.ac.uk; david.clifton@eng.ox.ac.uk</t>
  </si>
  <si>
    <t>RCUK | Engineering and Physical Sciences Research Council (EPSRC) [EP/W031744/1]; Wellcome Trust (Wellcome) [204904/Z/16/Z]; the Pandemic Sciences Institute at the University of Oxford; the National Institute for Health Research (NIHR) Oxford Biomedical Research Centre (BRC); an NIHR Research Professorship; a Royal Academy of Engineering Research Chair; and the InnoHK Hong Kong</t>
  </si>
  <si>
    <t>RCUK | Engineering and Physical Sciences Research Council (EPSRC) (UK Research &amp; Innovation (UKRI), Engineering &amp; Physical Sciences Research Council (EPSRC)); Wellcome Trust (Wellcome) (Wellcome Trust); the Pandemic Sciences Institute at the University of Oxford; the National Institute for Health Research (NIHR) Oxford Biomedical Research Centre (BRC); an NIHR Research Professorship; a Royal Academy of Engineering Research Chair; and the InnoHK Hong Kong</t>
  </si>
  <si>
    <t>D.A.C. was funded by an NIHR Research Professorship, a Royal Academy of Engineering Research Chair and the InnoHK Hong Kong Centre for Cerebro-cardiovascular Engineering (COCHE) and was supported by the National Institute for Health Research (NIHR) Oxford Biomedical Research Centre (BRC) and the Pandemic Sciences Institute at the University of Oxford. A.L.P.R. is supported in part by National Council for Scientific and Technological Development (CNPq), Minas Gerais State Foundation for Research Support (FAPEMIG), Innovation Center on Artificial Intelligence for Health (CIIA-S) and Institute for Health Assessment and Translation for Chronic and Neglected Diseases of High Relevance (IATS-CARE).</t>
  </si>
  <si>
    <t>[Gu, Xiao; Tang, Wei; Sangha, Veer; Liu, Fenglin; Clifton, Lei; Liu, Zhangdaihong; Clifton, David A.] Univ Oxford, Dept Engn Sci, Oxford, England; [Tang, Wei] City Univ Hong Kong, Dept Math, Hong Kong, Peoples R China; [Tang, Wei] Hong Kong Ctr Cerebrocardiovasc Hlth Engn, Hong Kong, Peoples R China; [Han, Jinpei] Imperial Coll London, Brain &amp; Behav Lab, London, England; [Gowda, Shreyank N.] Univ Nottingham, Sch Comp Sci, Nottingham, England; [Ribeiro, Antonio H.] Uppsala Univ, Dept Informat Technol, Uppsala, Sweden; [Schwab, Patrick; Branson, Kim] GSK Plc, London, England; [Clifton, Lei] Univ Oxford, Nuffield Dept Primary Care Hlth Sci, Oxford, England; [Ribeiro, Antonio Luiz P.] Univ Fed Minas Gerais, Hosp Clin, Fac Med, Dept Internal Med, Belo Horizonte, Brazil; [Ribeiro, Antonio Luiz P.] Univ Fed Minas Gerais, Hosp Clin, Telehlth Ctr, Belo Horizonte, Brazil; [Ribeiro, Antonio Luiz P.] Univ Fed Minas Gerais, Hosp Clin, Cardiol Serv, Belo Horizonte, Brazil; [Liu, Zhangdaihong; Clifton, David A.] Univ Oxford, Oxford Suzhou Ctr Adv Res, Suzhou, Peoples R China</t>
  </si>
  <si>
    <t>University of Oxford; City University of Hong Kong; University of Nottingham; Uppsala University; GlaxoSmithKline; University of Oxford; Universidade Federal de Minas Gerais; Universidade Federal de Minas Gerais; Universidade Federal de Minas Gerais; University of Oxford</t>
  </si>
  <si>
    <t>Cardiac health assessment across scenarios and devices using a multimodal foundation model pretrained on data from 1.7 million individuals</t>
  </si>
  <si>
    <t>NATURE MACHINE INTELLIGENCE</t>
  </si>
  <si>
    <t>Horta Ribeiro, Antonio/AAE-1948-2019; Han, Jinpei/OGN-8381-2025; Gu, Xiao/K-5191-2019</t>
  </si>
  <si>
    <t>Horta Ribeiro, Antonio/0000-0003-3632-8529; TANG, Wei/0000-0002-1511-0814</t>
  </si>
  <si>
    <t>2522-5839</t>
  </si>
  <si>
    <t>NAT MACH INTELL</t>
  </si>
  <si>
    <t>Nat. Mach. Intell.</t>
  </si>
  <si>
    <t>10.1038/s42256-026-01180-5</t>
  </si>
  <si>
    <t>http://dx.doi.org/10.1038/s42256-026-01180-5</t>
  </si>
  <si>
    <t>EE7DP</t>
  </si>
  <si>
    <t>41757248</t>
  </si>
  <si>
    <t>WOS:001699315700017</t>
  </si>
  <si>
    <t>Nakaura, T; Kobayashi, N; Masuda, T; Nagayama, Y; Uetani, H; Kidoh, M; Oda, S; Funama, Y; Hirai, T</t>
  </si>
  <si>
    <t>Rationale and Objectives: This study aimed to assess the current multimodal capabilities of leading multimodal large language models (MLLMs) using a 2024 radiology board examination, evaluate their proficiency in utilizing medical image content, compare their performance against human examinees, and consider their cost-effectiveness. Material and Methods: Six contemporary MLLMs (GPT-4.1, o3, Claude 3.7 Sonnet, Claude 3.7 Sonnet-thinking, Gemini 2.5 Pro Preview, and Gemini 2.5 Flash Preview-thinking) were evaluated using the 100 multiple-choice questions (96 image-based) from the 2024 official board examination of the Japan Radiological Society. Questions, originally in Japanese, were instructed to be translated into English by the MLLMs. Performance was also analyzed with and without images for certain models to assess multimodal utility. Results: Gemini 2.5 Pro Preview achieved the highest accuracy (76.0%), followed by o3 (75.0%), both surpassing the average human examinee score (72.9%). Gemini 2.5 Pro Preview showed 75.0% accuracy with images versus 63.5% without (p = 0.035), and Gemini 2.5 Flash Preview-thinking demonstrated 68.8% accuracy with images versus 57.3% without (p = 0.019), indicating significant performance gains with image inclusion. Notably, Gemini models demonstrated top-tier performance at a highly competitive cost. Conclusion: The latest generation of MLLMs, particularly Gemini 2.5 Pro Preview and o3, can exceed average human performance on radiology board examinations and effectively leverage image information. The Gemini series, in particular, shows rapid improvements and offers a compelling combination of high performance and cost-efficiency for potential applications in radiology. Summary Statement: Modern multimodal large language models, notably Gemini 2.5 Pro Preview and o3, surpassed average human performance on the 2024 Japanese Radiology Board Examination. Gemini models showed significant score improvements when utilizing image data and offer top-tier performance at a competitive cost, indicating rapid advancements and excellent cost-effectiveness for radiology applications.</t>
  </si>
  <si>
    <t>Nakaura, Takeshi; Kobayashi, Naoki; Masuda, Takanori; Nagayama, Yasunori; Uetani, Hiroyuki; Kidoh, Masafumi; Oda, Seitaro; Funama, Yoshinori; Hirai, Toshinori</t>
  </si>
  <si>
    <t>Nakaura, T (corresponding author), Kumamoto Univ Hosp, Dept Cent Radiol, 1-1-1 Honjo, Kumamoto 8608556, Japan.</t>
  </si>
  <si>
    <t>[Nakaura, Takeshi; Kobayashi, Naoki; Nagayama, Yasunori; Uetani, Hiroyuki; Kidoh, Masafumi; Oda, Seitaro; Hirai, Toshinori] Kumamoto Univ Hosp, Dept Cent Radiol, 1-1-1 Honjo, Kumamoto 8608556, Japan; [Masuda, Takanori] Kawasaki Univ Med Welf, Fac Hlth Sci &amp; Technol, Dept Radiol Technol, Okayama, Japan; [Funama, Yoshinori] Kumamoto Univ, Fac Life Sci, Dept Med Phys, Kumamoto, Japan</t>
  </si>
  <si>
    <t>Performance of State-of-the-Art Multimodal Large Language Models on an Image-Rich Radiology Board Examination: Comparison to Human Examinees</t>
  </si>
  <si>
    <t>Large language models (LLMs); Multimodal AI; Radiology Board Examination; Medical image analysis; Cost-effectiveness</t>
  </si>
  <si>
    <t>Nakaura, Takeshi/HQZ-8072-2023; Nagayama, Yasunori/GZG-5667-2022</t>
  </si>
  <si>
    <t>348</t>
  </si>
  <si>
    <t>358</t>
  </si>
  <si>
    <t>10.1016/j.acra.2025.10.051</t>
  </si>
  <si>
    <t>http://dx.doi.org/10.1016/j.acra.2025.10.051</t>
  </si>
  <si>
    <t>CU9PD</t>
  </si>
  <si>
    <t>41318296</t>
  </si>
  <si>
    <t>WOS:001675041200001</t>
  </si>
  <si>
    <t>Warkiani, ME; Safari, B; Moattar, MH; Hosseinzadeh, M</t>
  </si>
  <si>
    <t>Artificial intelligence and its applications have already been transformed by large language models (LLMs). This rapidly emerging field also holds immense potential to revolutionize the medical industry. This review discusses the technological frameworks, applications, challenges, and possible future directions of multimodal LLMs in healthcare diagnosis and prognosis. We emphasize how these algorithms analyze text, pictures, genetic data, and sensor inputs to enhance diagnostics, predictive analytics, and customized medicine. Transformer-based architectures, when combined with fusion methods such as joint embeddings and cross-modal attention, enable sophisticated reasoning across modalities. This feature improves the accuracy of real-time patient monitoring, cancer detection, and rare disease diagnosis. The Scopus and Google Scholar databases were used to choose the studies for this evaluation because of their extensive coverage, excellent indexed research quality, citation analysis capabilities, and sophisticated search features. Data heterogeneity, interpretability, computational cost, and ethical issues continue to be the key obstacles. The advantages of multimodal LLMs over traditional methods are illustrated through case studies. Future advancements will depend on the integration of innovative modalities such as wearable technology, IoT-based systems, and collaborative AI frameworks, along with efforts to address scalability and regulatory challenges. In order to fully realize the promise of multimodal LLMs in revolutionizing medical research and therapy, this analysis emphasizes the necessity of strong data standards, multidisciplinary collaboration, and ethical frameworks.</t>
  </si>
  <si>
    <t>Warkiani, Mahshid Ebrahimi; Safari, Bita; Moattar, Mohammad Hossein; Hosseinzadeh, Mehdi</t>
  </si>
  <si>
    <t>Moattar, MH (corresponding author), Ma C Islamic Azad Univ, Dept Comp Engn, Mashhad, Iran.; Hosseinzadeh, M (corresponding author), Duy Tan Univ, Sch Engn &amp; Technol, Da Nang, Vietnam.</t>
  </si>
  <si>
    <t>Mahshid.ebrahimi.warkiani@gmail.com; Safaribita98@gmail.com; mehdihosseinzadeh@duytan.edu.vn; mhmoattar@iau.ac.ir</t>
  </si>
  <si>
    <t>[Warkiani, Mahshid Ebrahimi; Safari, Bita; Moattar, Mohammad Hossein] Ma C Islamic Azad Univ, Dept Comp Engn, Mashhad, Iran; [Hosseinzadeh, Mehdi] Duy Tan Univ, Sch Engn &amp; Technol, Da Nang, Vietnam; [Hosseinzadeh, Mehdi] Galgotias Univ, Sch Comp Sci &amp; Engn, Dept AI, Greater Noida, India; [Hosseinzadeh, Mehdi] Western Caspian Univ, Res Ctr High Technol &amp; Innovat Engn, Baku, Azerbaijan</t>
  </si>
  <si>
    <t>Duy Tan University; Galgotias University; Ministry of Education of Azerbaijan Republic; Western Caspian University</t>
  </si>
  <si>
    <t>A systematic review of multimodal large language models for medical decision support: Architectures, fusion methods, and real-world applications</t>
  </si>
  <si>
    <t>APPLIED SOFT COMPUTING</t>
  </si>
  <si>
    <t>Large Language Models; Medical Diagnosis and Prognosis; Multimodal Data Analysis; Transformers</t>
  </si>
  <si>
    <t>SLIME-MOLD ALGORITHM; MULTIOBJECTIVE OPTIMIZATION; HEALTH-CARE</t>
  </si>
  <si>
    <t>Hosseinzadeh, Mehdi/GWV-3822-2022</t>
  </si>
  <si>
    <t>1568-4946</t>
  </si>
  <si>
    <t>1872-9681</t>
  </si>
  <si>
    <t>APPL SOFT COMPUT</t>
  </si>
  <si>
    <t>Appl. Soft. Comput.</t>
  </si>
  <si>
    <t>115051</t>
  </si>
  <si>
    <t>10.1016/j.asoc.2026.115051</t>
  </si>
  <si>
    <t>http://dx.doi.org/10.1016/j.asoc.2026.115051</t>
  </si>
  <si>
    <t>GE4JR</t>
  </si>
  <si>
    <t>WOS:001734437100001</t>
  </si>
  <si>
    <t>Sugawara, H; Kato, S; Takada, A</t>
  </si>
  <si>
    <t>Objectives To evaluate the zero-shot capabilities of a multimodal deep learning model (Gemini 3.0) in segmenting Soft Tissue Sarcomas (STS) on MRI and to compare the accuracy of tumor diameter measurements derived from automated segmentation versus direct model estimation.Methods This retrospective study utilized a public dataset (The Cancer Imaging Archive) consisting of 51 patients (mean age, 54.8 +/- 17.0 years; 24 men, 27 women) with histologically confirmed STS. Gemini 3.0 performed zero-shot lesion segmentation and direct diameter estimation on a fat-suppressed T2-weighted or STIR image. Segmentation accuracy was evaluated using the Dice similarity coefficient (DSC) against manual segmentation by a board-certified radiologist. Tumor diameters derived from Gemini segmentation masks and direct estimates were compared with manual measurements using intraclass correlation coefficients (ICC) and Bland-Altman analysis. Bootstrap analysis was performed to compare the performance of the two automated measurement methods.Results Gemini generated segmentation masks with a mean DSC of 0.935 +/- 0.082, comparable to inter-radiologist agreement (0.949 +/- 0.037) and showing high reproducibility (DSC, 0.981 +/- 0.038). For tumor size assessment, the segmentation-derived measurement yielded an ICC of 0.976, significantly higher than the direct estimation ICC of 0.922 (p = 0.027). Bland-Altman analysis revealed a smaller mean bias for the segmentation-based approach (-0.5 mm) compared with direct estimation (-5.0 mm).Conclusions Gemini 3.0 achieved high accuracy in zero-shot segmentation of STS on MRI. Deriving quantitative measurements from automated segmentation proved significantly more reliable than direct size estimation by the large language model.</t>
  </si>
  <si>
    <t>Sugawara, Haruto; Kato, Shimpei; Takada, Akiyo</t>
  </si>
  <si>
    <t>Sugawara, H (corresponding author), Univ Ottawa, Ottawa Hosp, Dept Med Imaging, 501 Smyth Rd, Ottawa, ON K1H 8L6, Canada.</t>
  </si>
  <si>
    <t>capy.sugawara@gmail.com</t>
  </si>
  <si>
    <t>[Sugawara, Haruto] Univ Ottawa, Ottawa Hosp, Dept Med Imaging, 501 Smyth Rd, Ottawa, ON K1H 8L6, Canada; [Kato, Shimpei] Univ Tokyo, Inst Med Sci, Dept Radiol, Tokyo, Japan; [Takada, Akiyo] McGill Univ, Dept Diagnost Radiol, Montreal, PQ, Canada; [Takada, Akiyo] Res Inst McGill Univ Hlth Ctr, Augmented Intelligence &amp; Precis Hlth Lab AIPHL, Montreal, PQ, Canada; [Takada, Akiyo] Chiba Univ, Grad Sch Med, Diagnost Radiol &amp; Radiat Oncol, Chiba, Japan</t>
  </si>
  <si>
    <t>University of Ottawa; Ottawa Hospital Research Institute; University of Tokyo; McGill University; Chiba University</t>
  </si>
  <si>
    <t>Zero-shot segmentation and tumor diameter measurement of soft tissue sarcomas on MRI using a multimodal large language model</t>
  </si>
  <si>
    <t>Large language model; Soft Tissue Sarcoma; Magnetic resonance imaging; Segmentation</t>
  </si>
  <si>
    <t>RADIOMICS; GUIDELINE</t>
  </si>
  <si>
    <t>10.1007/s00256-026-05335-8</t>
  </si>
  <si>
    <t>http://dx.doi.org/10.1007/s00256-026-05335-8</t>
  </si>
  <si>
    <t>MK1PU</t>
  </si>
  <si>
    <t>42573778</t>
  </si>
  <si>
    <t>WOS:001844170400001</t>
  </si>
  <si>
    <t>Chen, YJ; Li, JY; Zhang, JS; Dong, BT; Zhang, Y; Wu, XM; Liu, PZ; Lyu, GR</t>
  </si>
  <si>
    <t>Objective To construct a hybrid artificial intelligence (AI) pipeline that combines a convolutional neural network (CNN) for image recognition with a multimodal large language model (MLLM) for textual interpretation, and to evaluate its application value in identifying liver ultrasound standard planes (LUSPs). Materials and methods This multicenter study included 16,782 images in the standard dataset (training: 13508; testing: 3274), an internal validation set (3431 images), and an external validation set (5253 images). Using expert consensus as the reference standard, diagnostic performance was compared between students, junior radiologists, intermediate radiologists, senior radiologists, the AI model, and the same readers with AI assistance. Results The CNN component of the system recognized 13 LUSPs and nonstandard planes (N-SPs) with an accuracy of 88.8% in the test set. In the validation set, the area under the receiver operating curve, sensitivity, specificity, positive predictive value, negative predictive value, accuracy, and kappa value of the AI model in identifying liver ultrasound planes were similar to those of senior radiologists (all p &gt; 0.05). Except for the positive predictive value, the AI model outperformed students, junior radiologists, and intermediate radiologists in other diagnostic performance and these metrics also showed statistically significant improvement with hybrid AI system assistance under the conditions of this experimental setting (all p &lt; 0.05). The model demonstrated robust generalizability across multiple centers, ultrasound devices, and diverse clinical scenarios. Conclusion This hybrid AI system, combining CNN-based image identification with MLLM-generated interpretable feedback, demonstrates potential as an effective auxiliary tool for image quality control and standardized training, warranting further prospective validation.</t>
  </si>
  <si>
    <t>Chen, Yongjian; Li, Jingyun; Zhang, Jiansong; Dong, BIngtian; Zhang, Ying; Wu, Xiuming; Liu, Peizhong; Lyu, Guo-rong</t>
  </si>
  <si>
    <t>Lyu, GR (corresponding author), Fujan Med Univ, Affiliated Hosp 2, Dept Ultrasound, Quanzhou, Peoples R China.; Lyu, GR (corresponding author), Quanzhou Med Coll, Quanzhou, Peoples R China.</t>
  </si>
  <si>
    <t>dongbingtian@foxmail.com; 1213360582@qq.com; wxming1981@163.com; pzliu@hqu.edu.cn; 404518267@qq.com; lgr_feus@sina.com; 962106486@qq.com; 554028565@qq.com</t>
  </si>
  <si>
    <t>Fujian Provincial Science and Technology Innovation Joint Funding Program [2025Y9419]; the Special Fund Project for Doctoral Supervisors within the Hospital of the Second Affiliated Hospital of Fujian Medical University [2024BD1103]; Natural Science Foundation of Fujian Province [2026J001688]</t>
  </si>
  <si>
    <t>Fujian Provincial Science and Technology Innovation Joint Funding Program; the Special Fund Project for Doctoral Supervisors within the Hospital of the Second Affiliated Hospital of Fujian Medical University; Natural Science Foundation of Fujian Province (Natural Science Foundation of Fujian Province)</t>
  </si>
  <si>
    <t>We are grateful for the support of the Department of Hepatological Surgery Department of the Second Affiliated Hospital of Fujian Medical University.</t>
  </si>
  <si>
    <t>[Chen, Yongjian; Lyu, Guo-rong] Fujan Med Univ, Affiliated Hosp 2, Dept Ultrasound, Quanzhou, Peoples R China; [Li, Jingyun; Lyu, Guo-rong] Quanzhou Med Coll, Quanzhou, Peoples R China; [Zhang, Jiansong] Shenzhen Univ, Sch Comp &amp; Software, Shenzhen, Peoples R China; [Dong, BIngtian] Anhui Med Univ, Dept Ultrasound, Affiliated Hosp 1, Hefei, Peoples R China; [Zhang, Ying] Air Force Med Univ, Affiliated Hosp 1, Clin Immunol Dept, Xian, Peoples R China; [Wu, Xiuming] Fujian Med Univ, Hosp Quanzhou 1, Dept Ultrasound, Quanzhou, Peoples R China; [Liu, Peizhong] Huaqiao Univ, Coll Engn, Quanzhou, Peoples R China</t>
  </si>
  <si>
    <t>Fujian Medical University; Shenzhen University; Anhui Medical University; Fujian Medical University; Huaqiao University</t>
  </si>
  <si>
    <t>A CNN-based liver ultrasound plane recognition system with multimodal large language model-generated interpretable feedback</t>
  </si>
  <si>
    <t>ABDOMINAL RADIOLOGY</t>
  </si>
  <si>
    <t>Artificial intelligence; Liver ultrasound standard plane; Assisted diagnosis; Deep convolutional neural networks; Multimodal large language model</t>
  </si>
  <si>
    <t>Lyu, Guorong/PDX-1955-2025</t>
  </si>
  <si>
    <t>2366-004X</t>
  </si>
  <si>
    <t>2366-0058</t>
  </si>
  <si>
    <t>ABDOM RADIOL</t>
  </si>
  <si>
    <t>Abdom. Radiol.</t>
  </si>
  <si>
    <t>10.1007/s00261-026-05706-8</t>
  </si>
  <si>
    <t>http://dx.doi.org/10.1007/s00261-026-05706-8</t>
  </si>
  <si>
    <t>LN2BO</t>
  </si>
  <si>
    <t>42484849</t>
  </si>
  <si>
    <t>WOS:001828578200001</t>
  </si>
  <si>
    <t>Zhu, ZR; Liu, J; Hong, CW; Houshmand, S; Wang, K; Yang, Y</t>
  </si>
  <si>
    <t>BACKGROUND. The American College of Radiology (ACR) Incidental Findings Committee (IFC) algorithm provides guidance for pancreatic cystic lesion (PCL) management. Its implementation using plain-text large language model (LLM) solutions is challenging given that key components include multimodal data (e.g., figures and tables). OBJECTIVE. The purpose of the study is to evaluate a multimodal LLM approach incorporating knowledge retrieval using flowchart embedding for forming follow-up recommendations for PCL management. METHODS. This retrospective study included patients who underwent abdominal CT or MRI from September 1, 2023, to September 1, 2024, and whose report mentioned a PCL. The reports' Findings sections were inputted to a multimodal LLM (GPT-4o). For task 1 (198 patients: mean age, 69.0 +/- 13.0 [SD] years; 110 women, 88 men), the LLM assessed PCL features (presence of PCL, PCL size and location, presence of main pancreatic duct communication, presence of worrisome features or high-risk stigmata) and formed a follow-up recommendation using three knowledge retrieval methods (default knowledge, plain-text retrieval-augmented generation [RAG] from the ACR IFC algorithm PDF document, and flowchart embedding using the LLM's image-to-text conversion for in-context integration of the document's flowcharts and tables). For task 2 (85 patients: mean initial age, 69.2 +/- 10.8 years; 48 women, 37 men), an additional relevant prior report was inputted; the LLM assessed for interval PCL change and provided an adjusted follow-up schedule accounting for prior imaging using flowchart embedding. Three radiologists assessed LLM accuracy in task 1 for PCL findings in consensus and follow-up recommendations independently; one radiologist assessed accuracy in task 2. RESULTS. For task 1, the LLM with flowchart embedding had accuracy for PCL features of 98.0-99.0%. The accuracy of the LLM follow-up recommendations based on default knowledge, plain-text RAG, and flowchart embedding for radiologist 1 was 42.4%, 23.7%, and 89.9% (p &lt; .001), respectively; radiologist 2 was 39.9%, 24.2%, and 91.9% (p &lt; .001); and radiologist 3 was 40.9%, 25.3%, and 91.9% (p &lt; .001). For task 2, the LLM using flowchart embedding showed an accuracy for interval PCL change of 96.5% and for adjusted follow-up schedules of 81.2%. CONCLUSION. Multimodal flowchart embedding aided the LLM's automated provision of follow-up recommendations adherent to a clinical guidance document. CLINICAL IMPACT. The framework could be extended to other incidental findings through the use of other clinical guidance documents as the model input.</t>
  </si>
  <si>
    <t>Zhu, Zheren; Liu, Jin; Hong, Cheng W.; Houshmand, Sina; Wang, Kang; Yang, Yang</t>
  </si>
  <si>
    <t>Wang, K (corresponding author), Univ Calif San Francisco, Dept Radiol &amp; Biomed Imaging, 505 Parnassus Ave, San Francisco, CA 94143 USA.</t>
  </si>
  <si>
    <t>Kang.Wang@ucsf.edu</t>
  </si>
  <si>
    <t>[Zhu, Zheren; Liu, Jin; Hong, Cheng W.; Houshmand, Sina; Wang, Kang; Yang, Yang] Univ Calif San Francisco, Dept Radiol &amp; Biomed Imaging, 505 Parnassus Ave, San Francisco, CA 94143 USA</t>
  </si>
  <si>
    <t>University of California System; University of California San Francisco</t>
  </si>
  <si>
    <t>Multimodal Large Language Model With Knowledge Retrieval Using Flowchart Embedding for Forming Follow-Up Recommendations for Pancreatic Cystic Lesions</t>
  </si>
  <si>
    <t>retrieval-augmented generation; artificial intelligence; large language model; radiology workflow automation; recommendations for pancreatic cystic lesion surveillance; retrieval-augmented generation</t>
  </si>
  <si>
    <t>Houshmand, Sina/HGU-1215-2022</t>
  </si>
  <si>
    <t>e2532729</t>
  </si>
  <si>
    <t>10.2214/AJR.25.32729</t>
  </si>
  <si>
    <t>http://dx.doi.org/10.2214/AJR.25.32729</t>
  </si>
  <si>
    <t>6BF1I</t>
  </si>
  <si>
    <t>40237430</t>
  </si>
  <si>
    <t>WOS:001549207400014</t>
  </si>
  <si>
    <t>Sen, O</t>
  </si>
  <si>
    <t>Background Multimodal Large Language Models (LLMs) are increasingly positioned as diagnostic assistants in dermatology. However, current research often relies on clear-cut cases, leaving their performance in clinically ambiguous, gray zone scenarios insufficiently explored. Specifically, whether integrating visual data helps LLMs correct initial human misdiagnoses or reinforces cognitive biases remains unknown.Objectives To evaluate the diagnostic accuracy of three recent multimodal large language models all queried through their default web interfaces on 5 February 2026, using standardized single-turn prompts in biopsy-confirmed dermatologic cases initially misdiagnosed by clinicians, and to assess the impact of visual integration on human error replication rates.Methods A cross-sectional analysis was conducted on 30 diagnostic dilemmas confirmed by histopathology. Models were queried using a two-stage protocol: (1) Text-Only and (2) Multimodal. Primary outcomes were Top-1 accuracy, visual gain, and the rate of replicating the clinician's initial error.Results Gemini 3 achieved the highest multimodal Top-1 accuracy (60.0% (18/30), followed by ChatGPT-5.2 at 56.7% (17/30) and Claude 4.5 Sonnet at 33.3% (10/30). In the inflammatory subgroup, Gemini 3 accuracy increased from 45.5% (5/11) in text-only to 72.7% (8/11) in multimodal mode; this difference was not statistically significant (McNemar's test, p = 0.248). All models showed limited accuracy for malignant lesions using macro-images.Conclusions While Gemini 3 shows promise as a de-biasing tool in complex inflammatory dermatoses, multimodal LLMs currently lack the granular precision required for malignancy detection without dermoscopic data. These findings underscore the need for cautious integration of AI in high-stakes diagnostic scenarios.</t>
  </si>
  <si>
    <t>Sen, Orhan</t>
  </si>
  <si>
    <t>Sen, O (corresponding author), Kayseri City Educ &amp; Res Hosp, Dept Dermatol, Kayseri, Turkiye.</t>
  </si>
  <si>
    <t>eru2017@gmail.com</t>
  </si>
  <si>
    <t>The author(s) reported there is no funding associated with the work featured in this article.</t>
  </si>
  <si>
    <t>[Sen, Orhan] Kayseri City Educ &amp; Res Hosp, Dept Dermatol, Kayseri, Turkiye</t>
  </si>
  <si>
    <t>Kayseri Training &amp; Research Hospital</t>
  </si>
  <si>
    <t>Performance of multimodal Large Language Models in misdiagnosed dermatologic cases: a pilot study on diagnostic accuracy and human error replication</t>
  </si>
  <si>
    <t>CUTANEOUS AND OCULAR TOXICOLOGY</t>
  </si>
  <si>
    <t>Artificial intelligence; large language models; dermatology; multimodal learning; diagnostic error; anchoring bias; clinical decision support</t>
  </si>
  <si>
    <t>Şen, Orhan/ABA-5400-2021</t>
  </si>
  <si>
    <t>1556-9527</t>
  </si>
  <si>
    <t>1556-9535</t>
  </si>
  <si>
    <t>CUTAN OCUL TOXICOL</t>
  </si>
  <si>
    <t>Cutan. Ocul. Toxicol.</t>
  </si>
  <si>
    <t>10.1080/15569527.2026.2692370</t>
  </si>
  <si>
    <t>http://dx.doi.org/10.1080/15569527.2026.2692370</t>
  </si>
  <si>
    <t>Ophthalmology; Toxicology</t>
  </si>
  <si>
    <t>JZ7WE</t>
  </si>
  <si>
    <t>42340682</t>
  </si>
  <si>
    <t>WOS:001801851600001</t>
  </si>
  <si>
    <t>Popova, E; Jacobs, M; Hofmann-Apitius, M; Babaiha, NS</t>
  </si>
  <si>
    <t>Background: The COVID-19 pandemic has intensified concerns about its long-term neurological impact, with evidence linking SARS-CoV-2 infection to neurodegenerative diseases (NDDs) such as Alzheimer's (AD) and Parkinson's (PD). Patients with these conditions face higher risk of severe COVID-19 outcomes and may experience accelerated cognitive or motor decline following infection. Proposed mechanisms-including neuroinflammation, blood-brain barrier (BBB) disruption, and abnormal protein aggregation-closely mirror core features of neurodegenerative pathology. However, current knowledge remains fragmented across text, figures, and pathway diagrams, limiting integration into computational models that could reveal systemic patterns. Results: To address this gap, we applied GPT-4 Omni (GPT-4o), a multimodal large language model (LLM), to extract mechanistic insights from biomedical figures. Over 10,000 images were retrieved through targeted searches on COVID-19 and neurodegeneration; after automated and manual filtering, a curated subset was analyzed. GPT-4o extracted biological relationships as semantic triples, grouped into six mechanistic categories-including microglial activation and barrier disruption-using ontology-guided similarity and assembled into a Neo4j knowledge graph (KG). Accuracy was evaluated against a gold-standard dataset of expert-annotated images using Biomedical Bidirectional Encoder Representations from Transformers (BioBERT)-based semantic matching. This evaluation enabled prompt tuning, threshold optimization, and hyperparameter assessment. Results show that GPT-4o successfully recovers both established and novel mechanisms, yielding interpretable outputs that illuminate complex biological links between SARS-CoV-2 and neurodegeneration. Conclusions: This study demonstrates the potential of multimodal LLMs to mine biomedical visual data at scale. By complementing text mining and integrating figure-derived knowledge, our framework advances understanding of COVID-19-related neurodegeneration and supports future translational research.</t>
  </si>
  <si>
    <t>Popova, Elizaveta; Jacobs, Marc; Hofmann-Apitius, Martin; Babaiha, Negin Sadat</t>
  </si>
  <si>
    <t>Babaiha, NS (corresponding author), Fraunhofer Inst Algorithms &amp; Sci Comp SCAI, Dept Bioinformat, Schloss Birlinghoven, Sankt Augusti, Germany.</t>
  </si>
  <si>
    <t>negin.babaiha@scai.fraunhofer.de; marc.jacobs@scai.fraunhofer.de; martin.hofmann-apitius@scai.fraunhofer.de; elizaveta.popova@uni-bonn.de</t>
  </si>
  <si>
    <t>Bonn-Aachen International Center for Information Technology (b-it) foundation, Bonn, Germany; Fraunhofer Institute for Algorithms and Scientific Computing (SCAI); COMMUTE project from the European Union [101,136,957]</t>
  </si>
  <si>
    <t>Bonn-Aachen International Center for Information Technology (b-it) foundation, Bonn, Germany; Fraunhofer Institute for Algorithms and Scientific Computing (SCAI); COMMUTE project from the European Union</t>
  </si>
  <si>
    <t>This research was supported by the Bonn-Aachen International Center for Information Technology (b-it) foundation, Bonn, Germany, and Fraunhofer Institute for Algorithms and Scientific Computing (SCAI) . Additional financial support was provided through the COMMUTE project, which receives funding from the European Union under Grant Agreement No. 101,136,957.</t>
  </si>
  <si>
    <t>[Popova, Elizaveta; Hofmann-Apitius, Martin] Univ Bonn, Bonn Aachen Int Ctr Informat Technol B IT, Bonn, Germany; [Jacobs, Marc; Hofmann-Apitius, Martin; Babaiha, Negin Sadat] Fraunhofer Inst Algorithms &amp; Sci Comp SCAI, Dept Bioinformat, Schloss Birlinghoven, Sankt Augusti, Germany</t>
  </si>
  <si>
    <t>University of Bonn; Fraunhofer Gesellschaft</t>
  </si>
  <si>
    <t>Leveraging multimodal large language models to extract mechanistic insights from biomedical visuals: A case study on COVID-19 and neurodegenerative diseases</t>
  </si>
  <si>
    <t>MACHINE LEARNING WITH APPLICATIONS</t>
  </si>
  <si>
    <t>Biomedical Knowledge Graph; Multimodal Large Language Models; Biomedical Information Extraction; COVID-19; Neurodegenerative Diseases</t>
  </si>
  <si>
    <t>Babaiha, Negin Sadat/0009-0002-7821-372X</t>
  </si>
  <si>
    <t>79</t>
  </si>
  <si>
    <t>2666-8270</t>
  </si>
  <si>
    <t>MACH LEARN APPL-NETH</t>
  </si>
  <si>
    <t>Mach. Learn. Appl.</t>
  </si>
  <si>
    <t>100816</t>
  </si>
  <si>
    <t>10.1016/j.mlwa.2025.100816</t>
  </si>
  <si>
    <t>http://dx.doi.org/10.1016/j.mlwa.2025.100816</t>
  </si>
  <si>
    <t>Computer Science, Artificial Intelligence; Computer Science, Information Systems; Computer Science, Interdisciplinary Applications</t>
  </si>
  <si>
    <t>Y0649</t>
  </si>
  <si>
    <t>WOS:001641234900002</t>
  </si>
  <si>
    <t>Han, T; Shin, J; Lee, JH; Gu, K</t>
  </si>
  <si>
    <t>Background: Large language models (LLMs) require specialized methodologies to quantify model confidence for safe deployment in health care systems; however, there is a lack of established methods for confidence assessment. Objective: This study aimed to evaluate confidence metrics for multimodal LLMs interpreting ultrasound-based radiology cases and to compare self-reported, consistency-based, and hybrid methods. Methods: From a total of 330 quizzes on the Korean Society of Ultrasound in Medicine digital platform, we selected 94 multiple-choice cases. Four multimodal LLMs were evaluated: 3 reasoning models (GPT-5, Claude-4.5-Sonnet, and Gemini-3-Pro) and 1 general model (GPT-4o). Temperature was fixed at 1.0. Multiple confidence metrics were assessed: (1) self-reported metrics generated by LLMs using prompts that elicited direct confidence percentages with answers, including first self-reported confidence and mean self-reported confidence; (2) consistency-based metrics derived from 20 repeated outputs per case, including relative entropy calculated as 1-H/log2 k (H=Shannon entropy, k=number of answer choices) and majority-vote percentage; and (3) a Top Weighted Score combining response frequency with self-reported confidence. Receiver operating characteristic analysis for discrimination and Spearman correlation between accuracy and each confidence metric was conducted. Additionally, model calibration was assessed using expected calibration error and Brier score. Processing time and token consumption (input, output, and total) were recorded for each application programming interface call to evaluate resource use across models. Results: Diagnostic accuracy varied across models, with Gemini-3-Pro achieving the highest accuracy (70/94, 74.47%), surpassing the median human accuracy (59%, IQR 40.3%-75%). Top Weighted Score, a hybrid metric combining response frequency and self-reported confidence, was the only metric achieving statistically significant correlations across all4 models: Gemini-3-Pro (g=0.52), GPT-5 (g=0.43), Claude-4.5-Sonnet (g=0.30), and GPT-4o (g=0.22). Receiver operating characteristic analysis revealed that Top Weighted Score demonstrated the highest discriminative ability, with area under the curve values of 0.826 (95% CI 0.731-0.920) for Gemini-3-Pro and 0.767 (95% CI 0.668-0.866) for GPT-5. Top Weighted Score was the only metric achieving statistical significance in GPT-4o. Calibration analysis showed that Top Weighted Score achieved the lowest expected calibration error in GPT-5 (0.098) and Claude-4.5-Sonnet (0.192), while Gemini-3-Pro showed comparable calibration between relative entropy (0.119) and Top Weighted Score (0.122). Resource use analysis demonstrated that reasoning models required substantially longer processing times and higher token consumption compared to general models. Conclusions: In multimodal LLMs applied to ultrasound-based radiology cases, hybrid methods (Top Weighted Score) demonstrated significant associations across all evaluated models and appear to serve as more reliable indicators of diagnostic confidence compared to self-reported or consistency-based metrics alone, although the strength of these associations varied across models, and external validation is warranted before broader clinical application. These findings support integrative confidence estimation approaches that incorporate response consistency while highlighting the need for resource-efficient sampling strategies to enable practical clinical deployment.</t>
  </si>
  <si>
    <t>Han, Taewon; Shin, Jaeseung; Lee, Jeong Hyun; Gu, Kyowon</t>
  </si>
  <si>
    <t>Shin, J (corresponding author), Samsung Med Ctr, Dept Radiol, 81 Irwon Ro, Seoul 06351, South Korea.</t>
  </si>
  <si>
    <t>dr.shinjs@gmail.com</t>
  </si>
  <si>
    <t>National Research Foundation of Korea (NRF) - Korean govern-ment (MSIT) [RS-2025-00516874]</t>
  </si>
  <si>
    <t>National Research Foundation of Korea (NRF) - Korean govern-ment (MSIT) (National Research Foundation of Korea)</t>
  </si>
  <si>
    <t>Funding This work was supported by a grant from the National Research Foundation of Korea (NRF) , funded by the Korean govern-ment (MSIT) (grant RS-2025-00516874) .</t>
  </si>
  <si>
    <t>[Han, Taewon; Shin, Jaeseung; Lee, Jeong Hyun; Gu, Kyowon] Samsung Med Ctr, Dept Radiol, 81 Irwon Ro, Seoul 06351, South Korea</t>
  </si>
  <si>
    <t>Samsung Medical Center; Sungkyunkwan University (SKKU); Samsung Medical Center</t>
  </si>
  <si>
    <t>Confidence Measurement Metrics in Multimodal Large Language Models for Ultrasound-Based Radiology Cases: Comparative Evaluation Study of Self-Reported, Consistency-Based, and Hybrid Methods</t>
  </si>
  <si>
    <t>artificial intelligence; AI; radiology; medical informatics; diagnostic confidence; large language models; LLMs</t>
  </si>
  <si>
    <t>UNCERTAINTY QUANTIFICATION</t>
  </si>
  <si>
    <t>JUN 2 2026</t>
  </si>
  <si>
    <t>e86498</t>
  </si>
  <si>
    <t>10.2196/86498</t>
  </si>
  <si>
    <t>http://dx.doi.org/10.2196/86498</t>
  </si>
  <si>
    <t>JN3YD</t>
  </si>
  <si>
    <t>42228942</t>
  </si>
  <si>
    <t>WOS:001793444700002</t>
  </si>
  <si>
    <t>Zou, M; Xiao, MS; Zhu, QL; Zhang, J; Li, JC; Lv, K</t>
  </si>
  <si>
    <t>Large language models (LLMs) are increasingly being evaluated for radiology reporting. However, the incremental value of adding report-embedded key images to report text for breast ultrasound report auditing remains unclear. This retrospective study included 818 breast ultrasound examinations with pathology- or follow-up-based reference standards. A workflow-error-enriched 300-report subset was constructed, comprising 240 reports with 329 inserted errors and 60 error-free reports. GPT-5.5 and Gemini 3.1 Pro Preview were evaluated under two input settings: report text alone and multimodal input; the latter additionally included report-embedded key images. A physician reader provided a human benchmark. In the full cohort, GPT-5.5 was evaluated with key-image input versus physician-interpreted findings input for malignancy and BI-RADS risk classification. Multimodal input increased report-level sensitivity from 77.5% to 89.6% for GPT-5.5 and from 86.2% to 96.2% for Gemini. Error-level recall increased from 63.2% to 75.4% and from 72.0% to 83.6%, respectively. Gains were concentrated in errors involving image-displayed cues. Gemini with multimodal input produced false-positive outputs in 18/60 error-free reports and 12/240 error-enriched reports, mainly from body-marker misinterpretation. The physician reader achieved 91.7% report-level sensitivity and 83.0% error-level recall without false positives. In the full cohort, key-image input underperformed physician-interpreted findings input for malignancy classification (AUC, 0.879 vs 0.971) and BI-RADS risk classification (AUC, 0.887 vs 0.984). Multimodal input improved LLM-based breast ultrasound workflow-error detection, with gains concentrated in errors involving image-displayed cues. However, model-specific overcalling and the inferior performance of key-image input compared with physician-interpreted findings warrant caution in clinical implementation.</t>
  </si>
  <si>
    <t>Zou, Mi; Xiao, Mengsu; Zhu, Qingli; Zhang, Jing; Li, Jianchu; Lv, Ke</t>
  </si>
  <si>
    <t>Lv, K (corresponding author), Chinese Acad Med Sci &amp; Peking Union Med Coll, Peking Union Med Coll Hosp, Dept Ultrasound, 1 Shuaifuyuan, Beijing 100730, Peoples R China.</t>
  </si>
  <si>
    <t>lvke@163.com</t>
  </si>
  <si>
    <t>National High Level Hospital Clinical Research Funding [Grant No. 2025-PUMCH-A-015]</t>
  </si>
  <si>
    <t>National High Level Hospital Clinical Research Funding</t>
  </si>
  <si>
    <t>National High Level Hospital Clinical Research Funding (Grant No. 2025-PUMCH-A-015).</t>
  </si>
  <si>
    <t>[Zou, Mi; Xiao, Mengsu; Zhu, Qingli; Zhang, Jing; Li, Jianchu; Lv, Ke] Chinese Acad Med Sci &amp; Peking Union Med Coll, Peking Union Med Coll Hosp, Dept Ultrasound, 1 Shuaifuyuan, Beijing 100730, Peoples R China</t>
  </si>
  <si>
    <t>Chinese Academy of Medical Sciences - Peking Union Medical College; Peking Union Medical College; Peking Union Medical College Hospital</t>
  </si>
  <si>
    <t>Multimodal Large Language Models for Breast Ultrasound Report Auditing: Workflow-Error Detection, False-Positive Burden, and Limits of Key-Image Interpretation</t>
  </si>
  <si>
    <t>Breast ultrasound; Multimodal large language models; Imaging informatics; Report auditing; Quality assurance; Workflow-error detection</t>
  </si>
  <si>
    <t>10.1007/s10278-026-02163-z</t>
  </si>
  <si>
    <t>http://dx.doi.org/10.1007/s10278-026-02163-z</t>
  </si>
  <si>
    <t>MB9PE</t>
  </si>
  <si>
    <t>42547701</t>
  </si>
  <si>
    <t>WOS:001838595600001</t>
  </si>
  <si>
    <t>Yao, JQ; Zhang, R; Yang, ZB; Zhang, B; Jiang, SQ; Jiang, L; Zhang, XE; Xie, XY; Huang, TY; Xu, M</t>
  </si>
  <si>
    <t>Background: An advanced version of large language model (LLM), ChatGPT 4o (GPT-4o), has shown capacity in image-text pair interpretation, yet the performance in medical image analysis remains unclear. This study aimed to evaluate the diagnostic capacity of GPT-4o in breast ultrasound (US) datasets. Methods: US exams including breast images and original reports were respectively included from January 2021 to December 2023 in three hospitals throughout China. The diagnostic performance in distinguishing benign or malignant breast masses of GPT-4o was assessed through two approaches: image-strategy and image-combined-text-strategy. Fleiss kappa was calculated to determine intra-LLM consistency. Thereafter, diagnostic accuracy was evaluated and compared with the convolutional neural network (CNN) model and 95 human experts with various levels of expertise from 60 institutions in China. Responses from GPT-4o were rated by diagnostic confidence and radiologist's evaluation. Results: The observations of 80 breast masses (37 malignant, 43 benign) from 80 patients [median age, 42.5 years; interquartile range (IQR), 37.0-53.0 years] were enrolled. GPT-4o with image-strategy exhibited a fair consistency [0.25, 95% confidence interval (CI): 0.07-0.43], whereas the agreement of image-combined-text-strategy was excellent (0.81, 95% CI: 0.67-0.91). Diagnostic accuracy improved when deploying the image-combined-text-strategy compared to only image [58% (46 of 80) vs. 70% (56 of 80), P=0.031], which resembled board-certified moderately experienced radiologists (70% [56 of 80] vs. 71% [57 of 80], P=0.450) and customized CNN [70% (56 of 80) vs. 74% (59 of 80), P=0.701]. Heterogeneous Breast Imaging-Reporting and Data System (BI-RADS)-related signs and ground truth labels affected GPT-4o significantly. Besides, answers from image-combined-text-strategy were associated with higher proportions of correctness and completeness, and lower errors. Conclusions: The effectiveness of GPT-4o in interpreting real-world US images was limited, yet improved in image-combined-text-strategy. Deploying LLM warrants scrutiny from radiologists.</t>
  </si>
  <si>
    <t>Yao, Jia-Qian; Zhang, Rui; Yang, Ze-Bang; Zhang, Bo; Jiang, Shuang-Quan; Jiang, Lin; Zhang, Xiao-Er; Xie, Xiao-Yan; Huang, Tong-Yi; Xu, Ming</t>
  </si>
  <si>
    <t>Huang, TY; Xu, M (corresponding author), Sun Yat Sen Univ, Affiliated Hosp 1, Inst Diagnost &amp; Intervent Ultrasound, Dept Med Ultrason, 58 Zhongshan 2nd Rd, Guangzhou 510080, Peoples R China.</t>
  </si>
  <si>
    <t>xuming8@mail.sysu.edu.cn; huangty26@mail.sysu.edu.cn</t>
  </si>
  <si>
    <t>National Scientific Foundation Committee of China [82071951, 82102057]; Major Research plan of the National Natural Science Foundation of China [92059201]; Guangzhou Science and Technology Program [202201011157]</t>
  </si>
  <si>
    <t>National Scientific Foundation Committee of China (National Natural Science Foundation of China (NSFC)); Major Research plan of the National Natural Science Foundation of China (National Natural Science Foundation of China (NSFC)); Guangzhou Science and Technology Program</t>
  </si>
  <si>
    <t>Funding: This work was supported by the National Scientific Foundation Committee of China (82071951 to M.X., 82102057 to T.Y.H.) ; the Major Research plan of the National Natural Science Foundation of China (92059201 to X.Y.X.) and Guangzhou Science and Technology Program (202201011157 to X.E.Z.) .</t>
  </si>
  <si>
    <t>[Yao, Jia-Qian; Zhang, Rui; Yang, Ze-Bang; Jiang, Lin; Zhang, Xiao-Er; Xie, Xiao-Yan; Huang, Tong-Yi; Xu, Ming] Sun Yat Sen Univ, Affiliated Hosp 1, Inst Diagnost &amp; Intervent Ultrasound, Dept Med Ultrason, 58 Zhongshan 2nd Rd, Guangzhou 510080, Peoples R China; [Zhang, Bo] Chinese Acad Med Sci, China Japan Friendship Hosp, Inst Resp Med, Natl Ctr Resp Med,Natl Clin Res Ctr Resp Dis, Beijing, Peoples R China; [Zhang, Bo] Chinese Acad Med Sci &amp; Peking Union Med Coll, Beijing, Peoples R China; [Jiang, Shuang-Quan] Harbin Med Univ, Affiliated Hosp 2, Dept Ultrasound Med, Harbin, Peoples R China</t>
  </si>
  <si>
    <t>Sun Yat Sen University; Chinese Academy of Medical Sciences - Peking Union Medical College; China-Japan Friendship Hospital; Chinese Academy of Medical Sciences - Peking Union Medical College; Peking Union Medical College; Harbin Medical University</t>
  </si>
  <si>
    <t>Multimodal large language models in ultrasound diagnosis of breast masses: a multicenter comparative analysis based on GPT-4o, radiologists, and convolutional neural network (CNN)</t>
  </si>
  <si>
    <t>QUANTITATIVE IMAGING IN MEDICINE AND SURGERY</t>
  </si>
  <si>
    <t>Large language model (LLM); artificial intelligence (AI); ultrasound (US); breast mass</t>
  </si>
  <si>
    <t>CHATGPT</t>
  </si>
  <si>
    <t>AME PUBLISHING COMPANY</t>
  </si>
  <si>
    <t>SHATIN</t>
  </si>
  <si>
    <t>FLAT-RM C 16F, KINGS WING PLAZA 1, NO 3 KWAN ST, SHATIN, HONG KONG 00000, PEOPLES R CHINA</t>
  </si>
  <si>
    <t>2223-4292</t>
  </si>
  <si>
    <t>2223-4306</t>
  </si>
  <si>
    <t>QUANT IMAG MED SURG</t>
  </si>
  <si>
    <t>Quant. Imaging Med. Surg.</t>
  </si>
  <si>
    <t>10.21037/qims-2025-92</t>
  </si>
  <si>
    <t>http://dx.doi.org/10.21037/qims-2025-92</t>
  </si>
  <si>
    <t>8NU8J</t>
  </si>
  <si>
    <t>41081240</t>
  </si>
  <si>
    <t>WOS:001593087700041</t>
  </si>
  <si>
    <t>Li, YH; Cheng, YC; Chang, CY; Lee, IT</t>
  </si>
  <si>
    <t>Objectives: Multimodal large language models (MLLMs) have shown potential for medical image classification. We evaluated four optimization strategies in two MLLMs-GPT-4o (gpt-4o-2024-08-06) and Gemini 2.5 Flash-Lite-for ultrasound-based thyroid nodule malignancy classification using two public datasets and a clinical cohort of nodules with atypia of undetermined significance (AUS) cytology. Methods: Text prompting, few-shot learning, fine-tuning, and a hybrid strategy combining fine-tuning with few-shot learning were evaluated for each model. Performance was assessed using the Digital Database of Thyroid Images (DDTI; n = 80), a 1000-image test subset of TN5000, and an institutional AUS cohort with surgical pathology (n = 84). In the AUS cohort, the best-performing strategy was compared with the consensus classification of three endocrinologists and the American Thyroid Association (ATA) ultrasound risk stratification. Results: For GPT-4o, the hybrid strategy achieved the highest area under the receiver operating characteristic curve (AUC) in DDTI (0.866), TN5000 (0.689), and the AUS cohort (0.836). In the AUS cohort, its specificity was higher than that of endocrinologist consensus and ATA risk stratification when only high-suspicion nodules were classified as malignant (95.1% vs. 70.7% and 70.7%; p = 0.002 and p = 0.001, respectively), while sensitivity did not differ significantly (72.1% vs. 74.4% and 79.1%, respectively; both p &gt; 0.05). However, the hybrid model misclassified 12 of 43 malignant nodules, corresponding to a false-negative rate of 27.9%. When high- and intermediate-suspicion ATA categories were classified as malignant, ATA sensitivity increased to 83.7% and specificity decreased to 56.1%; the hybrid model had a higher AUC than ATA risk stratification (0.836 vs. 0.749; p = 0.017). For Gemini 2.5 Flash-Lite, few-shot learning, fine-tuning, and the hybrid strategy did not improve AUC relative to text prompting in any dataset. Conclusions: The hybrid strategy produced the most consistent performance gains for GPT-4o across the three datasets but did not improve Gemini 2.5 Flash-Lite. The optimized GPT-4o model achieved high specificity in the diagnostically challenging AUS cohort, although its false-negative rate limits its use as a stand-alone diagnostic tool. Further validation in larger, prospective multicenter cohorts is required before clinical use.</t>
  </si>
  <si>
    <t>Li, Yu-Hsuan; Cheng, Yu-Cheng; Chang, Chih-Yun; Lee, I-Te</t>
  </si>
  <si>
    <t>Lee, IT (corresponding author), Taichung Vet Gen Hosp, Dept Internal Med, Div Endocrinol &amp; Metab, Taichung 407219, Taiwan.; Lee, IT (corresponding author), Natl Yang Ming Chiao Tung Univ, Sch Med, Taipei 112304, Taiwan.; Lee, IT (corresponding author), Chung Shan Med Univ, Sch Med, Taichung 402306, Taiwan.; Lee, IT (corresponding author), Natl Chung Hsing Univ, Coll Med, Dept Postbaccalaureate Med, Taichung 402002, Taiwan.</t>
  </si>
  <si>
    <t>itlee@vghtc.gov.tw</t>
  </si>
  <si>
    <t>Taichung Veterans General Hospital [TCVGH-1123501C, TCVGH-1150502C, TCVGH-1140501C]; National Science and Technology Council [NSTC113-2314-B-075A-011-MY3]</t>
  </si>
  <si>
    <t>Taichung Veterans General Hospital; National Science and Technology Council</t>
  </si>
  <si>
    <t>This research was funded by Taichung Veterans General Hospital, Taiwan [grant numbers TCVGH-1123501C and TCVGH-1150502C] and the National Science and Technology Council, Taiwan [grant number NSTC113-2314-B-075A-011-MY3]. The APC was funded by Taichung Veterans General Hospital, Taiwan [grant numbers TCVGH-1140501C].</t>
  </si>
  <si>
    <t>[Li, Yu-Hsuan] Natl Taiwan Univ, Dept Comp Sci &amp; Informat Engn, Taipei 106319, Taiwan; [Li, Yu-Hsuan; Cheng, Yu-Cheng; Chang, Chih-Yun; Lee, I-Te] Taichung Vet Gen Hosp, Dept Internal Med, Div Endocrinol &amp; Metab, Taichung 407219, Taiwan; [Li, Yu-Hsuan] Taichung Vet Gen Hosp, Dept Digital Med, Taichung 407219, Taiwan; [Li, Yu-Hsuan; Cheng, Yu-Cheng; Lee, I-Te] Natl Yang Ming Chiao Tung Univ, Sch Med, Taipei 112304, Taiwan; [Lee, I-Te] Chung Shan Med Univ, Sch Med, Taichung 402306, Taiwan; [Lee, I-Te] Natl Chung Hsing Univ, Coll Med, Dept Postbaccalaureate Med, Taichung 402002, Taiwan</t>
  </si>
  <si>
    <t>National Taiwan University; Taichung Veterans General Hospital; Taichung Veterans General Hospital; National Yang Ming Chiao Tung University; Chung Shan Medical University; National Chung Hsing University</t>
  </si>
  <si>
    <t>Optimizing a Multimodal Large Language Model for Ultrasound-Based Thyroid Nodule Malignancy Classification: A Comparative Study of Few-Shot Learning, Prompt Engineering, and Fine-Tuning</t>
  </si>
  <si>
    <t>atypia of undetermined significance; multimodal large language model; nodule; thyroid; ultrasound</t>
  </si>
  <si>
    <t>CANCER; PERFORMANCE</t>
  </si>
  <si>
    <t>JUN 22 2026</t>
  </si>
  <si>
    <t>1931</t>
  </si>
  <si>
    <t>10.3390/diagnostics16121931</t>
  </si>
  <si>
    <t>http://dx.doi.org/10.3390/diagnostics16121931</t>
  </si>
  <si>
    <t>KE6NJ</t>
  </si>
  <si>
    <t>42351590</t>
  </si>
  <si>
    <t>WOS:001805143600001</t>
  </si>
  <si>
    <t>Seki, T; Kawazoe, Y; Ito, H; Akagi, Y; Takiguchi, T; Ohe, K</t>
  </si>
  <si>
    <t>Large Language Models (LLM) are increasingly multimodal, and Zero-Shot Visual Question Answering (VQA) shows promise for image interpretation. If zero-shot VQA can be applied to a 12-lead electrocardiogram (ECG), a prevalent diagnostic tool in the medical field, the potential benefits to the field would be substantial. This study evaluated the diagnostic performance of zero-shot VQA with multimodal LLMs on 12-lead ECG images. The results revealed that multimodal LLM tended to make more errors in extracting and verbalizing image features than in describing preconditions and making logical inferences. Even when the answers were correct, erroneous descriptions of image features were common. These findings suggest a need for improved control over image hallucination and indicate that performance evaluation using the percentage of correct answers to multiple-choice questions may not be sufficient for performance assessment in VQA tasks.</t>
  </si>
  <si>
    <t>Seki, Tomohisa; Kawazoe, Yoshimasa; Ito, Hiromasa; Akagi, Yu; Takiguchi, Toru; Ohe, Kazuhiko</t>
  </si>
  <si>
    <t>Seki, T (corresponding author), Univ Tokyo Hosp, Dept Healthcare Informat Management, Tokyo, Japan.</t>
  </si>
  <si>
    <t>seki@m.u-tokyo.ac.jp</t>
  </si>
  <si>
    <t>JSPS KAKENHI [23K11865]; Cross-ministerial Strategic Innovation Promotion Program (SIP) on "Integrated Health Care System" [JPJ012425]; Grants-in-Aid for Scientific Research [23K11865, 20K17877, 23K15620] Funding Source: KAKEN</t>
  </si>
  <si>
    <t>JSPS KAKENHI (Ministry of Education, Culture, Sports, Science and Technology, Japan (MEXT), Japan Society for the Promotion of Science, Grants-in-Aid for Scientific Research (KAKENHI)); Cross-ministerial Strategic Innovation Promotion Program (SIP) on "Integrated Health Care System"; Grants-in-Aid for Scientific Research (Ministry of Education, Culture, Sports, Science and Technology, Japan (MEXT), Japan Society for the Promotion of Science, Grants-in-Aid for Scientific Research (KAKENHI))</t>
  </si>
  <si>
    <t>The author(s) declare financial support was received for the research, authorship, and/or publication of this article. This work was supported by JSPS KAKENHI on Grant Number 23K11865 and Cross-ministerial Strategic Innovation Promotion Program (SIP) on "Integrated Health Care System" (Grant Number JPJ012425).</t>
  </si>
  <si>
    <t>[Seki, Tomohisa; Kawazoe, Yoshimasa; Ito, Hiromasa; Takiguchi, Toru; Ohe, Kazuhiko] Univ Tokyo Hosp, Dept Healthcare Informat Management, Tokyo, Japan; [Kawazoe, Yoshimasa] Univ Tokyo, Grad Sch Med, Artificial Intelligence &amp; Digital Twin Healthcare, Tokyo, Japan; [Akagi, Yu; Ohe, Kazuhiko] Univ Tokyo, Grad Sch Med, Dept Biomed Informat, Tokyo, Japan</t>
  </si>
  <si>
    <t>University of Tokyo; University of Tokyo; University of Tokyo</t>
  </si>
  <si>
    <t>Assessing the performance of zero-shot visual question answering in multimodal large language models for 12-lead ECG image interpretation</t>
  </si>
  <si>
    <t>FRONTIERS IN CARDIOVASCULAR MEDICINE</t>
  </si>
  <si>
    <t>large language model; electrocardiography; visual question answering; hallucination; zero-shot learning</t>
  </si>
  <si>
    <t>CONFIDENCE-INTERVALS</t>
  </si>
  <si>
    <t>Kawazoe, Yoshimasa/GYU-2868-2022; Seki, Tomohisa/L-3524-2013</t>
  </si>
  <si>
    <t>Kawazoe, Yoshimasa/0000-0002-7277-0827</t>
  </si>
  <si>
    <t>2297-055X</t>
  </si>
  <si>
    <t>FRONT CARDIOVASC MED</t>
  </si>
  <si>
    <t>Front. Cardiovasc. Med.</t>
  </si>
  <si>
    <t>FEB 6 2025</t>
  </si>
  <si>
    <t>1458289</t>
  </si>
  <si>
    <t>10.3389/fcvm.2025.1458289</t>
  </si>
  <si>
    <t>http://dx.doi.org/10.3389/fcvm.2025.1458289</t>
  </si>
  <si>
    <t>Cardiac &amp; Cardiovascular Systems</t>
  </si>
  <si>
    <t>Cardiovascular System &amp; Cardiology</t>
  </si>
  <si>
    <t>X5L9G</t>
  </si>
  <si>
    <t>39981353</t>
  </si>
  <si>
    <t>WOS:001425772800001</t>
  </si>
  <si>
    <t>Mijares, J; Gan, ER; Jairath, NK; Hamad, J; Alomari, A; Ramachandran, V; Que, SKT</t>
  </si>
  <si>
    <t>Background: Histopathologic grading is an essential step in guiding treatment recommendations and follow-up for cutaneous lesions. However, inter-observer variability in determining differentiation of cutaneous squamous cell carcinoma (cSCC) and dysplasia of melanocytic nevi remain a challenge. Retrieval-augmented generation (RAG)-assisted artificial intelligence may offer educational and diagnostic support in this process. Methods: Two isolated RAG pathways using Claude 4.5 Opus, each grounded via ChromaDB vector retrieval of task-specific literature, graded 60 cSCC cases by differentiation and 67 melanocytic nevus cases by dysplasia. Each case was analyzed three times, with the majority result used as the final grade. Concordance with reference dermatopathologist grading was calculated with 95% Wilson score confidence intervals; inter-rater reliability was assessed using Cohen's kappa. Results: For cSCC, the LLM achieved 90.0% concordance (95% CI, 79.9-95.3%) with excellent agreement (kappa = 0.85, 95% CI, 0.74-0.96). For nevi, concordance was 44.8% (95% CI, 33.5-56.6%) with agreement not statistically distinguishable from chance (kappa = 0.072, 95% CI, -0.10-0.24). Discordant nevus classifications skewed toward the moderately dysplastic category (65.7% of LLM classifications vs. 41.8% of reference classifications), and no severely dysplastic case was concordantly classified (0/6). Conclusions: Despite an identical RAG architecture, concordance with reference dermatopathologist grading was markedly task-dependent: high for cSCC differentiation, low for nevus dysplasia grading. This pattern parallels reported human inter-rater reliability for these tasks, suggesting that task-specific validation is needed before clinical or educational use.</t>
  </si>
  <si>
    <t>Mijares, Joshua; Gan, Eric; Jairath, Neil K.; Hamad, Judy; Alomari, Ahmed; Ramachandran, Vignesh; Que, Syril Keena T.</t>
  </si>
  <si>
    <t>Mijares, J (corresponding author), Indiana Univ, Dept Dermatol, Sch Med, Indianapolis, IN 46202 USA.</t>
  </si>
  <si>
    <t>[Mijares, Joshua; Gan, Eric; Jairath, Neil K.; Que, Syril Keena T.] Indiana Univ, Dept Dermatol, Sch Med, Indianapolis, IN 46202 USA; [Hamad, Judy; Alomari, Ahmed] Indiana Univ, Dept Pathol, Sch Med, Indianapolis, IN 46202 USA; [Hamad, Judy; Alomari, Ahmed] Indiana Univ, Lab Med, Sch Med, Indianapolis, IN 46202 USA; [Ramachandran, Vignesh] Prava Med, San Francisco, CA 94105 USA</t>
  </si>
  <si>
    <t>Indiana University System; Indiana University Indianapolis; Indiana University System; Indiana University Indianapolis; Indiana University System; Indiana University Indianapolis</t>
  </si>
  <si>
    <t>Retrieval-Augmented Generation-Enabled Multimodal Large Language Model for Histopathologic Grading of Cutaneous Squamous Cell Carcinoma and Melanocytic Nevi</t>
  </si>
  <si>
    <t>cutaneous squamous cell carcinoma; melanocytic nevus; large language model; machine learning; artificial intelligence; histopathologic diagnosis; dermatopathology; retrieval-augmented generation</t>
  </si>
  <si>
    <t>AUG 6 2026</t>
  </si>
  <si>
    <t>10.3390/cancers18152524</t>
  </si>
  <si>
    <t>http://dx.doi.org/10.3390/cancers18152524</t>
  </si>
  <si>
    <t>MN8IC</t>
  </si>
  <si>
    <t>WOS:001846657000001</t>
  </si>
  <si>
    <t>Wang, ZC; Deng, Q; So, TY; Chiu, WH; Hui, ES</t>
  </si>
  <si>
    <t>Clinical follow-up assessment using chest X-rays (CXRs) requires radiologists to interpret both individual images and, crucially, the temporal progression of pathologies between baseline and follow-up examinations. To address this challenging task of follow-up medical visual question answering (MVQA), we proposed DoKE, domain knowledge-enhanced multimodal framework, which integrated two core innovations: (1) an intra-and inter-image extraction module (IIIE), which employed a two-stream architecture with intra-and inter-image self-attention to first enhance salient regions within each CXR and then explicitly model semantic correspondences and progression-related differences across the image pair; and (2) a domain knowledge enhancement scheme (DKE) that injected structured diagnostic prior, disease probabilities from a classifier covering tail-end pathologies, to guide the visual representation learning. Extensive experiments on the MIMIC-Diff-VQA benchmark demonstrated that DoKE outperformed prior state-of-the-art methods across key clinical accuracy metrics. By synergistically combining explicit difference learning with diagnostic-prior, DoKE provided a powerful and pragmatic approach to automated follow-up CXR interpretation.</t>
  </si>
  <si>
    <t>Wang, Zhichuan; Deng, Qiao; So, Tiffany Y.; Chiu, Wan Hang; Hui, Edward S.</t>
  </si>
  <si>
    <t>Hui, ES (corresponding author), Chinese Univ Hong Kong, Prince Wales Hosp, Room 27046,G-F Old Block, Hong Kong, Peoples R China.</t>
  </si>
  <si>
    <t>edward.s.hui@gmail.com</t>
  </si>
  <si>
    <t>[Wang, Zhichuan; Deng, Qiao; So, Tiffany Y.; Hui, Edward S.] Chinese Univ Hong Kong, Dept Imaging &amp; Intervent Radiol, Hong Kong, Peoples R China; [Wang, Zhichuan; Deng, Qiao; Hui, Edward S.] Chinese Univ Hong Kong, CU Lab AI Radiol CLAIR, Hong Kong, Peoples R China; [Chiu, Wan Hang] Queen Elizabeth Hosp, Dept Diagnost &amp; Intervent Radiol, Hong Kong, Peoples R China; [Hui, Edward S.] Chinese Univ Hong Kong, Dept Psychiat, Hong Kong, Peoples R China; [Hui, Edward S.] Chinese Univ Hong Kong, Gerald Choa Neurosci Inst, Hong Kong, Peoples R China</t>
  </si>
  <si>
    <t>Chinese University of Hong Kong; Chinese University of Hong Kong; Queen Elizabeth Hospital - Hong Kong; Chinese University of Hong Kong; Chinese University of Hong Kong</t>
  </si>
  <si>
    <t>DoKE: Domain knowledge-enhanced multimodal large language model-based framework for chest X-ray follow-up medical visual question answering</t>
  </si>
  <si>
    <t>Chest X-ray; Follow-up medical visual question answering; Multimodal representation learning</t>
  </si>
  <si>
    <t>Hui, Edward/GQO-9176-2022; Chiu, Keith/Z-3985-2019; So, Tiffany/B-2531-2019</t>
  </si>
  <si>
    <t>120</t>
  </si>
  <si>
    <t>109908</t>
  </si>
  <si>
    <t>10.1016/j.bspc.2026.109908</t>
  </si>
  <si>
    <t>http://dx.doi.org/10.1016/j.bspc.2026.109908</t>
  </si>
  <si>
    <t>EO3MS</t>
  </si>
  <si>
    <t>WOS:001705855200001</t>
  </si>
  <si>
    <t>Zhu, JS; Huang, XX; Shi, JC; Chen, SM; Chen, DS; Gao, ZH; Lu, Y; Yang, T; Wang, X; Lin, YM; Xu, PY; Li, L; Fan, P</t>
  </si>
  <si>
    <t>Background: Multimodal large language models (MLLMs) have emerging potential for interpreting medical images and text, but their performance in orthopedic imaging tasks and the influence of prompt configuration remain insufficiently studied. Objective: This study aimed to evaluate the performance of commercial and open-source MLLMs for diagnosing and staging osteonecrosis of the femoral head (ONFH) and to assess how different prompt configurations affect model performance. Methods: This single-center retrospective diagnostic accuracy study included 159 radiograph patients contributing 318 hip-level observations and 170 magnetic resonance imaging (MRI) patients contributing 340 hip-level observations; 55 patients with both modalities formed the multi-image (MI) subgroup between July 2023 and December 2024. Four MLLMs were evaluated: GPT-4o, Claude 3.7 Sonnet, Qwen2.5-VL 72B, and Gemma 3 27B. Three prompt configurations were tested: single image (SI), image plus radiology description (ID), and MI. Model performance was assessed for ONFH detection; early versus late-stage differentiation; detailed grading using the Ficat, Association Research Circulation Osseous (ARCO), and Steinberg systems; and grading reliability using intraclass correlation coefficients (ICCs). Results: Model performance varied by prompt configuration and imaging input. For ONFH detection, the SI configuration yielded a mean detection area under the receiver operating characteristic curve (AUC) of 0.55 (SD 0.03), whereas the ID configuration achieved a mean detection AUC of 0.91 (SD 0.01). In radiograph-based ONFH detection, ID input achieved mean accuracy of 0.88 (SD 0.01); in MRI-based ONFH detection, ID input achieved a mean accuracy of 0.85 (SD 0.01). For early-versus late-stage differentiation, the mean accuracy was 0.65 (SD 0.11) with SI input, 0.78 (SD 0.04) with ID input, and approximately 0.59 (SD 0.10) with MI input. For detailed grading, ID input improved mean accuracy across the Ficat, ARCO, and Steinberg systems compared with SI input. In ARCO grading reliability analysis, the mean MLLM ICC was 0.51 (SD 0.18) for SI, 0.97 (SD 0.02) for ID, and 0.49 (SD 0.15) for MI; surgeon interrater and intrarater ICCs were 0.70 and 0.81, respectively. In the commercial versus open-source model comparison, no significant overall difference was observed between model groups (P=.83). Conclusions: Prompt configuration strongly influenced MLLM performance in ONFH diagnosis and staging. Pairing images with deidentified radiology descriptions improved diagnostic and grading performance, whereas MI input did not provide consistent additional benefit in this retrospective single-center evaluation. These findings support the potential role of MLLMs as assistive tools in human-AI orthopedic imaging workflows, but external validation, careful input standardization, and prospective clinical evaluation are needed before clinical deployment.</t>
  </si>
  <si>
    <t>Zhu, Jiesheng; Huang, Xingxing; Shi, Jincheng; Chen, Shaoming; Chen, Daosen; Gao, Zhihan; Lu, Yi; Yang, Tao; Wang, Xue; Lin, Yimu; Xu, Peiyu; Li, Li; Fan, Pei</t>
  </si>
  <si>
    <t>Fan, P (corresponding author), Wenzhou Med Univ, Affiliated Hosp 2, Dept Orthoped, 109 Xueyuan West Rd, Wenzhou 325000, Zhejiang, Peoples R China.; Fan, P (corresponding author), Wenzhou Med Univ, Yuying Childrens Hosp, 109 Xueyuan West Rd, Wenzhou 325000, Zhejiang, Peoples R China.</t>
  </si>
  <si>
    <t>fanpei@wmu.edu.cn</t>
  </si>
  <si>
    <t>General Program of the Zhejiang Provincial Department of Education [Y202560061]</t>
  </si>
  <si>
    <t>General Program of the Zhejiang Provincial Department of Education</t>
  </si>
  <si>
    <t>Funding This research was supported by the General Program of the Zhejiang Provincial Department of Education (Y202560061) . The funder had no role in the study design, data collection, data analysis, data interpretation, manuscript preparation, or decision to submit the manuscript for publication.</t>
  </si>
  <si>
    <t>[Zhu, Jiesheng; Huang, Xingxing; Chen, Daosen; Gao, Zhihan; Lin, Yimu; Fan, Pei] Wenzhou Med Univ, Affiliated Hosp 2, Dept Orthoped, 109 Xueyuan West Rd, Wenzhou 325000, Zhejiang, Peoples R China; [Zhu, Jiesheng; Huang, Xingxing; Chen, Daosen; Gao, Zhihan; Lu, Yi; Yang, Tao; Wang, Xue; Lin, Yimu; Fan, Pei] Wenzhou Med Univ, Yuying Childrens Hosp, 109 Xueyuan West Rd, Wenzhou 325000, Zhejiang, Peoples R China; [Huang, Xingxing] Yunhe Peoples Hosp, Dept Orthoped, Lishui, Zhejiang, Peoples R China; [Shi, Jincheng; Chen, Shaoming; Xu, Peiyu] Wenzhou Med Univ, Sch Med 2, Wenzhou, Zhejiang, Peoples R China; [Lu, Yi; Yang, Tao; Wang, Xue] Wenzhou Med Univ, Affiliated Hosp 2, Dept Radiol, Wenzhou, Zhejiang, Peoples R China; [Li, Li] Wenzhou Med Univ, Key Lab Pediat Anesthesiol, Minist Educ, Wenzhou, Zhejiang, Peoples R China</t>
  </si>
  <si>
    <t>Prompt Configurations for Multimodal Large Language Models in Diagnosing and Staging Osteonecrosis of the Femoral Head: Multimodel Retrospective Observational Diagnostic Study</t>
  </si>
  <si>
    <t>osteonecrosis of the femoral head; artificial intelligence; multimodal large language models; radiology; diagnostic imaging</t>
  </si>
  <si>
    <t>AVASCULAR NECROSIS; INTEROBSERVER; RELIABILITY; SYSTEM; FICAT</t>
  </si>
  <si>
    <t>Shi, Jincheng/0009-0003-0371-9109; zhu, jiesheng/0009-0003-9854-7134</t>
  </si>
  <si>
    <t>AUG 10 2026</t>
  </si>
  <si>
    <t>e92919</t>
  </si>
  <si>
    <t>10.2196/92919</t>
  </si>
  <si>
    <t>http://dx.doi.org/10.2196/92919</t>
  </si>
  <si>
    <t>MS1KY</t>
  </si>
  <si>
    <t>42573734</t>
  </si>
  <si>
    <t>WOS:001849575100010</t>
  </si>
  <si>
    <t>Kiyat, P; Kahraman, HG</t>
  </si>
  <si>
    <t>Objectives: The objective of the study is to evaluate the performance of Claude 3.5 Sonnet, a novel multimodal large language model, in interpreting image-based ophthalmology case questions. Methods: A total of 174 image-based ophthalmology questions from a comprehensive ophthalmology education platform were analyzed by Claude 3.5 Sonnet. Each question was presented in both multiple-choice and open-ended formats. Questions were categorized into six subspecialties: Retina and uveitis; external eye and cornea; orbit and oculoplastics; neuroophthalmology; glaucoma and cataract; and strabismus, pediatric ophthalmology, and genetics. Performance was evaluated by two board-certified ophthalmologists. Results: Claude 3.5 Sonnet demonstrated an overall accuracy rate of 89.65% in multiple-choice questions and a comparable 87.93% in open-ended questions, with no statistically significant difference between formats (p=0.72). Performance showed slight variations among subspecialties, with the highest accuracy in external eye and cornea cases (95.65% in both formats) and lower accuracy in strabismus, pediatric ophthalmology, and genetics (87.50% in multiple-choice and 84.38% Conclusion: Claude 3.5 Sonnet showed strong capabilities in interpreting image-based ophthalmology questions across all subspecialties, with consistent performance between different question formats. These findings suggest potential applications in ophthalmology education and board examination preparation; however, validation of its utility in real-world clinical scenarios needs further evaluation.</t>
  </si>
  <si>
    <t>Kiyat, Pelin; Kahraman, Hazan Gul</t>
  </si>
  <si>
    <t>Kiyat, P (corresponding author), Izmir Democracy Univ, Buca Seyfi Demirsoy Training &amp; Res Hosp, Dept Ophthalmol, Izmir, Turkiye.</t>
  </si>
  <si>
    <t>pelinkiyat@hotmail.com</t>
  </si>
  <si>
    <t>[Kiyat, Pelin; Kahraman, Hazan Gul] Izmir Democracy Univ, Buca Seyfi Demirsoy Training &amp; Res Hosp, Dept Ophthalmol, Izmir, Turkiye</t>
  </si>
  <si>
    <t>Izmir Democracy University</t>
  </si>
  <si>
    <t>A Novel Multimodal Large Language Model for Interpreting Image-Based Ophthalmology Case Questions: Comparative Analysis of Multiple-Choice and Open-Ended Response</t>
  </si>
  <si>
    <t>BEYOGLU EYE JOURNAL</t>
  </si>
  <si>
    <t>Artificial intelligence; Claude 3.5 Sonnet; ophthalmology board examinations</t>
  </si>
  <si>
    <t>Kiyat, Pelin/IZP-6289-2023; kahraman, Hazan Gul/KYR-8603-2024</t>
  </si>
  <si>
    <t>KARE PUBL</t>
  </si>
  <si>
    <t>ISTANBUL</t>
  </si>
  <si>
    <t>Goztepe Mah. Fahrettin Kerim Gokay Caddesi. No: 200/A D:2 Cemenzar - Kadkoy, ISTANBUL, Turkiye</t>
  </si>
  <si>
    <t>2459-1777</t>
  </si>
  <si>
    <t>2587-0394</t>
  </si>
  <si>
    <t>BEYOGLU EYE J</t>
  </si>
  <si>
    <t>Beyoglu Eye J.</t>
  </si>
  <si>
    <t>249</t>
  </si>
  <si>
    <t>10.14744/bej.2025.06332</t>
  </si>
  <si>
    <t>http://dx.doi.org/10.14744/bej.2025.06332</t>
  </si>
  <si>
    <t>EA1YK</t>
  </si>
  <si>
    <t>41658252</t>
  </si>
  <si>
    <t>WOS:001696239900007</t>
  </si>
  <si>
    <t>Han, T; Jeong, WK; Shin, J</t>
  </si>
  <si>
    <t>Purpose: This study aimed to evaluate the diagnostic accuracy of three multimodal large language models (LLMs) in radiological image interpretation and to assess the impact of prompt engineering strategies and input conditions. Methods: This study analyzed 67 radiological quiz cases from the Korean Society of Ultrasound in Medicine. Three multimodal LLMs (Claude 3.5 Sonnet, GPT-4o, and Gemini-1.5-Pro-002) were evaluated using six types of prompts (basic [without system prompt], original [specific instructions], chain-of-thought, reflection, multiagent, and artificial intelligence [AI]-generated). Performance was assessed across various factors, including tumor versus non-tumor status, case rarity, difficulty, and knowledge cutoff dates. A subgroup analysis compared diagnostic accuracy between imaging-only inputs and combined imaging-descriptive text inputs. Results: With imaging-only inputs, Claude 3.5 Sonnet achieved the highest overall accuracy (46.3%, 186/402), followed by GPT-4o (43.5%, 175/402) and Gemini-1.5-Pro-002 (39.8%, 160/402). AI-generated prompts yielded superior combined accuracy across all three models, with significant improvements over the basic (7.96%, P=0.009), chain-of-thought (6.47%, P=0.029), and multiagent prompts (5.97%, P=0.043). The integration of descriptive text significantly enhanced diagnostic accuracy for Claude 3.5 Sonnet (46.3% to 66.2%, P&lt;0.001), GPT-4o (43.5% to 57.5%, P&lt;0.001), and Gemini-1.5-Pro-002 (39.8% to 60.4%, P&lt;0.001). Model performance was significantly influenced by case rarity for GPT-4o (rare: 6.7% vs. nonrare: 53.9%, P=0.001) and by knowledge cutoff dates for Claude 3.5 Sonnet (post-cutoff: 23.5% vs. pre-cutoff: 64.0%, P=0.005). Conclusion: Claude 3.5 Sonnet achieved the highest diagnostic accuracy in radiological quiz cases, followed by GPT-4o and Gemini-1.5-Pro-002. The use of AI-generated prompts and the integration of descriptive text inputs enhanced model performance.</t>
  </si>
  <si>
    <t>Han, Taewon; Jeong, Woo Kyoung; Shin, Jaeseung</t>
  </si>
  <si>
    <t>Jeong, WK (corresponding author), Sungkyunkwan Univ, Samsung Med Ctr, Dept Radiol, Sch Med, 81 Irwon Ro, Seoul, South Korea.; Jeong, WK (corresponding author), Sungkyunkwan Univ, Ctr Imaging Sci, Samsung Med Ctr, Sch Med, 81 Irwon Ro, Seoul, South Korea.</t>
  </si>
  <si>
    <t>jeongwk@gmail.com</t>
  </si>
  <si>
    <t>[Han, Taewon; Jeong, Woo Kyoung; Shin, Jaeseung] Sungkyunkwan Univ, Samsung Med Ctr, Dept Radiol, Sch Med, 81 Irwon Ro, Seoul, South Korea; [Han, Taewon; Jeong, Woo Kyoung; Shin, Jaeseung] Sungkyunkwan Univ, Ctr Imaging Sci, Samsung Med Ctr, Sch Med, 81 Irwon Ro, Seoul, South Korea</t>
  </si>
  <si>
    <t>Sungkyunkwan University (SKKU); Samsung Medical Center</t>
  </si>
  <si>
    <t>Diagnostic performance of multimodal large language models in radiological quiz cases: the effects of prompt engineering and input conditions</t>
  </si>
  <si>
    <t>ULTRASONOGRAPHY</t>
  </si>
  <si>
    <t>Artificial intelligence; Natural language processing; Diagnostic imaging; Medical informatics</t>
  </si>
  <si>
    <t>Jeong, Woo Kyoung/ABE-7025-2021</t>
  </si>
  <si>
    <t>HAN, TAEWON/0000-0003-0243-1608; Jeong, Woo Kyoung/0000-0002-0676-2116; Shin, Jaeseung/0000-0002-6755-4732</t>
  </si>
  <si>
    <t>KOREAN SOC ULTRASOUND MEDICINE</t>
  </si>
  <si>
    <t>A-304MAPO TRAPALACE, 53 MAPO-DAERO, MAPO-GU, SEOUL, 121-784, SOUTH KOREA</t>
  </si>
  <si>
    <t>2288-5919</t>
  </si>
  <si>
    <t>2288-5943</t>
  </si>
  <si>
    <t>Ultrasonography</t>
  </si>
  <si>
    <t>231</t>
  </si>
  <si>
    <t>10.14366/usg.25012</t>
  </si>
  <si>
    <t>http://dx.doi.org/10.14366/usg.25012</t>
  </si>
  <si>
    <t>2UY3U</t>
  </si>
  <si>
    <t>40235070</t>
  </si>
  <si>
    <t>WOS:001476719600001</t>
  </si>
  <si>
    <t>Cirone, K; Akrout, M; Abid, L; Oakley, A</t>
  </si>
  <si>
    <t>The large language models GPT-4 Vision and Large Language and Vision Assistant are capable of understanding and accurately differentiating between benign lesions and melanoma, indicating potential incorporation into dermatologic care, medical research, and education.</t>
  </si>
  <si>
    <t>Cirone, Katrina; Akrout, Mohamed; Abid, Latif; Oakley, Amanda</t>
  </si>
  <si>
    <t>Cirone, K (corresponding author), Western Univ, Schulich Sch Med &amp; Dent, 1151 Richmond St, London, ON N6A 5C1, Canada.</t>
  </si>
  <si>
    <t>kcirone2024@meds.uwo.ca</t>
  </si>
  <si>
    <t>[Cirone, Katrina] Western Univ, Schulich Sch Med &amp; Dent, 1151 Richmond St, London, ON N6A 5C1, Canada; [Cirone, Katrina; Akrout, Mohamed; Abid, Latif] AIPLabs, Budapest, Hungary; [Akrout, Mohamed] Univ Toronto, Dept Comp Sci, Toronto, ON, Canada; [Oakley, Amanda] Hlth New Zealand Te Whatu Ora Waikato, Dept Dermatol, Hamilton, New Zealand; [Oakley, Amanda] Univ Auckland, Dept Med, Fac Med &amp; Hlth Sci, Auckland, New Zealand</t>
  </si>
  <si>
    <t>Western University (University of Western Ontario); University of Toronto; University of Auckland</t>
  </si>
  <si>
    <t>Assessing the Utility of Multimodal Large Language Models (GPT-4 Vision and Large Language and Vision Assistant) in Identifying Melanoma Across Different Skin Tones</t>
  </si>
  <si>
    <t>JMIR DERMATOLOGY</t>
  </si>
  <si>
    <t>melanoma; nevus; skin pigmentation; artificial intelligence; AI; multimodal large language models; large language model; large language models; LLM; LLMs; machine learning; expert systems; natural language processing; NLP; GPT; GPT-4V; dermatology; skin; lesion; lesions; cancer; oncology; visual</t>
  </si>
  <si>
    <t>Oakley, Amanda/AFK-4514-2022; Akrout, Mohamed/NTQ-7594-2025</t>
  </si>
  <si>
    <t>Abid, Latif/0009-0008-9801-5265</t>
  </si>
  <si>
    <t>221</t>
  </si>
  <si>
    <t>2562-0959</t>
  </si>
  <si>
    <t>JMIR DERMATOL</t>
  </si>
  <si>
    <t>JMIR Dermatol.</t>
  </si>
  <si>
    <t>398</t>
  </si>
  <si>
    <t>402</t>
  </si>
  <si>
    <t>10.2196/55508</t>
  </si>
  <si>
    <t>http://dx.doi.org/10.2196/55508</t>
  </si>
  <si>
    <t>Dermatology</t>
  </si>
  <si>
    <t>8VA3G</t>
  </si>
  <si>
    <t>38477960</t>
  </si>
  <si>
    <t>WOS:001597999300058</t>
  </si>
  <si>
    <t>Saravi, B; Winkler, I; Singh, DD; Lommen, J; Wilkat, M; Schorn, L; Vollmer, A; Vollmer, M; Kübler, N; Sproll, C; Schrader, F</t>
  </si>
  <si>
    <t>Background Multimodal large language models (LLMs) are increasingly being evaluated for clinical image interpretation, but whether patient demographic cues influence their recommendations remains unclear in dental radiology-a leading domain for AI-assisted diagnostics, and one marked by pronounced disparities in oral health. Methods We conducted a within-image, between-condition audit study using 705 panoramic dental radiographs from the publicly available DENTEX dataset. Each image was submitted to three commercial multimodal LLMs (Gemini 2.5 Flash, GPT-5.4, Claude Sonnet 4.6) under 12 experimental conditions: five race/ethnicity groups &amp; times; two sex categories plus two controls, yielding 25,380 independent zero-temperature API calls. Each call returned a structured JSON object containing ten prespecified clinical recommendation variables. Delta variables were computed against the primary control, and linear mixed-effects models with image identity as a random intercept tested for race/ethnicity (H1), sex (H2), and Race &amp; times; Sex interaction (H3) effects. The five primary ordinal outcomes were evaluated against a Bonferroni-corrected significance threshold of alpha = 0.01. Results All three models altered recommendations when demographic cues were introduced. Claude showed the broadest sensitivity, with significant race effects on treatment invasiveness, prognosis, and confidence (all p &lt; .001), and significant sex effects on prognosis, confidence, and invasiveness. GPT-5.4 effects were concentrated in confidence and in invasiveness for Hispanic patients (beta = +0.052, p &lt; .001). Gemini produced higher invasiveness for Black patients (beta = +0.026, p &lt; .001). No Race &amp; times; Sex interactions reached significance. All ordinal shifts were below 6% of one category width. Inter-model diagnostic agreement under control prompts was near chance (Cohen's kappa = 0.009-0.159). Findings were robust across four prespecified sensitivity analyses. Conclusions Demographic prompt cues produced small but systematic shifts in multimodal LLM clinical recommendations for dental radiographs, with model-specific sensitivity profiles. Because clinical accuracy was not benchmarked, these findings should be read as demographic-cue sensitivity rather than clinical bias. Inter-model agreement was near chance, indicating that model choice currently introduces more variability than any demographic label. Demographic-cue audits and model-specific reliability evaluations should both accompany clinical deployment, particularly in oral health, where racial and socioeconomic disparities are already documented.</t>
  </si>
  <si>
    <t>Saravi, Babak; Winkler, Ingrid; Singh, Daman Deep; Lommen, Julian; Wilkat, Max; Schorn, Lara; Vollmer, Andreas; Vollmer, Michael; Kubler, Norbert; Sproll, Christoph; Schrader, Felix</t>
  </si>
  <si>
    <t>Saravi, B (corresponding author), Heinrich Heine Univ Dusseldorf, Univ Hosp Dusseldorf, Med Fac, Dept Oral Maxillofacial &amp; Facial Plast Surg, D-40225 Dusseldorf, Germany.</t>
  </si>
  <si>
    <t>babak.saravi@med.uni-duesseldorf.de</t>
  </si>
  <si>
    <t>Universittsklinikum Dsseldorf. Anstalt ffentlichen Rechts (8911)</t>
  </si>
  <si>
    <t>[Saravi, Babak; Singh, Daman Deep; Lommen, Julian; Wilkat, Max; Schorn, Lara; Kubler, Norbert; Sproll, Christoph; Schrader, Felix] Heinrich Heine Univ Dusseldorf, Univ Hosp Dusseldorf, Med Fac, Dept Oral Maxillofacial &amp; Facial Plast Surg, D-40225 Dusseldorf, Germany; [Winkler, Ingrid] Univ Hosp Cologne, Dept Oral &amp; Maxillofacial Plast Surg, D-50937 Cologne, Germany; [Vollmer, Andreas] Univ Hosp Wurzburg, Dept Oral &amp; Maxillofacial Plast Surg, D-97070 Wurzburg, Germany; [Vollmer, Michael] Tubingen Univ Hosp, Dept Oral &amp; Maxillofacial Surg, D-72076 Tubingen, Germany</t>
  </si>
  <si>
    <t>Heinrich Heine University Dusseldorf; Heinrich Heine University Dusseldorf Hospital; University of Cologne; University of Wurzburg; Eberhard Karls University of Tubingen; Eberhard Karls University Hospital; TUBINGEN UNIVERSITY CHILDRENS HOSPITAL</t>
  </si>
  <si>
    <t>Demographic prompt cues shift clinical recommendations in multimodal large language models: a multi-model audit of 25,380 dental radiograph assessments</t>
  </si>
  <si>
    <t>Algorithmic fairness; Audit study; Clinical decision support; Demographic cue sensitivity; Dental radiology; Large language models; Multimodal artificial intelligence; Oral health equity; Panoramic radiograph; Racial disparities</t>
  </si>
  <si>
    <t>Vollmer, Andreas/ABD-1971-2021; Saravi, Babak/AAV-9666-2020</t>
  </si>
  <si>
    <t>MAY 28 2026</t>
  </si>
  <si>
    <t>1017</t>
  </si>
  <si>
    <t>10.1186/s12903-026-08644-5</t>
  </si>
  <si>
    <t>http://dx.doi.org/10.1186/s12903-026-08644-5</t>
  </si>
  <si>
    <t>JM1OG</t>
  </si>
  <si>
    <t>42210248</t>
  </si>
  <si>
    <t>WOS:001792605000001</t>
  </si>
  <si>
    <t>Kim, YT; Kim, H; Kim, H; Lee, S; Lim, DK; Han, JH; Kim, JB; Do, S</t>
  </si>
  <si>
    <t>Multimodal large language models (MLLMs) connect vision and language, yet their diagnostic output can vary with prompt design. We examined how prompting influences GPT-4o for zero-shot intracranial hemorrhage (ICH) classification on non-contrast head CT. Using 60 axial slices from the CQ500 dataset (10 each: intraparenchymal [IPH], intraventricular [IVH], subdural [SDH], epidural [EDH], subarachnoid [SAH]; and 10 normal; one patient per case), we compared five prompts: free response, minimal lesion query, forced-choice among ICH subtypes, chain-of-thought, and self-correction. Performance was measured on a 3-class task (intra-axial, extra-axial, normal) and a 6-class task (five ICH subtypes plus normal). The forced-choice prompt yielded the best results: accuracy of 0.67 and macro-F1 of 0.65 (3-class), and accuracy of 0.42 and macro-F1 of 0.39 (6-class). Chain-of-thought and self-correction did not improve macro-F1 over forced-choice; macro precision rose slightly while accuracy, macro-F1, and the normal-class F1 decreased. Gains were concentrated in IPH and IVH; EDH/SDH improved little, and SAH remained below chance level. Furthermore, an analysis of linguistic sensitivity revealed a strong correlation (R2 = 0.94) between prediction consistency and diagnostic performance, suggesting that the model's robustness to prompt phrasing is intrinsically linked to the visual saliency of the pathology. These findings indicate that constrained, task-aligned prompting can raise zero-shot performance of a general MLLM, but errors among visually similar subtypes persist. Safe clinical integration will require domain-specific fine-tuning beyond prompt design.</t>
  </si>
  <si>
    <t>Kim, Young-Tak; Kim, Hayom; Kim, Hyunji; Lee, Seho; Lim, Dong-Kwon; Han, Jae-Ho; Kim, Jung Bin; Do, Synho</t>
  </si>
  <si>
    <t>Do, S (corresponding author), Harvard Med Sch, Massachusetts Gen Hosp, Dept Radiol, Boston, MA 02115 USA.; Kim, JB (corresponding author), Korea Univ, Korea Univ Med, Dept Neurol, Anam Hosp, Seoul 02841, South Korea.; Kim, JB (corresponding author), Korea Univ, Korea Univ Med, Smart Healthcare Res Ctr, Anam Hosp, Seoul 02841, South Korea.; Kim, JB (corresponding author), Korea Univ, Korea Univ Med, Artificial Intelligence R&amp;D Ctr, Anam Hosp, Seoul 02841, South Korea.; Do, S (corresponding author), Harvard Univ, Kempner Inst, Boston, MA 02134 USA.</t>
  </si>
  <si>
    <t>kjbin80@korea.ac.kr; sdo@mgh.harvard.edu</t>
  </si>
  <si>
    <t>Basic Science Research Program through the National Research Foundation of Korea (NRF) - Ministry of Education [RS-2023-00212574, RS-2024-00415812]; MSIT (Ministry of Science and ICT) , Korea, under the ITRC (Information Technology Research Center) support program [IITP-2026-RS-2022-00156225]</t>
  </si>
  <si>
    <t>Basic Science Research Program through the National Research Foundation of Korea (NRF) - Ministry of Education (National Research Foundation of Korea, Ministry of Education (MOE), Republic of Korea); MSIT (Ministry of Science and ICT) , Korea, under the ITRC (Information Technology Research Center) support program (Ministry of Science &amp; ICT (MMSTI))</t>
  </si>
  <si>
    <t>This work was supported by the Basic Science Research Program through the National Research Foundation of Korea (NRF) funded by the Ministry of Education (RS-2023-00212574, RS-2024-00415812) . This work was also supported by the MSIT (Ministry of Science and ICT) , Korea, under the ITRC (Information Technology Research Center) support program (IITP-2026-RS-2022-00156225) supervised by the IITP (Institute for Information &amp; Communications Technology Planning &amp; Evaluation) .</t>
  </si>
  <si>
    <t>[Kim, Young-Tak; Kim, Hyunji; Do, Synho] Harvard Med Sch, Massachusetts Gen Hosp, Dept Radiol, Boston, MA 02115 USA; [Kim, Hayom; Kim, Jung Bin] Korea Univ, Korea Univ Med, Dept Neurol, Anam Hosp, Seoul 02841, South Korea; [Lee, Seho] Univ Ulsan, Dept AI Convergence, Ulsan 44610, South Korea; [Lim, Dong-Kwon] Korea Univ, KU KIST Grad Sch Converging Sci &amp; Technol, Seoul 02841, South Korea; [Lim, Dong-Kwon] Korea Univ, Dept Integrat Energy Engn, Seoul 02841, South Korea; [Han, Jae-Ho] Korea Univ, Dept Brain &amp; Cognit Engn, Seoul 02841, South Korea; [Han, Jae-Ho] Korea Univ, Dept Artificial Intelligence, Seoul 02841, South Korea; [Han, Jae-Ho] Korea Univ, Dept Precis Publ Hlth, Seoul 02841, South Korea; [Kim, Jung Bin] Korea Univ, Korea Univ Med, Smart Healthcare Res Ctr, Anam Hosp, Seoul 02841, South Korea; [Kim, Jung Bin] Korea Univ, Korea Univ Med, Artificial Intelligence R&amp;D Ctr, Anam Hosp, Seoul 02841, South Korea; [Do, Synho] Harvard Univ, Kempner Inst, Boston, MA 02134 USA</t>
  </si>
  <si>
    <t>Harvard University; Harvard Medical School; Harvard University Medical Affiliates; Massachusetts General Hospital; Korea University; Korea University Medicine (KU Medicine); University of Ulsan; Korea University; Korea University; Korea University; Korea University; Korea University; Korea University; Korea University Medicine (KU Medicine); Korea University; Korea University Medicine (KU Medicine); Harvard University</t>
  </si>
  <si>
    <t>The Effects of Prompt Engineering on a Multimodal Large Language Model in Neuroradiology: A Case Study of GPT-4o for Intracranial Hemorrhage Diagnosis from Brain CT</t>
  </si>
  <si>
    <t>KSII TRANSACTIONS ON INTERNET AND INFORMATION SYSTEMS</t>
  </si>
  <si>
    <t>Brain CT; GPT-4o; Intracranial Hemorrhage; Multimodal Large Language Model; Prompt Engineering</t>
  </si>
  <si>
    <t>KSII-KOR SOC INTERNET INFORMATION</t>
  </si>
  <si>
    <t>GANGNAM-GU</t>
  </si>
  <si>
    <t>KOR SCI &amp; TECHNOL CTR, 409 ON 4TH FLR, MAIN BLDG, 635-4 YEOKSAM 1-DONG, GANGNAM-GU, SEOUL 00000, SOUTH KOREA</t>
  </si>
  <si>
    <t>1976-7277</t>
  </si>
  <si>
    <t>KSII T INTERNET INF</t>
  </si>
  <si>
    <t>KSII Trans. Internet Inf. Syst.</t>
  </si>
  <si>
    <t>1966</t>
  </si>
  <si>
    <t>1983</t>
  </si>
  <si>
    <t>10.3837/tiis.2026.04.018</t>
  </si>
  <si>
    <t>http://dx.doi.org/10.3837/tiis.2026.04.018</t>
  </si>
  <si>
    <t>Computer Science, Information Systems; Telecommunications</t>
  </si>
  <si>
    <t>HO7IH</t>
  </si>
  <si>
    <t>WOS:001759081600018</t>
  </si>
  <si>
    <t>Lee, H; Yoo, S; Kim, J; Cho, Y; Suh, D; Lee, K</t>
  </si>
  <si>
    <t>Background: Accurate and timely electrocardiogram (ECG) interpretation is critical for diagnosing myocardial infarction (MI) in emergency settings. Recent advances in multimodal large language models (LLMs), such as ChatGPT (OpenAI) and Gemini (Google DeepMind), have shown promise in clinical interpretation for medical imaging. However, whether these models analyze waveform patterns or simply rely on text cues remains unclear, underscoring the need for direct comparisons with dedicated ECG artificial intelligence (AI) tools. Objective: This study aimed to evaluate the diagnostic performance of ChatGPT and Gemini, a general-purpose LLM, in detecting MI from ECG images and to compare its performance with that of ECG Buddy (ARPI Inc), a dedicated AI-driven ECG analysis tool. Methods: This retrospective study evaluated and compared AI models for classifying MI using a publicly available 12-lead ECG dataset from Pakistan, categorizing cases into MI-positive (239 images) and MI-negative (689 images). ChatGPT (GPT-4o, version November 20, 2024) and Gemini (Gemini 2.5 pro) were queried with 5 MI confidence options, whereas ECG Buddy for Microsoft Windows analyzed the images based on ST-elevation MI, acute coronary syndrome, and myocardial injury biomarkers. Results: Among 928 ECG recordings (239/928, 25.8% MI-positive), ChatGPT achieved an accuracy of 65.95% (95% CI 62.80-69.00), area under the curve (AUC) of 57.34% (95% CI 53.44-61.24), sensitivity of 36.40% (95% CI 30.30-42.85), and specificity of 76.2% (95% CI 72.84-79.33). With Gemini 2.5 Pro, accuracy dropped to 29.63% (95% CI 26.71-32.69), AUC to 51.63% (95% CI 50.22-53.04), and sensitivity rose to 97.07% (95% CI 94.06-98.81), but specificity fell sharply to 6.24% (95% CI 4.55-8.31). However, ECG Buddy reached an accuracy of 96.98% (95% CI 95.67-97.99), AUC of 98.8% (95% CI 98.3-99.43), sensitivity of 96.65% (95% CI 93.51-98.54), and specificity of 97.10% (95% CI 95.55-98.22). DeLong test confirmed that ECG Buddy significantly outperformed ChatGPT (all P&lt;.001). In a qualitative error analysis of LLMs' diagnostic explanations, GPT-4o produced fully accurate explanations in only 5% of cases (2/40), was partially accurate in 38% (15/40), and completely inaccurate in 58% (23/40). By contrast, Gemini 2.5 Pro yielded fully accurate explanations in 32% of cases (12/37), was partially accurate in 14% (5/37), and completely inaccurate in 54% (20/37). Conclusions: LLMs, such as ChatGPT and Gemini, underperform relative to specialized tools such as ECG Buddy in ECG image-based MI diagnosis. Further training may improve LLMs; however, domain-specific AI remains essential for clinical accuracy. The high performance of ECG Buddy underscores the importance of specialized models for achieving reliable and robust diagnostic outcomes.</t>
  </si>
  <si>
    <t>Lee, Haemin; Yoo, Sooyoung; Kim, Joonghee; Cho, Youngjin; Suh, Dongbum; Lee, Keehyuck</t>
  </si>
  <si>
    <t>Lee, K (corresponding author), Seoul Natl Univ, Bundang Hosp, Dept Family Med, 82 Gumi Ro 173 beon-gil, Seongnam Si 13620, Gyeonggi Do, South Korea.</t>
  </si>
  <si>
    <t>chrisruga@snubh.org</t>
  </si>
  <si>
    <t>Technological Innovation Research &amp; Development Program (SCA-LEUP TIPS) - Ministry of SMEs and Startups [RS-2024-00415492]; Medical AI Clinic Program through the National IT Industry Promotion Agency - Ministry of Science Information Communication and Technology [H0904-24-1002]</t>
  </si>
  <si>
    <t>Technological Innovation Research &amp; Development Program (SCA-LEUP TIPS) - Ministry of SMEs and Startups; Medical AI Clinic Program through the National IT Industry Promotion Agency - Ministry of Science Information Communication and Technology</t>
  </si>
  <si>
    <t>This research was partly supported by a grant from the Technological Innovation Research &amp; Development Program (SCA-LEUP TIPS) , funded by the Ministry of SMEs and Startups (grant number: RS-2024-00415492) , and the Medical AI Clinic Program through the National IT Industry Promotion Agency, funded by the Ministry of Science Information Communication and Technology (grant number H0904-24-1002) .</t>
  </si>
  <si>
    <t>[Lee, Haemin; Kim, Joonghee; Suh, Dongbum] Seoul Natl Univ, Bundang Hosp, Dept Emergency Med, Seongnam Si, Gyeonggi Do, South Korea; [Lee, Haemin; Kim, Joonghee; Cho, Youngjin; Suh, Dongbum] ARPI Inc, Seongnam Si, Gyeonggi Do, South Korea; [Yoo, Sooyoung] Seoul Natl Univ, Bundang Hosp, Off eHlth Res &amp; Businesses, Seongnam Si, Gyeonggi Do, South Korea; [Cho, Youngjin] Seoul Natl Univ, Bundang Hosp, Cardiovasc Ctr, Dept Internal Med, Seongnam Si, Gyeonggi Do, South Korea; [Lee, Keehyuck] Seoul Natl Univ, Bundang Hosp, Dept Family Med, 82 Gumi Ro 173 beon-gil, Seongnam Si 13620, Gyeonggi Do, South Korea</t>
  </si>
  <si>
    <t>Seoul National University (SNU); Seoul National University Hospital; Seoul National University (SNU); Seoul National University Hospital; Seoul National University (SNU); Seoul National University Hospital; Seoul National University (SNU); Seoul National University Hospital</t>
  </si>
  <si>
    <t>Comparative Diagnostic Performance of a Multimodal Large Language Model Versus a Dedicated Electrocardiogram AI in Detecting Myocardial Infarction From Electrocardiogram Images: Comparative Study</t>
  </si>
  <si>
    <t>JMIR AI</t>
  </si>
  <si>
    <t>artificial intelligence; myocardial infarction; ECG; LLMs; large language models; electrocardiogram</t>
  </si>
  <si>
    <t>Kim, Joonghee/C-9811-2014</t>
  </si>
  <si>
    <t>Lee, Haemin/0009-0006-8288-5720; Cho, Youngjin/0000-0001-8106-3713; Kim, Joonghee/0000-0001-5080-7097; Suh, Dongbum/0000-0002-2449-1006; Yoo, Sooyoung/0000-0001-8620-4925</t>
  </si>
  <si>
    <t>2817-1705</t>
  </si>
  <si>
    <t>e75910</t>
  </si>
  <si>
    <t>10.2196/75910</t>
  </si>
  <si>
    <t>http://dx.doi.org/10.2196/75910</t>
  </si>
  <si>
    <t>7SW1V</t>
  </si>
  <si>
    <t>40961357</t>
  </si>
  <si>
    <t>WOS:001578857100001</t>
  </si>
  <si>
    <t>Robaian, A; Hassanein, FEA; Hassan, MT; Alqahtani, AS; Abou-Bakr, A</t>
  </si>
  <si>
    <t>Background: Oral lichen planus (OLP), oral lichenoid lesions (OLL), and squamous cell carcinoma on a lichenoid background (SCC-over-LP/LLP) overlap clinically, delaying malignant transformation recognition. Objective: To evaluate a multimodal large language model (ChatGPT-5) against oral medicine (OM) specialists for tripartite classification (OLP/OLL/SCC-over-LP/LLP) and malignant-risk flagging. Methods: Cross-sectional, paired diagnostic accuracy study adhering to STARD/STARD-AI. Retrospective, anonymized cases (n = 262; OLP = 100, OLL = 100, SCC-over-LP/LLP = 62) were independently evaluated by ChatGPT-5 and a comparator panel of board-certified OM specialists using identical clinical histories and intraoral photographs (no histopathology provided to either). A separate reference standard panel (three OM experts) established the diagnosis using full clinical data and histopathology prior to index testing. Primary outcome: paired accuracy (McNemar). Secondary: certainty (1-5), management agreement (Gwet's AC1), and recognition of malignant red-flag features. Results: Overall accuracy was comparable (84.7% ChatGPT-5 vs 85.5% OM specialists; McNemar P = .856, Cohen's h = 0.03). Sensitivity was high for OLP 0.99 and SCC-over-LP/LLP 0.85; OLL sensitivity 0.70 with specificity 1.00. Biopsy/referral agreement was near-perfect (AC1 = 0.91). Malignant-risk features were correctly identified in 88% of SCC-over-LP/LLP cases by ChatGPT-5 vs 92% by OM specialists (P = .41). Conclusions: A multimodal large language model can reach expert-level accuracy for OLP/ OLL/SCC-over-LP/LLP and reliably flag malignant transformation risk, supporting its role as an adjunctive decision-support tool in OM. (c) 2025 The Authors. Published by Elsevier Inc. on behalf of FDI World Dental Federation. This is an open access article under the CC BY-NC-ND license (http://creativecommons.org/licenses/by-nc-nd/4.0/)</t>
  </si>
  <si>
    <t>Robaian, Ali; Hassanein, Fatma E. A.; Hassan, Mohamed Talha; Alqahtani, Abdullah S.; Abou-Bakr, Asmaa</t>
  </si>
  <si>
    <t>Hassanein, FEA (corresponding author), King Salman Int Univ, Fac Dent, Dept Oral Med Periodontol &amp; Oral Diag, El Tur 11371, South Sinai, Egypt.</t>
  </si>
  <si>
    <t>fatma.hassanein@ksiu.edu.eg</t>
  </si>
  <si>
    <t>[Robaian, Ali] Prince Sattam Bin Abdulaziz Univ, Coll Dent, Conservat Dent Sci Dept, Al Kharj, Saudi Arabia; [Hassanein, Fatma E. A.] King Salman Int Univ, Fac Dent, Dept Oral Med Periodontol &amp; Oral Diag, El Tor, Egypt; [Hassan, Mohamed Talha] Univ Lahore, Oral Maxillofacial Pathol, Lahore, Pakistan; [Alqahtani, Abdullah S.] Prince Sattam Bin Abdulaziz Univ, Coll Dent, Prevent Dent Sci, Al Kharj, Saudi Arabia; [Abou-Bakr, Asmaa] Galala Univ, Fac Dent, Oral Med &amp; Periodontol, Suez, Egypt</t>
  </si>
  <si>
    <t>Prince Sattam Bin Abdulaziz University; King Salman International University; University of Lahore; Prince Sattam Bin Abdulaziz University; Galala University</t>
  </si>
  <si>
    <t>A Multimodal Large Language Model Framework for Clinical Subtyping and Malignant Transformation Risk Prediction in Oral Lichen Planus: A Paired Comparison With Expert Clinicians</t>
  </si>
  <si>
    <t>Artificial intelligence; Large language model; Oral lichen planus; Oral lichenoid lesion; Squamous cell carcinoma; Diagnostic accuracy</t>
  </si>
  <si>
    <t>PERFORMANCE; LESIONS</t>
  </si>
  <si>
    <t>Alqahtani, Abdullah S/GQP-2732-2022; Hassanein, Fatma/NRY-4900-2025; Alqahtani, Abdullah S/GRX-4829-2022</t>
  </si>
  <si>
    <t>, Talha/0000-0002-1618-7194; Alqahtani, Abdullah S/0000-0003-0474-7067; Hassanein, Fatma El-Sayed Ahmed/0009-0000-8010-9265; Alqahtani, Abdullah S/0000-0003-0474-7067</t>
  </si>
  <si>
    <t>109357</t>
  </si>
  <si>
    <t>10.1016/j.identj.2025.109357</t>
  </si>
  <si>
    <t>http://dx.doi.org/10.1016/j.identj.2025.109357</t>
  </si>
  <si>
    <t>AW8YO</t>
  </si>
  <si>
    <t>41477929</t>
  </si>
  <si>
    <t>WOS:001658687900001</t>
  </si>
  <si>
    <t>Jung, J; Kim, H; Bae, S; Park, JY</t>
  </si>
  <si>
    <t>Generative pretrained transformer 4 (GPT-4) has demonstrated strong performance in standardized medical examinations but has limitations in real-world clinical settings. To address these limitations, the multimodal GPT-4o model integrates text and image inputs, and the multimodal o1 model incorporates advanced reasoning. This study compared the performance of GPT-4o and o1 against that of Medscape respondents (majority vote) in real-world clinical case challenges. This retrospective, cross-sectional study used 1426 Medscape case challenge questions from May 2011 to June 2024. Each case included text and images of patient history, physical examinations, diagnostic tests, and imaging studies. Medscape respondents were required to choose 1 answer from among multiple options, with the most frequent response defined as the Medscape respondent's decision. GPT models (3.5 Turbo, 4 Turbo, 4 Omni, and o1) were used to interpret the text and images and generate formatted responses. We compared the performances of the Medscape respondents and GPT models using mixed-effects logistic regression analysis. Medscape respondents (majority vote) achieved an overall accuracy of 85.0%, whereas GPT-4o and o1 demonstrated higher accuracies of 88.4% (P = .005) and 94.3% (P &lt; .001), respectively. In multimodal analysis involving images (n = 917), GPT-4o achieved an accuracy of 88.3% (P = .005), while o1 achieved 93.9% (P &lt; .001), both significantly outperforming Medscape respondents. o1 demonstrated the highest accuracy across all question categories, achieving 92.6% (P &lt; .001) in diagnosis, 97.0% (P &lt; .001) in disease characteristics, 92.6% (P = .002) in examination, and 94.8% (P = .005) in treatment. In terms of medical specialty, o1 achieved 93.6% (P &lt; .001) accuracy in internal medicine, 96.6% (P = .030) in major surgery, 97.3% (P = .030) in psychiatry, and 95.4% (P &lt; .001) in minor specialties, significantly surpassing Medscape respondents. Across 5 trials, GPT-4o and o1 provided the correct answer 5/5 times in 86.2% and 90.7% of the cases, respectively. The GPT-4o and o1 models achieved higher accuracy than Medscape respondents (majority vote) in clinical case evaluations, particularly in disease diagnosis. GPT-4o and o1 could serve as valuable tools to assist healthcare professionals in structured scenarios.</t>
  </si>
  <si>
    <t>Jung, Jaewon; Kim, Hyunjae; Bae, SungA; Park, Jin Young</t>
  </si>
  <si>
    <t>Bae, S (corresponding author), Yonsei Univ, Yongin Severance Hosp, Coll Med, Dept Internal Med,Div Cardiol, 363 Dongbaekjukjeon Daero, Yongin 16995, Gyeonggi Do, South Korea.</t>
  </si>
  <si>
    <t>EMPATHY@yuhs.ac; hyunjae.kim19@med.yuhs.ac; jaewon.jung19@med.yuhs.ac; cardiobsa@yuhs.ac</t>
  </si>
  <si>
    <t>new faculty research seed money grant from Yonsei University College of Medicine [2025-32-0022]; Korea Health Technology R&amp;D Project through the Korea Health Industry Development Institute (KHIDI) [RS-2023-KH135442]</t>
  </si>
  <si>
    <t>new faculty research seed money grant from Yonsei University College of Medicine; Korea Health Technology R&amp;D Project through the Korea Health Industry Development Institute (KHIDI) (Korea Health Industry Development Institute (KHIDI))</t>
  </si>
  <si>
    <t>This research was supported by a grant from the Korea Health Technology R&amp;D Project through the Korea Health Industry Development Institute, funded by the Ministry of Health and Welfare, Republic of Korea (grant number RS-2023-KH135442). This study was supported by a new faculty research seed money grant from Yonsei University College of Medicine for 2025 (2025-32-0022).</t>
  </si>
  <si>
    <t>[Jung, Jaewon; Kim, Hyunjae] Yonsei Univ, Coll Med, Dept Med, Seoul, South Korea; [Bae, SungA; Park, Jin Young] Yonsei Univ, Coll Med, Dept Biomed Syst Informat, Yongin, South Korea; [Bae, SungA] Yonsei Univ, Yongin Severance Hosp, Coll Med, Dept Internal Med,Div Cardiol, 363 Dongbaekjukjeon Daero, Yongin 16995, Gyeonggi Do, South Korea; [Park, Jin Young] Yonsei Univ, Yongin Severance Hosp, Coll Med, Dept Psychiat, Yongin, South Korea</t>
  </si>
  <si>
    <t>Yonsei University; Yonsei University Health System; Yonsei University; Yonsei University Health System; Yonsei University; Severance Hospital; Yonsei University Health System; Yonsei University; Severance Hospital; Yonsei University Health System</t>
  </si>
  <si>
    <t>Comparative analysis of multimodal large language models GPT-4o and o1 versus clinicians in clinical case challenge questions: Retrospective cross-sectional study</t>
  </si>
  <si>
    <t>artificial intelligence; clinical decision-making; diagnostic accuracy; GPT-4 omni; multimodal large language model; o1</t>
  </si>
  <si>
    <t>sunga, bae/AAD-7858-2021</t>
  </si>
  <si>
    <t>Jung, Jaewon/0009-0004-6268-0803; Park, Jin Young/0000-0002-5351-9549</t>
  </si>
  <si>
    <t>0025-7974</t>
  </si>
  <si>
    <t>1536-5964</t>
  </si>
  <si>
    <t>Medicine (Baltimore)</t>
  </si>
  <si>
    <t>JAN 23 2026</t>
  </si>
  <si>
    <t>e47071</t>
  </si>
  <si>
    <t>10.1097/MD.0000000000047071</t>
  </si>
  <si>
    <t>http://dx.doi.org/10.1097/MD.0000000000047071</t>
  </si>
  <si>
    <t>DC2CO</t>
  </si>
  <si>
    <t>41578521</t>
  </si>
  <si>
    <t>WOS:001679956900033</t>
  </si>
  <si>
    <t>Kaneyasu, Y; Mine, Y; Niitani, Y; Taji, T; Takeda, S; Tokinaga, R; Shigeishi, H; Takemoto, T; Kakimoto, N; Murayama, T; Ohta, K</t>
  </si>
  <si>
    <t>Background/purpose: The importance of oral health is globally recognized, which has increased the demand for qualified dental hygienists. This study assessed the performance of multimodal large language models (LLMs), on the Japanese National Examination for Dental Hygienists, focusing on their ability to answer visually-based questions and evaluating image-recognition capabilities. Materials and methods: The 34th Japanese National Examination for Dental Hygienists (March 2025) supplied 213 multiple-choice questions (74 text-only, 139 visually-based). Five multimodal LLMs were tested: OpenAI o3-mini-high (o3-mh), ChatGPT-4.5 Preview (GPT-4.5), Gemini 2.0 Flash Thinking Experimental (Gemini 2.0), Gemini 2.5 Pro Experimental (Gemini 2.5), and Claude 3.7 Sonnet (Claude 3.7). Performance was evaluated by comparing LLM answers to official correct answers. Cochran's Q test and McNemar's tests with Bonferroni correction were used for statistical analysis. Results: Gemini 2.5 achieved the highest overall correct response rate (85.0 %), followed by Claude 3.7 (77.5 %), o3-mh (77.0 %), GPT-4.5 (76.1 %), and Gemini 2.0 (75.1 %). For text-only questions, Claude 3.7 (91.9 %) performed best. On visually-based questions, Gemini 2.5 was superior (82.0 %), while other models scored around 70-73 %. Gemini 2.5 significantly outperformed, GPT-4.5 and Gemini 2.0 overall, and GPT-4.5 and Claude 3.7 on visually-based questions. Conclusion: Multimodal LLMs, particularly Gemini 2.5, demonstrate significant proficiency on the Japanese National Examination for Dental Hygienists, including questions with visual elements. These findings suggest a growing potential for LLMs as educational tools in dental hygiene. However, current limitations in accuracy and reliability necessitate further refinement and cautious integration into educational and clinical settings. (c) 2026 Association for Dental Sciences of the Republic of China. Publishing services by Elsevier B.V. This is an open access article under the CC BY-NC-ND license (http://creativecommons. org/licenses/by-nc-nd/4.0/).</t>
  </si>
  <si>
    <t>Kaneyasu, Yoshino; Mine, Yuichi; Niitani, Yoshie; Taji, Tsuyoshi; Takeda, Saori; Tokinaga, Ryohei; Shigeishi, Hideo; Takemoto, Toshinobu; Kakimoto, Naoya; Murayama, Takeshi; Ohta, Kouji</t>
  </si>
  <si>
    <t>SmaSo-X Challenge Project Young Researchers Research Grant from the Graduate School of Innovation and Practice for Smart Society, Hiroshima University; Ministry of Education, Culture, Sports, Science and Tech-nology of Japan [25K15961]</t>
  </si>
  <si>
    <t>SmaSo-X Challenge Project Young Researchers Research Grant from the Graduate School of Innovation and Practice for Smart Society, Hiroshima University; Ministry of Education, Culture, Sports, Science and Tech-nology of Japan (Ministry of Education, Culture, Sports, Science and Technology, Japan (MEXT))</t>
  </si>
  <si>
    <t>This study was partially supported by SmaSo-X Challenge Project Young Researchers Research Grant from the Grad-uate School of Innovation and Practice for Smart Society, Hiroshima University to Y.M., and Grants-in-Aid from the Ministry of Education, Culture, Sports, Science and Tech-nology of Japan to Y.M., N.K. and T.M. [25K15961] .</t>
  </si>
  <si>
    <t>[Kaneyasu, Yoshino; Shigeishi, Hideo; Ohta, Kouji] Grad Sch Biomed &amp; Hlth Sci, Dept Publ Oral Hlth, Hiroshima, Japan; [Mine, Yuichi; Takeda, Saori; Murayama, Takeshi] Hiroshima Univ, Project Res Ctr Integrating Digital Dent, Hiroshima, Japan; [Mine, Yuichi; Takeda, Saori; Tokinaga, Ryohei; Murayama, Takeshi] Hiroshima Univ, Grad Sch Biomed &amp; Hlth Sci, Dept Med Syst Engn, 1-2-3 Kasumi Minami Ku, Hiroshima 7348553, Japan; [Niitani, Yoshie; Takemoto, Toshinobu] Hiroshima Univ, Grad Sch Biomed &amp; Hlth Sci, Dept Oral Hlth Management, Hiroshima, Japan; [Taji, Tsuyoshi] Hiroshima Univ, Grad Sch Biomed &amp; Hlth Sci, Dept Oral Biol &amp; Engn, Hiroshima, Japan; [Kakimoto, Naoya] Hiroshima Univ, Grad Sch Biomed &amp; Hlth Sci, Dept Oral &amp; Maxillofacial Radiol, Hiroshima, Japan</t>
  </si>
  <si>
    <t>Analysis of multimodal large language models on visually-based questions in the Japanese National Examination for Dental Hygienists: A preliminary comparative study</t>
  </si>
  <si>
    <t>Dental hygienist licensing examination; OpenAI o3-mini-high; ChatGPT-4.5 Preview; Gemini 2.0 Flash Thinking Experimental; Gemini 2.5 Pro Experimental; Claude 3.7 Sonnet</t>
  </si>
  <si>
    <t>EDUCATION</t>
  </si>
  <si>
    <t>kaneyasu, yoshino/AAV-1144-2020; Mine, Yuichi/HHN-1257-2022; Shigeishi, Hideo/F-1510-2018</t>
  </si>
  <si>
    <t>198</t>
  </si>
  <si>
    <t>10.1016/j.jds.2025.06.005</t>
  </si>
  <si>
    <t>http://dx.doi.org/10.1016/j.jds.2025.06.005</t>
  </si>
  <si>
    <t>CA6DX</t>
  </si>
  <si>
    <t>41585131</t>
  </si>
  <si>
    <t>WOS:001661222200001</t>
  </si>
  <si>
    <t>Boostani, M; Gisondi, P; Bellinato, F; Kiss, T; Zouboulis, CC; Kuraitis, D; Goldfarb, N; Nádudvari, N; Farabi, B; Hodosi, B; Holló, P; Wikonkal, NM; Lorincz, K; Banvölgyi, A; Paragh, G; Kiss, N</t>
  </si>
  <si>
    <t>Introduction Psoriasis is common, but diagnosis and early severity assessment can be delayed because of variable presentation and overlap with mimicking dermatoses. Multimodal large language models (LLMs) may assist image-based triage.Objective To evaluate web-based multimodal LLMs for psoriasis identification, Physician Global Assessment (PGA) scoring, and treatment recommendation quality from clinical photographs.Methods We retrospectively analyzed 303 standardized photographs from 160 patients (Semmelweis University, May 2022-January 2025), including 163 psoriasis lesions and 140 mimickers. Reference diagnosis and PGA were assigned by two dermatologists with third-expert adjudication, treatment outputs were rated for appropriateness. ChatGPT-5, ChatGPT-4o, Gemini 2.5 Flash, and Claude Sonnet 4.5 received identical prompts for diagnosis and, when psoriasis was predicted, PGA and treatment; sessions were periodically reset.Results Diagnostic accuracy was highest for ChatGPT-5 (93.1%) and ChatGPT-4o (90.1%), followed by Claude (83.6%) and Gemini (61.5%). Among correctly identified psoriasis cases, PGA accuracy was 93.3% (ChatGPT-5), 92.9% (ChatGPT-4o), 82.7% (Gemini), and 78.1% (Claude). Appropriate treatment recommendations were most frequent for ChatGPT-5 (83.7%) and ChatGPT-4o (82.1%), then Claude (75.0%) and Gemini (53.2%); test-retest agreement favored the OpenAI models.Conclusion Under standardized conditions, general-purpose multimodal LLMs, especially ChatGPT-5 and ChatGPT-4o, showed strong performance for psoriasis recognition and reasonable support for PGA scoring and treatment suggestions, supporting potential use by primary care physicians when dermatology specialist access is limited.</t>
  </si>
  <si>
    <t>Boostani, Mehdi; Gisondi, Paolo; Bellinato, Francesco; Kiss, Tara; Zouboulis, Christos C.; Kuraitis, Drew; Goldfarb, Noah; Nadudvari, Nora; Farabi, Banu; Hodosi, Balazs; Hollo, Peter; Wikonkal, Norbert M.; Lorincz, Kende; Banvolgyi, Andras; Paragh, Gyorgy; Kiss, Norbert</t>
  </si>
  <si>
    <t>Boostani, M (corresponding author), Roswell Park Comprehens Canc Ctr, Dept Dermatol, Buffalo, NY 14203 USA.; Kiss, N (corresponding author), Semmelweis Univ, Dept Dermatol Venereol &amp; Dermatooncol, Budapest, Hungary.</t>
  </si>
  <si>
    <t>mehdi_parsii@yahoo.com; kiss.norbert@semmelweis.hu</t>
  </si>
  <si>
    <t>Roswell Park Alliance Foundation [EKOP-2024-174]; New National Excellence Program of the Ministry for Culture and Innovation from the source of the National Research, Development and Innovation Fund [EKOP-2024-174]</t>
  </si>
  <si>
    <t>Roswell Park Alliance Foundation; New National Excellence Program of the Ministry for Culture and Innovation from the source of the National Research, Development and Innovation Fund</t>
  </si>
  <si>
    <t>The author(s) declared that financial support was received for this work and/or its publication. This work was supported by the Roswell Park Alliance Foundation and the EKOP-2024-174 New National Excellence Program of the Ministry for Culture and Innovation from the source of the National Research, Development and Innovation Fund.</t>
  </si>
  <si>
    <t>[Boostani, Mehdi; Kuraitis, Drew; Paragh, Gyorgy] Roswell Park Comprehens Canc Ctr, Dept Dermatol, Buffalo, NY 14203 USA; [Gisondi, Paolo; Bellinato, Francesco] Univ Verona, Dept Med, Sect Dermatol, Verona, Italy; [Kiss, Tara; Nadudvari, Nora; Hollo, Peter; Wikonkal, Norbert M.; Lorincz, Kende; Banvolgyi, Andras; Kiss, Norbert] Semmelweis Univ, Dept Dermatol Venereol &amp; Dermatooncol, Budapest, Hungary; [Zouboulis, Christos C.] Brandenburg Med Sch Theodor Fontane, Neuruppin, Germany; [Zouboulis, Christos C.] Fac Hlth Sci Brandenburg, Neuruppin, Germany; [Goldfarb, Noah] Univ Minnesota, Dept Med &amp; Dermatol, Minneapolis, MN USA; [Goldfarb, Noah] Minneapolis VA Hlth Care Syst, Dept Med, Minneapolis, MN USA; [Goldfarb, Noah] Minneapolis VA Hlth Care Syst, Dept Dermatol, Minneapolis, MN USA; [Farabi, Banu] Icahn Sch Med, Mt Sinai Hosp, Dermatol Dept, New York, NY USA; [Hodosi, Balazs] Gulf Med Univ, Kings Coll Hosp London, Dubai, U Arab Emirates; [Wikonkal, Norbert M.] Northern Pest Mil Hosp, Cent Hosp, Budapest, Hungary</t>
  </si>
  <si>
    <t>Roswell Park Comprehensive Cancer Center; University of Verona; Semmelweis University; University of Minnesota System; University of Minnesota Twin Cities; US Department of Veterans Affairs; Veterans Health Administration (VHA); Minneapolis VA Health Care System; US Department of Veterans Affairs; Veterans Health Administration (VHA); Minneapolis VA Health Care System; Icahn School of Medicine at Mount Sinai; Gulf Medical University</t>
  </si>
  <si>
    <t>Evaluation of multimodal large language models for psoriasis diagnosis, severity grading, and treatment recommendations from clinical photographs: ChatGPT shows superior performance compared to other large language models</t>
  </si>
  <si>
    <t>AI; artificial intelligence; ChatGPT; Claude; diagnosis; Gemini; large language model; psoriasis</t>
  </si>
  <si>
    <t>Banvolgyi, Andras/AAE-4723-2019; Kiss, Norbert/O-5821-2016; Goldfarb, Noah/AAA-3082-2022; Farabi, Banu/AAH-3886-2019; Holló, Peter/Q-6505-2018; Bellinato, Francesco/AAJ-4896-2020; Gisondi, Paolo/AGI-4840-2022</t>
  </si>
  <si>
    <t>MAY 13 2026</t>
  </si>
  <si>
    <t>1791488</t>
  </si>
  <si>
    <t>10.3389/fmed.2026.1791488</t>
  </si>
  <si>
    <t>http://dx.doi.org/10.3389/fmed.2026.1791488</t>
  </si>
  <si>
    <t>IN5EC</t>
  </si>
  <si>
    <t>42210965</t>
  </si>
  <si>
    <t>WOS:001775883200001</t>
  </si>
  <si>
    <t>Ucdal, M; Celik, ME; Evik, G; Kuru, SB; Ozer, S; Gungor, S</t>
  </si>
  <si>
    <t>Background: Multimodal large language models (MLLMs) capable of integrating visual and textual information represent a promising advancement for clinical applications requiring image interpretation. Wound care assessment, which demands simultaneous analysis of wound photographs and clinical data, provides an ideal domain to evaluate multimodal vs unimodal artificial intelligence capabilities against human expertise. Objective: This study aims to compare the performance of MLLMs, unimodal ChatGPT 5.0, and human clinical experts on a standardized wound care certification examination. Methods: This cross-sectional comparative study evaluated 3 participant groups on a 25-question wound care certification examination spanning 4 clinical domains (Diagnosis, Treatment, Complication Management, and Wound Subtype Knowledge). Participants included 3 MLLMs (Med-PaLM 2, LLaVA-Med, and BioGPT), 1 unimodal large language model (ChatGPT 5.0), and 4 human clinical experts (general surgeon, wound care nurse, and 2 internal medicine physicians). Statistical analyses included one-way ANOVA with Tukey post hoc tests and domain-specific Kruskal-Wallis comparisons. Results: Human experts achieved the highest accuracy (mean 86%, SD 9.1%), followed by MLLMs (mean 78.7%, SD 12.2%), while ChatGPT 5.0 achieved 64% accuracy, failing the 70% certification threshold. Significant overall group differences were observed (F2,5=8.42, P=.02, eta 2=0.74). MLLMs significantly outperformed ChatGPT 5.0 (difference=14.7 percentage points, P=.03, Cohen d=1.38), with the multimodal advantage most pronounced in visually dependent domains: Diagnosis (81% vs 43%, P=.008) and Complication Management (72% vs 50%, P=.03). No multimodal advantage was observed for text-based Wound Subtype Knowledge (both 67%). Med-PaLM 2 achieved 92% accuracy, matching that of the wound care nurse, while the general surgeon achieved the highest overall performance (96%). Conclusions: MLLMs demonstrate significant performance advantages over unimodal artificial intelligence in wound care assessment, particularly for visually dependent clinical tasks. While human experts with specialized wound care experience maintain overall superiority, the point estimate of the top-performing MLLM (Med-PaLM 2, 92%) fell within the observed range of human scores; however, the underpowered comparison (power=0.52) and wide CIs preclude definitive conclusions regarding noninferiority or equivalence to human experts. These findings support the potential role of MLLMs as clinical decision-support tools, warranting further adequately powered validation studies.</t>
  </si>
  <si>
    <t>Ucdal, Mete; Celik, Melike Elif; Evik, Guliz; Kuru, Saniye Beyza; Ozer, Saadet; Gungor, Sultan</t>
  </si>
  <si>
    <t>Ucdal, M (corresponding author), Etimesgut Asker Hastanesi, Dept Internal Med, TR-06790 Ankara, Turkiye.</t>
  </si>
  <si>
    <t>meteucdal@hacettepe.edu.tr</t>
  </si>
  <si>
    <t>[Ucdal, Mete; Celik, Melike Elif; Kuru, Saniye Beyza] Etimesgut Asker Hastanesi, Dept Internal Med, TR-06790 Ankara, Turkiye; [Evik, Guliz] Etimesgut Asker Hastanesi, Dept Infect Dis, Ankara, Turkiye; [Ozer, Saadet] Etimesgut Asker Hastanesi, Dept Gen Surg, Ankara, Ankara, Turkiye; [Gungor, Sultan] Etimesgut Asker Hastanesi, Wound Care Nursing Unit, Ankara, Turkiye</t>
  </si>
  <si>
    <t>Etimesgut Airforce Hospital; Etimesgut Airforce Hospital; Etimesgut Airforce Hospital; Etimesgut Airforce Hospital</t>
  </si>
  <si>
    <t>The Power of Multimodality in Multimodal Large Language Models, Unimodal ChatGPT 5.0, and Human Clinical Experts on a Wound Care Certification Examination: Cross-Sectional Comparative Study</t>
  </si>
  <si>
    <t>multimodal large language models; wound care; artificial intelligence; clinical decision support; certification examination; ChatGPT; Med-PaLM 2</t>
  </si>
  <si>
    <t>CONSENSUS</t>
  </si>
  <si>
    <t>DOGAN, SULTAN SEDA/JVP-3703-2024</t>
  </si>
  <si>
    <t>e88618</t>
  </si>
  <si>
    <t>10.2196/88618</t>
  </si>
  <si>
    <t>http://dx.doi.org/10.2196/88618</t>
  </si>
  <si>
    <t>IG8HZ</t>
  </si>
  <si>
    <t>42044367</t>
  </si>
  <si>
    <t>WOS:001771353300001</t>
  </si>
  <si>
    <t>Kang, DH; Yuan, L; Feng, J; Grzybowski, A; Jin, K; Sun, W</t>
  </si>
  <si>
    <t>Objective: To compare the performance of GPT-4o, used here as a representative multimodal large language model (MLLM), against human fitters in orthokeratology (OK) lens fitting, with a focus on retrospective parameter-matching accuracy, efficiency and cost-effectiveness in initial lens parameter selection. Methods: A total of 70 OK lens fittings were analysed. GPT-4o and human fitters provided recommendations for trial lens parameters based on patient data. The recommendations were compared with the final fitting parameters to assess accuracy. Additionally, the fitting time and costs for each fitter were recorded. Statistical methods were applied to compare GPT-4o's performance with human fitters. Results: GPT-4o achieved 78% accuracy (196/250), comparable to human fitters (experienced ophthalmologist: 83%, optometrists: 85%, general ophthalmologists: 76%). It showed similar precision in key parameters like base curve (BC), reduction, diameter and cylinder power (CP). Interrater reliability between GPT-4o and human fitters ranged from slight to moderate (kappa = 0.18-0.60). GPT-4o was more efficient, taking only 11.60 s per case compared to an average of 85.35 s for humans, and reduced costs to $0.03 per case versus $0.33 for Chinese human fitters (p &lt; 0.001). Conclusion: In this single-model retrospective study, GPT-4o, evaluated as a representative MLLM, achieved parameter-matching accuracy broadly comparable to that of human fitters while substantially reducing processing time and costs. However, given the slight-to-moderate interrater reliability, retrospective design and absence of external validation, these findings should be interpreted as supporting a preliminary decision-support role rather than autonomous clinical implementation.</t>
  </si>
  <si>
    <t>Kang, Daohuan; Yuan, Lu; Feng, Jia; Grzybowski, Andrzej; Jin, Kai; Sun, Wen</t>
  </si>
  <si>
    <t>Sun, W (corresponding author), Zhejiang Univ, Childrens Hosp, Natl Clin Res Ctr Children &amp; Adolescents Hlth &amp; Di, Dept Ophthalmol,Sch Med, Hangzhou, Zhejiang, Peoples R China.; Jin, K (corresponding author), Zhejiang Univ, Affiliated Hosp 2, Sch Med, Eye Ctr, Hangzhou, Zhejiang, Peoples R China.</t>
  </si>
  <si>
    <t>jinkai@zju.edu.cn; drsunwen@zju.edu.cn</t>
  </si>
  <si>
    <t>National Natural Science Foundation of China [82201195]</t>
  </si>
  <si>
    <t>This work was financially supported by the Natural Science Foundation of China (grant number 82201195).</t>
  </si>
  <si>
    <t>[Kang, Daohuan; Yuan, Lu; Feng, Jia; Sun, Wen] Zhejiang Univ, Childrens Hosp, Natl Clin Res Ctr Children &amp; Adolescents Hlth &amp; Di, Dept Ophthalmol,Sch Med, Hangzhou, Zhejiang, Peoples R China; [Grzybowski, Andrzej] Fdn Ophthalmol Dev, Inst Res Ophthalmol, Poznan, Poland; [Grzybowski, Andrzej] Univ Warmia &amp; Mazury, Dept Ophthalmol, Olsztyn, Poland; [Jin, Kai] Zhejiang Univ, Affiliated Hosp 2, Sch Med, Eye Ctr, Hangzhou, Zhejiang, Peoples R China; [Jin, Kai] Zhejiang Prov Engn Inst Eye Dis, Zhejiang Prov Clin Res Ctr Eye Dis, Zhejiang Prov Key Lab Ophthalmol, Hangzhou, Zhejiang, Peoples R China</t>
  </si>
  <si>
    <t>Zhejiang University; University of Warmia &amp; Mazury; Zhejiang University</t>
  </si>
  <si>
    <t>Comparative analysis of GPT-4o as a representative multimodal large language model and human fitters in orthokeratology lens fitting: Assessing accuracy, efficiency and cost-effectiveness in initial lens parameter selection</t>
  </si>
  <si>
    <t>ACTA OPHTHALMOLOGICA</t>
  </si>
  <si>
    <t>artificial intelligence; ChatGPT; cost-effectiveness; multimodal large language models; myopia; orthokeratology lenses</t>
  </si>
  <si>
    <t>HIGH MYOPIA</t>
  </si>
  <si>
    <t>Grzybowski, A/E-4486-2010; Jin, Kai/GRS-2857-2022; feng, jia/GXV-7446-2022</t>
  </si>
  <si>
    <t>1755-375X</t>
  </si>
  <si>
    <t>1755-3768</t>
  </si>
  <si>
    <t>ACTA OPHTHALMOL</t>
  </si>
  <si>
    <t>Acta Ophthalmol.</t>
  </si>
  <si>
    <t>10.1111/aos.70185</t>
  </si>
  <si>
    <t>http://dx.doi.org/10.1111/aos.70185</t>
  </si>
  <si>
    <t>JW5PK</t>
  </si>
  <si>
    <t>42334140</t>
  </si>
  <si>
    <t>WOS:001799667900001</t>
  </si>
  <si>
    <t>Al-Dokhny, A; Alismaiel, O; Youssif, S; Nasr, N; Drwish, A; Samir, A</t>
  </si>
  <si>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t>
  </si>
  <si>
    <t>Al-Dokhny, Amany; Alismaiel, Omar; Youssif, Samia; Nasr, Nermeen; Drwish, Amr; Samir, Amira</t>
  </si>
  <si>
    <t>Al-Dokhny, A (corresponding author), King Faisal Univ, Coll Educ, Curriculum &amp; Instruct Dept, POB 400, Al Hasa 31982, Saudi Arabia.</t>
  </si>
  <si>
    <t>aeldokny@kfu.edu.sa; amira_samir@sedu.asu.edu.eg; dr.nermen.mohamed@sedu.asu.edu.eg; dr.samia.youssif@sedu.asu.edu.eg; adrwish@kfu.edu.sa; oalismaeel@kfu.edu.sa</t>
  </si>
  <si>
    <t>Deanship of Scientific Research at King Faisal University</t>
  </si>
  <si>
    <t>Deanship of Scientific Research at King Faisal University (King Khalid University, King Faisal University, King Saud University)</t>
  </si>
  <si>
    <t>The authors acknowledge the Deanship of Scientific Research at King Faisal University for its financial support under the grant number: KFU242591.</t>
  </si>
  <si>
    <t>[Al-Dokhny, Amany; Alismaiel, Omar; Drwish, Amr] King Faisal Univ, Coll Educ, Curriculum &amp; Instruct Dept, POB 400, Al Hasa 31982, Saudi Arabia; [Youssif, Samia; Nasr, Nermeen; Samir, Amira] Ain Shams Univ, Coll Specif Educ, Educ Technol Dept, Cairo 11566, Egypt</t>
  </si>
  <si>
    <t>King Faisal University; Egyptian Knowledge Bank (EKB); Ain Shams University</t>
  </si>
  <si>
    <t>Can Multimodal Large Language Models Enhance Performance Benefits Among Higher Education Students? An Investigation Based on the Task-Technology Fit Theory and the Artificial Intelligence Device Use Acceptance Model</t>
  </si>
  <si>
    <t>SUSTAINABILITY</t>
  </si>
  <si>
    <t>ChatGPT; technology acceptance model (TAM); Unified Theory of Use and Acceptance Technology (UTAUT); cognitive appraisal theory (CAT); generative artificial intelligence (GAI); task-technology fit theory (T-TF)</t>
  </si>
  <si>
    <t>INTRINSIC MOTIVATION; SAUDI-ARABIA; MEDICINE; DESIGN</t>
  </si>
  <si>
    <t>Drwish, Amr/LSJ-1166-2024; Al-Dokhny, Amany/AAU-3385-2020</t>
  </si>
  <si>
    <t>Drwish, .Dr Amr Mohammed mohammed Ahmed/0000-0002-3258-1327; Al-Dokhny, Amany/0000-0003-4037-0332</t>
  </si>
  <si>
    <t>110</t>
  </si>
  <si>
    <t>2071-1050</t>
  </si>
  <si>
    <t>SUSTAINABILITY-BASEL</t>
  </si>
  <si>
    <t>Sustainability</t>
  </si>
  <si>
    <t>10780</t>
  </si>
  <si>
    <t>10.3390/su162310780</t>
  </si>
  <si>
    <t>http://dx.doi.org/10.3390/su162310780</t>
  </si>
  <si>
    <t>Green &amp; Sustainable Science &amp; Technology; Environmental Sciences; Environmental Studies</t>
  </si>
  <si>
    <t>Science &amp; Technology - Other Topics; Environmental Sciences &amp; Ecology</t>
  </si>
  <si>
    <t>P4P9L</t>
  </si>
  <si>
    <t>WOS:001377758600001</t>
  </si>
</sst>
</file>

<file path=xl/styles.xml><?xml version="1.0" encoding="utf-8"?>
<styleSheet xmlns="http://schemas.openxmlformats.org/spreadsheetml/2006/main">
  <numFmts count="0"/>
  <fonts count="659">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65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09%2FMCE.2024.3522521" TargetMode="External" Type="http://schemas.openxmlformats.org/officeDocument/2006/relationships/hyperlink"/><Relationship Id="rId10" Target="https%3A%2F%2Fwww.webofscience.com%2Fwos%2Fwoscc%2Ffull-record%2FWOS%3A001687411500043" TargetMode="External" Type="http://schemas.openxmlformats.org/officeDocument/2006/relationships/hyperlink"/><Relationship Id="rId100" Target="https%3A%2F%2Fwww.webofscience.com%2Fwos%2Fwoscc%2Ffull-record%2FWOS%3A001575428900001" TargetMode="External" Type="http://schemas.openxmlformats.org/officeDocument/2006/relationships/hyperlink"/><Relationship Id="rId101" Target="http%3A%2F%2Fdx.doi.org%2F10.1007%2Fs10278-024-01051-8" TargetMode="External" Type="http://schemas.openxmlformats.org/officeDocument/2006/relationships/hyperlink"/><Relationship Id="rId102" Target="https%3A%2F%2Fwww.webofscience.com%2Fwos%2Fwoscc%2Ffull-record%2FWOS%3A001193751700001" TargetMode="External" Type="http://schemas.openxmlformats.org/officeDocument/2006/relationships/hyperlink"/><Relationship Id="rId103" Target="http%3A%2F%2Fdx.doi.org%2F10.1038%2Fs41591-024-03302-1" TargetMode="External" Type="http://schemas.openxmlformats.org/officeDocument/2006/relationships/hyperlink"/><Relationship Id="rId104" Target="https%3A%2F%2Fwww.webofscience.com%2Fwos%2Fwoscc%2Ffull-record%2FWOS%3A001349843300001" TargetMode="External" Type="http://schemas.openxmlformats.org/officeDocument/2006/relationships/hyperlink"/><Relationship Id="rId105" Target="http%3A%2F%2Fdx.doi.org%2F10.1109%2FTIP.2026.3671665" TargetMode="External" Type="http://schemas.openxmlformats.org/officeDocument/2006/relationships/hyperlink"/><Relationship Id="rId106" Target="https%3A%2F%2Fwww.webofscience.com%2Fwos%2Fwoscc%2Ffull-record%2FWOS%3A001719543800007" TargetMode="External" Type="http://schemas.openxmlformats.org/officeDocument/2006/relationships/hyperlink"/><Relationship Id="rId107" Target="http%3A%2F%2Fdx.doi.org%2F10.1016%2Fj.atech.2026.102006" TargetMode="External" Type="http://schemas.openxmlformats.org/officeDocument/2006/relationships/hyperlink"/><Relationship Id="rId108" Target="https%3A%2F%2Fwww.webofscience.com%2Fwos%2Fwoscc%2Ffull-record%2FWOS%3A001722376500001" TargetMode="External" Type="http://schemas.openxmlformats.org/officeDocument/2006/relationships/hyperlink"/><Relationship Id="rId109" Target="http%3A%2F%2Fdx.doi.org%2F10.3390%2Fs24186109" TargetMode="External" Type="http://schemas.openxmlformats.org/officeDocument/2006/relationships/hyperlink"/><Relationship Id="rId11" Target="http%3A%2F%2Fdx.doi.org%2F10.1109%2FTPAMI.2026.3682684" TargetMode="External" Type="http://schemas.openxmlformats.org/officeDocument/2006/relationships/hyperlink"/><Relationship Id="rId110" Target="https%3A%2F%2Fwww.webofscience.com%2Fwos%2Fwoscc%2Ffull-record%2FWOS%3A001323785900001" TargetMode="External" Type="http://schemas.openxmlformats.org/officeDocument/2006/relationships/hyperlink"/><Relationship Id="rId111" Target="http%3A%2F%2Fdx.doi.org%2F10.1038%2Fs41551-025-01574-7" TargetMode="External" Type="http://schemas.openxmlformats.org/officeDocument/2006/relationships/hyperlink"/><Relationship Id="rId112" Target="https%3A%2F%2Fwww.webofscience.com%2Fwos%2Fwoscc%2Ffull-record%2FWOS%3A001654887200001" TargetMode="External" Type="http://schemas.openxmlformats.org/officeDocument/2006/relationships/hyperlink"/><Relationship Id="rId113" Target="http%3A%2F%2Fdx.doi.org%2F10.1016%2Fj.patrec.2025.01.001" TargetMode="External" Type="http://schemas.openxmlformats.org/officeDocument/2006/relationships/hyperlink"/><Relationship Id="rId114" Target="https%3A%2F%2Fwww.webofscience.com%2Fwos%2Fwoscc%2Ffull-record%2FWOS%3A001419833100001" TargetMode="External" Type="http://schemas.openxmlformats.org/officeDocument/2006/relationships/hyperlink"/><Relationship Id="rId115" Target="http%3A%2F%2Fdx.doi.org%2F10.1016%2Fj.bspc.2026.111142" TargetMode="External" Type="http://schemas.openxmlformats.org/officeDocument/2006/relationships/hyperlink"/><Relationship Id="rId116" Target="https%3A%2F%2Fwww.webofscience.com%2Fwos%2Fwoscc%2Ffull-record%2FWOS%3A001838225000001" TargetMode="External" Type="http://schemas.openxmlformats.org/officeDocument/2006/relationships/hyperlink"/><Relationship Id="rId117" Target="http%3A%2F%2Fdx.doi.org%2F10.1038%2Fs41467-024-55631-x" TargetMode="External" Type="http://schemas.openxmlformats.org/officeDocument/2006/relationships/hyperlink"/><Relationship Id="rId118" Target="https%3A%2F%2Fwww.webofscience.com%2Fwos%2Fwoscc%2Ffull-record%2FWOS%3A001410505900006" TargetMode="External" Type="http://schemas.openxmlformats.org/officeDocument/2006/relationships/hyperlink"/><Relationship Id="rId119" Target="http%3A%2F%2Fdx.doi.org%2F10.1038%2Fs41467-026-74120-x" TargetMode="External" Type="http://schemas.openxmlformats.org/officeDocument/2006/relationships/hyperlink"/><Relationship Id="rId12" Target="https%3A%2F%2Fwww.webofscience.com%2Fwos%2Fwoscc%2Ffull-record%2FWOS%3A001815354400002" TargetMode="External" Type="http://schemas.openxmlformats.org/officeDocument/2006/relationships/hyperlink"/><Relationship Id="rId120" Target="https%3A%2F%2Fwww.webofscience.com%2Fwos%2Fwoscc%2Ffull-record%2FWOS%3A001831119100015" TargetMode="External" Type="http://schemas.openxmlformats.org/officeDocument/2006/relationships/hyperlink"/><Relationship Id="rId121" Target="http%3A%2F%2Fdx.doi.org%2F10.1016%2Fj.compmedimag.2026.102765" TargetMode="External" Type="http://schemas.openxmlformats.org/officeDocument/2006/relationships/hyperlink"/><Relationship Id="rId122" Target="https%3A%2F%2Fwww.webofscience.com%2Fwos%2Fwoscc%2Ffull-record%2FWOS%3A001759940300001" TargetMode="External" Type="http://schemas.openxmlformats.org/officeDocument/2006/relationships/hyperlink"/><Relationship Id="rId123" Target="http%3A%2F%2Fdx.doi.org%2F10.1038%2Fs41746-025-02108-w" TargetMode="External" Type="http://schemas.openxmlformats.org/officeDocument/2006/relationships/hyperlink"/><Relationship Id="rId124" Target="https%3A%2F%2Fwww.webofscience.com%2Fwos%2Fwoscc%2Ffull-record%2FWOS%3A001627546500001" TargetMode="External" Type="http://schemas.openxmlformats.org/officeDocument/2006/relationships/hyperlink"/><Relationship Id="rId125" Target="http%3A%2F%2Fdx.doi.org%2F10.1016%2Fj.jbi.2025.104947" TargetMode="External" Type="http://schemas.openxmlformats.org/officeDocument/2006/relationships/hyperlink"/><Relationship Id="rId126" Target="https%3A%2F%2Fwww.webofscience.com%2Fwos%2Fwoscc%2Ffull-record%2FWOS%3A001723350100001" TargetMode="External" Type="http://schemas.openxmlformats.org/officeDocument/2006/relationships/hyperlink"/><Relationship Id="rId127" Target="http%3A%2F%2Fdx.doi.org%2F10.1145%2F3744910" TargetMode="External" Type="http://schemas.openxmlformats.org/officeDocument/2006/relationships/hyperlink"/><Relationship Id="rId128" Target="https%3A%2F%2Fwww.webofscience.com%2Fwos%2Fwoscc%2Ffull-record%2FWOS%3A001615467400001" TargetMode="External" Type="http://schemas.openxmlformats.org/officeDocument/2006/relationships/hyperlink"/><Relationship Id="rId129" Target="http%3A%2F%2Fdx.doi.org%2F10.1038%2Fs41598-026-48102-4" TargetMode="External" Type="http://schemas.openxmlformats.org/officeDocument/2006/relationships/hyperlink"/><Relationship Id="rId13" Target="http%3A%2F%2Fdx.doi.org%2F10.1016%2Fj.neucom.2026.133008" TargetMode="External" Type="http://schemas.openxmlformats.org/officeDocument/2006/relationships/hyperlink"/><Relationship Id="rId130" Target="https%3A%2F%2Fwww.webofscience.com%2Fwos%2Fwoscc%2Ffull-record%2FWOS%3A001788060200020" TargetMode="External" Type="http://schemas.openxmlformats.org/officeDocument/2006/relationships/hyperlink"/><Relationship Id="rId131" Target="http%3A%2F%2Fdx.doi.org%2F10.1007%2Fs11280-024-01315-x" TargetMode="External" Type="http://schemas.openxmlformats.org/officeDocument/2006/relationships/hyperlink"/><Relationship Id="rId132" Target="https%3A%2F%2Fwww.webofscience.com%2Fwos%2Fwoscc%2Ffull-record%2FWOS%3A001371555600001" TargetMode="External" Type="http://schemas.openxmlformats.org/officeDocument/2006/relationships/hyperlink"/><Relationship Id="rId133" Target="http%3A%2F%2Fdx.doi.org%2F10.1016%2Fj.displa.2025.103282" TargetMode="External" Type="http://schemas.openxmlformats.org/officeDocument/2006/relationships/hyperlink"/><Relationship Id="rId134" Target="https%3A%2F%2Fwww.webofscience.com%2Fwos%2Fwoscc%2Ffull-record%2FWOS%3A001618646500001" TargetMode="External" Type="http://schemas.openxmlformats.org/officeDocument/2006/relationships/hyperlink"/><Relationship Id="rId135" Target="http%3A%2F%2Fdx.doi.org%2F10.3390%2Fjcm13237092" TargetMode="External" Type="http://schemas.openxmlformats.org/officeDocument/2006/relationships/hyperlink"/><Relationship Id="rId136" Target="https%3A%2F%2Fwww.webofscience.com%2Fwos%2Fwoscc%2Ffull-record%2FWOS%3A001376572000001" TargetMode="External" Type="http://schemas.openxmlformats.org/officeDocument/2006/relationships/hyperlink"/><Relationship Id="rId137" Target="http%3A%2F%2Fdx.doi.org%2F10.3390%2Fmti10020016" TargetMode="External" Type="http://schemas.openxmlformats.org/officeDocument/2006/relationships/hyperlink"/><Relationship Id="rId138" Target="https%3A%2F%2Fwww.webofscience.com%2Fwos%2Fwoscc%2Ffull-record%2FWOS%3A001700723900001" TargetMode="External" Type="http://schemas.openxmlformats.org/officeDocument/2006/relationships/hyperlink"/><Relationship Id="rId139" Target="http%3A%2F%2Fdx.doi.org%2F10.1109%2FTMI.2025.3622492" TargetMode="External" Type="http://schemas.openxmlformats.org/officeDocument/2006/relationships/hyperlink"/><Relationship Id="rId14" Target="https%3A%2F%2Fwww.webofscience.com%2Fwos%2Fwoscc%2Ffull-record%2FWOS%3A001699039900001" TargetMode="External" Type="http://schemas.openxmlformats.org/officeDocument/2006/relationships/hyperlink"/><Relationship Id="rId140" Target="https%3A%2F%2Fwww.webofscience.com%2Fwos%2Fwoscc%2Ffull-record%2FWOS%3A001733307400016" TargetMode="External" Type="http://schemas.openxmlformats.org/officeDocument/2006/relationships/hyperlink"/><Relationship Id="rId141" Target="http%3A%2F%2Fdx.doi.org%2F10.1016%2Fj.csl.2026.101991" TargetMode="External" Type="http://schemas.openxmlformats.org/officeDocument/2006/relationships/hyperlink"/><Relationship Id="rId142" Target="https%3A%2F%2Fwww.webofscience.com%2Fwos%2Fwoscc%2Ffull-record%2FWOS%3A001750244600001" TargetMode="External" Type="http://schemas.openxmlformats.org/officeDocument/2006/relationships/hyperlink"/><Relationship Id="rId143" Target="http%3A%2F%2Fdx.doi.org%2F10.1109%2FTASE.2026.3671848" TargetMode="External" Type="http://schemas.openxmlformats.org/officeDocument/2006/relationships/hyperlink"/><Relationship Id="rId144" Target="https%3A%2F%2Fwww.webofscience.com%2Fwos%2Fwoscc%2Ffull-record%2FWOS%3A001717538400011" TargetMode="External" Type="http://schemas.openxmlformats.org/officeDocument/2006/relationships/hyperlink"/><Relationship Id="rId145" Target="http%3A%2F%2Fdx.doi.org%2F10.1186%2Fs12884-026-09073-6" TargetMode="External" Type="http://schemas.openxmlformats.org/officeDocument/2006/relationships/hyperlink"/><Relationship Id="rId146" Target="https%3A%2F%2Fwww.webofscience.com%2Fwos%2Fwoscc%2Ffull-record%2FWOS%3A001784543800005" TargetMode="External" Type="http://schemas.openxmlformats.org/officeDocument/2006/relationships/hyperlink"/><Relationship Id="rId147" Target="http%3A%2F%2Fdx.doi.org%2F10.1186%2Fs12880-025-01885-w" TargetMode="External" Type="http://schemas.openxmlformats.org/officeDocument/2006/relationships/hyperlink"/><Relationship Id="rId148" Target="https%3A%2F%2Fwww.webofscience.com%2Fwos%2Fwoscc%2Ffull-record%2FWOS%3A001558507000001" TargetMode="External" Type="http://schemas.openxmlformats.org/officeDocument/2006/relationships/hyperlink"/><Relationship Id="rId149" Target="http%3A%2F%2Fdx.doi.org%2F10.1145%2F3770714" TargetMode="External" Type="http://schemas.openxmlformats.org/officeDocument/2006/relationships/hyperlink"/><Relationship Id="rId15" Target="http%3A%2F%2Fdx.doi.org%2F10.1109%2FACCESS.2026.3716267" TargetMode="External" Type="http://schemas.openxmlformats.org/officeDocument/2006/relationships/hyperlink"/><Relationship Id="rId150" Target="https%3A%2F%2Fwww.webofscience.com%2Fwos%2Fwoscc%2Ffull-record%2FWOS%3A001650435600001" TargetMode="External" Type="http://schemas.openxmlformats.org/officeDocument/2006/relationships/hyperlink"/><Relationship Id="rId151" Target="http%3A%2F%2Fdx.doi.org%2F10.1016%2Fj.patcog.2026.114283" TargetMode="External" Type="http://schemas.openxmlformats.org/officeDocument/2006/relationships/hyperlink"/><Relationship Id="rId152" Target="https%3A%2F%2Fwww.webofscience.com%2Fwos%2Fwoscc%2Ffull-record%2FWOS%3A001810218800001" TargetMode="External" Type="http://schemas.openxmlformats.org/officeDocument/2006/relationships/hyperlink"/><Relationship Id="rId153" Target="http%3A%2F%2Fdx.doi.org%2F10.1016%2Fj.isprsjprs.2025.06.019" TargetMode="External" Type="http://schemas.openxmlformats.org/officeDocument/2006/relationships/hyperlink"/><Relationship Id="rId154" Target="https%3A%2F%2Fwww.webofscience.com%2Fwos%2Fwoscc%2Ffull-record%2FWOS%3A001541052000002" TargetMode="External" Type="http://schemas.openxmlformats.org/officeDocument/2006/relationships/hyperlink"/><Relationship Id="rId155" Target="http%3A%2F%2Fdx.doi.org%2F10.3390%2Fbioengineering12121330" TargetMode="External" Type="http://schemas.openxmlformats.org/officeDocument/2006/relationships/hyperlink"/><Relationship Id="rId156" Target="https%3A%2F%2Fwww.webofscience.com%2Fwos%2Fwoscc%2Ffull-record%2FWOS%3A001646886000001" TargetMode="External" Type="http://schemas.openxmlformats.org/officeDocument/2006/relationships/hyperlink"/><Relationship Id="rId157" Target="http%3A%2F%2Fdx.doi.org%2F10.1007%2Fs13534-025-00535-y" TargetMode="External" Type="http://schemas.openxmlformats.org/officeDocument/2006/relationships/hyperlink"/><Relationship Id="rId158" Target="https%3A%2F%2Fwww.webofscience.com%2Fwos%2Fwoscc%2Ffull-record%2FWOS%3A001622418000001" TargetMode="External" Type="http://schemas.openxmlformats.org/officeDocument/2006/relationships/hyperlink"/><Relationship Id="rId159" Target="http%3A%2F%2Fdx.doi.org%2F10.1016%2Fj.applanim.2026.106969" TargetMode="External" Type="http://schemas.openxmlformats.org/officeDocument/2006/relationships/hyperlink"/><Relationship Id="rId16" Target="https%3A%2F%2Fwww.webofscience.com%2Fwos%2Fwoscc%2Ffull-record%2FWOS%3A001841864300010" TargetMode="External" Type="http://schemas.openxmlformats.org/officeDocument/2006/relationships/hyperlink"/><Relationship Id="rId160" Target="https%3A%2F%2Fwww.webofscience.com%2Fwos%2Fwoscc%2Ffull-record%2FWOS%3A001718251200001" TargetMode="External" Type="http://schemas.openxmlformats.org/officeDocument/2006/relationships/hyperlink"/><Relationship Id="rId161" Target="http%3A%2F%2Fdx.doi.org%2F10.1109%2FACCESS.2025.3552613" TargetMode="External" Type="http://schemas.openxmlformats.org/officeDocument/2006/relationships/hyperlink"/><Relationship Id="rId162" Target="https%3A%2F%2Fwww.webofscience.com%2Fwos%2Fwoscc%2Ffull-record%2FWOS%3A001453644600044" TargetMode="External" Type="http://schemas.openxmlformats.org/officeDocument/2006/relationships/hyperlink"/><Relationship Id="rId163" Target="http%3A%2F%2Fdx.doi.org%2F10.1016%2Fj.ebiom.2025.106060" TargetMode="External" Type="http://schemas.openxmlformats.org/officeDocument/2006/relationships/hyperlink"/><Relationship Id="rId164" Target="https%3A%2F%2Fwww.webofscience.com%2Fwos%2Fwoscc%2Ffull-record%2FWOS%3A001636287700001" TargetMode="External" Type="http://schemas.openxmlformats.org/officeDocument/2006/relationships/hyperlink"/><Relationship Id="rId165" Target="http%3A%2F%2Fdx.doi.org%2F10.1007%2Fs10462-025-11190-1" TargetMode="External" Type="http://schemas.openxmlformats.org/officeDocument/2006/relationships/hyperlink"/><Relationship Id="rId166" Target="https%3A%2F%2Fwww.webofscience.com%2Fwos%2Fwoscc%2Ffull-record%2FWOS%3A001455847800001" TargetMode="External" Type="http://schemas.openxmlformats.org/officeDocument/2006/relationships/hyperlink"/><Relationship Id="rId167" Target="http%3A%2F%2Fdx.doi.org%2F10.1038%2Fs41551-026-01713-8" TargetMode="External" Type="http://schemas.openxmlformats.org/officeDocument/2006/relationships/hyperlink"/><Relationship Id="rId168" Target="https%3A%2F%2Fwww.webofscience.com%2Fwos%2Fwoscc%2Ffull-record%2FWOS%3A001804123300001" TargetMode="External" Type="http://schemas.openxmlformats.org/officeDocument/2006/relationships/hyperlink"/><Relationship Id="rId169" Target="http%3A%2F%2Fdx.doi.org%2F10.1007%2Fs44443-026-00507-x" TargetMode="External" Type="http://schemas.openxmlformats.org/officeDocument/2006/relationships/hyperlink"/><Relationship Id="rId17" Target="http%3A%2F%2Fdx.doi.org%2F10.1016%2Fj.jbi.2026.105014" TargetMode="External" Type="http://schemas.openxmlformats.org/officeDocument/2006/relationships/hyperlink"/><Relationship Id="rId170" Target="https%3A%2F%2Fwww.webofscience.com%2Fwos%2Fwoscc%2Ffull-record%2FWOS%3A001735579500001" TargetMode="External" Type="http://schemas.openxmlformats.org/officeDocument/2006/relationships/hyperlink"/><Relationship Id="rId171" Target="http%3A%2F%2Fdx.doi.org%2F10.1016%2Fj.engappai.2025.112181" TargetMode="External" Type="http://schemas.openxmlformats.org/officeDocument/2006/relationships/hyperlink"/><Relationship Id="rId172" Target="https%3A%2F%2Fwww.webofscience.com%2Fwos%2Fwoscc%2Ffull-record%2FWOS%3A001569067600001" TargetMode="External" Type="http://schemas.openxmlformats.org/officeDocument/2006/relationships/hyperlink"/><Relationship Id="rId173" Target="http%3A%2F%2Fdx.doi.org%2F10.1007%2Fs11263-025-02409-3" TargetMode="External" Type="http://schemas.openxmlformats.org/officeDocument/2006/relationships/hyperlink"/><Relationship Id="rId174" Target="https%3A%2F%2Fwww.webofscience.com%2Fwos%2Fwoscc%2Ffull-record%2FWOS%3A001446152100001" TargetMode="External" Type="http://schemas.openxmlformats.org/officeDocument/2006/relationships/hyperlink"/><Relationship Id="rId175" Target="http%3A%2F%2Fdx.doi.org%2F10.3390%2Fai6120327" TargetMode="External" Type="http://schemas.openxmlformats.org/officeDocument/2006/relationships/hyperlink"/><Relationship Id="rId176" Target="https%3A%2F%2Fwww.webofscience.com%2Fwos%2Fwoscc%2Ffull-record%2FWOS%3A001648069600001" TargetMode="External" Type="http://schemas.openxmlformats.org/officeDocument/2006/relationships/hyperlink"/><Relationship Id="rId177" Target="http%3A%2F%2Fdx.doi.org%2F10.1007%2Fs10278-025-01820-z" TargetMode="External" Type="http://schemas.openxmlformats.org/officeDocument/2006/relationships/hyperlink"/><Relationship Id="rId178" Target="https%3A%2F%2Fwww.webofscience.com%2Fwos%2Fwoscc%2Ffull-record%2FWOS%3A001667909100001" TargetMode="External" Type="http://schemas.openxmlformats.org/officeDocument/2006/relationships/hyperlink"/><Relationship Id="rId179" Target="http%3A%2F%2Fdx.doi.org%2F10.1111%2Fexsy.70039" TargetMode="External" Type="http://schemas.openxmlformats.org/officeDocument/2006/relationships/hyperlink"/><Relationship Id="rId18" Target="https%3A%2F%2Fwww.webofscience.com%2Fwos%2Fwoscc%2Ffull-record%2FWOS%3A001733006200001" TargetMode="External" Type="http://schemas.openxmlformats.org/officeDocument/2006/relationships/hyperlink"/><Relationship Id="rId180" Target="https%3A%2F%2Fwww.webofscience.com%2Fwos%2Fwoscc%2Ffull-record%2FWOS%3A001449699200001" TargetMode="External" Type="http://schemas.openxmlformats.org/officeDocument/2006/relationships/hyperlink"/><Relationship Id="rId181" Target="http%3A%2F%2Fdx.doi.org%2F10.1002%2Faisy.202500255" TargetMode="External" Type="http://schemas.openxmlformats.org/officeDocument/2006/relationships/hyperlink"/><Relationship Id="rId182" Target="https%3A%2F%2Fwww.webofscience.com%2Fwos%2Fwoscc%2Ffull-record%2FWOS%3A001531939500001" TargetMode="External" Type="http://schemas.openxmlformats.org/officeDocument/2006/relationships/hyperlink"/><Relationship Id="rId183" Target="http%3A%2F%2Fdx.doi.org%2F10.1007%2Fs40123-026-01352-x" TargetMode="External" Type="http://schemas.openxmlformats.org/officeDocument/2006/relationships/hyperlink"/><Relationship Id="rId184" Target="https%3A%2F%2Fwww.webofscience.com%2Fwos%2Fwoscc%2Ffull-record%2FWOS%3A001714211400001" TargetMode="External" Type="http://schemas.openxmlformats.org/officeDocument/2006/relationships/hyperlink"/><Relationship Id="rId185" Target="http%3A%2F%2Fdx.doi.org%2F10.1080%2F24725579.2026.2703103" TargetMode="External" Type="http://schemas.openxmlformats.org/officeDocument/2006/relationships/hyperlink"/><Relationship Id="rId186" Target="https%3A%2F%2Fwww.webofscience.com%2Fwos%2Fwoscc%2Ffull-record%2FWOS%3A001822940400001" TargetMode="External" Type="http://schemas.openxmlformats.org/officeDocument/2006/relationships/hyperlink"/><Relationship Id="rId187" Target="http%3A%2F%2Fdx.doi.org%2F10.1007%2Fs10278-026-01879-2" TargetMode="External" Type="http://schemas.openxmlformats.org/officeDocument/2006/relationships/hyperlink"/><Relationship Id="rId188" Target="https%3A%2F%2Fwww.webofscience.com%2Fwos%2Fwoscc%2Ffull-record%2FWOS%3A001739847400001" TargetMode="External" Type="http://schemas.openxmlformats.org/officeDocument/2006/relationships/hyperlink"/><Relationship Id="rId189" Target="http%3A%2F%2Fdx.doi.org%2F10.1007%2Fs00247-026-06687-y" TargetMode="External" Type="http://schemas.openxmlformats.org/officeDocument/2006/relationships/hyperlink"/><Relationship Id="rId19" Target="http%3A%2F%2Fdx.doi.org%2F10.1097%2FICU.0000000000001089" TargetMode="External" Type="http://schemas.openxmlformats.org/officeDocument/2006/relationships/hyperlink"/><Relationship Id="rId190" Target="https%3A%2F%2Fwww.webofscience.com%2Fwos%2Fwoscc%2Ffull-record%2FWOS%3A001786880600001" TargetMode="External" Type="http://schemas.openxmlformats.org/officeDocument/2006/relationships/hyperlink"/><Relationship Id="rId191" Target="http%3A%2F%2Fdx.doi.org%2F10.2196%2F32690" TargetMode="External" Type="http://schemas.openxmlformats.org/officeDocument/2006/relationships/hyperlink"/><Relationship Id="rId192" Target="https%3A%2F%2Fwww.webofscience.com%2Fwos%2Fwoscc%2Ffull-record%2FWOS%3A001165148700001" TargetMode="External" Type="http://schemas.openxmlformats.org/officeDocument/2006/relationships/hyperlink"/><Relationship Id="rId193" Target="http%3A%2F%2Fdx.doi.org%2F10.1038%2Fs41467-026-74865-5" TargetMode="External" Type="http://schemas.openxmlformats.org/officeDocument/2006/relationships/hyperlink"/><Relationship Id="rId194" Target="https%3A%2F%2Fwww.webofscience.com%2Fwos%2Fwoscc%2Ffull-record%2FWOS%3A001850159700001" TargetMode="External" Type="http://schemas.openxmlformats.org/officeDocument/2006/relationships/hyperlink"/><Relationship Id="rId195" Target="http%3A%2F%2Fdx.doi.org%2F10.1038%2Fs41524-026-02069-y" TargetMode="External" Type="http://schemas.openxmlformats.org/officeDocument/2006/relationships/hyperlink"/><Relationship Id="rId196" Target="https%3A%2F%2Fwww.webofscience.com%2Fwos%2Fwoscc%2Ffull-record%2FWOS%3A001799472700002" TargetMode="External" Type="http://schemas.openxmlformats.org/officeDocument/2006/relationships/hyperlink"/><Relationship Id="rId197" Target="http%3A%2F%2Fdx.doi.org%2F10.1109%2FACCESS.2026.3687477" TargetMode="External" Type="http://schemas.openxmlformats.org/officeDocument/2006/relationships/hyperlink"/><Relationship Id="rId198" Target="https%3A%2F%2Fwww.webofscience.com%2Fwos%2Fwoscc%2Ffull-record%2FWOS%3A001767284900027" TargetMode="External" Type="http://schemas.openxmlformats.org/officeDocument/2006/relationships/hyperlink"/><Relationship Id="rId199" Target="http%3A%2F%2Fdx.doi.org%2F10.1109%2FTMM.2025.3543109" TargetMode="External" Type="http://schemas.openxmlformats.org/officeDocument/2006/relationships/hyperlink"/><Relationship Id="rId2" Target="https%3A%2F%2Fwww.webofscience.com%2Fwos%2Fwoscc%2Ffull-record%2FWOS%3A001572867900004" TargetMode="External" Type="http://schemas.openxmlformats.org/officeDocument/2006/relationships/hyperlink"/><Relationship Id="rId20" Target="https%3A%2F%2Fwww.webofscience.com%2Fwos%2Fwoscc%2Ffull-record%2FWOS%3A001322587400006" TargetMode="External" Type="http://schemas.openxmlformats.org/officeDocument/2006/relationships/hyperlink"/><Relationship Id="rId200" Target="https%3A%2F%2Fwww.webofscience.com%2Fwos%2Fwoscc%2Ffull-record%2FWOS%3A001560412200011" TargetMode="External" Type="http://schemas.openxmlformats.org/officeDocument/2006/relationships/hyperlink"/><Relationship Id="rId201" Target="http%3A%2F%2Fdx.doi.org%2F10.1038%2Fs41746-025-02174-0" TargetMode="External" Type="http://schemas.openxmlformats.org/officeDocument/2006/relationships/hyperlink"/><Relationship Id="rId202" Target="https%3A%2F%2Fwww.webofscience.com%2Fwos%2Fwoscc%2Ffull-record%2FWOS%3A001651144600001" TargetMode="External" Type="http://schemas.openxmlformats.org/officeDocument/2006/relationships/hyperlink"/><Relationship Id="rId203" Target="http%3A%2F%2Fdx.doi.org%2F10.1038%2Fs41598-025-29566-2" TargetMode="External" Type="http://schemas.openxmlformats.org/officeDocument/2006/relationships/hyperlink"/><Relationship Id="rId204" Target="https%3A%2F%2Fwww.webofscience.com%2Fwos%2Fwoscc%2Ffull-record%2FWOS%3A001651226700010" TargetMode="External" Type="http://schemas.openxmlformats.org/officeDocument/2006/relationships/hyperlink"/><Relationship Id="rId205" Target="http%3A%2F%2Fdx.doi.org%2F10.1016%2Fj.neunet.2026.109438" TargetMode="External" Type="http://schemas.openxmlformats.org/officeDocument/2006/relationships/hyperlink"/><Relationship Id="rId206" Target="https%3A%2F%2Fwww.webofscience.com%2Fwos%2Fwoscc%2Ffull-record%2FWOS%3A001847452200001" TargetMode="External" Type="http://schemas.openxmlformats.org/officeDocument/2006/relationships/hyperlink"/><Relationship Id="rId207" Target="http%3A%2F%2Fdx.doi.org%2F10.1038%2Fs41746-025-02044-9" TargetMode="External" Type="http://schemas.openxmlformats.org/officeDocument/2006/relationships/hyperlink"/><Relationship Id="rId208" Target="https%3A%2F%2Fwww.webofscience.com%2Fwos%2Fwoscc%2Ffull-record%2FWOS%3A001620479800004" TargetMode="External" Type="http://schemas.openxmlformats.org/officeDocument/2006/relationships/hyperlink"/><Relationship Id="rId209" Target="http%3A%2F%2Fdx.doi.org%2F10.1109%2FTMI.2025.3595111" TargetMode="External" Type="http://schemas.openxmlformats.org/officeDocument/2006/relationships/hyperlink"/><Relationship Id="rId21" Target="http%3A%2F%2Fdx.doi.org%2F10.3390%2Fbioengineering10030380" TargetMode="External" Type="http://schemas.openxmlformats.org/officeDocument/2006/relationships/hyperlink"/><Relationship Id="rId210" Target="https%3A%2F%2Fwww.webofscience.com%2Fwos%2Fwoscc%2Ffull-record%2FWOS%3A001606201000012" TargetMode="External" Type="http://schemas.openxmlformats.org/officeDocument/2006/relationships/hyperlink"/><Relationship Id="rId211" Target="http%3A%2F%2Fdx.doi.org%2F10.1038%2Fs41467-025-60577-9" TargetMode="External" Type="http://schemas.openxmlformats.org/officeDocument/2006/relationships/hyperlink"/><Relationship Id="rId212" Target="https%3A%2F%2Fwww.webofscience.com%2Fwos%2Fwoscc%2Ffull-record%2FWOS%3A001523450300007" TargetMode="External" Type="http://schemas.openxmlformats.org/officeDocument/2006/relationships/hyperlink"/><Relationship Id="rId213" Target="http%3A%2F%2Fdx.doi.org%2F10.1016%2Fj.eswa.2025.130196" TargetMode="External" Type="http://schemas.openxmlformats.org/officeDocument/2006/relationships/hyperlink"/><Relationship Id="rId214" Target="https%3A%2F%2Fwww.webofscience.com%2Fwos%2Fwoscc%2Ffull-record%2FWOS%3A001619158900006" TargetMode="External" Type="http://schemas.openxmlformats.org/officeDocument/2006/relationships/hyperlink"/><Relationship Id="rId215" Target="http%3A%2F%2Fdx.doi.org%2F10.24425%2Fbpasts.2025.153838" TargetMode="External" Type="http://schemas.openxmlformats.org/officeDocument/2006/relationships/hyperlink"/><Relationship Id="rId216" Target="https%3A%2F%2Fwww.webofscience.com%2Fwos%2Fwoscc%2Ffull-record%2FWOS%3A001515607500020" TargetMode="External" Type="http://schemas.openxmlformats.org/officeDocument/2006/relationships/hyperlink"/><Relationship Id="rId217" Target="http%3A%2F%2Fdx.doi.org%2F10.1109%2FJSEN.2025.3617772" TargetMode="External" Type="http://schemas.openxmlformats.org/officeDocument/2006/relationships/hyperlink"/><Relationship Id="rId218" Target="https%3A%2F%2Fwww.webofscience.com%2Fwos%2Fwoscc%2Ffull-record%2FWOS%3A001631273800019" TargetMode="External" Type="http://schemas.openxmlformats.org/officeDocument/2006/relationships/hyperlink"/><Relationship Id="rId219" Target="http%3A%2F%2Fdx.doi.org%2F10.3390%2Fapp16136425" TargetMode="External" Type="http://schemas.openxmlformats.org/officeDocument/2006/relationships/hyperlink"/><Relationship Id="rId22" Target="https%3A%2F%2Fwww.webofscience.com%2Fwos%2Fwoscc%2Ffull-record%2FWOS%3A000957344100001" TargetMode="External" Type="http://schemas.openxmlformats.org/officeDocument/2006/relationships/hyperlink"/><Relationship Id="rId220" Target="https%3A%2F%2Fwww.webofscience.com%2Fwos%2Fwoscc%2Ffull-record%2FWOS%3A001818860300001" TargetMode="External" Type="http://schemas.openxmlformats.org/officeDocument/2006/relationships/hyperlink"/><Relationship Id="rId221" Target="http%3A%2F%2Fdx.doi.org%2F10.1109%2FJBHI.2024.3507638" TargetMode="External" Type="http://schemas.openxmlformats.org/officeDocument/2006/relationships/hyperlink"/><Relationship Id="rId222" Target="https%3A%2F%2Fwww.webofscience.com%2Fwos%2Fwoscc%2Ffull-record%2FWOS%3A001483871500043" TargetMode="External" Type="http://schemas.openxmlformats.org/officeDocument/2006/relationships/hyperlink"/><Relationship Id="rId223" Target="http%3A%2F%2Fdx.doi.org%2F10.1109%2FTMI.2026.3661001" TargetMode="External" Type="http://schemas.openxmlformats.org/officeDocument/2006/relationships/hyperlink"/><Relationship Id="rId224" Target="https%3A%2F%2Fwww.webofscience.com%2Fwos%2Fwoscc%2Ffull-record%2FWOS%3A001783694800001" TargetMode="External" Type="http://schemas.openxmlformats.org/officeDocument/2006/relationships/hyperlink"/><Relationship Id="rId225" Target="http%3A%2F%2Fdx.doi.org%2F10.3390%2Fapp16126064" TargetMode="External" Type="http://schemas.openxmlformats.org/officeDocument/2006/relationships/hyperlink"/><Relationship Id="rId226" Target="https%3A%2F%2Fwww.webofscience.com%2Fwos%2Fwoscc%2Ffull-record%2FWOS%3A001801930600001" TargetMode="External" Type="http://schemas.openxmlformats.org/officeDocument/2006/relationships/hyperlink"/><Relationship Id="rId227" Target="http%3A%2F%2Fdx.doi.org%2F10.1007%2Fs00371-026-04622-8" TargetMode="External" Type="http://schemas.openxmlformats.org/officeDocument/2006/relationships/hyperlink"/><Relationship Id="rId228" Target="https%3A%2F%2Fwww.webofscience.com%2Fwos%2Fwoscc%2Ffull-record%2FWOS%3A001821210100002" TargetMode="External" Type="http://schemas.openxmlformats.org/officeDocument/2006/relationships/hyperlink"/><Relationship Id="rId229" Target="http%3A%2F%2Fdx.doi.org%2F10.1016%2Fj.knosys.2026.115456" TargetMode="External" Type="http://schemas.openxmlformats.org/officeDocument/2006/relationships/hyperlink"/><Relationship Id="rId23" Target="http%3A%2F%2Fdx.doi.org%2F10.1109%2FTMI.2024.3484294" TargetMode="External" Type="http://schemas.openxmlformats.org/officeDocument/2006/relationships/hyperlink"/><Relationship Id="rId230" Target="https%3A%2F%2Fwww.webofscience.com%2Fwos%2Fwoscc%2Ffull-record%2FWOS%3A001688205000001" TargetMode="External" Type="http://schemas.openxmlformats.org/officeDocument/2006/relationships/hyperlink"/><Relationship Id="rId231" Target="http%3A%2F%2Fdx.doi.org%2F10.1109%2FJBHI.2025.3606881" TargetMode="External" Type="http://schemas.openxmlformats.org/officeDocument/2006/relationships/hyperlink"/><Relationship Id="rId232" Target="https%3A%2F%2Fwww.webofscience.com%2Fwos%2Fwoscc%2Ffull-record%2FWOS%3A001709172500016" TargetMode="External" Type="http://schemas.openxmlformats.org/officeDocument/2006/relationships/hyperlink"/><Relationship Id="rId233" Target="http%3A%2F%2Fdx.doi.org%2F10.3390%2Fapp16063103" TargetMode="External" Type="http://schemas.openxmlformats.org/officeDocument/2006/relationships/hyperlink"/><Relationship Id="rId234" Target="https%3A%2F%2Fwww.webofscience.com%2Fwos%2Fwoscc%2Ffull-record%2FWOS%3A001725088100001" TargetMode="External" Type="http://schemas.openxmlformats.org/officeDocument/2006/relationships/hyperlink"/><Relationship Id="rId235" Target="http%3A%2F%2Fdx.doi.org%2F10.1038%2Fs41433-025-04013-8" TargetMode="External" Type="http://schemas.openxmlformats.org/officeDocument/2006/relationships/hyperlink"/><Relationship Id="rId236" Target="https%3A%2F%2Fwww.webofscience.com%2Fwos%2Fwoscc%2Ffull-record%2FWOS%3A001589379800001" TargetMode="External" Type="http://schemas.openxmlformats.org/officeDocument/2006/relationships/hyperlink"/><Relationship Id="rId237" Target="http%3A%2F%2Fdx.doi.org%2F10.1186%2Fs13550-025-01323-6" TargetMode="External" Type="http://schemas.openxmlformats.org/officeDocument/2006/relationships/hyperlink"/><Relationship Id="rId238" Target="https%3A%2F%2Fwww.webofscience.com%2Fwos%2Fwoscc%2Ffull-record%2FWOS%3A001633467900001" TargetMode="External" Type="http://schemas.openxmlformats.org/officeDocument/2006/relationships/hyperlink"/><Relationship Id="rId239" Target="http%3A%2F%2Fdx.doi.org%2F10.1016%2Fj.clinimag.2026.110841" TargetMode="External" Type="http://schemas.openxmlformats.org/officeDocument/2006/relationships/hyperlink"/><Relationship Id="rId24" Target="https%3A%2F%2Fwww.webofscience.com%2Fwos%2Fwoscc%2Ffull-record%2FWOS%3A001606201000011" TargetMode="External" Type="http://schemas.openxmlformats.org/officeDocument/2006/relationships/hyperlink"/><Relationship Id="rId240" Target="https%3A%2F%2Fwww.webofscience.com%2Fwos%2Fwoscc%2Ffull-record%2FWOS%3A001792195000001" TargetMode="External" Type="http://schemas.openxmlformats.org/officeDocument/2006/relationships/hyperlink"/><Relationship Id="rId241" Target="http%3A%2F%2Fdx.doi.org%2F10.3389%2Ffdgth.2025.1660887" TargetMode="External" Type="http://schemas.openxmlformats.org/officeDocument/2006/relationships/hyperlink"/><Relationship Id="rId242" Target="https%3A%2F%2Fwww.webofscience.com%2Fwos%2Fwoscc%2Ffull-record%2FWOS%3A001565407100001" TargetMode="External" Type="http://schemas.openxmlformats.org/officeDocument/2006/relationships/hyperlink"/><Relationship Id="rId243" Target="http%3A%2F%2Fdx.doi.org%2F10.1001%2Fjamaophthalmol.2024.1165" TargetMode="External" Type="http://schemas.openxmlformats.org/officeDocument/2006/relationships/hyperlink"/><Relationship Id="rId244" Target="https%3A%2F%2Fwww.webofscience.com%2Fwos%2Fwoscc%2Ffull-record%2FWOS%3A001217141100002" TargetMode="External" Type="http://schemas.openxmlformats.org/officeDocument/2006/relationships/hyperlink"/><Relationship Id="rId245" Target="http%3A%2F%2Fdx.doi.org%2F10.1016%2Fj.jbi.2025.104931" TargetMode="External" Type="http://schemas.openxmlformats.org/officeDocument/2006/relationships/hyperlink"/><Relationship Id="rId246" Target="https%3A%2F%2Fwww.webofscience.com%2Fwos%2Fwoscc%2Ffull-record%2FWOS%3A001606093400001" TargetMode="External" Type="http://schemas.openxmlformats.org/officeDocument/2006/relationships/hyperlink"/><Relationship Id="rId247" Target="http%3A%2F%2Fdx.doi.org%2F10.1016%2Fj.eswa.2026.132008" TargetMode="External" Type="http://schemas.openxmlformats.org/officeDocument/2006/relationships/hyperlink"/><Relationship Id="rId248" Target="https%3A%2F%2Fwww.webofscience.com%2Fwos%2Fwoscc%2Ffull-record%2FWOS%3A001721139800001" TargetMode="External" Type="http://schemas.openxmlformats.org/officeDocument/2006/relationships/hyperlink"/><Relationship Id="rId249" Target="http%3A%2F%2Fdx.doi.org%2F10.3390%2Fjimaging12040168" TargetMode="External" Type="http://schemas.openxmlformats.org/officeDocument/2006/relationships/hyperlink"/><Relationship Id="rId25" Target="http%3A%2F%2Fdx.doi.org%2F10.1007%2Fs44267-024-00050-1" TargetMode="External" Type="http://schemas.openxmlformats.org/officeDocument/2006/relationships/hyperlink"/><Relationship Id="rId250" Target="https%3A%2F%2Fwww.webofscience.com%2Fwos%2Fwoscc%2Ffull-record%2FWOS%3A001749794300001" TargetMode="External" Type="http://schemas.openxmlformats.org/officeDocument/2006/relationships/hyperlink"/><Relationship Id="rId251" Target="http%3A%2F%2Fdx.doi.org%2F10.1016%2Fj.bspc.2026.110337" TargetMode="External" Type="http://schemas.openxmlformats.org/officeDocument/2006/relationships/hyperlink"/><Relationship Id="rId252" Target="https%3A%2F%2Fwww.webofscience.com%2Fwos%2Fwoscc%2Ffull-record%2FWOS%3A001753064500001" TargetMode="External" Type="http://schemas.openxmlformats.org/officeDocument/2006/relationships/hyperlink"/><Relationship Id="rId253" Target="http%3A%2F%2Fdx.doi.org%2F10.1038%2Fs43856-025-01293-9" TargetMode="External" Type="http://schemas.openxmlformats.org/officeDocument/2006/relationships/hyperlink"/><Relationship Id="rId254" Target="https%3A%2F%2Fwww.webofscience.com%2Fwos%2Fwoscc%2Ffull-record%2FWOS%3A001665368600001" TargetMode="External" Type="http://schemas.openxmlformats.org/officeDocument/2006/relationships/hyperlink"/><Relationship Id="rId255" Target="http%3A%2F%2Fdx.doi.org%2F10.3390%2Fdiagnostics16040603" TargetMode="External" Type="http://schemas.openxmlformats.org/officeDocument/2006/relationships/hyperlink"/><Relationship Id="rId256" Target="https%3A%2F%2Fwww.webofscience.com%2Fwos%2Fwoscc%2Ffull-record%2FWOS%3A001701477200001" TargetMode="External" Type="http://schemas.openxmlformats.org/officeDocument/2006/relationships/hyperlink"/><Relationship Id="rId257" Target="http%3A%2F%2Fdx.doi.org%2F10.1016%2Fj.media.2026.104077" TargetMode="External" Type="http://schemas.openxmlformats.org/officeDocument/2006/relationships/hyperlink"/><Relationship Id="rId258" Target="https%3A%2F%2Fwww.webofscience.com%2Fwos%2Fwoscc%2Ffull-record%2FWOS%3A001747383700001" TargetMode="External" Type="http://schemas.openxmlformats.org/officeDocument/2006/relationships/hyperlink"/><Relationship Id="rId259" Target="http%3A%2F%2Fdx.doi.org%2F10.1148%2Fradiol.243664" TargetMode="External" Type="http://schemas.openxmlformats.org/officeDocument/2006/relationships/hyperlink"/><Relationship Id="rId26" Target="https%3A%2F%2Fwww.webofscience.com%2Fwos%2Fwoscc%2Ffull-record%2FWOS%3A001746513300001" TargetMode="External" Type="http://schemas.openxmlformats.org/officeDocument/2006/relationships/hyperlink"/><Relationship Id="rId260" Target="https%3A%2F%2Fwww.webofscience.com%2Fwos%2Fwoscc%2Ffull-record%2FWOS%3A001521725600005" TargetMode="External" Type="http://schemas.openxmlformats.org/officeDocument/2006/relationships/hyperlink"/><Relationship Id="rId261" Target="http%3A%2F%2Fdx.doi.org%2F10.1088%2F1361-6560%2Fadd8db" TargetMode="External" Type="http://schemas.openxmlformats.org/officeDocument/2006/relationships/hyperlink"/><Relationship Id="rId262" Target="https%3A%2F%2Fwww.webofscience.com%2Fwos%2Fwoscc%2Ffull-record%2FWOS%3A001493914000001" TargetMode="External" Type="http://schemas.openxmlformats.org/officeDocument/2006/relationships/hyperlink"/><Relationship Id="rId263" Target="http%3A%2F%2Fdx.doi.org%2F10.1109%2FACCESS.2026.3656368" TargetMode="External" Type="http://schemas.openxmlformats.org/officeDocument/2006/relationships/hyperlink"/><Relationship Id="rId264" Target="https%3A%2F%2Fwww.webofscience.com%2Fwos%2Fwoscc%2Ffull-record%2FWOS%3A001687406600031" TargetMode="External" Type="http://schemas.openxmlformats.org/officeDocument/2006/relationships/hyperlink"/><Relationship Id="rId265" Target="http%3A%2F%2Fdx.doi.org%2F10.1002%2Fmp.70261" TargetMode="External" Type="http://schemas.openxmlformats.org/officeDocument/2006/relationships/hyperlink"/><Relationship Id="rId266" Target="https%3A%2F%2Fwww.webofscience.com%2Fwos%2Fwoscc%2Ffull-record%2FWOS%3A001661323300001" TargetMode="External" Type="http://schemas.openxmlformats.org/officeDocument/2006/relationships/hyperlink"/><Relationship Id="rId267" Target="http%3A%2F%2Fdx.doi.org%2F10.1038%2Fs41746-026-02581-x" TargetMode="External" Type="http://schemas.openxmlformats.org/officeDocument/2006/relationships/hyperlink"/><Relationship Id="rId268" Target="https%3A%2F%2Fwww.webofscience.com%2Fwos%2Fwoscc%2Ffull-record%2FWOS%3A001777578800001" TargetMode="External" Type="http://schemas.openxmlformats.org/officeDocument/2006/relationships/hyperlink"/><Relationship Id="rId269" Target="http%3A%2F%2Fdx.doi.org%2F10.2196%2F90693" TargetMode="External" Type="http://schemas.openxmlformats.org/officeDocument/2006/relationships/hyperlink"/><Relationship Id="rId27" Target="http%3A%2F%2Fdx.doi.org%2F10.1016%2Fj.bspc.2026.111214" TargetMode="External" Type="http://schemas.openxmlformats.org/officeDocument/2006/relationships/hyperlink"/><Relationship Id="rId270" Target="https%3A%2F%2Fwww.webofscience.com%2Fwos%2Fwoscc%2Ffull-record%2FWOS%3A001835897400002" TargetMode="External" Type="http://schemas.openxmlformats.org/officeDocument/2006/relationships/hyperlink"/><Relationship Id="rId271" Target="http%3A%2F%2Fdx.doi.org%2F10.1097%2FJS9.0000000000003069" TargetMode="External" Type="http://schemas.openxmlformats.org/officeDocument/2006/relationships/hyperlink"/><Relationship Id="rId272" Target="https%3A%2F%2Fwww.webofscience.com%2Fwos%2Fwoscc%2Ffull-record%2FWOS%3A001618284300006" TargetMode="External" Type="http://schemas.openxmlformats.org/officeDocument/2006/relationships/hyperlink"/><Relationship Id="rId273" Target="http%3A%2F%2Fdx.doi.org%2F10.1177%2F20552076261450386" TargetMode="External" Type="http://schemas.openxmlformats.org/officeDocument/2006/relationships/hyperlink"/><Relationship Id="rId274" Target="https%3A%2F%2Fwww.webofscience.com%2Fwos%2Fwoscc%2Ffull-record%2FWOS%3A001757931700001" TargetMode="External" Type="http://schemas.openxmlformats.org/officeDocument/2006/relationships/hyperlink"/><Relationship Id="rId275" Target="http%3A%2F%2Fdx.doi.org%2F10.3390%2Fcancers18111750" TargetMode="External" Type="http://schemas.openxmlformats.org/officeDocument/2006/relationships/hyperlink"/><Relationship Id="rId276" Target="https%3A%2F%2Fwww.webofscience.com%2Fwos%2Fwoscc%2Ffull-record%2FWOS%3A001789986800001" TargetMode="External" Type="http://schemas.openxmlformats.org/officeDocument/2006/relationships/hyperlink"/><Relationship Id="rId277" Target="http%3A%2F%2Fdx.doi.org%2F10.1007%2Fs13042-025-02905-5" TargetMode="External" Type="http://schemas.openxmlformats.org/officeDocument/2006/relationships/hyperlink"/><Relationship Id="rId278" Target="https%3A%2F%2Fwww.webofscience.com%2Fwos%2Fwoscc%2Ffull-record%2FWOS%3A001703516400034" TargetMode="External" Type="http://schemas.openxmlformats.org/officeDocument/2006/relationships/hyperlink"/><Relationship Id="rId279" Target="http%3A%2F%2Fdx.doi.org%2F10.1016%2Fj.inffus.2025.102995" TargetMode="External" Type="http://schemas.openxmlformats.org/officeDocument/2006/relationships/hyperlink"/><Relationship Id="rId28" Target="https%3A%2F%2Fwww.webofscience.com%2Fwos%2Fwoscc%2Ffull-record%2FWOS%3A001845751200001" TargetMode="External" Type="http://schemas.openxmlformats.org/officeDocument/2006/relationships/hyperlink"/><Relationship Id="rId280" Target="https%3A%2F%2Fwww.webofscience.com%2Fwos%2Fwoscc%2Ffull-record%2FWOS%3A001426759000001" TargetMode="External" Type="http://schemas.openxmlformats.org/officeDocument/2006/relationships/hyperlink"/><Relationship Id="rId281" Target="http%3A%2F%2Fdx.doi.org%2F10.2196%2F90581" TargetMode="External" Type="http://schemas.openxmlformats.org/officeDocument/2006/relationships/hyperlink"/><Relationship Id="rId282" Target="https%3A%2F%2Fwww.webofscience.com%2Fwos%2Fwoscc%2Ffull-record%2FWOS%3A001744620800001" TargetMode="External" Type="http://schemas.openxmlformats.org/officeDocument/2006/relationships/hyperlink"/><Relationship Id="rId283" Target="http%3A%2F%2Fdx.doi.org%2F10.1016%2Fj.neunet.2025.108415" TargetMode="External" Type="http://schemas.openxmlformats.org/officeDocument/2006/relationships/hyperlink"/><Relationship Id="rId284" Target="https%3A%2F%2Fwww.webofscience.com%2Fwos%2Fwoscc%2Ffull-record%2FWOS%3A001649241000001" TargetMode="External" Type="http://schemas.openxmlformats.org/officeDocument/2006/relationships/hyperlink"/><Relationship Id="rId285" Target="http%3A%2F%2Fdx.doi.org%2F10.1109%2FTMI.2025.3616598" TargetMode="External" Type="http://schemas.openxmlformats.org/officeDocument/2006/relationships/hyperlink"/><Relationship Id="rId286" Target="https%3A%2F%2Fwww.webofscience.com%2Fwos%2Fwoscc%2Ffull-record%2FWOS%3A001708009300004" TargetMode="External" Type="http://schemas.openxmlformats.org/officeDocument/2006/relationships/hyperlink"/><Relationship Id="rId287" Target="http%3A%2F%2Fdx.doi.org%2F10.2214%2FAJR.25.34116" TargetMode="External" Type="http://schemas.openxmlformats.org/officeDocument/2006/relationships/hyperlink"/><Relationship Id="rId288" Target="https%3A%2F%2Fwww.webofscience.com%2Fwos%2Fwoscc%2Ffull-record%2FWOS%3A001782955700020" TargetMode="External" Type="http://schemas.openxmlformats.org/officeDocument/2006/relationships/hyperlink"/><Relationship Id="rId289" Target="http%3A%2F%2Fdx.doi.org%2F10.1007%2Fs11604-024-01633-0" TargetMode="External" Type="http://schemas.openxmlformats.org/officeDocument/2006/relationships/hyperlink"/><Relationship Id="rId29" Target="http%3A%2F%2Fdx.doi.org%2F10.1016%2Fj.neucom.2025.130018" TargetMode="External" Type="http://schemas.openxmlformats.org/officeDocument/2006/relationships/hyperlink"/><Relationship Id="rId290" Target="https%3A%2F%2Fwww.webofscience.com%2Fwos%2Fwoscc%2Ffull-record%2FWOS%3A001273145200001" TargetMode="External" Type="http://schemas.openxmlformats.org/officeDocument/2006/relationships/hyperlink"/><Relationship Id="rId291" Target="http%3A%2F%2Fdx.doi.org%2F10.1007%2Fs12149-025-02084-x" TargetMode="External" Type="http://schemas.openxmlformats.org/officeDocument/2006/relationships/hyperlink"/><Relationship Id="rId292" Target="https%3A%2F%2Fwww.webofscience.com%2Fwos%2Fwoscc%2Ffull-record%2FWOS%3A001529070800001" TargetMode="External" Type="http://schemas.openxmlformats.org/officeDocument/2006/relationships/hyperlink"/><Relationship Id="rId293" Target="http%3A%2F%2Fdx.doi.org%2F10.1088%2F2632-2153%2Fae15e5" TargetMode="External" Type="http://schemas.openxmlformats.org/officeDocument/2006/relationships/hyperlink"/><Relationship Id="rId294" Target="https%3A%2F%2Fwww.webofscience.com%2Fwos%2Fwoscc%2Ffull-record%2FWOS%3A001607545900001" TargetMode="External" Type="http://schemas.openxmlformats.org/officeDocument/2006/relationships/hyperlink"/><Relationship Id="rId295" Target="http%3A%2F%2Fdx.doi.org%2F10.1109%2FACCESS.2025.3574659" TargetMode="External" Type="http://schemas.openxmlformats.org/officeDocument/2006/relationships/hyperlink"/><Relationship Id="rId296" Target="https%3A%2F%2Fwww.webofscience.com%2Fwos%2Fwoscc%2Ffull-record%2FWOS%3A001506710200015" TargetMode="External" Type="http://schemas.openxmlformats.org/officeDocument/2006/relationships/hyperlink"/><Relationship Id="rId297" Target="http%3A%2F%2Fdx.doi.org%2F10.1148%2Fryct.250033" TargetMode="External" Type="http://schemas.openxmlformats.org/officeDocument/2006/relationships/hyperlink"/><Relationship Id="rId298" Target="https%3A%2F%2Fwww.webofscience.com%2Fwos%2Fwoscc%2Ffull-record%2FWOS%3A001653695300007" TargetMode="External" Type="http://schemas.openxmlformats.org/officeDocument/2006/relationships/hyperlink"/><Relationship Id="rId299" Target="http%3A%2F%2Fdx.doi.org%2F10.1186%2Fs13244-026-02292-7" TargetMode="External" Type="http://schemas.openxmlformats.org/officeDocument/2006/relationships/hyperlink"/><Relationship Id="rId3" Target="http%3A%2F%2Fdx.doi.org%2F10.1109%2FTMI.2024.3418408" TargetMode="External" Type="http://schemas.openxmlformats.org/officeDocument/2006/relationships/hyperlink"/><Relationship Id="rId30" Target="https%3A%2F%2Fwww.webofscience.com%2Fwos%2Fwoscc%2Ffull-record%2FWOS%3A001452981600001" TargetMode="External" Type="http://schemas.openxmlformats.org/officeDocument/2006/relationships/hyperlink"/><Relationship Id="rId300" Target="https%3A%2F%2Fwww.webofscience.com%2Fwos%2Fwoscc%2Ffull-record%2FWOS%3A001752713900001" TargetMode="External" Type="http://schemas.openxmlformats.org/officeDocument/2006/relationships/hyperlink"/><Relationship Id="rId301" Target="http%3A%2F%2Fdx.doi.org%2F10.4055%2Fcios25183" TargetMode="External" Type="http://schemas.openxmlformats.org/officeDocument/2006/relationships/hyperlink"/><Relationship Id="rId302" Target="https%3A%2F%2Fwww.webofscience.com%2Fwos%2Fwoscc%2Ffull-record%2FWOS%3A001679619100016" TargetMode="External" Type="http://schemas.openxmlformats.org/officeDocument/2006/relationships/hyperlink"/><Relationship Id="rId303" Target="http%3A%2F%2Fdx.doi.org%2F10.1038%2Fs41598-024-82597-z" TargetMode="External" Type="http://schemas.openxmlformats.org/officeDocument/2006/relationships/hyperlink"/><Relationship Id="rId304" Target="https%3A%2F%2Fwww.webofscience.com%2Fwos%2Fwoscc%2Ffull-record%2FWOS%3A001391785200030" TargetMode="External" Type="http://schemas.openxmlformats.org/officeDocument/2006/relationships/hyperlink"/><Relationship Id="rId305" Target="http%3A%2F%2Fdx.doi.org%2F10.1016%2Fj.eswa.2026.133848" TargetMode="External" Type="http://schemas.openxmlformats.org/officeDocument/2006/relationships/hyperlink"/><Relationship Id="rId306" Target="https%3A%2F%2Fwww.webofscience.com%2Fwos%2Fwoscc%2Ffull-record%2FWOS%3A001849167100001" TargetMode="External" Type="http://schemas.openxmlformats.org/officeDocument/2006/relationships/hyperlink"/><Relationship Id="rId307" Target="http%3A%2F%2Fdx.doi.org%2F10.1016%2Fj.jbi.2026.105031" TargetMode="External" Type="http://schemas.openxmlformats.org/officeDocument/2006/relationships/hyperlink"/><Relationship Id="rId308" Target="https%3A%2F%2Fwww.webofscience.com%2Fwos%2Fwoscc%2Ffull-record%2FWOS%3A001745176600001" TargetMode="External" Type="http://schemas.openxmlformats.org/officeDocument/2006/relationships/hyperlink"/><Relationship Id="rId309" Target="http%3A%2F%2Fdx.doi.org%2F10.3389%2Ffmicb.2025.1687021" TargetMode="External" Type="http://schemas.openxmlformats.org/officeDocument/2006/relationships/hyperlink"/><Relationship Id="rId31" Target="http%3A%2F%2Fdx.doi.org%2F10.1109%2FJIOT.2025.3579032" TargetMode="External" Type="http://schemas.openxmlformats.org/officeDocument/2006/relationships/hyperlink"/><Relationship Id="rId310" Target="https%3A%2F%2Fwww.webofscience.com%2Fwos%2Fwoscc%2Ffull-record%2FWOS%3A001602192000001" TargetMode="External" Type="http://schemas.openxmlformats.org/officeDocument/2006/relationships/hyperlink"/><Relationship Id="rId311" Target="http%3A%2F%2Fdx.doi.org%2F10.3390%2Fmath13142322" TargetMode="External" Type="http://schemas.openxmlformats.org/officeDocument/2006/relationships/hyperlink"/><Relationship Id="rId312" Target="https%3A%2F%2Fwww.webofscience.com%2Fwos%2Fwoscc%2Ffull-record%2FWOS%3A001535495800001" TargetMode="External" Type="http://schemas.openxmlformats.org/officeDocument/2006/relationships/hyperlink"/><Relationship Id="rId313" Target="http%3A%2F%2Fdx.doi.org%2F10.1007%2Fs41060-025-00834-8" TargetMode="External" Type="http://schemas.openxmlformats.org/officeDocument/2006/relationships/hyperlink"/><Relationship Id="rId314" Target="https%3A%2F%2Fwww.webofscience.com%2Fwos%2Fwoscc%2Ffull-record%2FWOS%3A001510293300001" TargetMode="External" Type="http://schemas.openxmlformats.org/officeDocument/2006/relationships/hyperlink"/><Relationship Id="rId315" Target="http%3A%2F%2Fdx.doi.org%2F10.3390%2Fcomputers14110489" TargetMode="External" Type="http://schemas.openxmlformats.org/officeDocument/2006/relationships/hyperlink"/><Relationship Id="rId316" Target="https%3A%2F%2Fwww.webofscience.com%2Fwos%2Fwoscc%2Ffull-record%2FWOS%3A001623509700001" TargetMode="External" Type="http://schemas.openxmlformats.org/officeDocument/2006/relationships/hyperlink"/><Relationship Id="rId317" Target="http%3A%2F%2Fdx.doi.org%2F10.1016%2Fj.apjo.2026.100345" TargetMode="External" Type="http://schemas.openxmlformats.org/officeDocument/2006/relationships/hyperlink"/><Relationship Id="rId318" Target="https%3A%2F%2Fwww.webofscience.com%2Fwos%2Fwoscc%2Ffull-record%2FWOS%3A001848825700001" TargetMode="External" Type="http://schemas.openxmlformats.org/officeDocument/2006/relationships/hyperlink"/><Relationship Id="rId319" Target="http%3A%2F%2Fdx.doi.org%2F10.2196%2F87227" TargetMode="External" Type="http://schemas.openxmlformats.org/officeDocument/2006/relationships/hyperlink"/><Relationship Id="rId32" Target="https%3A%2F%2Fwww.webofscience.com%2Fwos%2Fwoscc%2Ffull-record%2FWOS%3A001546984500033" TargetMode="External" Type="http://schemas.openxmlformats.org/officeDocument/2006/relationships/hyperlink"/><Relationship Id="rId320" Target="https%3A%2F%2Fwww.webofscience.com%2Fwos%2Fwoscc%2Ffull-record%2FWOS%3A001807952900001" TargetMode="External" Type="http://schemas.openxmlformats.org/officeDocument/2006/relationships/hyperlink"/><Relationship Id="rId321" Target="http%3A%2F%2Fdx.doi.org%2F10.1016%2Fj.bspc.2026.110331" TargetMode="External" Type="http://schemas.openxmlformats.org/officeDocument/2006/relationships/hyperlink"/><Relationship Id="rId322" Target="https%3A%2F%2Fwww.webofscience.com%2Fwos%2Fwoscc%2Ffull-record%2FWOS%3A001778451200001" TargetMode="External" Type="http://schemas.openxmlformats.org/officeDocument/2006/relationships/hyperlink"/><Relationship Id="rId323" Target="http%3A%2F%2Fdx.doi.org%2F10.2147%2FIDR.S624553" TargetMode="External" Type="http://schemas.openxmlformats.org/officeDocument/2006/relationships/hyperlink"/><Relationship Id="rId324" Target="https%3A%2F%2Fwww.webofscience.com%2Fwos%2Fwoscc%2Ffull-record%2FWOS%3A001839063300001" TargetMode="External" Type="http://schemas.openxmlformats.org/officeDocument/2006/relationships/hyperlink"/><Relationship Id="rId325" Target="http%3A%2F%2Fdx.doi.org%2F10.1016%2Fj.neucom.2025.131621" TargetMode="External" Type="http://schemas.openxmlformats.org/officeDocument/2006/relationships/hyperlink"/><Relationship Id="rId326" Target="https%3A%2F%2Fwww.webofscience.com%2Fwos%2Fwoscc%2Ffull-record%2FWOS%3A001590058300007" TargetMode="External" Type="http://schemas.openxmlformats.org/officeDocument/2006/relationships/hyperlink"/><Relationship Id="rId327" Target="http%3A%2F%2Fdx.doi.org%2F10.1016%2Fj.inffus.2026.104195" TargetMode="External" Type="http://schemas.openxmlformats.org/officeDocument/2006/relationships/hyperlink"/><Relationship Id="rId328" Target="https%3A%2F%2Fwww.webofscience.com%2Fwos%2Fwoscc%2Ffull-record%2FWOS%3A001683135400001" TargetMode="External" Type="http://schemas.openxmlformats.org/officeDocument/2006/relationships/hyperlink"/><Relationship Id="rId329" Target="http%3A%2F%2Fdx.doi.org%2F10.3390%2Fbiomechanics6010023" TargetMode="External" Type="http://schemas.openxmlformats.org/officeDocument/2006/relationships/hyperlink"/><Relationship Id="rId33" Target="http%3A%2F%2Fdx.doi.org%2F10.6180%2Fjase.202607_30.006" TargetMode="External" Type="http://schemas.openxmlformats.org/officeDocument/2006/relationships/hyperlink"/><Relationship Id="rId330" Target="https%3A%2F%2Fwww.webofscience.com%2Fwos%2Fwoscc%2Ffull-record%2FWOS%3A001725724200001" TargetMode="External" Type="http://schemas.openxmlformats.org/officeDocument/2006/relationships/hyperlink"/><Relationship Id="rId331" Target="http%3A%2F%2Fdx.doi.org%2F10.1016%2Fj.identj.2026.109817" TargetMode="External" Type="http://schemas.openxmlformats.org/officeDocument/2006/relationships/hyperlink"/><Relationship Id="rId332" Target="https%3A%2F%2Fwww.webofscience.com%2Fwos%2Fwoscc%2Ffull-record%2FWOS%3A001851219500001" TargetMode="External" Type="http://schemas.openxmlformats.org/officeDocument/2006/relationships/hyperlink"/><Relationship Id="rId333" Target="http%3A%2F%2Fdx.doi.org%2F10.1016%2Fj.isci.2026.116518" TargetMode="External" Type="http://schemas.openxmlformats.org/officeDocument/2006/relationships/hyperlink"/><Relationship Id="rId334" Target="https%3A%2F%2Fwww.webofscience.com%2Fwos%2Fwoscc%2Ffull-record%2FWOS%3A001821073900001" TargetMode="External" Type="http://schemas.openxmlformats.org/officeDocument/2006/relationships/hyperlink"/><Relationship Id="rId335" Target="http%3A%2F%2Fdx.doi.org%2F10.3390%2Fdiagnostics15182315" TargetMode="External" Type="http://schemas.openxmlformats.org/officeDocument/2006/relationships/hyperlink"/><Relationship Id="rId336" Target="https%3A%2F%2Fwww.webofscience.com%2Fwos%2Fwoscc%2Ffull-record%2FWOS%3A001581172300001" TargetMode="External" Type="http://schemas.openxmlformats.org/officeDocument/2006/relationships/hyperlink"/><Relationship Id="rId337" Target="http%3A%2F%2Fdx.doi.org%2F10.1109%2FJBHI.2025.3624318" TargetMode="External" Type="http://schemas.openxmlformats.org/officeDocument/2006/relationships/hyperlink"/><Relationship Id="rId338" Target="https%3A%2F%2Fwww.webofscience.com%2Fwos%2Fwoscc%2Ffull-record%2FWOS%3A001640359100039" TargetMode="External" Type="http://schemas.openxmlformats.org/officeDocument/2006/relationships/hyperlink"/><Relationship Id="rId339" Target="http%3A%2F%2Fdx.doi.org%2F10.1007%2Fs11604-026-02032-3" TargetMode="External" Type="http://schemas.openxmlformats.org/officeDocument/2006/relationships/hyperlink"/><Relationship Id="rId34" Target="https%3A%2F%2Fwww.webofscience.com%2Fwos%2Fwoscc%2Ffull-record%2FWOS%3A001796713000034" TargetMode="External" Type="http://schemas.openxmlformats.org/officeDocument/2006/relationships/hyperlink"/><Relationship Id="rId340" Target="https%3A%2F%2Fwww.webofscience.com%2Fwos%2Fwoscc%2Ffull-record%2FWOS%3A001827391900001" TargetMode="External" Type="http://schemas.openxmlformats.org/officeDocument/2006/relationships/hyperlink"/><Relationship Id="rId341" Target="http%3A%2F%2Fdx.doi.org%2F10.1007%2Fs13755-025-00417-8" TargetMode="External" Type="http://schemas.openxmlformats.org/officeDocument/2006/relationships/hyperlink"/><Relationship Id="rId342" Target="https%3A%2F%2Fwww.webofscience.com%2Fwos%2Fwoscc%2Ffull-record%2FWOS%3A001643134900001" TargetMode="External" Type="http://schemas.openxmlformats.org/officeDocument/2006/relationships/hyperlink"/><Relationship Id="rId343" Target="http%3A%2F%2Fdx.doi.org%2F10.1038%2Fs41598-026-39201-3" TargetMode="External" Type="http://schemas.openxmlformats.org/officeDocument/2006/relationships/hyperlink"/><Relationship Id="rId344" Target="https%3A%2F%2Fwww.webofscience.com%2Fwos%2Fwoscc%2Ffull-record%2FWOS%3A001714896800046" TargetMode="External" Type="http://schemas.openxmlformats.org/officeDocument/2006/relationships/hyperlink"/><Relationship Id="rId345" Target="http%3A%2F%2Fdx.doi.org%2F10.3390%2Fbioengineering12111165" TargetMode="External" Type="http://schemas.openxmlformats.org/officeDocument/2006/relationships/hyperlink"/><Relationship Id="rId346" Target="https%3A%2F%2Fwww.webofscience.com%2Fwos%2Fwoscc%2Ffull-record%2FWOS%3A001624013900001" TargetMode="External" Type="http://schemas.openxmlformats.org/officeDocument/2006/relationships/hyperlink"/><Relationship Id="rId347" Target="http%3A%2F%2Fdx.doi.org%2F10.3389%2Ffpls.2026.1765281" TargetMode="External" Type="http://schemas.openxmlformats.org/officeDocument/2006/relationships/hyperlink"/><Relationship Id="rId348" Target="https%3A%2F%2Fwww.webofscience.com%2Fwos%2Fwoscc%2Ffull-record%2FWOS%3A001816901300001" TargetMode="External" Type="http://schemas.openxmlformats.org/officeDocument/2006/relationships/hyperlink"/><Relationship Id="rId349" Target="http%3A%2F%2Fdx.doi.org%2F10.1016%2Fj.ejrad.2026.112695" TargetMode="External" Type="http://schemas.openxmlformats.org/officeDocument/2006/relationships/hyperlink"/><Relationship Id="rId35" Target="http%3A%2F%2Fdx.doi.org%2F10.1002%2Feng2.70220" TargetMode="External" Type="http://schemas.openxmlformats.org/officeDocument/2006/relationships/hyperlink"/><Relationship Id="rId350" Target="https%3A%2F%2Fwww.webofscience.com%2Fwos%2Fwoscc%2Ffull-record%2FWOS%3A001677700700001" TargetMode="External" Type="http://schemas.openxmlformats.org/officeDocument/2006/relationships/hyperlink"/><Relationship Id="rId351" Target="http%3A%2F%2Fdx.doi.org%2F10.1109%2FJBHI.2025.3569361" TargetMode="External" Type="http://schemas.openxmlformats.org/officeDocument/2006/relationships/hyperlink"/><Relationship Id="rId352" Target="https%3A%2F%2Fwww.webofscience.com%2Fwos%2Fwoscc%2Ffull-record%2FWOS%3A001570204100015" TargetMode="External" Type="http://schemas.openxmlformats.org/officeDocument/2006/relationships/hyperlink"/><Relationship Id="rId353" Target="http%3A%2F%2Fdx.doi.org%2F10.1016%2Fj.inffus.2026.104386" TargetMode="External" Type="http://schemas.openxmlformats.org/officeDocument/2006/relationships/hyperlink"/><Relationship Id="rId354" Target="https%3A%2F%2Fwww.webofscience.com%2Fwos%2Fwoscc%2Ffull-record%2FWOS%3A001758425900001" TargetMode="External" Type="http://schemas.openxmlformats.org/officeDocument/2006/relationships/hyperlink"/><Relationship Id="rId355" Target="http%3A%2F%2Fdx.doi.org%2F10.1177%2F00220345251334575" TargetMode="External" Type="http://schemas.openxmlformats.org/officeDocument/2006/relationships/hyperlink"/><Relationship Id="rId356" Target="https%3A%2F%2Fwww.webofscience.com%2Fwos%2Fwoscc%2Ffull-record%2FWOS%3A001513879400001" TargetMode="External" Type="http://schemas.openxmlformats.org/officeDocument/2006/relationships/hyperlink"/><Relationship Id="rId357" Target="http%3A%2F%2Fdx.doi.org%2F10.1007%2Fs10266-026-01402-7" TargetMode="External" Type="http://schemas.openxmlformats.org/officeDocument/2006/relationships/hyperlink"/><Relationship Id="rId358" Target="https%3A%2F%2Fwww.webofscience.com%2Fwos%2Fwoscc%2Ffull-record%2FWOS%3A001762514200001" TargetMode="External" Type="http://schemas.openxmlformats.org/officeDocument/2006/relationships/hyperlink"/><Relationship Id="rId359" Target="http%3A%2F%2Fdx.doi.org%2F10.1109%2FACCESS.2026.3660702" TargetMode="External" Type="http://schemas.openxmlformats.org/officeDocument/2006/relationships/hyperlink"/><Relationship Id="rId36" Target="https%3A%2F%2Fwww.webofscience.com%2Fwos%2Fwoscc%2Ffull-record%2FWOS%3A001518764300008" TargetMode="External" Type="http://schemas.openxmlformats.org/officeDocument/2006/relationships/hyperlink"/><Relationship Id="rId360" Target="https%3A%2F%2Fwww.webofscience.com%2Fwos%2Fwoscc%2Ffull-record%2FWOS%3A001691053100026" TargetMode="External" Type="http://schemas.openxmlformats.org/officeDocument/2006/relationships/hyperlink"/><Relationship Id="rId361" Target="http%3A%2F%2Fdx.doi.org%2F10.1016%2Fj.bspc.2026.109737" TargetMode="External" Type="http://schemas.openxmlformats.org/officeDocument/2006/relationships/hyperlink"/><Relationship Id="rId362" Target="https%3A%2F%2Fwww.webofscience.com%2Fwos%2Fwoscc%2Ffull-record%2FWOS%3A001683932300001" TargetMode="External" Type="http://schemas.openxmlformats.org/officeDocument/2006/relationships/hyperlink"/><Relationship Id="rId363" Target="http%3A%2F%2Fdx.doi.org%2F10.3389%2Ffbioe.2025.1644697" TargetMode="External" Type="http://schemas.openxmlformats.org/officeDocument/2006/relationships/hyperlink"/><Relationship Id="rId364" Target="https%3A%2F%2Fwww.webofscience.com%2Fwos%2Fwoscc%2Ffull-record%2FWOS%3A001556288100001" TargetMode="External" Type="http://schemas.openxmlformats.org/officeDocument/2006/relationships/hyperlink"/><Relationship Id="rId365" Target="http%3A%2F%2Fdx.doi.org%2F10.3390%2Fdiagnostics15212808" TargetMode="External" Type="http://schemas.openxmlformats.org/officeDocument/2006/relationships/hyperlink"/><Relationship Id="rId366" Target="https%3A%2F%2Fwww.webofscience.com%2Fwos%2Fwoscc%2Ffull-record%2FWOS%3A001615360000001" TargetMode="External" Type="http://schemas.openxmlformats.org/officeDocument/2006/relationships/hyperlink"/><Relationship Id="rId367" Target="http%3A%2F%2Fdx.doi.org%2F10.3390%2Fvision9020033" TargetMode="External" Type="http://schemas.openxmlformats.org/officeDocument/2006/relationships/hyperlink"/><Relationship Id="rId368" Target="https%3A%2F%2Fwww.webofscience.com%2Fwos%2Fwoscc%2Ffull-record%2FWOS%3A001517722800001" TargetMode="External" Type="http://schemas.openxmlformats.org/officeDocument/2006/relationships/hyperlink"/><Relationship Id="rId369" Target="http%3A%2F%2Fdx.doi.org%2F10.1109%2FMPRV.2024.3499513" TargetMode="External" Type="http://schemas.openxmlformats.org/officeDocument/2006/relationships/hyperlink"/><Relationship Id="rId37" Target="http%3A%2F%2Fdx.doi.org%2F10.1109%2FTMI.2025.3579214" TargetMode="External" Type="http://schemas.openxmlformats.org/officeDocument/2006/relationships/hyperlink"/><Relationship Id="rId370" Target="https%3A%2F%2Fwww.webofscience.com%2Fwos%2Fwoscc%2Ffull-record%2FWOS%3A001414425900007" TargetMode="External" Type="http://schemas.openxmlformats.org/officeDocument/2006/relationships/hyperlink"/><Relationship Id="rId371" Target="http%3A%2F%2Fdx.doi.org%2F10.1038%2Fs41746-023-00952-2" TargetMode="External" Type="http://schemas.openxmlformats.org/officeDocument/2006/relationships/hyperlink"/><Relationship Id="rId372" Target="https%3A%2F%2Fwww.webofscience.com%2Fwos%2Fwoscc%2Ffull-record%2FWOS%3A001112300500002" TargetMode="External" Type="http://schemas.openxmlformats.org/officeDocument/2006/relationships/hyperlink"/><Relationship Id="rId373" Target="http%3A%2F%2Fdx.doi.org%2F10.1038%2Fs41467-024-50043-3" TargetMode="External" Type="http://schemas.openxmlformats.org/officeDocument/2006/relationships/hyperlink"/><Relationship Id="rId374" Target="https%3A%2F%2Fwww.webofscience.com%2Fwos%2Fwoscc%2Ffull-record%2FWOS%3A001263353700018" TargetMode="External" Type="http://schemas.openxmlformats.org/officeDocument/2006/relationships/hyperlink"/><Relationship Id="rId375" Target="http%3A%2F%2Fdx.doi.org%2F10.1007%2Fs00417-026-07333-x" TargetMode="External" Type="http://schemas.openxmlformats.org/officeDocument/2006/relationships/hyperlink"/><Relationship Id="rId376" Target="https%3A%2F%2Fwww.webofscience.com%2Fwos%2Fwoscc%2Ffull-record%2FWOS%3A001805795900001" TargetMode="External" Type="http://schemas.openxmlformats.org/officeDocument/2006/relationships/hyperlink"/><Relationship Id="rId377" Target="http%3A%2F%2Fdx.doi.org%2F10.1007%2Fs00132-026-04836-7" TargetMode="External" Type="http://schemas.openxmlformats.org/officeDocument/2006/relationships/hyperlink"/><Relationship Id="rId378" Target="https%3A%2F%2Fwww.webofscience.com%2Fwos%2Fwoscc%2Ffull-record%2FWOS%3A001757693600001" TargetMode="External" Type="http://schemas.openxmlformats.org/officeDocument/2006/relationships/hyperlink"/><Relationship Id="rId379" Target="http%3A%2F%2Fdx.doi.org%2F10.3389%2Ffmed.2026.1770007" TargetMode="External" Type="http://schemas.openxmlformats.org/officeDocument/2006/relationships/hyperlink"/><Relationship Id="rId38" Target="https%3A%2F%2Fwww.webofscience.com%2Fwos%2Fwoscc%2Ffull-record%2FWOS%3A001616144400012" TargetMode="External" Type="http://schemas.openxmlformats.org/officeDocument/2006/relationships/hyperlink"/><Relationship Id="rId380" Target="https%3A%2F%2Fwww.webofscience.com%2Fwos%2Fwoscc%2Ffull-record%2FWOS%3A001721663900001" TargetMode="External" Type="http://schemas.openxmlformats.org/officeDocument/2006/relationships/hyperlink"/><Relationship Id="rId381" Target="http%3A%2F%2Fdx.doi.org%2F10.1016%2Fj.humpath.2026.106156" TargetMode="External" Type="http://schemas.openxmlformats.org/officeDocument/2006/relationships/hyperlink"/><Relationship Id="rId382" Target="https%3A%2F%2Fwww.webofscience.com%2Fwos%2Fwoscc%2Ffull-record%2FWOS%3A001790434000001" TargetMode="External" Type="http://schemas.openxmlformats.org/officeDocument/2006/relationships/hyperlink"/><Relationship Id="rId383" Target="http%3A%2F%2Fdx.doi.org%2F10.1111%2Fodi.70009" TargetMode="External" Type="http://schemas.openxmlformats.org/officeDocument/2006/relationships/hyperlink"/><Relationship Id="rId384" Target="https%3A%2F%2Fwww.webofscience.com%2Fwos%2Fwoscc%2Ffull-record%2FWOS%3A001512808900001" TargetMode="External" Type="http://schemas.openxmlformats.org/officeDocument/2006/relationships/hyperlink"/><Relationship Id="rId385" Target="http%3A%2F%2Fdx.doi.org%2F10.1007%2Fs00330-024-11339-6" TargetMode="External" Type="http://schemas.openxmlformats.org/officeDocument/2006/relationships/hyperlink"/><Relationship Id="rId386" Target="https%3A%2F%2Fwww.webofscience.com%2Fwos%2Fwoscc%2Ffull-record%2FWOS%3A001396132800001" TargetMode="External" Type="http://schemas.openxmlformats.org/officeDocument/2006/relationships/hyperlink"/><Relationship Id="rId387" Target="http%3A%2F%2Fdx.doi.org%2F10.1016%2Fj.artmed.2025.103265" TargetMode="External" Type="http://schemas.openxmlformats.org/officeDocument/2006/relationships/hyperlink"/><Relationship Id="rId388" Target="https%3A%2F%2Fwww.webofscience.com%2Fwos%2Fwoscc%2Ffull-record%2FWOS%3A001576896300001" TargetMode="External" Type="http://schemas.openxmlformats.org/officeDocument/2006/relationships/hyperlink"/><Relationship Id="rId389" Target="http%3A%2F%2Fdx.doi.org%2F10.1038%2Fs41598-025-29299-2" TargetMode="External" Type="http://schemas.openxmlformats.org/officeDocument/2006/relationships/hyperlink"/><Relationship Id="rId39" Target="http%3A%2F%2Fdx.doi.org%2F10.1109%2FJSEN.2025.3565766" TargetMode="External" Type="http://schemas.openxmlformats.org/officeDocument/2006/relationships/hyperlink"/><Relationship Id="rId390" Target="https%3A%2F%2Fwww.webofscience.com%2Fwos%2Fwoscc%2Ffull-record%2FWOS%3A001653304400002" TargetMode="External" Type="http://schemas.openxmlformats.org/officeDocument/2006/relationships/hyperlink"/><Relationship Id="rId391" Target="http%3A%2F%2Fdx.doi.org%2F10.1038%2Fs41746-026-02569-7" TargetMode="External" Type="http://schemas.openxmlformats.org/officeDocument/2006/relationships/hyperlink"/><Relationship Id="rId392" Target="https%3A%2F%2Fwww.webofscience.com%2Fwos%2Fwoscc%2Ffull-record%2FWOS%3A001772395100002" TargetMode="External" Type="http://schemas.openxmlformats.org/officeDocument/2006/relationships/hyperlink"/><Relationship Id="rId393" Target="http%3A%2F%2Fdx.doi.org%2F10.1038%2Fs41467-024-51465-9" TargetMode="External" Type="http://schemas.openxmlformats.org/officeDocument/2006/relationships/hyperlink"/><Relationship Id="rId394" Target="https%3A%2F%2Fwww.webofscience.com%2Fwos%2Fwoscc%2Ffull-record%2FWOS%3A001361630600025" TargetMode="External" Type="http://schemas.openxmlformats.org/officeDocument/2006/relationships/hyperlink"/><Relationship Id="rId395" Target="http%3A%2F%2Fdx.doi.org%2F10.1007%2Fs00247-024-06025-0" TargetMode="External" Type="http://schemas.openxmlformats.org/officeDocument/2006/relationships/hyperlink"/><Relationship Id="rId396" Target="https%3A%2F%2Fwww.webofscience.com%2Fwos%2Fwoscc%2Ffull-record%2FWOS%3A001289310100002" TargetMode="External" Type="http://schemas.openxmlformats.org/officeDocument/2006/relationships/hyperlink"/><Relationship Id="rId397" Target="http%3A%2F%2Fdx.doi.org%2F10.3389%2Ffphy.2025.1599937" TargetMode="External" Type="http://schemas.openxmlformats.org/officeDocument/2006/relationships/hyperlink"/><Relationship Id="rId398" Target="https%3A%2F%2Fwww.webofscience.com%2Fwos%2Fwoscc%2Ffull-record%2FWOS%3A001503861000001" TargetMode="External" Type="http://schemas.openxmlformats.org/officeDocument/2006/relationships/hyperlink"/><Relationship Id="rId399" Target="http%3A%2F%2Fdx.doi.org%2F10.1016%2Fj.xcrm.2026.102652" TargetMode="External" Type="http://schemas.openxmlformats.org/officeDocument/2006/relationships/hyperlink"/><Relationship Id="rId4" Target="https%3A%2F%2Fwww.webofscience.com%2Fwos%2Fwoscc%2Ffull-record%2FWOS%3A001371936600007" TargetMode="External" Type="http://schemas.openxmlformats.org/officeDocument/2006/relationships/hyperlink"/><Relationship Id="rId40" Target="https%3A%2F%2Fwww.webofscience.com%2Fwos%2Fwoscc%2Ffull-record%2FWOS%3A001511070500038" TargetMode="External" Type="http://schemas.openxmlformats.org/officeDocument/2006/relationships/hyperlink"/><Relationship Id="rId400" Target="https%3A%2F%2Fwww.webofscience.com%2Fwos%2Fwoscc%2Ffull-record%2FWOS%3A001720258500001" TargetMode="External" Type="http://schemas.openxmlformats.org/officeDocument/2006/relationships/hyperlink"/><Relationship Id="rId401" Target="http%3A%2F%2Fdx.doi.org%2F10.1186%2Fs13049-026-01577-6" TargetMode="External" Type="http://schemas.openxmlformats.org/officeDocument/2006/relationships/hyperlink"/><Relationship Id="rId402" Target="https%3A%2F%2Fwww.webofscience.com%2Fwos%2Fwoscc%2Ffull-record%2FWOS%3A001711629300001" TargetMode="External" Type="http://schemas.openxmlformats.org/officeDocument/2006/relationships/hyperlink"/><Relationship Id="rId403" Target="http%3A%2F%2Fdx.doi.org%2F10.2196%2F70863" TargetMode="External" Type="http://schemas.openxmlformats.org/officeDocument/2006/relationships/hyperlink"/><Relationship Id="rId404" Target="https%3A%2F%2Fwww.webofscience.com%2Fwos%2Fwoscc%2Ffull-record%2FWOS%3A001589663200013" TargetMode="External" Type="http://schemas.openxmlformats.org/officeDocument/2006/relationships/hyperlink"/><Relationship Id="rId405" Target="http%3A%2F%2Fdx.doi.org%2F10.2196%2F59505" TargetMode="External" Type="http://schemas.openxmlformats.org/officeDocument/2006/relationships/hyperlink"/><Relationship Id="rId406" Target="https%3A%2F%2Fwww.webofscience.com%2Fwos%2Fwoscc%2Ffull-record%2FWOS%3A001332618800003" TargetMode="External" Type="http://schemas.openxmlformats.org/officeDocument/2006/relationships/hyperlink"/><Relationship Id="rId407" Target="http%3A%2F%2Fdx.doi.org%2F10.2196%2F73233" TargetMode="External" Type="http://schemas.openxmlformats.org/officeDocument/2006/relationships/hyperlink"/><Relationship Id="rId408" Target="https%3A%2F%2Fwww.webofscience.com%2Fwos%2Fwoscc%2Ffull-record%2FWOS%3A001513537600002" TargetMode="External" Type="http://schemas.openxmlformats.org/officeDocument/2006/relationships/hyperlink"/><Relationship Id="rId409" Target="http%3A%2F%2Fdx.doi.org%2F10.2196%2F52865" TargetMode="External" Type="http://schemas.openxmlformats.org/officeDocument/2006/relationships/hyperlink"/><Relationship Id="rId41" Target="http%3A%2F%2Fdx.doi.org%2F10.1016%2Fj.ynexs.2025.100069" TargetMode="External" Type="http://schemas.openxmlformats.org/officeDocument/2006/relationships/hyperlink"/><Relationship Id="rId410" Target="https%3A%2F%2Fwww.webofscience.com%2Fwos%2Fwoscc%2Ffull-record%2FWOS%3A001104191500001" TargetMode="External" Type="http://schemas.openxmlformats.org/officeDocument/2006/relationships/hyperlink"/><Relationship Id="rId411" Target="http%3A%2F%2Fdx.doi.org%2F10.1016%2Fj.cmpb.2026.109462" TargetMode="External" Type="http://schemas.openxmlformats.org/officeDocument/2006/relationships/hyperlink"/><Relationship Id="rId412" Target="https%3A%2F%2Fwww.webofscience.com%2Fwos%2Fwoscc%2Ffull-record%2FWOS%3A001793440200001" TargetMode="External" Type="http://schemas.openxmlformats.org/officeDocument/2006/relationships/hyperlink"/><Relationship Id="rId413" Target="http%3A%2F%2Fdx.doi.org%2F10.7717%2Fpeerj-cs.3853" TargetMode="External" Type="http://schemas.openxmlformats.org/officeDocument/2006/relationships/hyperlink"/><Relationship Id="rId414" Target="https%3A%2F%2Fwww.webofscience.com%2Fwos%2Fwoscc%2Ffull-record%2FWOS%3A001778786100001" TargetMode="External" Type="http://schemas.openxmlformats.org/officeDocument/2006/relationships/hyperlink"/><Relationship Id="rId415" Target="http%3A%2F%2Fdx.doi.org%2F10.3390%2Frobotics14080102" TargetMode="External" Type="http://schemas.openxmlformats.org/officeDocument/2006/relationships/hyperlink"/><Relationship Id="rId416" Target="https%3A%2F%2Fwww.webofscience.com%2Fwos%2Fwoscc%2Ffull-record%2FWOS%3A001558426000001" TargetMode="External" Type="http://schemas.openxmlformats.org/officeDocument/2006/relationships/hyperlink"/><Relationship Id="rId417" Target="http%3A%2F%2Fdx.doi.org%2F10.1038%2Fs41467-026-74207-5" TargetMode="External" Type="http://schemas.openxmlformats.org/officeDocument/2006/relationships/hyperlink"/><Relationship Id="rId418" Target="https%3A%2F%2Fwww.webofscience.com%2Fwos%2Fwoscc%2Ffull-record%2FWOS%3A001834924400009" TargetMode="External" Type="http://schemas.openxmlformats.org/officeDocument/2006/relationships/hyperlink"/><Relationship Id="rId419" Target="http%3A%2F%2Fdx.doi.org%2F10.1016%2Fj.eswa.2025.130082" TargetMode="External" Type="http://schemas.openxmlformats.org/officeDocument/2006/relationships/hyperlink"/><Relationship Id="rId42" Target="https%3A%2F%2Fwww.webofscience.com%2Fwos%2Fwoscc%2Ffull-record%2FWOS%3A001766822500004" TargetMode="External" Type="http://schemas.openxmlformats.org/officeDocument/2006/relationships/hyperlink"/><Relationship Id="rId420" Target="https%3A%2F%2Fwww.webofscience.com%2Fwos%2Fwoscc%2Ffull-record%2FWOS%3A001607937400002" TargetMode="External" Type="http://schemas.openxmlformats.org/officeDocument/2006/relationships/hyperlink"/><Relationship Id="rId421" Target="http%3A%2F%2Fdx.doi.org%2F10.1016%2Fj.neucom.2025.131817" TargetMode="External" Type="http://schemas.openxmlformats.org/officeDocument/2006/relationships/hyperlink"/><Relationship Id="rId422" Target="https%3A%2F%2Fwww.webofscience.com%2Fwos%2Fwoscc%2Ffull-record%2FWOS%3A001608619400012" TargetMode="External" Type="http://schemas.openxmlformats.org/officeDocument/2006/relationships/hyperlink"/><Relationship Id="rId423" Target="http%3A%2F%2Fdx.doi.org%2F10.1007%2Fs10278-026-02102-y" TargetMode="External" Type="http://schemas.openxmlformats.org/officeDocument/2006/relationships/hyperlink"/><Relationship Id="rId424" Target="https%3A%2F%2Fwww.webofscience.com%2Fwos%2Fwoscc%2Ffull-record%2FWOS%3A001813087100001" TargetMode="External" Type="http://schemas.openxmlformats.org/officeDocument/2006/relationships/hyperlink"/><Relationship Id="rId425" Target="http%3A%2F%2Fdx.doi.org%2F10.1016%2Fj.jdent.2026.106580" TargetMode="External" Type="http://schemas.openxmlformats.org/officeDocument/2006/relationships/hyperlink"/><Relationship Id="rId426" Target="https%3A%2F%2Fwww.webofscience.com%2Fwos%2Fwoscc%2Ffull-record%2FWOS%3A001701324800001" TargetMode="External" Type="http://schemas.openxmlformats.org/officeDocument/2006/relationships/hyperlink"/><Relationship Id="rId427" Target="http%3A%2F%2Fdx.doi.org%2F10.1016%2Fj.acra.2025.07.058" TargetMode="External" Type="http://schemas.openxmlformats.org/officeDocument/2006/relationships/hyperlink"/><Relationship Id="rId428" Target="https%3A%2F%2Fwww.webofscience.com%2Fwos%2Fwoscc%2Ffull-record%2FWOS%3A001615565000010" TargetMode="External" Type="http://schemas.openxmlformats.org/officeDocument/2006/relationships/hyperlink"/><Relationship Id="rId429" Target="http%3A%2F%2Fdx.doi.org%2F10.1016%2Fj.xops.2025.100934" TargetMode="External" Type="http://schemas.openxmlformats.org/officeDocument/2006/relationships/hyperlink"/><Relationship Id="rId43" Target="http%3A%2F%2Fdx.doi.org%2F10.1186%2Fs41747-026-00769-0" TargetMode="External" Type="http://schemas.openxmlformats.org/officeDocument/2006/relationships/hyperlink"/><Relationship Id="rId430" Target="https%3A%2F%2Fwww.webofscience.com%2Fwos%2Fwoscc%2Ffull-record%2FWOS%3A001591461800001" TargetMode="External" Type="http://schemas.openxmlformats.org/officeDocument/2006/relationships/hyperlink"/><Relationship Id="rId431" Target="http%3A%2F%2Fdx.doi.org%2F10.3389%2Ffmed.2026.1679203" TargetMode="External" Type="http://schemas.openxmlformats.org/officeDocument/2006/relationships/hyperlink"/><Relationship Id="rId432" Target="https%3A%2F%2Fwww.webofscience.com%2Fwos%2Fwoscc%2Ffull-record%2FWOS%3A001678471800001" TargetMode="External" Type="http://schemas.openxmlformats.org/officeDocument/2006/relationships/hyperlink"/><Relationship Id="rId433" Target="http%3A%2F%2Fdx.doi.org%2F10.1038%2Fs43856-026-01491-z" TargetMode="External" Type="http://schemas.openxmlformats.org/officeDocument/2006/relationships/hyperlink"/><Relationship Id="rId434" Target="https%3A%2F%2Fwww.webofscience.com%2Fwos%2Fwoscc%2Ffull-record%2FWOS%3A001745110700004" TargetMode="External" Type="http://schemas.openxmlformats.org/officeDocument/2006/relationships/hyperlink"/><Relationship Id="rId435" Target="http%3A%2F%2Fdx.doi.org%2F10.1038%2Fs41598-026-47871-2" TargetMode="External" Type="http://schemas.openxmlformats.org/officeDocument/2006/relationships/hyperlink"/><Relationship Id="rId436" Target="https%3A%2F%2Fwww.webofscience.com%2Fwos%2Fwoscc%2Ffull-record%2FWOS%3A001795902900001" TargetMode="External" Type="http://schemas.openxmlformats.org/officeDocument/2006/relationships/hyperlink"/><Relationship Id="rId437" Target="http%3A%2F%2Fdx.doi.org%2F10.1007%2Fs13755-026-00442-1" TargetMode="External" Type="http://schemas.openxmlformats.org/officeDocument/2006/relationships/hyperlink"/><Relationship Id="rId438" Target="https%3A%2F%2Fwww.webofscience.com%2Fwos%2Fwoscc%2Ffull-record%2FWOS%3A001732133400001" TargetMode="External" Type="http://schemas.openxmlformats.org/officeDocument/2006/relationships/hyperlink"/><Relationship Id="rId439" Target="http%3A%2F%2Fdx.doi.org%2F10.1016%2Fj.jbi.2026.105017" TargetMode="External" Type="http://schemas.openxmlformats.org/officeDocument/2006/relationships/hyperlink"/><Relationship Id="rId44" Target="https%3A%2F%2Fwww.webofscience.com%2Fwos%2Fwoscc%2Ffull-record%2FWOS%3A001809263900003" TargetMode="External" Type="http://schemas.openxmlformats.org/officeDocument/2006/relationships/hyperlink"/><Relationship Id="rId440" Target="https%3A%2F%2Fwww.webofscience.com%2Fwos%2Fwoscc%2Ffull-record%2FWOS%3A001729794300001" TargetMode="External" Type="http://schemas.openxmlformats.org/officeDocument/2006/relationships/hyperlink"/><Relationship Id="rId441" Target="http%3A%2F%2Fdx.doi.org%2F10.3390%2Fjcm15134932" TargetMode="External" Type="http://schemas.openxmlformats.org/officeDocument/2006/relationships/hyperlink"/><Relationship Id="rId442" Target="https%3A%2F%2Fwww.webofscience.com%2Fwos%2Fwoscc%2Ffull-record%2FWOS%3A001818612300001" TargetMode="External" Type="http://schemas.openxmlformats.org/officeDocument/2006/relationships/hyperlink"/><Relationship Id="rId443" Target="http%3A%2F%2Fdx.doi.org%2F10.1016%2Fj.displa.2025.103119" TargetMode="External" Type="http://schemas.openxmlformats.org/officeDocument/2006/relationships/hyperlink"/><Relationship Id="rId444" Target="https%3A%2F%2Fwww.webofscience.com%2Fwos%2Fwoscc%2Ffull-record%2FWOS%3A001513046400002" TargetMode="External" Type="http://schemas.openxmlformats.org/officeDocument/2006/relationships/hyperlink"/><Relationship Id="rId445" Target="http%3A%2F%2Fdx.doi.org%2F10.1007%2Fs00256-026-05322-z" TargetMode="External" Type="http://schemas.openxmlformats.org/officeDocument/2006/relationships/hyperlink"/><Relationship Id="rId446" Target="https%3A%2F%2Fwww.webofscience.com%2Fwos%2Fwoscc%2Ffull-record%2FWOS%3A001830779600001" TargetMode="External" Type="http://schemas.openxmlformats.org/officeDocument/2006/relationships/hyperlink"/><Relationship Id="rId447" Target="http%3A%2F%2Fdx.doi.org%2F10.3390%2Fdiagnostics16030476" TargetMode="External" Type="http://schemas.openxmlformats.org/officeDocument/2006/relationships/hyperlink"/><Relationship Id="rId448" Target="https%3A%2F%2Fwww.webofscience.com%2Fwos%2Fwoscc%2Ffull-record%2FWOS%3A001688240700001" TargetMode="External" Type="http://schemas.openxmlformats.org/officeDocument/2006/relationships/hyperlink"/><Relationship Id="rId449" Target="http%3A%2F%2Fdx.doi.org%2F10.1109%2FJBHI.2026.3663420" TargetMode="External" Type="http://schemas.openxmlformats.org/officeDocument/2006/relationships/hyperlink"/><Relationship Id="rId45" Target="http%3A%2F%2Fdx.doi.org%2F10.1109%2FTIM.2026.3671908" TargetMode="External" Type="http://schemas.openxmlformats.org/officeDocument/2006/relationships/hyperlink"/><Relationship Id="rId450" Target="https%3A%2F%2Fwww.webofscience.com%2Fwos%2Fwoscc%2Ffull-record%2FWOS%3A001841939400025" TargetMode="External" Type="http://schemas.openxmlformats.org/officeDocument/2006/relationships/hyperlink"/><Relationship Id="rId451" Target="http%3A%2F%2Fdx.doi.org%2F10.1002%2Fase.70256" TargetMode="External" Type="http://schemas.openxmlformats.org/officeDocument/2006/relationships/hyperlink"/><Relationship Id="rId452" Target="https%3A%2F%2Fwww.webofscience.com%2Fwos%2Fwoscc%2Ffull-record%2FWOS%3A001764564900001" TargetMode="External" Type="http://schemas.openxmlformats.org/officeDocument/2006/relationships/hyperlink"/><Relationship Id="rId453" Target="http%3A%2F%2Fdx.doi.org%2F10.1109%2FJBHI.2025.3609739" TargetMode="External" Type="http://schemas.openxmlformats.org/officeDocument/2006/relationships/hyperlink"/><Relationship Id="rId454" Target="https%3A%2F%2Fwww.webofscience.com%2Fwos%2Fwoscc%2Ffull-record%2FWOS%3A001684934200029" TargetMode="External" Type="http://schemas.openxmlformats.org/officeDocument/2006/relationships/hyperlink"/><Relationship Id="rId455" Target="http%3A%2F%2Fdx.doi.org%2F10.1016%2Fj.jbi.2025.104930" TargetMode="External" Type="http://schemas.openxmlformats.org/officeDocument/2006/relationships/hyperlink"/><Relationship Id="rId456" Target="https%3A%2F%2Fwww.webofscience.com%2Fwos%2Fwoscc%2Ffull-record%2FWOS%3A001612212500001" TargetMode="External" Type="http://schemas.openxmlformats.org/officeDocument/2006/relationships/hyperlink"/><Relationship Id="rId457" Target="http%3A%2F%2Fdx.doi.org%2F10.1177%2F20552076261473729" TargetMode="External" Type="http://schemas.openxmlformats.org/officeDocument/2006/relationships/hyperlink"/><Relationship Id="rId458" Target="https%3A%2F%2Fwww.webofscience.com%2Fwos%2Fwoscc%2Ffull-record%2FWOS%3A001829585600001" TargetMode="External" Type="http://schemas.openxmlformats.org/officeDocument/2006/relationships/hyperlink"/><Relationship Id="rId459" Target="http%3A%2F%2Fdx.doi.org%2F10.1007%2Fs00234-026-04084-8" TargetMode="External" Type="http://schemas.openxmlformats.org/officeDocument/2006/relationships/hyperlink"/><Relationship Id="rId46" Target="https%3A%2F%2Fwww.webofscience.com%2Fwos%2Fwoscc%2Ffull-record%2FWOS%3A001719525800010" TargetMode="External" Type="http://schemas.openxmlformats.org/officeDocument/2006/relationships/hyperlink"/><Relationship Id="rId460" Target="https%3A%2F%2Fwww.webofscience.com%2Fwos%2Fwoscc%2Ffull-record%2FWOS%3A001805248400001" TargetMode="External" Type="http://schemas.openxmlformats.org/officeDocument/2006/relationships/hyperlink"/><Relationship Id="rId461" Target="http%3A%2F%2Fdx.doi.org%2F10.1016%2Fj.acra.2024.10.035" TargetMode="External" Type="http://schemas.openxmlformats.org/officeDocument/2006/relationships/hyperlink"/><Relationship Id="rId462" Target="https%3A%2F%2Fwww.webofscience.com%2Fwos%2Fwoscc%2Ffull-record%2FWOS%3A001476992800001" TargetMode="External" Type="http://schemas.openxmlformats.org/officeDocument/2006/relationships/hyperlink"/><Relationship Id="rId463" Target="http%3A%2F%2Fdx.doi.org%2F10.1097%2FCIN.0000000000001485" TargetMode="External" Type="http://schemas.openxmlformats.org/officeDocument/2006/relationships/hyperlink"/><Relationship Id="rId464" Target="https%3A%2F%2Fwww.webofscience.com%2Fwos%2Fwoscc%2Ffull-record%2FWOS%3A001844344900001" TargetMode="External" Type="http://schemas.openxmlformats.org/officeDocument/2006/relationships/hyperlink"/><Relationship Id="rId465" Target="http%3A%2F%2Fdx.doi.org%2F10.3748%2Fwjg.v31.i31.109948" TargetMode="External" Type="http://schemas.openxmlformats.org/officeDocument/2006/relationships/hyperlink"/><Relationship Id="rId466" Target="https%3A%2F%2Fwww.webofscience.com%2Fwos%2Fwoscc%2Ffull-record%2FWOS%3A001558890600007" TargetMode="External" Type="http://schemas.openxmlformats.org/officeDocument/2006/relationships/hyperlink"/><Relationship Id="rId467" Target="http%3A%2F%2Fdx.doi.org%2F10.1007%2Fs00330-025-11929-y" TargetMode="External" Type="http://schemas.openxmlformats.org/officeDocument/2006/relationships/hyperlink"/><Relationship Id="rId468" Target="https%3A%2F%2Fwww.webofscience.com%2Fwos%2Fwoscc%2Ffull-record%2FWOS%3A001551600800001" TargetMode="External" Type="http://schemas.openxmlformats.org/officeDocument/2006/relationships/hyperlink"/><Relationship Id="rId469" Target="http%3A%2F%2Fdx.doi.org%2F10.1371%2Fjournal.pdig.0001179" TargetMode="External" Type="http://schemas.openxmlformats.org/officeDocument/2006/relationships/hyperlink"/><Relationship Id="rId47" Target="http%3A%2F%2Fdx.doi.org%2F10.1002%2Fadvs.202403578" TargetMode="External" Type="http://schemas.openxmlformats.org/officeDocument/2006/relationships/hyperlink"/><Relationship Id="rId470" Target="https%3A%2F%2Fwww.webofscience.com%2Fwos%2Fwoscc%2Ffull-record%2FWOS%3A001660541100004" TargetMode="External" Type="http://schemas.openxmlformats.org/officeDocument/2006/relationships/hyperlink"/><Relationship Id="rId471" Target="http%3A%2F%2Fdx.doi.org%2F10.1145%2F3796722" TargetMode="External" Type="http://schemas.openxmlformats.org/officeDocument/2006/relationships/hyperlink"/><Relationship Id="rId472" Target="https%3A%2F%2Fwww.webofscience.com%2Fwos%2Fwoscc%2Ffull-record%2FWOS%3A001772908000001" TargetMode="External" Type="http://schemas.openxmlformats.org/officeDocument/2006/relationships/hyperlink"/><Relationship Id="rId473" Target="http%3A%2F%2Fdx.doi.org%2F10.1016%2Fj.apjo.2026.100352" TargetMode="External" Type="http://schemas.openxmlformats.org/officeDocument/2006/relationships/hyperlink"/><Relationship Id="rId474" Target="https%3A%2F%2Fwww.webofscience.com%2Fwos%2Fwoscc%2Ffull-record%2FWOS%3A001848318500001" TargetMode="External" Type="http://schemas.openxmlformats.org/officeDocument/2006/relationships/hyperlink"/><Relationship Id="rId475" Target="http%3A%2F%2Fdx.doi.org%2F10.1016%2Fj.xops.2025.100911" TargetMode="External" Type="http://schemas.openxmlformats.org/officeDocument/2006/relationships/hyperlink"/><Relationship Id="rId476" Target="https%3A%2F%2Fwww.webofscience.com%2Fwos%2Fwoscc%2Ffull-record%2FWOS%3A001576792300002" TargetMode="External" Type="http://schemas.openxmlformats.org/officeDocument/2006/relationships/hyperlink"/><Relationship Id="rId477" Target="http%3A%2F%2Fdx.doi.org%2F10.2196%2F87193" TargetMode="External" Type="http://schemas.openxmlformats.org/officeDocument/2006/relationships/hyperlink"/><Relationship Id="rId478" Target="https%3A%2F%2Fwww.webofscience.com%2Fwos%2Fwoscc%2Ffull-record%2FWOS%3A001682179600006" TargetMode="External" Type="http://schemas.openxmlformats.org/officeDocument/2006/relationships/hyperlink"/><Relationship Id="rId479" Target="http%3A%2F%2Fdx.doi.org%2F10.1038%2Fs43856-026-01447-3" TargetMode="External" Type="http://schemas.openxmlformats.org/officeDocument/2006/relationships/hyperlink"/><Relationship Id="rId48" Target="https%3A%2F%2Fwww.webofscience.com%2Fwos%2Fwoscc%2Ffull-record%2FWOS%3A001263739000001" TargetMode="External" Type="http://schemas.openxmlformats.org/officeDocument/2006/relationships/hyperlink"/><Relationship Id="rId480" Target="https%3A%2F%2Fwww.webofscience.com%2Fwos%2Fwoscc%2Ffull-record%2FWOS%3A001728989400001" TargetMode="External" Type="http://schemas.openxmlformats.org/officeDocument/2006/relationships/hyperlink"/><Relationship Id="rId481" Target="http%3A%2F%2Fdx.doi.org%2F10.1186%2Fs12909-025-07938-6" TargetMode="External" Type="http://schemas.openxmlformats.org/officeDocument/2006/relationships/hyperlink"/><Relationship Id="rId482" Target="https%3A%2F%2Fwww.webofscience.com%2Fwos%2Fwoscc%2Ffull-record%2FWOS%3A001591468500010" TargetMode="External" Type="http://schemas.openxmlformats.org/officeDocument/2006/relationships/hyperlink"/><Relationship Id="rId483" Target="http%3A%2F%2Fdx.doi.org%2F10.1016%2Fj.ortho.2026.101216" TargetMode="External" Type="http://schemas.openxmlformats.org/officeDocument/2006/relationships/hyperlink"/><Relationship Id="rId484" Target="https%3A%2F%2Fwww.webofscience.com%2Fwos%2Fwoscc%2Ffull-record%2FWOS%3A001837302000001" TargetMode="External" Type="http://schemas.openxmlformats.org/officeDocument/2006/relationships/hyperlink"/><Relationship Id="rId485" Target="http%3A%2F%2Fdx.doi.org%2F10.1186%2Fs12903-026-08870-x" TargetMode="External" Type="http://schemas.openxmlformats.org/officeDocument/2006/relationships/hyperlink"/><Relationship Id="rId486" Target="https%3A%2F%2Fwww.webofscience.com%2Fwos%2Fwoscc%2Ffull-record%2FWOS%3A001848747800003" TargetMode="External" Type="http://schemas.openxmlformats.org/officeDocument/2006/relationships/hyperlink"/><Relationship Id="rId487" Target="http%3A%2F%2Fdx.doi.org%2F10.1038%2Fs43856-025-01159-0" TargetMode="External" Type="http://schemas.openxmlformats.org/officeDocument/2006/relationships/hyperlink"/><Relationship Id="rId488" Target="https%3A%2F%2Fwww.webofscience.com%2Fwos%2Fwoscc%2Ffull-record%2FWOS%3A001609118600002" TargetMode="External" Type="http://schemas.openxmlformats.org/officeDocument/2006/relationships/hyperlink"/><Relationship Id="rId489" Target="http%3A%2F%2Fdx.doi.org%2F10.3390%2Fdiagnostics16132131" TargetMode="External" Type="http://schemas.openxmlformats.org/officeDocument/2006/relationships/hyperlink"/><Relationship Id="rId49" Target="http%3A%2F%2Fdx.doi.org%2F10.1007%2Fs13755-025-00389-9" TargetMode="External" Type="http://schemas.openxmlformats.org/officeDocument/2006/relationships/hyperlink"/><Relationship Id="rId490" Target="https%3A%2F%2Fwww.webofscience.com%2Fwos%2Fwoscc%2Ffull-record%2FWOS%3A001817948400001" TargetMode="External" Type="http://schemas.openxmlformats.org/officeDocument/2006/relationships/hyperlink"/><Relationship Id="rId491" Target="http%3A%2F%2Fdx.doi.org%2F10.3390%2Flife16040681" TargetMode="External" Type="http://schemas.openxmlformats.org/officeDocument/2006/relationships/hyperlink"/><Relationship Id="rId492" Target="https%3A%2F%2Fwww.webofscience.com%2Fwos%2Fwoscc%2Ffull-record%2FWOS%3A001750838300001" TargetMode="External" Type="http://schemas.openxmlformats.org/officeDocument/2006/relationships/hyperlink"/><Relationship Id="rId493" Target="http%3A%2F%2Fdx.doi.org%2F10.1007%2Fs41666-025-00224-6" TargetMode="External" Type="http://schemas.openxmlformats.org/officeDocument/2006/relationships/hyperlink"/><Relationship Id="rId494" Target="https%3A%2F%2Fwww.webofscience.com%2Fwos%2Fwoscc%2Ffull-record%2FWOS%3A001616958000001" TargetMode="External" Type="http://schemas.openxmlformats.org/officeDocument/2006/relationships/hyperlink"/><Relationship Id="rId495" Target="http%3A%2F%2Fdx.doi.org%2F10.3390%2Fdiagnostics16111602" TargetMode="External" Type="http://schemas.openxmlformats.org/officeDocument/2006/relationships/hyperlink"/><Relationship Id="rId496" Target="https%3A%2F%2Fwww.webofscience.com%2Fwos%2Fwoscc%2Ffull-record%2FWOS%3A001790700000001" TargetMode="External" Type="http://schemas.openxmlformats.org/officeDocument/2006/relationships/hyperlink"/><Relationship Id="rId497" Target="http%3A%2F%2Fdx.doi.org%2F10.3348%2Fkjr.2025.1045" TargetMode="External" Type="http://schemas.openxmlformats.org/officeDocument/2006/relationships/hyperlink"/><Relationship Id="rId498" Target="https%3A%2F%2Fwww.webofscience.com%2Fwos%2Fwoscc%2Ffull-record%2FWOS%3A001699173100005" TargetMode="External" Type="http://schemas.openxmlformats.org/officeDocument/2006/relationships/hyperlink"/><Relationship Id="rId499" Target="http%3A%2F%2Fdx.doi.org%2F10.1016%2Fj.jds.2025.03.018" TargetMode="External" Type="http://schemas.openxmlformats.org/officeDocument/2006/relationships/hyperlink"/><Relationship Id="rId5" Target="http%3A%2F%2Fdx.doi.org%2F10.1038%2Fs41746-026-02676-5" TargetMode="External" Type="http://schemas.openxmlformats.org/officeDocument/2006/relationships/hyperlink"/><Relationship Id="rId50" Target="https%3A%2F%2Fwww.webofscience.com%2Fwos%2Fwoscc%2Ffull-record%2FWOS%3A001606408600002" TargetMode="External" Type="http://schemas.openxmlformats.org/officeDocument/2006/relationships/hyperlink"/><Relationship Id="rId500" Target="https%3A%2F%2Fwww.webofscience.com%2Fwos%2Fwoscc%2Ffull-record%2FWOS%3A001584173700033" TargetMode="External" Type="http://schemas.openxmlformats.org/officeDocument/2006/relationships/hyperlink"/><Relationship Id="rId501" Target="http%3A%2F%2Fdx.doi.org%2F10.3748%2Fwjg.118690" TargetMode="External" Type="http://schemas.openxmlformats.org/officeDocument/2006/relationships/hyperlink"/><Relationship Id="rId502" Target="https%3A%2F%2Fwww.webofscience.com%2Fwos%2Fwoscc%2Ffull-record%2FWOS%3A001809817100002" TargetMode="External" Type="http://schemas.openxmlformats.org/officeDocument/2006/relationships/hyperlink"/><Relationship Id="rId503" Target="http%3A%2F%2Fdx.doi.org%2F10.3390%2Fjimaging12030111" TargetMode="External" Type="http://schemas.openxmlformats.org/officeDocument/2006/relationships/hyperlink"/><Relationship Id="rId504" Target="https%3A%2F%2Fwww.webofscience.com%2Fwos%2Fwoscc%2Ffull-record%2FWOS%3A001725739200001" TargetMode="External" Type="http://schemas.openxmlformats.org/officeDocument/2006/relationships/hyperlink"/><Relationship Id="rId505" Target="http%3A%2F%2Fdx.doi.org%2F10.1002%2Faisy.70486" TargetMode="External" Type="http://schemas.openxmlformats.org/officeDocument/2006/relationships/hyperlink"/><Relationship Id="rId506" Target="https%3A%2F%2Fwww.webofscience.com%2Fwos%2Fwoscc%2Ffull-record%2FWOS%3A001828246100001" TargetMode="External" Type="http://schemas.openxmlformats.org/officeDocument/2006/relationships/hyperlink"/><Relationship Id="rId507" Target="http%3A%2F%2Fdx.doi.org%2F10.1145%2F3659624" TargetMode="External" Type="http://schemas.openxmlformats.org/officeDocument/2006/relationships/hyperlink"/><Relationship Id="rId508" Target="https%3A%2F%2Fwww.webofscience.com%2Fwos%2Fwoscc%2Ffull-record%2FWOS%3A001229316000031" TargetMode="External" Type="http://schemas.openxmlformats.org/officeDocument/2006/relationships/hyperlink"/><Relationship Id="rId509" Target="http%3A%2F%2Fdx.doi.org%2F10.1038%2Fs41598-026-46333-z" TargetMode="External" Type="http://schemas.openxmlformats.org/officeDocument/2006/relationships/hyperlink"/><Relationship Id="rId51" Target="http%3A%2F%2Fdx.doi.org%2F10.1109%2FJBHI.2025.3604595" TargetMode="External" Type="http://schemas.openxmlformats.org/officeDocument/2006/relationships/hyperlink"/><Relationship Id="rId510" Target="https%3A%2F%2Fwww.webofscience.com%2Fwos%2Fwoscc%2Ffull-record%2FWOS%3A001736167900017" TargetMode="External" Type="http://schemas.openxmlformats.org/officeDocument/2006/relationships/hyperlink"/><Relationship Id="rId511" Target="http%3A%2F%2Fdx.doi.org%2F10.1016%2Fj.jbi.2025.104945" TargetMode="External" Type="http://schemas.openxmlformats.org/officeDocument/2006/relationships/hyperlink"/><Relationship Id="rId512" Target="https%3A%2F%2Fwww.webofscience.com%2Fwos%2Fwoscc%2Ffull-record%2FWOS%3A001611346000001" TargetMode="External" Type="http://schemas.openxmlformats.org/officeDocument/2006/relationships/hyperlink"/><Relationship Id="rId513" Target="http%3A%2F%2Fdx.doi.org%2F10.1038%2Fs41598-026-58763-w" TargetMode="External" Type="http://schemas.openxmlformats.org/officeDocument/2006/relationships/hyperlink"/><Relationship Id="rId514" Target="https%3A%2F%2Fwww.webofscience.com%2Fwos%2Fwoscc%2Ffull-record%2FWOS%3A001796772800006" TargetMode="External" Type="http://schemas.openxmlformats.org/officeDocument/2006/relationships/hyperlink"/><Relationship Id="rId515" Target="http%3A%2F%2Fdx.doi.org%2F10.1111%2Fipd.70029" TargetMode="External" Type="http://schemas.openxmlformats.org/officeDocument/2006/relationships/hyperlink"/><Relationship Id="rId516" Target="https%3A%2F%2Fwww.webofscience.com%2Fwos%2Fwoscc%2Ffull-record%2FWOS%3A001572094000001" TargetMode="External" Type="http://schemas.openxmlformats.org/officeDocument/2006/relationships/hyperlink"/><Relationship Id="rId517" Target="http%3A%2F%2Fdx.doi.org%2F10.4258%2Fhir.2025.31.4.416" TargetMode="External" Type="http://schemas.openxmlformats.org/officeDocument/2006/relationships/hyperlink"/><Relationship Id="rId518" Target="https%3A%2F%2Fwww.webofscience.com%2Fwos%2Fwoscc%2Ffull-record%2FWOS%3A001620298200010" TargetMode="External" Type="http://schemas.openxmlformats.org/officeDocument/2006/relationships/hyperlink"/><Relationship Id="rId519" Target="http%3A%2F%2Fdx.doi.org%2F10.1016%2Fj.diii.2025.04.006" TargetMode="External" Type="http://schemas.openxmlformats.org/officeDocument/2006/relationships/hyperlink"/><Relationship Id="rId52" Target="https%3A%2F%2Fwww.webofscience.com%2Fwos%2Fwoscc%2Ffull-record%2FWOS%3A001708168300046" TargetMode="External" Type="http://schemas.openxmlformats.org/officeDocument/2006/relationships/hyperlink"/><Relationship Id="rId520" Target="https%3A%2F%2Fwww.webofscience.com%2Fwos%2Fwoscc%2Ffull-record%2FWOS%3A001592245600004" TargetMode="External" Type="http://schemas.openxmlformats.org/officeDocument/2006/relationships/hyperlink"/><Relationship Id="rId521" Target="http%3A%2F%2Fdx.doi.org%2F10.3390%2Fmedsci14020315" TargetMode="External" Type="http://schemas.openxmlformats.org/officeDocument/2006/relationships/hyperlink"/><Relationship Id="rId522" Target="https%3A%2F%2Fwww.webofscience.com%2Fwos%2Fwoscc%2Ffull-record%2FWOS%3A001804701500001" TargetMode="External" Type="http://schemas.openxmlformats.org/officeDocument/2006/relationships/hyperlink"/><Relationship Id="rId523" Target="http%3A%2F%2Fdx.doi.org%2F10.1136%2Fbjo-2025-328867" TargetMode="External" Type="http://schemas.openxmlformats.org/officeDocument/2006/relationships/hyperlink"/><Relationship Id="rId524" Target="https%3A%2F%2Fwww.webofscience.com%2Fwos%2Fwoscc%2Ffull-record%2FWOS%3A001736055100001" TargetMode="External" Type="http://schemas.openxmlformats.org/officeDocument/2006/relationships/hyperlink"/><Relationship Id="rId525" Target="http%3A%2F%2Fdx.doi.org%2F10.1093%2Fasjof%2Fojag112" TargetMode="External" Type="http://schemas.openxmlformats.org/officeDocument/2006/relationships/hyperlink"/><Relationship Id="rId526" Target="https%3A%2F%2Fwww.webofscience.com%2Fwos%2Fwoscc%2Ffull-record%2FWOS%3A001810780200001" TargetMode="External" Type="http://schemas.openxmlformats.org/officeDocument/2006/relationships/hyperlink"/><Relationship Id="rId527" Target="http%3A%2F%2Fdx.doi.org%2F10.3390%2Fdiagnostics16091258" TargetMode="External" Type="http://schemas.openxmlformats.org/officeDocument/2006/relationships/hyperlink"/><Relationship Id="rId528" Target="https%3A%2F%2Fwww.webofscience.com%2Fwos%2Fwoscc%2Ffull-record%2FWOS%3A001764073400001" TargetMode="External" Type="http://schemas.openxmlformats.org/officeDocument/2006/relationships/hyperlink"/><Relationship Id="rId529" Target="http%3A%2F%2Fdx.doi.org%2F10.2196%2F77591" TargetMode="External" Type="http://schemas.openxmlformats.org/officeDocument/2006/relationships/hyperlink"/><Relationship Id="rId53" Target="http%3A%2F%2Fdx.doi.org%2F10.1038%2Fs41746-026-02602-9" TargetMode="External" Type="http://schemas.openxmlformats.org/officeDocument/2006/relationships/hyperlink"/><Relationship Id="rId530" Target="https%3A%2F%2Fwww.webofscience.com%2Fwos%2Fwoscc%2Ffull-record%2FWOS%3A001766157800001" TargetMode="External" Type="http://schemas.openxmlformats.org/officeDocument/2006/relationships/hyperlink"/><Relationship Id="rId531" Target="http%3A%2F%2Fdx.doi.org%2F10.1016%2Fj.eswa.2026.133541" TargetMode="External" Type="http://schemas.openxmlformats.org/officeDocument/2006/relationships/hyperlink"/><Relationship Id="rId532" Target="https%3A%2F%2Fwww.webofscience.com%2Fwos%2Fwoscc%2Ffull-record%2FWOS%3A001825590100001" TargetMode="External" Type="http://schemas.openxmlformats.org/officeDocument/2006/relationships/hyperlink"/><Relationship Id="rId533" Target="http%3A%2F%2Fdx.doi.org%2F10.1109%2FTNNLS.2025.3587687" TargetMode="External" Type="http://schemas.openxmlformats.org/officeDocument/2006/relationships/hyperlink"/><Relationship Id="rId534" Target="https%3A%2F%2Fwww.webofscience.com%2Fwos%2Fwoscc%2Ffull-record%2FWOS%3A001542544300001" TargetMode="External" Type="http://schemas.openxmlformats.org/officeDocument/2006/relationships/hyperlink"/><Relationship Id="rId535" Target="http%3A%2F%2Fdx.doi.org%2F10.1109%2FACCESS.2026.3684872" TargetMode="External" Type="http://schemas.openxmlformats.org/officeDocument/2006/relationships/hyperlink"/><Relationship Id="rId536" Target="https%3A%2F%2Fwww.webofscience.com%2Fwos%2Fwoscc%2Ffull-record%2FWOS%3A001765032000027" TargetMode="External" Type="http://schemas.openxmlformats.org/officeDocument/2006/relationships/hyperlink"/><Relationship Id="rId537" Target="http%3A%2F%2Fdx.doi.org%2F10.1007%2Fs00296-026-06205-1" TargetMode="External" Type="http://schemas.openxmlformats.org/officeDocument/2006/relationships/hyperlink"/><Relationship Id="rId538" Target="https%3A%2F%2Fwww.webofscience.com%2Fwos%2Fwoscc%2Ffull-record%2FWOS%3A001815850500004" TargetMode="External" Type="http://schemas.openxmlformats.org/officeDocument/2006/relationships/hyperlink"/><Relationship Id="rId539" Target="http%3A%2F%2Fdx.doi.org%2F10.1155%2Fint%2F6065038" TargetMode="External" Type="http://schemas.openxmlformats.org/officeDocument/2006/relationships/hyperlink"/><Relationship Id="rId54" Target="https%3A%2F%2Fwww.webofscience.com%2Fwos%2Fwoscc%2Ffull-record%2FWOS%3A001790372400002" TargetMode="External" Type="http://schemas.openxmlformats.org/officeDocument/2006/relationships/hyperlink"/><Relationship Id="rId540" Target="https%3A%2F%2Fwww.webofscience.com%2Fwos%2Fwoscc%2Ffull-record%2FWOS%3A001840309000001" TargetMode="External" Type="http://schemas.openxmlformats.org/officeDocument/2006/relationships/hyperlink"/><Relationship Id="rId541" Target="http%3A%2F%2Fdx.doi.org%2F10.1016%2Fj.bjps.2026.05.070" TargetMode="External" Type="http://schemas.openxmlformats.org/officeDocument/2006/relationships/hyperlink"/><Relationship Id="rId542" Target="https%3A%2F%2Fwww.webofscience.com%2Fwos%2Fwoscc%2Ffull-record%2FWOS%3A001834638500001" TargetMode="External" Type="http://schemas.openxmlformats.org/officeDocument/2006/relationships/hyperlink"/><Relationship Id="rId543" Target="http%3A%2F%2Fdx.doi.org%2F10.3390%2Fbs16050822" TargetMode="External" Type="http://schemas.openxmlformats.org/officeDocument/2006/relationships/hyperlink"/><Relationship Id="rId544" Target="https%3A%2F%2Fwww.webofscience.com%2Fwos%2Fwoscc%2Ffull-record%2FWOS%3A001774850900001" TargetMode="External" Type="http://schemas.openxmlformats.org/officeDocument/2006/relationships/hyperlink"/><Relationship Id="rId545" Target="http%3A%2F%2Fdx.doi.org%2F10.1097%2FJS9.0000000000002234" TargetMode="External" Type="http://schemas.openxmlformats.org/officeDocument/2006/relationships/hyperlink"/><Relationship Id="rId546" Target="https%3A%2F%2Fwww.webofscience.com%2Fwos%2Fwoscc%2Ffull-record%2FWOS%3A001445062100017" TargetMode="External" Type="http://schemas.openxmlformats.org/officeDocument/2006/relationships/hyperlink"/><Relationship Id="rId547" Target="http%3A%2F%2Fdx.doi.org%2F10.1038%2Fs41598-026-65667-2" TargetMode="External" Type="http://schemas.openxmlformats.org/officeDocument/2006/relationships/hyperlink"/><Relationship Id="rId548" Target="https%3A%2F%2Fwww.webofscience.com%2Fwos%2Fwoscc%2Ffull-record%2FWOS%3A001850002300009" TargetMode="External" Type="http://schemas.openxmlformats.org/officeDocument/2006/relationships/hyperlink"/><Relationship Id="rId549" Target="http%3A%2F%2Fdx.doi.org%2F10.3390%2Fdiagnostics16030487" TargetMode="External" Type="http://schemas.openxmlformats.org/officeDocument/2006/relationships/hyperlink"/><Relationship Id="rId55" Target="http%3A%2F%2Fdx.doi.org%2F10.1109%2FACCESS.2025.3606961" TargetMode="External" Type="http://schemas.openxmlformats.org/officeDocument/2006/relationships/hyperlink"/><Relationship Id="rId550" Target="https%3A%2F%2Fwww.webofscience.com%2Fwos%2Fwoscc%2Ffull-record%2FWOS%3A001688357600001" TargetMode="External" Type="http://schemas.openxmlformats.org/officeDocument/2006/relationships/hyperlink"/><Relationship Id="rId551" Target="http%3A%2F%2Fdx.doi.org%2F10.3390%2Fdiagnostics16081171" TargetMode="External" Type="http://schemas.openxmlformats.org/officeDocument/2006/relationships/hyperlink"/><Relationship Id="rId552" Target="https%3A%2F%2Fwww.webofscience.com%2Fwos%2Fwoscc%2Ffull-record%2FWOS%3A001751797300001" TargetMode="External" Type="http://schemas.openxmlformats.org/officeDocument/2006/relationships/hyperlink"/><Relationship Id="rId553" Target="http%3A%2F%2Fdx.doi.org%2F10.1186%2Fs12890-026-04151-z" TargetMode="External" Type="http://schemas.openxmlformats.org/officeDocument/2006/relationships/hyperlink"/><Relationship Id="rId554" Target="https%3A%2F%2Fwww.webofscience.com%2Fwos%2Fwoscc%2Ffull-record%2FWOS%3A001712424100002" TargetMode="External" Type="http://schemas.openxmlformats.org/officeDocument/2006/relationships/hyperlink"/><Relationship Id="rId555" Target="http%3A%2F%2Fdx.doi.org%2F10.2196%2F92183" TargetMode="External" Type="http://schemas.openxmlformats.org/officeDocument/2006/relationships/hyperlink"/><Relationship Id="rId556" Target="https%3A%2F%2Fwww.webofscience.com%2Fwos%2Fwoscc%2Ffull-record%2FWOS%3A001849568300010" TargetMode="External" Type="http://schemas.openxmlformats.org/officeDocument/2006/relationships/hyperlink"/><Relationship Id="rId557" Target="http%3A%2F%2Fdx.doi.org%2F10.1002%2Faisy.202500085" TargetMode="External" Type="http://schemas.openxmlformats.org/officeDocument/2006/relationships/hyperlink"/><Relationship Id="rId558" Target="https%3A%2F%2Fwww.webofscience.com%2Fwos%2Fwoscc%2Ffull-record%2FWOS%3A001533170300001" TargetMode="External" Type="http://schemas.openxmlformats.org/officeDocument/2006/relationships/hyperlink"/><Relationship Id="rId559" Target="http%3A%2F%2Fdx.doi.org%2F10.34133%2Fcbsystems.0501" TargetMode="External" Type="http://schemas.openxmlformats.org/officeDocument/2006/relationships/hyperlink"/><Relationship Id="rId56" Target="https%3A%2F%2Fwww.webofscience.com%2Fwos%2Fwoscc%2Ffull-record%2FWOS%3A001571485600045" TargetMode="External" Type="http://schemas.openxmlformats.org/officeDocument/2006/relationships/hyperlink"/><Relationship Id="rId560" Target="https%3A%2F%2Fwww.webofscience.com%2Fwos%2Fwoscc%2Ffull-record%2FWOS%3A001702996600001" TargetMode="External" Type="http://schemas.openxmlformats.org/officeDocument/2006/relationships/hyperlink"/><Relationship Id="rId561" Target="http%3A%2F%2Fdx.doi.org%2F10.3390%2Fdiagnostics15151851" TargetMode="External" Type="http://schemas.openxmlformats.org/officeDocument/2006/relationships/hyperlink"/><Relationship Id="rId562" Target="https%3A%2F%2Fwww.webofscience.com%2Fwos%2Fwoscc%2Ffull-record%2FWOS%3A001551179100001" TargetMode="External" Type="http://schemas.openxmlformats.org/officeDocument/2006/relationships/hyperlink"/><Relationship Id="rId563" Target="http%3A%2F%2Fdx.doi.org%2F10.1007%2Fs11432-024-4416-8" TargetMode="External" Type="http://schemas.openxmlformats.org/officeDocument/2006/relationships/hyperlink"/><Relationship Id="rId564" Target="https%3A%2F%2Fwww.webofscience.com%2Fwos%2Fwoscc%2Ffull-record%2FWOS%3A001592016500001" TargetMode="External" Type="http://schemas.openxmlformats.org/officeDocument/2006/relationships/hyperlink"/><Relationship Id="rId565" Target="http%3A%2F%2Fdx.doi.org%2F10.3390%2Fdiagnostics16030424" TargetMode="External" Type="http://schemas.openxmlformats.org/officeDocument/2006/relationships/hyperlink"/><Relationship Id="rId566" Target="https%3A%2F%2Fwww.webofscience.com%2Fwos%2Fwoscc%2Ffull-record%2FWOS%3A001688358400001" TargetMode="External" Type="http://schemas.openxmlformats.org/officeDocument/2006/relationships/hyperlink"/><Relationship Id="rId567" Target="http%3A%2F%2Fdx.doi.org%2F10.3390%2Fapp16084046" TargetMode="External" Type="http://schemas.openxmlformats.org/officeDocument/2006/relationships/hyperlink"/><Relationship Id="rId568" Target="https%3A%2F%2Fwww.webofscience.com%2Fwos%2Fwoscc%2Ffull-record%2FWOS%3A001750823600001" TargetMode="External" Type="http://schemas.openxmlformats.org/officeDocument/2006/relationships/hyperlink"/><Relationship Id="rId569" Target="http%3A%2F%2Fdx.doi.org%2F10.1016%2Fj.tvjl.2025.106476" TargetMode="External" Type="http://schemas.openxmlformats.org/officeDocument/2006/relationships/hyperlink"/><Relationship Id="rId57" Target="http%3A%2F%2Fdx.doi.org%2F10.1038%2Fs41598-025-91802-6" TargetMode="External" Type="http://schemas.openxmlformats.org/officeDocument/2006/relationships/hyperlink"/><Relationship Id="rId570" Target="https%3A%2F%2Fwww.webofscience.com%2Fwos%2Fwoscc%2Ffull-record%2FWOS%3A001615213200001" TargetMode="External" Type="http://schemas.openxmlformats.org/officeDocument/2006/relationships/hyperlink"/><Relationship Id="rId571" Target="http%3A%2F%2Fdx.doi.org%2F10.1038%2Fs41598-025-18306-1" TargetMode="External" Type="http://schemas.openxmlformats.org/officeDocument/2006/relationships/hyperlink"/><Relationship Id="rId572" Target="https%3A%2F%2Fwww.webofscience.com%2Fwos%2Fwoscc%2Ffull-record%2FWOS%3A001582556200018" TargetMode="External" Type="http://schemas.openxmlformats.org/officeDocument/2006/relationships/hyperlink"/><Relationship Id="rId573" Target="http%3A%2F%2Fdx.doi.org%2F10.1167%2Ftvst.14.10.13" TargetMode="External" Type="http://schemas.openxmlformats.org/officeDocument/2006/relationships/hyperlink"/><Relationship Id="rId574" Target="https%3A%2F%2Fwww.webofscience.com%2Fwos%2Fwoscc%2Ffull-record%2FWOS%3A001630844000004" TargetMode="External" Type="http://schemas.openxmlformats.org/officeDocument/2006/relationships/hyperlink"/><Relationship Id="rId575" Target="http%3A%2F%2Fdx.doi.org%2F10.1016%2Fj.inffus.2025.104027" TargetMode="External" Type="http://schemas.openxmlformats.org/officeDocument/2006/relationships/hyperlink"/><Relationship Id="rId576" Target="https%3A%2F%2Fwww.webofscience.com%2Fwos%2Fwoscc%2Ffull-record%2FWOS%3A001651923100001" TargetMode="External" Type="http://schemas.openxmlformats.org/officeDocument/2006/relationships/hyperlink"/><Relationship Id="rId577" Target="http%3A%2F%2Fdx.doi.org%2F10.1371%2Fjournal.pdig.0001306" TargetMode="External" Type="http://schemas.openxmlformats.org/officeDocument/2006/relationships/hyperlink"/><Relationship Id="rId578" Target="https%3A%2F%2Fwww.webofscience.com%2Fwos%2Fwoscc%2Ffull-record%2FWOS%3A001719492400002" TargetMode="External" Type="http://schemas.openxmlformats.org/officeDocument/2006/relationships/hyperlink"/><Relationship Id="rId579" Target="http%3A%2F%2Fdx.doi.org%2F10.1093%2Fdmfr%2Ftwaf083" TargetMode="External" Type="http://schemas.openxmlformats.org/officeDocument/2006/relationships/hyperlink"/><Relationship Id="rId58" Target="https%3A%2F%2Fwww.webofscience.com%2Fwos%2Fwoscc%2Ffull-record%2FWOS%3A001436409500001" TargetMode="External" Type="http://schemas.openxmlformats.org/officeDocument/2006/relationships/hyperlink"/><Relationship Id="rId580" Target="https%3A%2F%2Fwww.webofscience.com%2Fwos%2Fwoscc%2Ffull-record%2FWOS%3A001644509600001" TargetMode="External" Type="http://schemas.openxmlformats.org/officeDocument/2006/relationships/hyperlink"/><Relationship Id="rId581" Target="http%3A%2F%2Fdx.doi.org%2F10.34133%2Fhds.0256" TargetMode="External" Type="http://schemas.openxmlformats.org/officeDocument/2006/relationships/hyperlink"/><Relationship Id="rId582" Target="https%3A%2F%2Fwww.webofscience.com%2Fwos%2Fwoscc%2Ffull-record%2FWOS%3A001547513100001" TargetMode="External" Type="http://schemas.openxmlformats.org/officeDocument/2006/relationships/hyperlink"/><Relationship Id="rId583" Target="http%3A%2F%2Fdx.doi.org%2F10.1007%2Fs11604-025-01861-y" TargetMode="External" Type="http://schemas.openxmlformats.org/officeDocument/2006/relationships/hyperlink"/><Relationship Id="rId584" Target="https%3A%2F%2Fwww.webofscience.com%2Fwos%2Fwoscc%2Ffull-record%2FWOS%3A001570164200001" TargetMode="External" Type="http://schemas.openxmlformats.org/officeDocument/2006/relationships/hyperlink"/><Relationship Id="rId585" Target="http%3A%2F%2Fdx.doi.org%2F10.3389%2Ffmed.2026.1864498" TargetMode="External" Type="http://schemas.openxmlformats.org/officeDocument/2006/relationships/hyperlink"/><Relationship Id="rId586" Target="https%3A%2F%2Fwww.webofscience.com%2Fwos%2Fwoscc%2Ffull-record%2FWOS%3A001850000500001" TargetMode="External" Type="http://schemas.openxmlformats.org/officeDocument/2006/relationships/hyperlink"/><Relationship Id="rId587" Target="http%3A%2F%2Fdx.doi.org%2F10.1002%2Fima.70409" TargetMode="External" Type="http://schemas.openxmlformats.org/officeDocument/2006/relationships/hyperlink"/><Relationship Id="rId588" Target="https%3A%2F%2Fwww.webofscience.com%2Fwos%2Fwoscc%2Ffull-record%2FWOS%3A001816530400001" TargetMode="External" Type="http://schemas.openxmlformats.org/officeDocument/2006/relationships/hyperlink"/><Relationship Id="rId589" Target="http%3A%2F%2Fdx.doi.org%2F10.1016%2Fj.metrad.2024.100103" TargetMode="External" Type="http://schemas.openxmlformats.org/officeDocument/2006/relationships/hyperlink"/><Relationship Id="rId59" Target="http%3A%2F%2Fdx.doi.org%2F10.1177%2F00220345261424242" TargetMode="External" Type="http://schemas.openxmlformats.org/officeDocument/2006/relationships/hyperlink"/><Relationship Id="rId590" Target="https%3A%2F%2Fwww.webofscience.com%2Fwos%2Fwoscc%2Ffull-record%2FWOS%3A001577798200001" TargetMode="External" Type="http://schemas.openxmlformats.org/officeDocument/2006/relationships/hyperlink"/><Relationship Id="rId591" Target="http%3A%2F%2Fdx.doi.org%2F10.1136%2Fbjo-2025-328992" TargetMode="External" Type="http://schemas.openxmlformats.org/officeDocument/2006/relationships/hyperlink"/><Relationship Id="rId592" Target="https%3A%2F%2Fwww.webofscience.com%2Fwos%2Fwoscc%2Ffull-record%2FWOS%3A001792377700001" TargetMode="External" Type="http://schemas.openxmlformats.org/officeDocument/2006/relationships/hyperlink"/><Relationship Id="rId593" Target="http%3A%2F%2Fdx.doi.org%2F10.1007%2Fs00431-026-06874-x" TargetMode="External" Type="http://schemas.openxmlformats.org/officeDocument/2006/relationships/hyperlink"/><Relationship Id="rId594" Target="https%3A%2F%2Fwww.webofscience.com%2Fwos%2Fwoscc%2Ffull-record%2FWOS%3A001720854700002" TargetMode="External" Type="http://schemas.openxmlformats.org/officeDocument/2006/relationships/hyperlink"/><Relationship Id="rId595" Target="http%3A%2F%2Fdx.doi.org%2F10.3390%2Fjcm14103484" TargetMode="External" Type="http://schemas.openxmlformats.org/officeDocument/2006/relationships/hyperlink"/><Relationship Id="rId596" Target="https%3A%2F%2Fwww.webofscience.com%2Fwos%2Fwoscc%2Ffull-record%2FWOS%3A001497516400001" TargetMode="External" Type="http://schemas.openxmlformats.org/officeDocument/2006/relationships/hyperlink"/><Relationship Id="rId597" Target="http%3A%2F%2Fdx.doi.org%2F10.2196%2F52346" TargetMode="External" Type="http://schemas.openxmlformats.org/officeDocument/2006/relationships/hyperlink"/><Relationship Id="rId598" Target="https%3A%2F%2Fwww.webofscience.com%2Fwos%2Fwoscc%2Ffull-record%2FWOS%3A001326817300001" TargetMode="External" Type="http://schemas.openxmlformats.org/officeDocument/2006/relationships/hyperlink"/><Relationship Id="rId599" Target="http%3A%2F%2Fdx.doi.org%2F10.1007%2Fs12149-024-01992-8" TargetMode="External" Type="http://schemas.openxmlformats.org/officeDocument/2006/relationships/hyperlink"/><Relationship Id="rId6" Target="https%3A%2F%2Fwww.webofscience.com%2Fwos%2Fwoscc%2Ffull-record%2FWOS%3A001813615700003" TargetMode="External" Type="http://schemas.openxmlformats.org/officeDocument/2006/relationships/hyperlink"/><Relationship Id="rId60" Target="https%3A%2F%2Fwww.webofscience.com%2Fwos%2Fwoscc%2Ffull-record%2FWOS%3A001715052700001" TargetMode="External" Type="http://schemas.openxmlformats.org/officeDocument/2006/relationships/hyperlink"/><Relationship Id="rId600" Target="https%3A%2F%2Fwww.webofscience.com%2Fwos%2Fwoscc%2Ffull-record%2FWOS%3A001353876000001" TargetMode="External" Type="http://schemas.openxmlformats.org/officeDocument/2006/relationships/hyperlink"/><Relationship Id="rId601" Target="http%3A%2F%2Fdx.doi.org%2F10.1038%2Fs42256-026-01180-5" TargetMode="External" Type="http://schemas.openxmlformats.org/officeDocument/2006/relationships/hyperlink"/><Relationship Id="rId602" Target="https%3A%2F%2Fwww.webofscience.com%2Fwos%2Fwoscc%2Ffull-record%2FWOS%3A001699315700017" TargetMode="External" Type="http://schemas.openxmlformats.org/officeDocument/2006/relationships/hyperlink"/><Relationship Id="rId603" Target="http%3A%2F%2Fdx.doi.org%2F10.1016%2Fj.acra.2025.10.051" TargetMode="External" Type="http://schemas.openxmlformats.org/officeDocument/2006/relationships/hyperlink"/><Relationship Id="rId604" Target="https%3A%2F%2Fwww.webofscience.com%2Fwos%2Fwoscc%2Ffull-record%2FWOS%3A001675041200001" TargetMode="External" Type="http://schemas.openxmlformats.org/officeDocument/2006/relationships/hyperlink"/><Relationship Id="rId605" Target="http%3A%2F%2Fdx.doi.org%2F10.1016%2Fj.asoc.2026.115051" TargetMode="External" Type="http://schemas.openxmlformats.org/officeDocument/2006/relationships/hyperlink"/><Relationship Id="rId606" Target="https%3A%2F%2Fwww.webofscience.com%2Fwos%2Fwoscc%2Ffull-record%2FWOS%3A001734437100001" TargetMode="External" Type="http://schemas.openxmlformats.org/officeDocument/2006/relationships/hyperlink"/><Relationship Id="rId607" Target="http%3A%2F%2Fdx.doi.org%2F10.1007%2Fs00256-026-05335-8" TargetMode="External" Type="http://schemas.openxmlformats.org/officeDocument/2006/relationships/hyperlink"/><Relationship Id="rId608" Target="https%3A%2F%2Fwww.webofscience.com%2Fwos%2Fwoscc%2Ffull-record%2FWOS%3A001844170400001" TargetMode="External" Type="http://schemas.openxmlformats.org/officeDocument/2006/relationships/hyperlink"/><Relationship Id="rId609" Target="http%3A%2F%2Fdx.doi.org%2F10.1007%2Fs00261-026-05706-8" TargetMode="External" Type="http://schemas.openxmlformats.org/officeDocument/2006/relationships/hyperlink"/><Relationship Id="rId61" Target="http%3A%2F%2Fdx.doi.org%2F10.1007%2Fs00330-026-12384-z" TargetMode="External" Type="http://schemas.openxmlformats.org/officeDocument/2006/relationships/hyperlink"/><Relationship Id="rId610" Target="https%3A%2F%2Fwww.webofscience.com%2Fwos%2Fwoscc%2Ffull-record%2FWOS%3A001828578200001" TargetMode="External" Type="http://schemas.openxmlformats.org/officeDocument/2006/relationships/hyperlink"/><Relationship Id="rId611" Target="http%3A%2F%2Fdx.doi.org%2F10.2214%2FAJR.25.32729" TargetMode="External" Type="http://schemas.openxmlformats.org/officeDocument/2006/relationships/hyperlink"/><Relationship Id="rId612" Target="https%3A%2F%2Fwww.webofscience.com%2Fwos%2Fwoscc%2Ffull-record%2FWOS%3A001549207400014" TargetMode="External" Type="http://schemas.openxmlformats.org/officeDocument/2006/relationships/hyperlink"/><Relationship Id="rId613" Target="http%3A%2F%2Fdx.doi.org%2F10.1080%2F15569527.2026.2692370" TargetMode="External" Type="http://schemas.openxmlformats.org/officeDocument/2006/relationships/hyperlink"/><Relationship Id="rId614" Target="https%3A%2F%2Fwww.webofscience.com%2Fwos%2Fwoscc%2Ffull-record%2FWOS%3A001801851600001" TargetMode="External" Type="http://schemas.openxmlformats.org/officeDocument/2006/relationships/hyperlink"/><Relationship Id="rId615" Target="http%3A%2F%2Fdx.doi.org%2F10.1016%2Fj.mlwa.2025.100816" TargetMode="External" Type="http://schemas.openxmlformats.org/officeDocument/2006/relationships/hyperlink"/><Relationship Id="rId616" Target="https%3A%2F%2Fwww.webofscience.com%2Fwos%2Fwoscc%2Ffull-record%2FWOS%3A001641234900002" TargetMode="External" Type="http://schemas.openxmlformats.org/officeDocument/2006/relationships/hyperlink"/><Relationship Id="rId617" Target="http%3A%2F%2Fdx.doi.org%2F10.2196%2F86498" TargetMode="External" Type="http://schemas.openxmlformats.org/officeDocument/2006/relationships/hyperlink"/><Relationship Id="rId618" Target="https%3A%2F%2Fwww.webofscience.com%2Fwos%2Fwoscc%2Ffull-record%2FWOS%3A001793444700002" TargetMode="External" Type="http://schemas.openxmlformats.org/officeDocument/2006/relationships/hyperlink"/><Relationship Id="rId619" Target="http%3A%2F%2Fdx.doi.org%2F10.1007%2Fs10278-026-02163-z" TargetMode="External" Type="http://schemas.openxmlformats.org/officeDocument/2006/relationships/hyperlink"/><Relationship Id="rId62" Target="https%3A%2F%2Fwww.webofscience.com%2Fwos%2Fwoscc%2Ffull-record%2FWOS%3A001696738200001" TargetMode="External" Type="http://schemas.openxmlformats.org/officeDocument/2006/relationships/hyperlink"/><Relationship Id="rId620" Target="https%3A%2F%2Fwww.webofscience.com%2Fwos%2Fwoscc%2Ffull-record%2FWOS%3A001838595600001" TargetMode="External" Type="http://schemas.openxmlformats.org/officeDocument/2006/relationships/hyperlink"/><Relationship Id="rId621" Target="http%3A%2F%2Fdx.doi.org%2F10.21037%2Fqims-2025-92" TargetMode="External" Type="http://schemas.openxmlformats.org/officeDocument/2006/relationships/hyperlink"/><Relationship Id="rId622" Target="https%3A%2F%2Fwww.webofscience.com%2Fwos%2Fwoscc%2Ffull-record%2FWOS%3A001593087700041" TargetMode="External" Type="http://schemas.openxmlformats.org/officeDocument/2006/relationships/hyperlink"/><Relationship Id="rId623" Target="http%3A%2F%2Fdx.doi.org%2F10.3390%2Fdiagnostics16121931" TargetMode="External" Type="http://schemas.openxmlformats.org/officeDocument/2006/relationships/hyperlink"/><Relationship Id="rId624" Target="https%3A%2F%2Fwww.webofscience.com%2Fwos%2Fwoscc%2Ffull-record%2FWOS%3A001805143600001" TargetMode="External" Type="http://schemas.openxmlformats.org/officeDocument/2006/relationships/hyperlink"/><Relationship Id="rId625" Target="http%3A%2F%2Fdx.doi.org%2F10.3389%2Ffcvm.2025.1458289" TargetMode="External" Type="http://schemas.openxmlformats.org/officeDocument/2006/relationships/hyperlink"/><Relationship Id="rId626" Target="https%3A%2F%2Fwww.webofscience.com%2Fwos%2Fwoscc%2Ffull-record%2FWOS%3A001425772800001" TargetMode="External" Type="http://schemas.openxmlformats.org/officeDocument/2006/relationships/hyperlink"/><Relationship Id="rId627" Target="http%3A%2F%2Fdx.doi.org%2F10.3390%2Fcancers18152524" TargetMode="External" Type="http://schemas.openxmlformats.org/officeDocument/2006/relationships/hyperlink"/><Relationship Id="rId628" Target="https%3A%2F%2Fwww.webofscience.com%2Fwos%2Fwoscc%2Ffull-record%2FWOS%3A001846657000001" TargetMode="External" Type="http://schemas.openxmlformats.org/officeDocument/2006/relationships/hyperlink"/><Relationship Id="rId629" Target="http%3A%2F%2Fdx.doi.org%2F10.1016%2Fj.bspc.2026.109908" TargetMode="External" Type="http://schemas.openxmlformats.org/officeDocument/2006/relationships/hyperlink"/><Relationship Id="rId63" Target="http%3A%2F%2Fdx.doi.org%2F10.1016%2Fj.eswa.2026.131392" TargetMode="External" Type="http://schemas.openxmlformats.org/officeDocument/2006/relationships/hyperlink"/><Relationship Id="rId630" Target="https%3A%2F%2Fwww.webofscience.com%2Fwos%2Fwoscc%2Ffull-record%2FWOS%3A001705855200001" TargetMode="External" Type="http://schemas.openxmlformats.org/officeDocument/2006/relationships/hyperlink"/><Relationship Id="rId631" Target="http%3A%2F%2Fdx.doi.org%2F10.2196%2F92919" TargetMode="External" Type="http://schemas.openxmlformats.org/officeDocument/2006/relationships/hyperlink"/><Relationship Id="rId632" Target="https%3A%2F%2Fwww.webofscience.com%2Fwos%2Fwoscc%2Ffull-record%2FWOS%3A001849575100010" TargetMode="External" Type="http://schemas.openxmlformats.org/officeDocument/2006/relationships/hyperlink"/><Relationship Id="rId633" Target="http%3A%2F%2Fdx.doi.org%2F10.14744%2Fbej.2025.06332" TargetMode="External" Type="http://schemas.openxmlformats.org/officeDocument/2006/relationships/hyperlink"/><Relationship Id="rId634" Target="https%3A%2F%2Fwww.webofscience.com%2Fwos%2Fwoscc%2Ffull-record%2FWOS%3A001696239900007" TargetMode="External" Type="http://schemas.openxmlformats.org/officeDocument/2006/relationships/hyperlink"/><Relationship Id="rId635" Target="http%3A%2F%2Fdx.doi.org%2F10.14366%2Fusg.25012" TargetMode="External" Type="http://schemas.openxmlformats.org/officeDocument/2006/relationships/hyperlink"/><Relationship Id="rId636" Target="https%3A%2F%2Fwww.webofscience.com%2Fwos%2Fwoscc%2Ffull-record%2FWOS%3A001476719600001" TargetMode="External" Type="http://schemas.openxmlformats.org/officeDocument/2006/relationships/hyperlink"/><Relationship Id="rId637" Target="http%3A%2F%2Fdx.doi.org%2F10.2196%2F55508" TargetMode="External" Type="http://schemas.openxmlformats.org/officeDocument/2006/relationships/hyperlink"/><Relationship Id="rId638" Target="https%3A%2F%2Fwww.webofscience.com%2Fwos%2Fwoscc%2Ffull-record%2FWOS%3A001597999300058" TargetMode="External" Type="http://schemas.openxmlformats.org/officeDocument/2006/relationships/hyperlink"/><Relationship Id="rId639" Target="http%3A%2F%2Fdx.doi.org%2F10.1186%2Fs12903-026-08644-5" TargetMode="External" Type="http://schemas.openxmlformats.org/officeDocument/2006/relationships/hyperlink"/><Relationship Id="rId64" Target="https%3A%2F%2Fwww.webofscience.com%2Fwos%2Fwoscc%2Ffull-record%2FWOS%3A001689622700001" TargetMode="External" Type="http://schemas.openxmlformats.org/officeDocument/2006/relationships/hyperlink"/><Relationship Id="rId640" Target="https%3A%2F%2Fwww.webofscience.com%2Fwos%2Fwoscc%2Ffull-record%2FWOS%3A001792605000001" TargetMode="External" Type="http://schemas.openxmlformats.org/officeDocument/2006/relationships/hyperlink"/><Relationship Id="rId641" Target="http%3A%2F%2Fdx.doi.org%2F10.3837%2Ftiis.2026.04.018" TargetMode="External" Type="http://schemas.openxmlformats.org/officeDocument/2006/relationships/hyperlink"/><Relationship Id="rId642" Target="https%3A%2F%2Fwww.webofscience.com%2Fwos%2Fwoscc%2Ffull-record%2FWOS%3A001759081600018" TargetMode="External" Type="http://schemas.openxmlformats.org/officeDocument/2006/relationships/hyperlink"/><Relationship Id="rId643" Target="http%3A%2F%2Fdx.doi.org%2F10.2196%2F75910" TargetMode="External" Type="http://schemas.openxmlformats.org/officeDocument/2006/relationships/hyperlink"/><Relationship Id="rId644" Target="https%3A%2F%2Fwww.webofscience.com%2Fwos%2Fwoscc%2Ffull-record%2FWOS%3A001578857100001" TargetMode="External" Type="http://schemas.openxmlformats.org/officeDocument/2006/relationships/hyperlink"/><Relationship Id="rId645" Target="http%3A%2F%2Fdx.doi.org%2F10.1016%2Fj.identj.2025.109357" TargetMode="External" Type="http://schemas.openxmlformats.org/officeDocument/2006/relationships/hyperlink"/><Relationship Id="rId646" Target="https%3A%2F%2Fwww.webofscience.com%2Fwos%2Fwoscc%2Ffull-record%2FWOS%3A001658687900001" TargetMode="External" Type="http://schemas.openxmlformats.org/officeDocument/2006/relationships/hyperlink"/><Relationship Id="rId647" Target="http%3A%2F%2Fdx.doi.org%2F10.1097%2FMD.0000000000047071" TargetMode="External" Type="http://schemas.openxmlformats.org/officeDocument/2006/relationships/hyperlink"/><Relationship Id="rId648" Target="https%3A%2F%2Fwww.webofscience.com%2Fwos%2Fwoscc%2Ffull-record%2FWOS%3A001679956900033" TargetMode="External" Type="http://schemas.openxmlformats.org/officeDocument/2006/relationships/hyperlink"/><Relationship Id="rId649" Target="http%3A%2F%2Fdx.doi.org%2F10.1016%2Fj.jds.2025.06.005" TargetMode="External" Type="http://schemas.openxmlformats.org/officeDocument/2006/relationships/hyperlink"/><Relationship Id="rId65" Target="http%3A%2F%2Fdx.doi.org%2F10.1371%2Fjournal.pdig.0001506" TargetMode="External" Type="http://schemas.openxmlformats.org/officeDocument/2006/relationships/hyperlink"/><Relationship Id="rId650" Target="https%3A%2F%2Fwww.webofscience.com%2Fwos%2Fwoscc%2Ffull-record%2FWOS%3A001661222200001" TargetMode="External" Type="http://schemas.openxmlformats.org/officeDocument/2006/relationships/hyperlink"/><Relationship Id="rId651" Target="http%3A%2F%2Fdx.doi.org%2F10.3389%2Ffmed.2026.1791488" TargetMode="External" Type="http://schemas.openxmlformats.org/officeDocument/2006/relationships/hyperlink"/><Relationship Id="rId652" Target="https%3A%2F%2Fwww.webofscience.com%2Fwos%2Fwoscc%2Ffull-record%2FWOS%3A001775883200001" TargetMode="External" Type="http://schemas.openxmlformats.org/officeDocument/2006/relationships/hyperlink"/><Relationship Id="rId653" Target="http%3A%2F%2Fdx.doi.org%2F10.2196%2F88618" TargetMode="External" Type="http://schemas.openxmlformats.org/officeDocument/2006/relationships/hyperlink"/><Relationship Id="rId654" Target="https%3A%2F%2Fwww.webofscience.com%2Fwos%2Fwoscc%2Ffull-record%2FWOS%3A001771353300001" TargetMode="External" Type="http://schemas.openxmlformats.org/officeDocument/2006/relationships/hyperlink"/><Relationship Id="rId655" Target="http%3A%2F%2Fdx.doi.org%2F10.1111%2Faos.70185" TargetMode="External" Type="http://schemas.openxmlformats.org/officeDocument/2006/relationships/hyperlink"/><Relationship Id="rId656" Target="https%3A%2F%2Fwww.webofscience.com%2Fwos%2Fwoscc%2Ffull-record%2FWOS%3A001799667900001" TargetMode="External" Type="http://schemas.openxmlformats.org/officeDocument/2006/relationships/hyperlink"/><Relationship Id="rId657" Target="http%3A%2F%2Fdx.doi.org%2F10.3390%2Fsu162310780" TargetMode="External" Type="http://schemas.openxmlformats.org/officeDocument/2006/relationships/hyperlink"/><Relationship Id="rId658" Target="https%3A%2F%2Fwww.webofscience.com%2Fwos%2Fwoscc%2Ffull-record%2FWOS%3A001377758600001" TargetMode="External" Type="http://schemas.openxmlformats.org/officeDocument/2006/relationships/hyperlink"/><Relationship Id="rId66" Target="https%3A%2F%2Fwww.webofscience.com%2Fwos%2Fwoscc%2Ffull-record%2FWOS%3A001812663100001" TargetMode="External" Type="http://schemas.openxmlformats.org/officeDocument/2006/relationships/hyperlink"/><Relationship Id="rId67" Target="http%3A%2F%2Fdx.doi.org%2F10.1016%2Fj.media.2026.104196" TargetMode="External" Type="http://schemas.openxmlformats.org/officeDocument/2006/relationships/hyperlink"/><Relationship Id="rId68" Target="https%3A%2F%2Fwww.webofscience.com%2Fwos%2Fwoscc%2Ffull-record%2FWOS%3A001823236600001" TargetMode="External" Type="http://schemas.openxmlformats.org/officeDocument/2006/relationships/hyperlink"/><Relationship Id="rId69" Target="http%3A%2F%2Fdx.doi.org%2F10.1038%2Fs41597-026-07342-9" TargetMode="External" Type="http://schemas.openxmlformats.org/officeDocument/2006/relationships/hyperlink"/><Relationship Id="rId7" Target="http%3A%2F%2Fdx.doi.org%2F10.1038%2Fs41598-026-39526-z" TargetMode="External" Type="http://schemas.openxmlformats.org/officeDocument/2006/relationships/hyperlink"/><Relationship Id="rId70" Target="https%3A%2F%2Fwww.webofscience.com%2Fwos%2Fwoscc%2Ffull-record%2FWOS%3A001814539800003" TargetMode="External" Type="http://schemas.openxmlformats.org/officeDocument/2006/relationships/hyperlink"/><Relationship Id="rId71" Target="http%3A%2F%2Fdx.doi.org%2F10.1109%2FTNNLS.2025.3558857" TargetMode="External" Type="http://schemas.openxmlformats.org/officeDocument/2006/relationships/hyperlink"/><Relationship Id="rId72" Target="https%3A%2F%2Fwww.webofscience.com%2Fwos%2Fwoscc%2Ffull-record%2FWOS%3A001480290200001" TargetMode="External" Type="http://schemas.openxmlformats.org/officeDocument/2006/relationships/hyperlink"/><Relationship Id="rId73" Target="http%3A%2F%2Fdx.doi.org%2F10.1038%2Fs41598-026-55179-4" TargetMode="External" Type="http://schemas.openxmlformats.org/officeDocument/2006/relationships/hyperlink"/><Relationship Id="rId74" Target="https%3A%2F%2Fwww.webofscience.com%2Fwos%2Fwoscc%2Ffull-record%2FWOS%3A001841591800006" TargetMode="External" Type="http://schemas.openxmlformats.org/officeDocument/2006/relationships/hyperlink"/><Relationship Id="rId75" Target="http%3A%2F%2Fdx.doi.org%2F10.1016%2Fj.inffus.2025.102998" TargetMode="External" Type="http://schemas.openxmlformats.org/officeDocument/2006/relationships/hyperlink"/><Relationship Id="rId76" Target="https%3A%2F%2Fwww.webofscience.com%2Fwos%2Fwoscc%2Ffull-record%2FWOS%3A001428238900001" TargetMode="External" Type="http://schemas.openxmlformats.org/officeDocument/2006/relationships/hyperlink"/><Relationship Id="rId77" Target="http%3A%2F%2Fdx.doi.org%2F10.1109%2FACCESS.2025.3591750" TargetMode="External" Type="http://schemas.openxmlformats.org/officeDocument/2006/relationships/hyperlink"/><Relationship Id="rId78" Target="https%3A%2F%2Fwww.webofscience.com%2Fwos%2Fwoscc%2Ffull-record%2FWOS%3A001549816000044" TargetMode="External" Type="http://schemas.openxmlformats.org/officeDocument/2006/relationships/hyperlink"/><Relationship Id="rId79" Target="http%3A%2F%2Fdx.doi.org%2F10.3390%2Fapp152111441" TargetMode="External" Type="http://schemas.openxmlformats.org/officeDocument/2006/relationships/hyperlink"/><Relationship Id="rId8" Target="https%3A%2F%2Fwww.webofscience.com%2Fwos%2Fwoscc%2Ffull-record%2FWOS%3A001714889700016" TargetMode="External" Type="http://schemas.openxmlformats.org/officeDocument/2006/relationships/hyperlink"/><Relationship Id="rId80" Target="https%3A%2F%2Fwww.webofscience.com%2Fwos%2Fwoscc%2Ffull-record%2FWOS%3A001612443600001" TargetMode="External" Type="http://schemas.openxmlformats.org/officeDocument/2006/relationships/hyperlink"/><Relationship Id="rId81" Target="http%3A%2F%2Fdx.doi.org%2F10.1038%2Fs41746-025-01837-2" TargetMode="External" Type="http://schemas.openxmlformats.org/officeDocument/2006/relationships/hyperlink"/><Relationship Id="rId82" Target="https%3A%2F%2Fwww.webofscience.com%2Fwos%2Fwoscc%2Ffull-record%2FWOS%3A001526850900003" TargetMode="External" Type="http://schemas.openxmlformats.org/officeDocument/2006/relationships/hyperlink"/><Relationship Id="rId83" Target="http%3A%2F%2Fdx.doi.org%2F10.1038%2Fs41746-025-01893-8" TargetMode="External" Type="http://schemas.openxmlformats.org/officeDocument/2006/relationships/hyperlink"/><Relationship Id="rId84" Target="https%3A%2F%2Fwww.webofscience.com%2Fwos%2Fwoscc%2Ffull-record%2FWOS%3A001553245200003" TargetMode="External" Type="http://schemas.openxmlformats.org/officeDocument/2006/relationships/hyperlink"/><Relationship Id="rId85" Target="http%3A%2F%2Fdx.doi.org%2F10.1007%2Fs10278-026-02111-x" TargetMode="External" Type="http://schemas.openxmlformats.org/officeDocument/2006/relationships/hyperlink"/><Relationship Id="rId86" Target="https%3A%2F%2Fwww.webofscience.com%2Fwos%2Fwoscc%2Ffull-record%2FWOS%3A001835101600001" TargetMode="External" Type="http://schemas.openxmlformats.org/officeDocument/2006/relationships/hyperlink"/><Relationship Id="rId87" Target="http%3A%2F%2Fdx.doi.org%2F10.1109%2FTMI.2025.3573018" TargetMode="External" Type="http://schemas.openxmlformats.org/officeDocument/2006/relationships/hyperlink"/><Relationship Id="rId88" Target="https%3A%2F%2Fwww.webofscience.com%2Fwos%2Fwoscc%2Ffull-record%2FWOS%3A001616144400038" TargetMode="External" Type="http://schemas.openxmlformats.org/officeDocument/2006/relationships/hyperlink"/><Relationship Id="rId89" Target="http%3A%2F%2Fdx.doi.org%2F10.1038%2Fs41746-025-01807-8" TargetMode="External" Type="http://schemas.openxmlformats.org/officeDocument/2006/relationships/hyperlink"/><Relationship Id="rId9" Target="http%3A%2F%2Fdx.doi.org%2F10.1109%2FTCSVT.2025.3602970" TargetMode="External" Type="http://schemas.openxmlformats.org/officeDocument/2006/relationships/hyperlink"/><Relationship Id="rId90" Target="https%3A%2F%2Fwww.webofscience.com%2Fwos%2Fwoscc%2Ffull-record%2FWOS%3A001527765700001" TargetMode="External" Type="http://schemas.openxmlformats.org/officeDocument/2006/relationships/hyperlink"/><Relationship Id="rId91" Target="http%3A%2F%2Fdx.doi.org%2F10.1093%2Fntr%2Fntag125" TargetMode="External" Type="http://schemas.openxmlformats.org/officeDocument/2006/relationships/hyperlink"/><Relationship Id="rId92" Target="https%3A%2F%2Fwww.webofscience.com%2Fwos%2Fwoscc%2Ffull-record%2FWOS%3A001815109900001" TargetMode="External" Type="http://schemas.openxmlformats.org/officeDocument/2006/relationships/hyperlink"/><Relationship Id="rId93" Target="http%3A%2F%2Fdx.doi.org%2F10.1016%2Fj.inffus.2025.103737" TargetMode="External" Type="http://schemas.openxmlformats.org/officeDocument/2006/relationships/hyperlink"/><Relationship Id="rId94" Target="https%3A%2F%2Fwww.webofscience.com%2Fwos%2Fwoscc%2Ffull-record%2FWOS%3A001585491000001" TargetMode="External" Type="http://schemas.openxmlformats.org/officeDocument/2006/relationships/hyperlink"/><Relationship Id="rId95" Target="http%3A%2F%2Fdx.doi.org%2F10.1038%2Fs41746-025-02047-6" TargetMode="External" Type="http://schemas.openxmlformats.org/officeDocument/2006/relationships/hyperlink"/><Relationship Id="rId96" Target="https%3A%2F%2Fwww.webofscience.com%2Fwos%2Fwoscc%2Ffull-record%2FWOS%3A001618214900016" TargetMode="External" Type="http://schemas.openxmlformats.org/officeDocument/2006/relationships/hyperlink"/><Relationship Id="rId97" Target="http%3A%2F%2Fdx.doi.org%2F10.1109%2FMPULS.2026.3659245" TargetMode="External" Type="http://schemas.openxmlformats.org/officeDocument/2006/relationships/hyperlink"/><Relationship Id="rId98" Target="https%3A%2F%2Fwww.webofscience.com%2Fwos%2Fwoscc%2Ffull-record%2FWOS%3A001740998900007" TargetMode="External" Type="http://schemas.openxmlformats.org/officeDocument/2006/relationships/hyperlink"/><Relationship Id="rId99" Target="http%3A%2F%2Fdx.doi.org%2F10.1088%2F2632-2153%2Fae055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331"/>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78</v>
      </c>
      <c r="D2" t="s" s="0">
        <v>77</v>
      </c>
      <c r="E2" t="s" s="0">
        <v>79</v>
      </c>
      <c r="F2" t="s" s="0">
        <v>80</v>
      </c>
      <c r="G2" t="s" s="0">
        <v>81</v>
      </c>
      <c r="H2" t="s" s="0">
        <v>82</v>
      </c>
      <c r="I2" t="s" s="0">
        <v>83</v>
      </c>
      <c r="J2" t="s" s="0">
        <v>84</v>
      </c>
      <c r="K2" t="s" s="0">
        <v>85</v>
      </c>
      <c r="L2" t="s" s="0">
        <v>82</v>
      </c>
      <c r="M2" t="s" s="0">
        <v>82</v>
      </c>
      <c r="N2" t="s" s="0">
        <v>82</v>
      </c>
      <c r="O2" t="s" s="0">
        <v>86</v>
      </c>
      <c r="P2" t="s" s="0">
        <v>87</v>
      </c>
      <c r="Q2" t="s" s="0">
        <v>88</v>
      </c>
      <c r="R2" t="s" s="0">
        <v>82</v>
      </c>
      <c r="S2" t="s" s="0">
        <v>82</v>
      </c>
      <c r="T2" t="s" s="0">
        <v>82</v>
      </c>
      <c r="U2" t="s" s="0">
        <v>82</v>
      </c>
      <c r="V2" t="s" s="0">
        <v>89</v>
      </c>
      <c r="W2" t="s" s="0">
        <v>90</v>
      </c>
      <c r="X2" t="s" s="0">
        <v>82</v>
      </c>
      <c r="Y2" t="s" s="0">
        <v>82</v>
      </c>
      <c r="Z2" t="s" s="0">
        <v>91</v>
      </c>
      <c r="AA2" t="s" s="0">
        <v>92</v>
      </c>
      <c r="AB2" t="s" s="0">
        <v>82</v>
      </c>
      <c r="AC2" t="s" s="0">
        <v>82</v>
      </c>
      <c r="AD2" t="s" s="0">
        <v>82</v>
      </c>
      <c r="AE2" t="s" s="0">
        <v>82</v>
      </c>
      <c r="AF2" t="s" s="0">
        <v>82</v>
      </c>
      <c r="AG2" t="s" s="0">
        <v>93</v>
      </c>
      <c r="AH2" t="s" s="0">
        <v>82</v>
      </c>
      <c r="AI2" t="s" s="0">
        <v>94</v>
      </c>
      <c r="AJ2" t="s" s="0">
        <v>95</v>
      </c>
      <c r="AK2" t="s" s="0">
        <v>82</v>
      </c>
      <c r="AL2" t="s" s="0">
        <v>96</v>
      </c>
      <c r="AM2" t="s" s="0">
        <v>97</v>
      </c>
      <c r="AN2" t="s" s="0">
        <v>98</v>
      </c>
      <c r="AO2" t="s" s="0">
        <v>78</v>
      </c>
      <c r="AP2" t="s" s="0">
        <v>99</v>
      </c>
      <c r="AQ2" t="s" s="0">
        <v>100</v>
      </c>
      <c r="AR2" t="s" s="0">
        <v>101</v>
      </c>
      <c r="AS2" t="s" s="0">
        <v>102</v>
      </c>
      <c r="AT2" t="s" s="0">
        <v>103</v>
      </c>
      <c r="AU2" t="s" s="0">
        <v>104</v>
      </c>
      <c r="AV2" t="s" s="0">
        <v>82</v>
      </c>
      <c r="AW2" t="s" s="0">
        <v>105</v>
      </c>
      <c r="AX2" t="s" s="0">
        <v>106</v>
      </c>
      <c r="AY2" t="s" s="0">
        <v>107</v>
      </c>
      <c r="AZ2" t="s" s="0">
        <v>108</v>
      </c>
      <c r="BA2" t="s" s="0">
        <v>109</v>
      </c>
      <c r="BB2" t="s" s="0">
        <v>110</v>
      </c>
      <c r="BC2" t="s" s="0">
        <v>82</v>
      </c>
      <c r="BD2" t="s" s="0">
        <v>82</v>
      </c>
      <c r="BE2" t="s" s="0">
        <v>82</v>
      </c>
      <c r="BF2" t="s" s="0">
        <v>82</v>
      </c>
      <c r="BG2" t="s" s="0">
        <v>111</v>
      </c>
      <c r="BH2" t="s" s="0">
        <v>112</v>
      </c>
      <c r="BI2" t="s" s="0">
        <v>82</v>
      </c>
      <c r="BJ2" t="s" s="0">
        <v>113</v>
      </c>
      <c r="BK2" t="s" s="1">
        <f>HYPERLINK("http://dx.doi.org/10.1109/MCE.2024.3522521","http://dx.doi.org/10.1109/MCE.2024.3522521")</f>
        <v>114</v>
      </c>
      <c r="BL2" t="s" s="0">
        <v>82</v>
      </c>
      <c r="BM2" t="s" s="0">
        <v>82</v>
      </c>
      <c r="BN2" t="s" s="0">
        <v>115</v>
      </c>
      <c r="BO2" t="s" s="0">
        <v>116</v>
      </c>
      <c r="BP2" t="s" s="0">
        <v>117</v>
      </c>
      <c r="BQ2" t="s" s="0">
        <v>118</v>
      </c>
      <c r="BR2" t="s" s="0">
        <v>82</v>
      </c>
      <c r="BS2" t="s" s="0">
        <v>119</v>
      </c>
      <c r="BT2" t="s" s="2">
        <f>HYPERLINK("https://www.webofscience.com/wos/woscc/full-record/WOS:001572867900004","View Record in Web of Science")</f>
        <v>120</v>
      </c>
      <c r="BU2" t="s" s="0">
        <v>82</v>
      </c>
      <c r="BV2" t="s" s="0">
        <v>82</v>
      </c>
      <c r="BW2" t="s" s="0">
        <v>82</v>
      </c>
      <c r="BX2" t="s" s="0">
        <v>121</v>
      </c>
    </row>
    <row r="3">
      <c r="A3" t="s" s="0">
        <v>78</v>
      </c>
      <c r="B3" t="s" s="0">
        <v>77</v>
      </c>
      <c r="C3" t="s" s="0">
        <v>99</v>
      </c>
      <c r="D3" t="s" s="0">
        <v>77</v>
      </c>
      <c r="E3" t="s" s="0">
        <v>122</v>
      </c>
      <c r="F3" t="s" s="0">
        <v>123</v>
      </c>
      <c r="G3" t="s" s="0">
        <v>124</v>
      </c>
      <c r="H3" t="s" s="0">
        <v>82</v>
      </c>
      <c r="I3" t="s" s="0">
        <v>83</v>
      </c>
      <c r="J3" t="s" s="0">
        <v>125</v>
      </c>
      <c r="K3" t="s" s="0">
        <v>126</v>
      </c>
      <c r="L3" t="s" s="0">
        <v>127</v>
      </c>
      <c r="M3" t="s" s="0">
        <v>128</v>
      </c>
      <c r="N3" t="s" s="0">
        <v>129</v>
      </c>
      <c r="O3" t="s" s="0">
        <v>130</v>
      </c>
      <c r="P3" t="s" s="0">
        <v>131</v>
      </c>
      <c r="Q3" t="s" s="0">
        <v>88</v>
      </c>
      <c r="R3" t="s" s="0">
        <v>82</v>
      </c>
      <c r="S3" t="s" s="0">
        <v>82</v>
      </c>
      <c r="T3" t="s" s="0">
        <v>82</v>
      </c>
      <c r="U3" t="s" s="0">
        <v>82</v>
      </c>
      <c r="V3" t="s" s="0">
        <v>132</v>
      </c>
      <c r="W3" t="s" s="0">
        <v>133</v>
      </c>
      <c r="X3" t="s" s="0">
        <v>82</v>
      </c>
      <c r="Y3" t="s" s="0">
        <v>82</v>
      </c>
      <c r="Z3" t="s" s="0">
        <v>91</v>
      </c>
      <c r="AA3" t="s" s="0">
        <v>92</v>
      </c>
      <c r="AB3" t="s" s="0">
        <v>82</v>
      </c>
      <c r="AC3" t="s" s="0">
        <v>82</v>
      </c>
      <c r="AD3" t="s" s="0">
        <v>82</v>
      </c>
      <c r="AE3" t="s" s="0">
        <v>82</v>
      </c>
      <c r="AF3" t="s" s="0">
        <v>82</v>
      </c>
      <c r="AG3" t="s" s="0">
        <v>134</v>
      </c>
      <c r="AH3" t="s" s="0">
        <v>82</v>
      </c>
      <c r="AI3" t="s" s="0">
        <v>135</v>
      </c>
      <c r="AJ3" t="s" s="0">
        <v>136</v>
      </c>
      <c r="AK3" t="s" s="0">
        <v>82</v>
      </c>
      <c r="AL3" t="s" s="0">
        <v>137</v>
      </c>
      <c r="AM3" t="s" s="0">
        <v>138</v>
      </c>
      <c r="AN3" t="s" s="0">
        <v>139</v>
      </c>
      <c r="AO3" t="s" s="0">
        <v>99</v>
      </c>
      <c r="AP3" t="s" s="0">
        <v>140</v>
      </c>
      <c r="AQ3" t="s" s="0">
        <v>100</v>
      </c>
      <c r="AR3" t="s" s="0">
        <v>101</v>
      </c>
      <c r="AS3" t="s" s="0">
        <v>102</v>
      </c>
      <c r="AT3" t="s" s="0">
        <v>141</v>
      </c>
      <c r="AU3" t="s" s="0">
        <v>142</v>
      </c>
      <c r="AV3" t="s" s="0">
        <v>82</v>
      </c>
      <c r="AW3" t="s" s="0">
        <v>143</v>
      </c>
      <c r="AX3" t="s" s="0">
        <v>144</v>
      </c>
      <c r="AY3" t="s" s="0">
        <v>145</v>
      </c>
      <c r="AZ3" t="s" s="0">
        <v>146</v>
      </c>
      <c r="BA3" t="s" s="0">
        <v>147</v>
      </c>
      <c r="BB3" t="s" s="0">
        <v>148</v>
      </c>
      <c r="BC3" t="s" s="0">
        <v>82</v>
      </c>
      <c r="BD3" t="s" s="0">
        <v>82</v>
      </c>
      <c r="BE3" t="s" s="0">
        <v>82</v>
      </c>
      <c r="BF3" t="s" s="0">
        <v>82</v>
      </c>
      <c r="BG3" t="s" s="0">
        <v>149</v>
      </c>
      <c r="BH3" t="s" s="0">
        <v>150</v>
      </c>
      <c r="BI3" t="s" s="0">
        <v>82</v>
      </c>
      <c r="BJ3" t="s" s="0">
        <v>151</v>
      </c>
      <c r="BK3" t="s" s="3">
        <f>HYPERLINK("http://dx.doi.org/10.1109/TMI.2024.3418408","http://dx.doi.org/10.1109/TMI.2024.3418408")</f>
        <v>152</v>
      </c>
      <c r="BL3" t="s" s="0">
        <v>82</v>
      </c>
      <c r="BM3" t="s" s="0">
        <v>82</v>
      </c>
      <c r="BN3" t="s" s="0">
        <v>148</v>
      </c>
      <c r="BO3" t="s" s="0">
        <v>153</v>
      </c>
      <c r="BP3" t="s" s="0">
        <v>154</v>
      </c>
      <c r="BQ3" t="s" s="0">
        <v>155</v>
      </c>
      <c r="BR3" t="s" s="0">
        <v>156</v>
      </c>
      <c r="BS3" t="s" s="0">
        <v>157</v>
      </c>
      <c r="BT3" t="s" s="4">
        <f>HYPERLINK("https://www.webofscience.com/wos/woscc/full-record/WOS:001371936600007","View Record in Web of Science")</f>
        <v>120</v>
      </c>
      <c r="BU3" t="s" s="0">
        <v>82</v>
      </c>
      <c r="BV3" t="s" s="0">
        <v>82</v>
      </c>
      <c r="BW3" t="s" s="0">
        <v>82</v>
      </c>
      <c r="BX3" t="s" s="0">
        <v>121</v>
      </c>
    </row>
    <row r="4">
      <c r="A4" t="s" s="0">
        <v>77</v>
      </c>
      <c r="B4" t="s" s="0">
        <v>77</v>
      </c>
      <c r="C4" t="s" s="0">
        <v>77</v>
      </c>
      <c r="D4" t="s" s="0">
        <v>77</v>
      </c>
      <c r="E4" t="s" s="0">
        <v>158</v>
      </c>
      <c r="F4" t="s" s="0">
        <v>159</v>
      </c>
      <c r="G4" t="s" s="0">
        <v>160</v>
      </c>
      <c r="H4" t="s" s="0">
        <v>82</v>
      </c>
      <c r="I4" t="s" s="0">
        <v>83</v>
      </c>
      <c r="J4" t="s" s="0">
        <v>161</v>
      </c>
      <c r="K4" t="s" s="0">
        <v>162</v>
      </c>
      <c r="L4" t="s" s="0">
        <v>163</v>
      </c>
      <c r="M4" t="s" s="0">
        <v>164</v>
      </c>
      <c r="N4" t="s" s="0">
        <v>165</v>
      </c>
      <c r="O4" t="s" s="0">
        <v>166</v>
      </c>
      <c r="P4" t="s" s="0">
        <v>167</v>
      </c>
      <c r="Q4" t="s" s="0">
        <v>88</v>
      </c>
      <c r="R4" t="s" s="0">
        <v>82</v>
      </c>
      <c r="S4" t="s" s="0">
        <v>82</v>
      </c>
      <c r="T4" t="s" s="0">
        <v>82</v>
      </c>
      <c r="U4" t="s" s="0">
        <v>82</v>
      </c>
      <c r="V4" t="s" s="0">
        <v>168</v>
      </c>
      <c r="W4" t="s" s="0">
        <v>169</v>
      </c>
      <c r="X4" t="s" s="0">
        <v>82</v>
      </c>
      <c r="Y4" t="s" s="0">
        <v>82</v>
      </c>
      <c r="Z4" t="s" s="0">
        <v>91</v>
      </c>
      <c r="AA4" t="s" s="0">
        <v>92</v>
      </c>
      <c r="AB4" t="s" s="0">
        <v>82</v>
      </c>
      <c r="AC4" t="s" s="0">
        <v>82</v>
      </c>
      <c r="AD4" t="s" s="0">
        <v>82</v>
      </c>
      <c r="AE4" t="s" s="0">
        <v>82</v>
      </c>
      <c r="AF4" t="s" s="0">
        <v>82</v>
      </c>
      <c r="AG4" t="s" s="0">
        <v>82</v>
      </c>
      <c r="AH4" t="s" s="0">
        <v>82</v>
      </c>
      <c r="AI4" t="s" s="0">
        <v>170</v>
      </c>
      <c r="AJ4" t="s" s="0">
        <v>82</v>
      </c>
      <c r="AK4" t="s" s="0">
        <v>82</v>
      </c>
      <c r="AL4" t="s" s="0">
        <v>171</v>
      </c>
      <c r="AM4" t="s" s="0">
        <v>77</v>
      </c>
      <c r="AN4" t="s" s="0">
        <v>77</v>
      </c>
      <c r="AO4" t="s" s="0">
        <v>77</v>
      </c>
      <c r="AP4" t="s" s="0">
        <v>77</v>
      </c>
      <c r="AQ4" t="s" s="0">
        <v>172</v>
      </c>
      <c r="AR4" t="s" s="0">
        <v>173</v>
      </c>
      <c r="AS4" t="s" s="0">
        <v>174</v>
      </c>
      <c r="AT4" t="s" s="0">
        <v>175</v>
      </c>
      <c r="AU4" t="s" s="0">
        <v>82</v>
      </c>
      <c r="AV4" t="s" s="0">
        <v>82</v>
      </c>
      <c r="AW4" t="s" s="0">
        <v>176</v>
      </c>
      <c r="AX4" t="s" s="0">
        <v>177</v>
      </c>
      <c r="AY4" t="s" s="0">
        <v>178</v>
      </c>
      <c r="AZ4" t="s" s="0">
        <v>179</v>
      </c>
      <c r="BA4" t="s" s="0">
        <v>115</v>
      </c>
      <c r="BB4" t="s" s="0">
        <v>78</v>
      </c>
      <c r="BC4" t="s" s="0">
        <v>82</v>
      </c>
      <c r="BD4" t="s" s="0">
        <v>82</v>
      </c>
      <c r="BE4" t="s" s="0">
        <v>82</v>
      </c>
      <c r="BF4" t="s" s="0">
        <v>82</v>
      </c>
      <c r="BG4" t="s" s="0">
        <v>82</v>
      </c>
      <c r="BH4" t="s" s="0">
        <v>82</v>
      </c>
      <c r="BI4" t="s" s="0">
        <v>180</v>
      </c>
      <c r="BJ4" t="s" s="0">
        <v>181</v>
      </c>
      <c r="BK4" t="s" s="5">
        <f>HYPERLINK("http://dx.doi.org/10.1038/s41746-026-02676-5","http://dx.doi.org/10.1038/s41746-026-02676-5")</f>
        <v>182</v>
      </c>
      <c r="BL4" t="s" s="0">
        <v>82</v>
      </c>
      <c r="BM4" t="s" s="0">
        <v>183</v>
      </c>
      <c r="BN4" t="s" s="0">
        <v>184</v>
      </c>
      <c r="BO4" t="s" s="0">
        <v>185</v>
      </c>
      <c r="BP4" t="s" s="0">
        <v>185</v>
      </c>
      <c r="BQ4" t="s" s="0">
        <v>186</v>
      </c>
      <c r="BR4" t="s" s="0">
        <v>187</v>
      </c>
      <c r="BS4" t="s" s="0">
        <v>188</v>
      </c>
      <c r="BT4" t="s" s="6">
        <f>HYPERLINK("https://www.webofscience.com/wos/woscc/full-record/WOS:001813615700003","View Record in Web of Science")</f>
        <v>120</v>
      </c>
      <c r="BU4" t="s" s="0">
        <v>189</v>
      </c>
      <c r="BV4" t="s" s="0">
        <v>82</v>
      </c>
      <c r="BW4" t="s" s="0">
        <v>82</v>
      </c>
      <c r="BX4" t="s" s="0">
        <v>121</v>
      </c>
    </row>
    <row r="5">
      <c r="A5" t="s" s="0">
        <v>77</v>
      </c>
      <c r="B5" t="s" s="0">
        <v>77</v>
      </c>
      <c r="C5" t="s" s="0">
        <v>77</v>
      </c>
      <c r="D5" t="s" s="0">
        <v>77</v>
      </c>
      <c r="E5" t="s" s="0">
        <v>190</v>
      </c>
      <c r="F5" t="s" s="0">
        <v>191</v>
      </c>
      <c r="G5" t="s" s="0">
        <v>192</v>
      </c>
      <c r="H5" t="s" s="0">
        <v>82</v>
      </c>
      <c r="I5" t="s" s="0">
        <v>83</v>
      </c>
      <c r="J5" t="s" s="0">
        <v>193</v>
      </c>
      <c r="K5" t="s" s="0">
        <v>194</v>
      </c>
      <c r="L5" t="s" s="0">
        <v>195</v>
      </c>
      <c r="M5" t="s" s="0">
        <v>196</v>
      </c>
      <c r="N5" t="s" s="0">
        <v>197</v>
      </c>
      <c r="O5" t="s" s="0">
        <v>198</v>
      </c>
      <c r="P5" t="s" s="0">
        <v>199</v>
      </c>
      <c r="Q5" t="s" s="0">
        <v>88</v>
      </c>
      <c r="R5" t="s" s="0">
        <v>82</v>
      </c>
      <c r="S5" t="s" s="0">
        <v>82</v>
      </c>
      <c r="T5" t="s" s="0">
        <v>82</v>
      </c>
      <c r="U5" t="s" s="0">
        <v>82</v>
      </c>
      <c r="V5" t="s" s="0">
        <v>200</v>
      </c>
      <c r="W5" t="s" s="0">
        <v>201</v>
      </c>
      <c r="X5" t="s" s="0">
        <v>82</v>
      </c>
      <c r="Y5" t="s" s="0">
        <v>82</v>
      </c>
      <c r="Z5" t="s" s="0">
        <v>91</v>
      </c>
      <c r="AA5" t="s" s="0">
        <v>92</v>
      </c>
      <c r="AB5" t="s" s="0">
        <v>82</v>
      </c>
      <c r="AC5" t="s" s="0">
        <v>82</v>
      </c>
      <c r="AD5" t="s" s="0">
        <v>82</v>
      </c>
      <c r="AE5" t="s" s="0">
        <v>82</v>
      </c>
      <c r="AF5" t="s" s="0">
        <v>82</v>
      </c>
      <c r="AG5" t="s" s="0">
        <v>202</v>
      </c>
      <c r="AH5" t="s" s="0">
        <v>82</v>
      </c>
      <c r="AI5" t="s" s="0">
        <v>82</v>
      </c>
      <c r="AJ5" t="s" s="0">
        <v>82</v>
      </c>
      <c r="AK5" t="s" s="0">
        <v>82</v>
      </c>
      <c r="AL5" t="s" s="0">
        <v>203</v>
      </c>
      <c r="AM5" t="s" s="0">
        <v>78</v>
      </c>
      <c r="AN5" t="s" s="0">
        <v>78</v>
      </c>
      <c r="AO5" t="s" s="0">
        <v>204</v>
      </c>
      <c r="AP5" t="s" s="0">
        <v>204</v>
      </c>
      <c r="AQ5" t="s" s="0">
        <v>172</v>
      </c>
      <c r="AR5" t="s" s="0">
        <v>173</v>
      </c>
      <c r="AS5" t="s" s="0">
        <v>174</v>
      </c>
      <c r="AT5" t="s" s="0">
        <v>205</v>
      </c>
      <c r="AU5" t="s" s="0">
        <v>82</v>
      </c>
      <c r="AV5" t="s" s="0">
        <v>82</v>
      </c>
      <c r="AW5" t="s" s="0">
        <v>206</v>
      </c>
      <c r="AX5" t="s" s="0">
        <v>207</v>
      </c>
      <c r="AY5" t="s" s="0">
        <v>208</v>
      </c>
      <c r="AZ5" t="s" s="0">
        <v>179</v>
      </c>
      <c r="BA5" t="s" s="0">
        <v>209</v>
      </c>
      <c r="BB5" t="s" s="0">
        <v>78</v>
      </c>
      <c r="BC5" t="s" s="0">
        <v>82</v>
      </c>
      <c r="BD5" t="s" s="0">
        <v>82</v>
      </c>
      <c r="BE5" t="s" s="0">
        <v>82</v>
      </c>
      <c r="BF5" t="s" s="0">
        <v>82</v>
      </c>
      <c r="BG5" t="s" s="0">
        <v>82</v>
      </c>
      <c r="BH5" t="s" s="0">
        <v>82</v>
      </c>
      <c r="BI5" t="s" s="0">
        <v>210</v>
      </c>
      <c r="BJ5" t="s" s="0">
        <v>211</v>
      </c>
      <c r="BK5" t="s" s="7">
        <f>HYPERLINK("http://dx.doi.org/10.1038/s41598-026-39526-z","http://dx.doi.org/10.1038/s41598-026-39526-z")</f>
        <v>212</v>
      </c>
      <c r="BL5" t="s" s="0">
        <v>82</v>
      </c>
      <c r="BM5" t="s" s="0">
        <v>82</v>
      </c>
      <c r="BN5" t="s" s="0">
        <v>184</v>
      </c>
      <c r="BO5" t="s" s="0">
        <v>213</v>
      </c>
      <c r="BP5" t="s" s="0">
        <v>214</v>
      </c>
      <c r="BQ5" t="s" s="0">
        <v>215</v>
      </c>
      <c r="BR5" t="s" s="0">
        <v>216</v>
      </c>
      <c r="BS5" t="s" s="0">
        <v>217</v>
      </c>
      <c r="BT5" t="s" s="8">
        <f>HYPERLINK("https://www.webofscience.com/wos/woscc/full-record/WOS:001714889700016","View Record in Web of Science")</f>
        <v>120</v>
      </c>
      <c r="BU5" t="s" s="0">
        <v>189</v>
      </c>
      <c r="BV5" t="s" s="0">
        <v>82</v>
      </c>
      <c r="BW5" t="s" s="0">
        <v>82</v>
      </c>
      <c r="BX5" t="s" s="0">
        <v>121</v>
      </c>
    </row>
    <row r="6">
      <c r="A6" t="s" s="0">
        <v>77</v>
      </c>
      <c r="B6" t="s" s="0">
        <v>77</v>
      </c>
      <c r="C6" t="s" s="0">
        <v>77</v>
      </c>
      <c r="D6" t="s" s="0">
        <v>77</v>
      </c>
      <c r="E6" t="s" s="0">
        <v>218</v>
      </c>
      <c r="F6" t="s" s="0">
        <v>219</v>
      </c>
      <c r="G6" t="s" s="0">
        <v>220</v>
      </c>
      <c r="H6" t="s" s="0">
        <v>82</v>
      </c>
      <c r="I6" t="s" s="0">
        <v>83</v>
      </c>
      <c r="J6" t="s" s="0">
        <v>221</v>
      </c>
      <c r="K6" t="s" s="0">
        <v>222</v>
      </c>
      <c r="L6" t="s" s="0">
        <v>223</v>
      </c>
      <c r="M6" t="s" s="0">
        <v>224</v>
      </c>
      <c r="N6" t="s" s="0">
        <v>225</v>
      </c>
      <c r="O6" t="s" s="0">
        <v>226</v>
      </c>
      <c r="P6" t="s" s="0">
        <v>227</v>
      </c>
      <c r="Q6" t="s" s="0">
        <v>88</v>
      </c>
      <c r="R6" t="s" s="0">
        <v>82</v>
      </c>
      <c r="S6" t="s" s="0">
        <v>82</v>
      </c>
      <c r="T6" t="s" s="0">
        <v>82</v>
      </c>
      <c r="U6" t="s" s="0">
        <v>82</v>
      </c>
      <c r="V6" t="s" s="0">
        <v>228</v>
      </c>
      <c r="W6" t="s" s="0">
        <v>229</v>
      </c>
      <c r="X6" t="s" s="0">
        <v>82</v>
      </c>
      <c r="Y6" t="s" s="0">
        <v>82</v>
      </c>
      <c r="Z6" t="s" s="0">
        <v>91</v>
      </c>
      <c r="AA6" t="s" s="0">
        <v>92</v>
      </c>
      <c r="AB6" t="s" s="0">
        <v>82</v>
      </c>
      <c r="AC6" t="s" s="0">
        <v>82</v>
      </c>
      <c r="AD6" t="s" s="0">
        <v>82</v>
      </c>
      <c r="AE6" t="s" s="0">
        <v>82</v>
      </c>
      <c r="AF6" t="s" s="0">
        <v>82</v>
      </c>
      <c r="AG6" t="s" s="0">
        <v>230</v>
      </c>
      <c r="AH6" t="s" s="0">
        <v>231</v>
      </c>
      <c r="AI6" t="s" s="0">
        <v>232</v>
      </c>
      <c r="AJ6" t="s" s="0">
        <v>233</v>
      </c>
      <c r="AK6" t="s" s="0">
        <v>82</v>
      </c>
      <c r="AL6" t="s" s="0">
        <v>234</v>
      </c>
      <c r="AM6" t="s" s="0">
        <v>78</v>
      </c>
      <c r="AN6" t="s" s="0">
        <v>78</v>
      </c>
      <c r="AO6" t="s" s="0">
        <v>235</v>
      </c>
      <c r="AP6" t="s" s="0">
        <v>235</v>
      </c>
      <c r="AQ6" t="s" s="0">
        <v>100</v>
      </c>
      <c r="AR6" t="s" s="0">
        <v>101</v>
      </c>
      <c r="AS6" t="s" s="0">
        <v>102</v>
      </c>
      <c r="AT6" t="s" s="0">
        <v>236</v>
      </c>
      <c r="AU6" t="s" s="0">
        <v>237</v>
      </c>
      <c r="AV6" t="s" s="0">
        <v>82</v>
      </c>
      <c r="AW6" t="s" s="0">
        <v>238</v>
      </c>
      <c r="AX6" t="s" s="0">
        <v>239</v>
      </c>
      <c r="AY6" t="s" s="0">
        <v>240</v>
      </c>
      <c r="AZ6" t="s" s="0">
        <v>179</v>
      </c>
      <c r="BA6" t="s" s="0">
        <v>241</v>
      </c>
      <c r="BB6" t="s" s="0">
        <v>204</v>
      </c>
      <c r="BC6" t="s" s="0">
        <v>82</v>
      </c>
      <c r="BD6" t="s" s="0">
        <v>82</v>
      </c>
      <c r="BE6" t="s" s="0">
        <v>82</v>
      </c>
      <c r="BF6" t="s" s="0">
        <v>82</v>
      </c>
      <c r="BG6" t="s" s="0">
        <v>242</v>
      </c>
      <c r="BH6" t="s" s="0">
        <v>243</v>
      </c>
      <c r="BI6" t="s" s="0">
        <v>82</v>
      </c>
      <c r="BJ6" t="s" s="0">
        <v>244</v>
      </c>
      <c r="BK6" t="s" s="9">
        <f>HYPERLINK("http://dx.doi.org/10.1109/TCSVT.2025.3602970","http://dx.doi.org/10.1109/TCSVT.2025.3602970")</f>
        <v>245</v>
      </c>
      <c r="BL6" t="s" s="0">
        <v>82</v>
      </c>
      <c r="BM6" t="s" s="0">
        <v>82</v>
      </c>
      <c r="BN6" t="s" s="0">
        <v>109</v>
      </c>
      <c r="BO6" t="s" s="0">
        <v>246</v>
      </c>
      <c r="BP6" t="s" s="0">
        <v>247</v>
      </c>
      <c r="BQ6" t="s" s="0">
        <v>248</v>
      </c>
      <c r="BR6" t="s" s="0">
        <v>82</v>
      </c>
      <c r="BS6" t="s" s="0">
        <v>249</v>
      </c>
      <c r="BT6" t="s" s="10">
        <f>HYPERLINK("https://www.webofscience.com/wos/woscc/full-record/WOS:001687411500043","View Record in Web of Science")</f>
        <v>120</v>
      </c>
      <c r="BU6" t="s" s="0">
        <v>82</v>
      </c>
      <c r="BV6" t="s" s="0">
        <v>82</v>
      </c>
      <c r="BW6" t="s" s="0">
        <v>82</v>
      </c>
      <c r="BX6" t="s" s="0">
        <v>121</v>
      </c>
    </row>
    <row r="7">
      <c r="A7" t="s" s="0">
        <v>77</v>
      </c>
      <c r="B7" t="s" s="0">
        <v>77</v>
      </c>
      <c r="C7" t="s" s="0">
        <v>77</v>
      </c>
      <c r="D7" t="s" s="0">
        <v>77</v>
      </c>
      <c r="E7" t="s" s="0">
        <v>250</v>
      </c>
      <c r="F7" t="s" s="0">
        <v>251</v>
      </c>
      <c r="G7" t="s" s="0">
        <v>252</v>
      </c>
      <c r="H7" t="s" s="0">
        <v>82</v>
      </c>
      <c r="I7" t="s" s="0">
        <v>83</v>
      </c>
      <c r="J7" t="s" s="0">
        <v>253</v>
      </c>
      <c r="K7" t="s" s="0">
        <v>254</v>
      </c>
      <c r="L7" t="s" s="0">
        <v>255</v>
      </c>
      <c r="M7" t="s" s="0">
        <v>224</v>
      </c>
      <c r="N7" t="s" s="0">
        <v>256</v>
      </c>
      <c r="O7" t="s" s="0">
        <v>257</v>
      </c>
      <c r="P7" t="s" s="0">
        <v>258</v>
      </c>
      <c r="Q7" t="s" s="0">
        <v>88</v>
      </c>
      <c r="R7" t="s" s="0">
        <v>82</v>
      </c>
      <c r="S7" t="s" s="0">
        <v>82</v>
      </c>
      <c r="T7" t="s" s="0">
        <v>82</v>
      </c>
      <c r="U7" t="s" s="0">
        <v>82</v>
      </c>
      <c r="V7" t="s" s="0">
        <v>259</v>
      </c>
      <c r="W7" t="s" s="0">
        <v>260</v>
      </c>
      <c r="X7" t="s" s="0">
        <v>82</v>
      </c>
      <c r="Y7" t="s" s="0">
        <v>82</v>
      </c>
      <c r="Z7" t="s" s="0">
        <v>91</v>
      </c>
      <c r="AA7" t="s" s="0">
        <v>92</v>
      </c>
      <c r="AB7" t="s" s="0">
        <v>82</v>
      </c>
      <c r="AC7" t="s" s="0">
        <v>82</v>
      </c>
      <c r="AD7" t="s" s="0">
        <v>82</v>
      </c>
      <c r="AE7" t="s" s="0">
        <v>82</v>
      </c>
      <c r="AF7" t="s" s="0">
        <v>82</v>
      </c>
      <c r="AG7" t="s" s="0">
        <v>261</v>
      </c>
      <c r="AH7" t="s" s="0">
        <v>82</v>
      </c>
      <c r="AI7" t="s" s="0">
        <v>82</v>
      </c>
      <c r="AJ7" t="s" s="0">
        <v>82</v>
      </c>
      <c r="AK7" t="s" s="0">
        <v>82</v>
      </c>
      <c r="AL7" t="s" s="0">
        <v>262</v>
      </c>
      <c r="AM7" t="s" s="0">
        <v>77</v>
      </c>
      <c r="AN7" t="s" s="0">
        <v>77</v>
      </c>
      <c r="AO7" t="s" s="0">
        <v>204</v>
      </c>
      <c r="AP7" t="s" s="0">
        <v>204</v>
      </c>
      <c r="AQ7" t="s" s="0">
        <v>263</v>
      </c>
      <c r="AR7" t="s" s="0">
        <v>264</v>
      </c>
      <c r="AS7" t="s" s="0">
        <v>265</v>
      </c>
      <c r="AT7" t="s" s="0">
        <v>266</v>
      </c>
      <c r="AU7" t="s" s="0">
        <v>267</v>
      </c>
      <c r="AV7" t="s" s="0">
        <v>82</v>
      </c>
      <c r="AW7" t="s" s="0">
        <v>268</v>
      </c>
      <c r="AX7" t="s" s="0">
        <v>269</v>
      </c>
      <c r="AY7" t="s" s="0">
        <v>270</v>
      </c>
      <c r="AZ7" t="s" s="0">
        <v>179</v>
      </c>
      <c r="BA7" t="s" s="0">
        <v>271</v>
      </c>
      <c r="BB7" t="s" s="0">
        <v>272</v>
      </c>
      <c r="BC7" t="s" s="0">
        <v>82</v>
      </c>
      <c r="BD7" t="s" s="0">
        <v>82</v>
      </c>
      <c r="BE7" t="s" s="0">
        <v>82</v>
      </c>
      <c r="BF7" t="s" s="0">
        <v>82</v>
      </c>
      <c r="BG7" t="s" s="0">
        <v>273</v>
      </c>
      <c r="BH7" t="s" s="0">
        <v>274</v>
      </c>
      <c r="BI7" t="s" s="0">
        <v>82</v>
      </c>
      <c r="BJ7" t="s" s="0">
        <v>275</v>
      </c>
      <c r="BK7" t="s" s="11">
        <f>HYPERLINK("http://dx.doi.org/10.1109/TPAMI.2026.3682684","http://dx.doi.org/10.1109/TPAMI.2026.3682684")</f>
        <v>276</v>
      </c>
      <c r="BL7" t="s" s="0">
        <v>82</v>
      </c>
      <c r="BM7" t="s" s="0">
        <v>82</v>
      </c>
      <c r="BN7" t="s" s="0">
        <v>277</v>
      </c>
      <c r="BO7" t="s" s="0">
        <v>278</v>
      </c>
      <c r="BP7" t="s" s="0">
        <v>279</v>
      </c>
      <c r="BQ7" t="s" s="0">
        <v>280</v>
      </c>
      <c r="BR7" t="s" s="0">
        <v>281</v>
      </c>
      <c r="BS7" t="s" s="0">
        <v>282</v>
      </c>
      <c r="BT7" t="s" s="12">
        <f>HYPERLINK("https://www.webofscience.com/wos/woscc/full-record/WOS:001815354400002","View Record in Web of Science")</f>
        <v>120</v>
      </c>
      <c r="BU7" t="s" s="0">
        <v>82</v>
      </c>
      <c r="BV7" t="s" s="0">
        <v>82</v>
      </c>
      <c r="BW7" t="s" s="0">
        <v>82</v>
      </c>
      <c r="BX7" t="s" s="0">
        <v>121</v>
      </c>
    </row>
    <row r="8">
      <c r="A8" t="s" s="0">
        <v>77</v>
      </c>
      <c r="B8" t="s" s="0">
        <v>77</v>
      </c>
      <c r="C8" t="s" s="0">
        <v>77</v>
      </c>
      <c r="D8" t="s" s="0">
        <v>77</v>
      </c>
      <c r="E8" t="s" s="0">
        <v>283</v>
      </c>
      <c r="F8" t="s" s="0">
        <v>284</v>
      </c>
      <c r="G8" t="s" s="0">
        <v>285</v>
      </c>
      <c r="H8" t="s" s="0">
        <v>82</v>
      </c>
      <c r="I8" t="s" s="0">
        <v>83</v>
      </c>
      <c r="J8" t="s" s="0">
        <v>286</v>
      </c>
      <c r="K8" t="s" s="0">
        <v>287</v>
      </c>
      <c r="L8" t="s" s="0">
        <v>288</v>
      </c>
      <c r="M8" t="s" s="0">
        <v>289</v>
      </c>
      <c r="N8" t="s" s="0">
        <v>290</v>
      </c>
      <c r="O8" t="s" s="0">
        <v>291</v>
      </c>
      <c r="P8" t="s" s="0">
        <v>292</v>
      </c>
      <c r="Q8" t="s" s="0">
        <v>88</v>
      </c>
      <c r="R8" t="s" s="0">
        <v>82</v>
      </c>
      <c r="S8" t="s" s="0">
        <v>82</v>
      </c>
      <c r="T8" t="s" s="0">
        <v>82</v>
      </c>
      <c r="U8" t="s" s="0">
        <v>82</v>
      </c>
      <c r="V8" t="s" s="0">
        <v>293</v>
      </c>
      <c r="W8" t="s" s="0">
        <v>294</v>
      </c>
      <c r="X8" t="s" s="0">
        <v>82</v>
      </c>
      <c r="Y8" t="s" s="0">
        <v>82</v>
      </c>
      <c r="Z8" t="s" s="0">
        <v>91</v>
      </c>
      <c r="AA8" t="s" s="0">
        <v>92</v>
      </c>
      <c r="AB8" t="s" s="0">
        <v>82</v>
      </c>
      <c r="AC8" t="s" s="0">
        <v>82</v>
      </c>
      <c r="AD8" t="s" s="0">
        <v>82</v>
      </c>
      <c r="AE8" t="s" s="0">
        <v>82</v>
      </c>
      <c r="AF8" t="s" s="0">
        <v>82</v>
      </c>
      <c r="AG8" t="s" s="0">
        <v>295</v>
      </c>
      <c r="AH8" t="s" s="0">
        <v>82</v>
      </c>
      <c r="AI8" t="s" s="0">
        <v>82</v>
      </c>
      <c r="AJ8" t="s" s="0">
        <v>82</v>
      </c>
      <c r="AK8" t="s" s="0">
        <v>82</v>
      </c>
      <c r="AL8" t="s" s="0">
        <v>241</v>
      </c>
      <c r="AM8" t="s" s="0">
        <v>77</v>
      </c>
      <c r="AN8" t="s" s="0">
        <v>77</v>
      </c>
      <c r="AO8" t="s" s="0">
        <v>272</v>
      </c>
      <c r="AP8" t="s" s="0">
        <v>272</v>
      </c>
      <c r="AQ8" t="s" s="0">
        <v>296</v>
      </c>
      <c r="AR8" t="s" s="0">
        <v>297</v>
      </c>
      <c r="AS8" t="s" s="0">
        <v>298</v>
      </c>
      <c r="AT8" t="s" s="0">
        <v>299</v>
      </c>
      <c r="AU8" t="s" s="0">
        <v>300</v>
      </c>
      <c r="AV8" t="s" s="0">
        <v>82</v>
      </c>
      <c r="AW8" t="s" s="0">
        <v>294</v>
      </c>
      <c r="AX8" t="s" s="0">
        <v>301</v>
      </c>
      <c r="AY8" t="s" s="0">
        <v>302</v>
      </c>
      <c r="AZ8" t="s" s="0">
        <v>179</v>
      </c>
      <c r="BA8" t="s" s="0">
        <v>303</v>
      </c>
      <c r="BB8" t="s" s="0">
        <v>82</v>
      </c>
      <c r="BC8" t="s" s="0">
        <v>82</v>
      </c>
      <c r="BD8" t="s" s="0">
        <v>82</v>
      </c>
      <c r="BE8" t="s" s="0">
        <v>82</v>
      </c>
      <c r="BF8" t="s" s="0">
        <v>82</v>
      </c>
      <c r="BG8" t="s" s="0">
        <v>82</v>
      </c>
      <c r="BH8" t="s" s="0">
        <v>82</v>
      </c>
      <c r="BI8" t="s" s="0">
        <v>304</v>
      </c>
      <c r="BJ8" t="s" s="0">
        <v>305</v>
      </c>
      <c r="BK8" t="s" s="13">
        <f>HYPERLINK("http://dx.doi.org/10.1016/j.neucom.2026.133008","http://dx.doi.org/10.1016/j.neucom.2026.133008")</f>
        <v>306</v>
      </c>
      <c r="BL8" t="s" s="0">
        <v>82</v>
      </c>
      <c r="BM8" t="s" s="0">
        <v>240</v>
      </c>
      <c r="BN8" t="s" s="0">
        <v>307</v>
      </c>
      <c r="BO8" t="s" s="0">
        <v>308</v>
      </c>
      <c r="BP8" t="s" s="0">
        <v>309</v>
      </c>
      <c r="BQ8" t="s" s="0">
        <v>310</v>
      </c>
      <c r="BR8" t="s" s="0">
        <v>82</v>
      </c>
      <c r="BS8" t="s" s="0">
        <v>311</v>
      </c>
      <c r="BT8" t="s" s="14">
        <f>HYPERLINK("https://www.webofscience.com/wos/woscc/full-record/WOS:001699039900001","View Record in Web of Science")</f>
        <v>120</v>
      </c>
      <c r="BU8" t="s" s="0">
        <v>82</v>
      </c>
      <c r="BV8" t="s" s="0">
        <v>82</v>
      </c>
      <c r="BW8" t="s" s="0">
        <v>82</v>
      </c>
      <c r="BX8" t="s" s="0">
        <v>121</v>
      </c>
    </row>
    <row r="9">
      <c r="A9" t="s" s="0">
        <v>77</v>
      </c>
      <c r="B9" t="s" s="0">
        <v>77</v>
      </c>
      <c r="C9" t="s" s="0">
        <v>77</v>
      </c>
      <c r="D9" t="s" s="0">
        <v>77</v>
      </c>
      <c r="E9" t="s" s="0">
        <v>312</v>
      </c>
      <c r="F9" t="s" s="0">
        <v>313</v>
      </c>
      <c r="G9" t="s" s="0">
        <v>314</v>
      </c>
      <c r="H9" t="s" s="0">
        <v>82</v>
      </c>
      <c r="I9" t="s" s="0">
        <v>83</v>
      </c>
      <c r="J9" t="s" s="0">
        <v>315</v>
      </c>
      <c r="K9" t="s" s="0">
        <v>316</v>
      </c>
      <c r="L9" t="s" s="0">
        <v>317</v>
      </c>
      <c r="M9" t="s" s="0">
        <v>318</v>
      </c>
      <c r="N9" t="s" s="0">
        <v>319</v>
      </c>
      <c r="O9" t="s" s="0">
        <v>320</v>
      </c>
      <c r="P9" t="s" s="0">
        <v>321</v>
      </c>
      <c r="Q9" t="s" s="0">
        <v>88</v>
      </c>
      <c r="R9" t="s" s="0">
        <v>82</v>
      </c>
      <c r="S9" t="s" s="0">
        <v>82</v>
      </c>
      <c r="T9" t="s" s="0">
        <v>82</v>
      </c>
      <c r="U9" t="s" s="0">
        <v>82</v>
      </c>
      <c r="V9" t="s" s="0">
        <v>322</v>
      </c>
      <c r="W9" t="s" s="0">
        <v>323</v>
      </c>
      <c r="X9" t="s" s="0">
        <v>82</v>
      </c>
      <c r="Y9" t="s" s="0">
        <v>82</v>
      </c>
      <c r="Z9" t="s" s="0">
        <v>91</v>
      </c>
      <c r="AA9" t="s" s="0">
        <v>92</v>
      </c>
      <c r="AB9" t="s" s="0">
        <v>82</v>
      </c>
      <c r="AC9" t="s" s="0">
        <v>82</v>
      </c>
      <c r="AD9" t="s" s="0">
        <v>82</v>
      </c>
      <c r="AE9" t="s" s="0">
        <v>82</v>
      </c>
      <c r="AF9" t="s" s="0">
        <v>82</v>
      </c>
      <c r="AG9" t="s" s="0">
        <v>324</v>
      </c>
      <c r="AH9" t="s" s="0">
        <v>82</v>
      </c>
      <c r="AI9" t="s" s="0">
        <v>82</v>
      </c>
      <c r="AJ9" t="s" s="0">
        <v>82</v>
      </c>
      <c r="AK9" t="s" s="0">
        <v>82</v>
      </c>
      <c r="AL9" t="s" s="0">
        <v>111</v>
      </c>
      <c r="AM9" t="s" s="0">
        <v>77</v>
      </c>
      <c r="AN9" t="s" s="0">
        <v>77</v>
      </c>
      <c r="AO9" t="s" s="0">
        <v>77</v>
      </c>
      <c r="AP9" t="s" s="0">
        <v>77</v>
      </c>
      <c r="AQ9" t="s" s="0">
        <v>100</v>
      </c>
      <c r="AR9" t="s" s="0">
        <v>101</v>
      </c>
      <c r="AS9" t="s" s="0">
        <v>102</v>
      </c>
      <c r="AT9" t="s" s="0">
        <v>325</v>
      </c>
      <c r="AU9" t="s" s="0">
        <v>82</v>
      </c>
      <c r="AV9" t="s" s="0">
        <v>82</v>
      </c>
      <c r="AW9" t="s" s="0">
        <v>323</v>
      </c>
      <c r="AX9" t="s" s="0">
        <v>326</v>
      </c>
      <c r="AY9" t="s" s="0">
        <v>179</v>
      </c>
      <c r="AZ9" t="s" s="0">
        <v>179</v>
      </c>
      <c r="BA9" t="s" s="0">
        <v>109</v>
      </c>
      <c r="BB9" t="s" s="0">
        <v>82</v>
      </c>
      <c r="BC9" t="s" s="0">
        <v>82</v>
      </c>
      <c r="BD9" t="s" s="0">
        <v>82</v>
      </c>
      <c r="BE9" t="s" s="0">
        <v>82</v>
      </c>
      <c r="BF9" t="s" s="0">
        <v>82</v>
      </c>
      <c r="BG9" t="s" s="0">
        <v>327</v>
      </c>
      <c r="BH9" t="s" s="0">
        <v>328</v>
      </c>
      <c r="BI9" t="s" s="0">
        <v>82</v>
      </c>
      <c r="BJ9" t="s" s="0">
        <v>329</v>
      </c>
      <c r="BK9" t="s" s="15">
        <f>HYPERLINK("http://dx.doi.org/10.1109/ACCESS.2026.3716267","http://dx.doi.org/10.1109/ACCESS.2026.3716267")</f>
        <v>330</v>
      </c>
      <c r="BL9" t="s" s="0">
        <v>82</v>
      </c>
      <c r="BM9" t="s" s="0">
        <v>82</v>
      </c>
      <c r="BN9" t="s" s="0">
        <v>331</v>
      </c>
      <c r="BO9" t="s" s="0">
        <v>332</v>
      </c>
      <c r="BP9" t="s" s="0">
        <v>117</v>
      </c>
      <c r="BQ9" t="s" s="0">
        <v>333</v>
      </c>
      <c r="BR9" t="s" s="0">
        <v>82</v>
      </c>
      <c r="BS9" t="s" s="0">
        <v>334</v>
      </c>
      <c r="BT9" t="s" s="16">
        <f>HYPERLINK("https://www.webofscience.com/wos/woscc/full-record/WOS:001841864300010","View Record in Web of Science")</f>
        <v>120</v>
      </c>
      <c r="BU9" t="s" s="0">
        <v>335</v>
      </c>
      <c r="BV9" t="s" s="0">
        <v>82</v>
      </c>
      <c r="BW9" t="s" s="0">
        <v>82</v>
      </c>
      <c r="BX9" t="s" s="0">
        <v>121</v>
      </c>
    </row>
    <row r="10">
      <c r="A10" t="s" s="0">
        <v>77</v>
      </c>
      <c r="B10" t="s" s="0">
        <v>77</v>
      </c>
      <c r="C10" t="s" s="0">
        <v>77</v>
      </c>
      <c r="D10" t="s" s="0">
        <v>77</v>
      </c>
      <c r="E10" t="s" s="0">
        <v>336</v>
      </c>
      <c r="F10" t="s" s="0">
        <v>337</v>
      </c>
      <c r="G10" t="s" s="0">
        <v>338</v>
      </c>
      <c r="H10" t="s" s="0">
        <v>82</v>
      </c>
      <c r="I10" t="s" s="0">
        <v>83</v>
      </c>
      <c r="J10" t="s" s="0">
        <v>339</v>
      </c>
      <c r="K10" t="s" s="0">
        <v>340</v>
      </c>
      <c r="L10" t="s" s="0">
        <v>341</v>
      </c>
      <c r="M10" t="s" s="0">
        <v>342</v>
      </c>
      <c r="N10" t="s" s="0">
        <v>343</v>
      </c>
      <c r="O10" t="s" s="0">
        <v>344</v>
      </c>
      <c r="P10" t="s" s="0">
        <v>345</v>
      </c>
      <c r="Q10" t="s" s="0">
        <v>88</v>
      </c>
      <c r="R10" t="s" s="0">
        <v>82</v>
      </c>
      <c r="S10" t="s" s="0">
        <v>82</v>
      </c>
      <c r="T10" t="s" s="0">
        <v>82</v>
      </c>
      <c r="U10" t="s" s="0">
        <v>82</v>
      </c>
      <c r="V10" t="s" s="0">
        <v>346</v>
      </c>
      <c r="W10" t="s" s="0">
        <v>347</v>
      </c>
      <c r="X10" t="s" s="0">
        <v>82</v>
      </c>
      <c r="Y10" t="s" s="0">
        <v>82</v>
      </c>
      <c r="Z10" t="s" s="0">
        <v>91</v>
      </c>
      <c r="AA10" t="s" s="0">
        <v>92</v>
      </c>
      <c r="AB10" t="s" s="0">
        <v>82</v>
      </c>
      <c r="AC10" t="s" s="0">
        <v>82</v>
      </c>
      <c r="AD10" t="s" s="0">
        <v>82</v>
      </c>
      <c r="AE10" t="s" s="0">
        <v>82</v>
      </c>
      <c r="AF10" t="s" s="0">
        <v>82</v>
      </c>
      <c r="AG10" t="s" s="0">
        <v>348</v>
      </c>
      <c r="AH10" t="s" s="0">
        <v>82</v>
      </c>
      <c r="AI10" t="s" s="0">
        <v>349</v>
      </c>
      <c r="AJ10" t="s" s="0">
        <v>82</v>
      </c>
      <c r="AK10" t="s" s="0">
        <v>82</v>
      </c>
      <c r="AL10" t="s" s="0">
        <v>350</v>
      </c>
      <c r="AM10" t="s" s="0">
        <v>77</v>
      </c>
      <c r="AN10" t="s" s="0">
        <v>77</v>
      </c>
      <c r="AO10" t="s" s="0">
        <v>204</v>
      </c>
      <c r="AP10" t="s" s="0">
        <v>204</v>
      </c>
      <c r="AQ10" t="s" s="0">
        <v>351</v>
      </c>
      <c r="AR10" t="s" s="0">
        <v>352</v>
      </c>
      <c r="AS10" t="s" s="0">
        <v>353</v>
      </c>
      <c r="AT10" t="s" s="0">
        <v>354</v>
      </c>
      <c r="AU10" t="s" s="0">
        <v>355</v>
      </c>
      <c r="AV10" t="s" s="0">
        <v>82</v>
      </c>
      <c r="AW10" t="s" s="0">
        <v>356</v>
      </c>
      <c r="AX10" t="s" s="0">
        <v>357</v>
      </c>
      <c r="AY10" t="s" s="0">
        <v>358</v>
      </c>
      <c r="AZ10" t="s" s="0">
        <v>179</v>
      </c>
      <c r="BA10" t="s" s="0">
        <v>359</v>
      </c>
      <c r="BB10" t="s" s="0">
        <v>82</v>
      </c>
      <c r="BC10" t="s" s="0">
        <v>82</v>
      </c>
      <c r="BD10" t="s" s="0">
        <v>82</v>
      </c>
      <c r="BE10" t="s" s="0">
        <v>82</v>
      </c>
      <c r="BF10" t="s" s="0">
        <v>82</v>
      </c>
      <c r="BG10" t="s" s="0">
        <v>82</v>
      </c>
      <c r="BH10" t="s" s="0">
        <v>82</v>
      </c>
      <c r="BI10" t="s" s="0">
        <v>360</v>
      </c>
      <c r="BJ10" t="s" s="0">
        <v>361</v>
      </c>
      <c r="BK10" t="s" s="17">
        <f>HYPERLINK("http://dx.doi.org/10.1016/j.jbi.2026.105014","http://dx.doi.org/10.1016/j.jbi.2026.105014")</f>
        <v>362</v>
      </c>
      <c r="BL10" t="s" s="0">
        <v>82</v>
      </c>
      <c r="BM10" t="s" s="0">
        <v>82</v>
      </c>
      <c r="BN10" t="s" s="0">
        <v>363</v>
      </c>
      <c r="BO10" t="s" s="0">
        <v>364</v>
      </c>
      <c r="BP10" t="s" s="0">
        <v>365</v>
      </c>
      <c r="BQ10" t="s" s="0">
        <v>366</v>
      </c>
      <c r="BR10" t="s" s="0">
        <v>367</v>
      </c>
      <c r="BS10" t="s" s="0">
        <v>368</v>
      </c>
      <c r="BT10" t="s" s="18">
        <f>HYPERLINK("https://www.webofscience.com/wos/woscc/full-record/WOS:001733006200001","View Record in Web of Science")</f>
        <v>120</v>
      </c>
      <c r="BU10" t="s" s="0">
        <v>82</v>
      </c>
      <c r="BV10" t="s" s="0">
        <v>82</v>
      </c>
      <c r="BW10" t="s" s="0">
        <v>82</v>
      </c>
      <c r="BX10" t="s" s="0">
        <v>121</v>
      </c>
    </row>
    <row r="11">
      <c r="A11" t="s" s="0">
        <v>77</v>
      </c>
      <c r="B11" t="s" s="0">
        <v>77</v>
      </c>
      <c r="C11" t="s" s="0">
        <v>78</v>
      </c>
      <c r="D11" t="s" s="0">
        <v>77</v>
      </c>
      <c r="E11" t="s" s="0">
        <v>369</v>
      </c>
      <c r="F11" t="s" s="0">
        <v>370</v>
      </c>
      <c r="G11" t="s" s="0">
        <v>371</v>
      </c>
      <c r="H11" t="s" s="0">
        <v>82</v>
      </c>
      <c r="I11" t="s" s="0">
        <v>83</v>
      </c>
      <c r="J11" t="s" s="0">
        <v>372</v>
      </c>
      <c r="K11" t="s" s="0">
        <v>373</v>
      </c>
      <c r="L11" t="s" s="0">
        <v>82</v>
      </c>
      <c r="M11" t="s" s="0">
        <v>82</v>
      </c>
      <c r="N11" t="s" s="0">
        <v>82</v>
      </c>
      <c r="O11" t="s" s="0">
        <v>374</v>
      </c>
      <c r="P11" t="s" s="0">
        <v>375</v>
      </c>
      <c r="Q11" t="s" s="0">
        <v>88</v>
      </c>
      <c r="R11" t="s" s="0">
        <v>82</v>
      </c>
      <c r="S11" t="s" s="0">
        <v>82</v>
      </c>
      <c r="T11" t="s" s="0">
        <v>82</v>
      </c>
      <c r="U11" t="s" s="0">
        <v>82</v>
      </c>
      <c r="V11" t="s" s="0">
        <v>376</v>
      </c>
      <c r="W11" t="s" s="0">
        <v>377</v>
      </c>
      <c r="X11" t="s" s="0">
        <v>82</v>
      </c>
      <c r="Y11" t="s" s="0">
        <v>82</v>
      </c>
      <c r="Z11" t="s" s="0">
        <v>91</v>
      </c>
      <c r="AA11" t="s" s="0">
        <v>92</v>
      </c>
      <c r="AB11" t="s" s="0">
        <v>82</v>
      </c>
      <c r="AC11" t="s" s="0">
        <v>82</v>
      </c>
      <c r="AD11" t="s" s="0">
        <v>82</v>
      </c>
      <c r="AE11" t="s" s="0">
        <v>82</v>
      </c>
      <c r="AF11" t="s" s="0">
        <v>82</v>
      </c>
      <c r="AG11" t="s" s="0">
        <v>378</v>
      </c>
      <c r="AH11" t="s" s="0">
        <v>379</v>
      </c>
      <c r="AI11" t="s" s="0">
        <v>380</v>
      </c>
      <c r="AJ11" t="s" s="0">
        <v>381</v>
      </c>
      <c r="AK11" t="s" s="0">
        <v>82</v>
      </c>
      <c r="AL11" t="s" s="0">
        <v>382</v>
      </c>
      <c r="AM11" t="s" s="0">
        <v>235</v>
      </c>
      <c r="AN11" t="s" s="0">
        <v>235</v>
      </c>
      <c r="AO11" t="s" s="0">
        <v>78</v>
      </c>
      <c r="AP11" t="s" s="0">
        <v>277</v>
      </c>
      <c r="AQ11" t="s" s="0">
        <v>383</v>
      </c>
      <c r="AR11" t="s" s="0">
        <v>384</v>
      </c>
      <c r="AS11" t="s" s="0">
        <v>385</v>
      </c>
      <c r="AT11" t="s" s="0">
        <v>386</v>
      </c>
      <c r="AU11" t="s" s="0">
        <v>387</v>
      </c>
      <c r="AV11" t="s" s="0">
        <v>82</v>
      </c>
      <c r="AW11" t="s" s="0">
        <v>388</v>
      </c>
      <c r="AX11" t="s" s="0">
        <v>389</v>
      </c>
      <c r="AY11" t="s" s="0">
        <v>390</v>
      </c>
      <c r="AZ11" t="s" s="0">
        <v>146</v>
      </c>
      <c r="BA11" t="s" s="0">
        <v>391</v>
      </c>
      <c r="BB11" t="s" s="0">
        <v>97</v>
      </c>
      <c r="BC11" t="s" s="0">
        <v>82</v>
      </c>
      <c r="BD11" t="s" s="0">
        <v>82</v>
      </c>
      <c r="BE11" t="s" s="0">
        <v>82</v>
      </c>
      <c r="BF11" t="s" s="0">
        <v>82</v>
      </c>
      <c r="BG11" t="s" s="0">
        <v>392</v>
      </c>
      <c r="BH11" t="s" s="0">
        <v>393</v>
      </c>
      <c r="BI11" t="s" s="0">
        <v>82</v>
      </c>
      <c r="BJ11" t="s" s="0">
        <v>394</v>
      </c>
      <c r="BK11" t="s" s="19">
        <f>HYPERLINK("http://dx.doi.org/10.1097/ICU.0000000000001089","http://dx.doi.org/10.1097/ICU.0000000000001089")</f>
        <v>395</v>
      </c>
      <c r="BL11" t="s" s="0">
        <v>82</v>
      </c>
      <c r="BM11" t="s" s="0">
        <v>82</v>
      </c>
      <c r="BN11" t="s" s="0">
        <v>98</v>
      </c>
      <c r="BO11" t="s" s="0">
        <v>396</v>
      </c>
      <c r="BP11" t="s" s="0">
        <v>396</v>
      </c>
      <c r="BQ11" t="s" s="0">
        <v>397</v>
      </c>
      <c r="BR11" t="s" s="0">
        <v>398</v>
      </c>
      <c r="BS11" t="s" s="0">
        <v>399</v>
      </c>
      <c r="BT11" t="s" s="20">
        <f>HYPERLINK("https://www.webofscience.com/wos/woscc/full-record/WOS:001322587400006","View Record in Web of Science")</f>
        <v>120</v>
      </c>
      <c r="BU11" t="s" s="0">
        <v>82</v>
      </c>
      <c r="BV11" t="s" s="0">
        <v>82</v>
      </c>
      <c r="BW11" t="s" s="0">
        <v>82</v>
      </c>
      <c r="BX11" t="s" s="0">
        <v>121</v>
      </c>
    </row>
    <row r="12">
      <c r="A12" t="s" s="0">
        <v>77</v>
      </c>
      <c r="B12" t="s" s="0">
        <v>77</v>
      </c>
      <c r="C12" t="s" s="0">
        <v>97</v>
      </c>
      <c r="D12" t="s" s="0">
        <v>77</v>
      </c>
      <c r="E12" t="s" s="0">
        <v>400</v>
      </c>
      <c r="F12" t="s" s="0">
        <v>401</v>
      </c>
      <c r="G12" t="s" s="0">
        <v>402</v>
      </c>
      <c r="H12" t="s" s="0">
        <v>82</v>
      </c>
      <c r="I12" t="s" s="0">
        <v>83</v>
      </c>
      <c r="J12" t="s" s="0">
        <v>403</v>
      </c>
      <c r="K12" t="s" s="0">
        <v>404</v>
      </c>
      <c r="L12" t="s" s="0">
        <v>405</v>
      </c>
      <c r="M12" t="s" s="0">
        <v>406</v>
      </c>
      <c r="N12" t="s" s="0">
        <v>407</v>
      </c>
      <c r="O12" t="s" s="0">
        <v>408</v>
      </c>
      <c r="P12" t="s" s="0">
        <v>409</v>
      </c>
      <c r="Q12" t="s" s="0">
        <v>88</v>
      </c>
      <c r="R12" t="s" s="0">
        <v>82</v>
      </c>
      <c r="S12" t="s" s="0">
        <v>82</v>
      </c>
      <c r="T12" t="s" s="0">
        <v>82</v>
      </c>
      <c r="U12" t="s" s="0">
        <v>82</v>
      </c>
      <c r="V12" t="s" s="0">
        <v>410</v>
      </c>
      <c r="W12" t="s" s="0">
        <v>411</v>
      </c>
      <c r="X12" t="s" s="0">
        <v>82</v>
      </c>
      <c r="Y12" t="s" s="0">
        <v>82</v>
      </c>
      <c r="Z12" t="s" s="0">
        <v>91</v>
      </c>
      <c r="AA12" t="s" s="0">
        <v>92</v>
      </c>
      <c r="AB12" t="s" s="0">
        <v>82</v>
      </c>
      <c r="AC12" t="s" s="0">
        <v>82</v>
      </c>
      <c r="AD12" t="s" s="0">
        <v>82</v>
      </c>
      <c r="AE12" t="s" s="0">
        <v>82</v>
      </c>
      <c r="AF12" t="s" s="0">
        <v>82</v>
      </c>
      <c r="AG12" t="s" s="0">
        <v>412</v>
      </c>
      <c r="AH12" t="s" s="0">
        <v>82</v>
      </c>
      <c r="AI12" t="s" s="0">
        <v>413</v>
      </c>
      <c r="AJ12" t="s" s="0">
        <v>414</v>
      </c>
      <c r="AK12" t="s" s="0">
        <v>82</v>
      </c>
      <c r="AL12" t="s" s="0">
        <v>262</v>
      </c>
      <c r="AM12" t="s" s="0">
        <v>415</v>
      </c>
      <c r="AN12" t="s" s="0">
        <v>416</v>
      </c>
      <c r="AO12" t="s" s="0">
        <v>77</v>
      </c>
      <c r="AP12" t="s" s="0">
        <v>417</v>
      </c>
      <c r="AQ12" t="s" s="0">
        <v>418</v>
      </c>
      <c r="AR12" t="s" s="0">
        <v>419</v>
      </c>
      <c r="AS12" t="s" s="0">
        <v>420</v>
      </c>
      <c r="AT12" t="s" s="0">
        <v>82</v>
      </c>
      <c r="AU12" t="s" s="0">
        <v>421</v>
      </c>
      <c r="AV12" t="s" s="0">
        <v>82</v>
      </c>
      <c r="AW12" t="s" s="0">
        <v>411</v>
      </c>
      <c r="AX12" t="s" s="0">
        <v>422</v>
      </c>
      <c r="AY12" t="s" s="0">
        <v>423</v>
      </c>
      <c r="AZ12" t="s" s="0">
        <v>424</v>
      </c>
      <c r="BA12" t="s" s="0">
        <v>363</v>
      </c>
      <c r="BB12" t="s" s="0">
        <v>99</v>
      </c>
      <c r="BC12" t="s" s="0">
        <v>82</v>
      </c>
      <c r="BD12" t="s" s="0">
        <v>82</v>
      </c>
      <c r="BE12" t="s" s="0">
        <v>82</v>
      </c>
      <c r="BF12" t="s" s="0">
        <v>82</v>
      </c>
      <c r="BG12" t="s" s="0">
        <v>82</v>
      </c>
      <c r="BH12" t="s" s="0">
        <v>82</v>
      </c>
      <c r="BI12" t="s" s="0">
        <v>425</v>
      </c>
      <c r="BJ12" t="s" s="0">
        <v>426</v>
      </c>
      <c r="BK12" t="s" s="21">
        <f>HYPERLINK("http://dx.doi.org/10.3390/bioengineering10030380","http://dx.doi.org/10.3390/bioengineering10030380")</f>
        <v>427</v>
      </c>
      <c r="BL12" t="s" s="0">
        <v>82</v>
      </c>
      <c r="BM12" t="s" s="0">
        <v>82</v>
      </c>
      <c r="BN12" t="s" s="0">
        <v>428</v>
      </c>
      <c r="BO12" t="s" s="0">
        <v>429</v>
      </c>
      <c r="BP12" t="s" s="0">
        <v>430</v>
      </c>
      <c r="BQ12" t="s" s="0">
        <v>431</v>
      </c>
      <c r="BR12" t="s" s="0">
        <v>432</v>
      </c>
      <c r="BS12" t="s" s="0">
        <v>433</v>
      </c>
      <c r="BT12" t="s" s="22">
        <f>HYPERLINK("https://www.webofscience.com/wos/woscc/full-record/WOS:000957344100001","View Record in Web of Science")</f>
        <v>120</v>
      </c>
      <c r="BU12" t="s" s="0">
        <v>189</v>
      </c>
      <c r="BV12" t="s" s="0">
        <v>82</v>
      </c>
      <c r="BW12" t="s" s="0">
        <v>82</v>
      </c>
      <c r="BX12" t="s" s="0">
        <v>121</v>
      </c>
    </row>
    <row r="13">
      <c r="A13" t="s" s="0">
        <v>77</v>
      </c>
      <c r="B13" t="s" s="0">
        <v>77</v>
      </c>
      <c r="C13" t="s" s="0">
        <v>77</v>
      </c>
      <c r="D13" t="s" s="0">
        <v>77</v>
      </c>
      <c r="E13" t="s" s="0">
        <v>434</v>
      </c>
      <c r="F13" t="s" s="0">
        <v>435</v>
      </c>
      <c r="G13" t="s" s="0">
        <v>436</v>
      </c>
      <c r="H13" t="s" s="0">
        <v>82</v>
      </c>
      <c r="I13" t="s" s="0">
        <v>83</v>
      </c>
      <c r="J13" t="s" s="0">
        <v>437</v>
      </c>
      <c r="K13" t="s" s="0">
        <v>438</v>
      </c>
      <c r="L13" t="s" s="0">
        <v>439</v>
      </c>
      <c r="M13" t="s" s="0">
        <v>440</v>
      </c>
      <c r="N13" t="s" s="0">
        <v>441</v>
      </c>
      <c r="O13" t="s" s="0">
        <v>442</v>
      </c>
      <c r="P13" t="s" s="0">
        <v>443</v>
      </c>
      <c r="Q13" t="s" s="0">
        <v>88</v>
      </c>
      <c r="R13" t="s" s="0">
        <v>82</v>
      </c>
      <c r="S13" t="s" s="0">
        <v>82</v>
      </c>
      <c r="T13" t="s" s="0">
        <v>82</v>
      </c>
      <c r="U13" t="s" s="0">
        <v>82</v>
      </c>
      <c r="V13" t="s" s="0">
        <v>444</v>
      </c>
      <c r="W13" t="s" s="0">
        <v>133</v>
      </c>
      <c r="X13" t="s" s="0">
        <v>82</v>
      </c>
      <c r="Y13" t="s" s="0">
        <v>82</v>
      </c>
      <c r="Z13" t="s" s="0">
        <v>91</v>
      </c>
      <c r="AA13" t="s" s="0">
        <v>92</v>
      </c>
      <c r="AB13" t="s" s="0">
        <v>82</v>
      </c>
      <c r="AC13" t="s" s="0">
        <v>82</v>
      </c>
      <c r="AD13" t="s" s="0">
        <v>82</v>
      </c>
      <c r="AE13" t="s" s="0">
        <v>82</v>
      </c>
      <c r="AF13" t="s" s="0">
        <v>82</v>
      </c>
      <c r="AG13" t="s" s="0">
        <v>445</v>
      </c>
      <c r="AH13" t="s" s="0">
        <v>82</v>
      </c>
      <c r="AI13" t="s" s="0">
        <v>446</v>
      </c>
      <c r="AJ13" t="s" s="0">
        <v>82</v>
      </c>
      <c r="AK13" t="s" s="0">
        <v>82</v>
      </c>
      <c r="AL13" t="s" s="0">
        <v>447</v>
      </c>
      <c r="AM13" t="s" s="0">
        <v>77</v>
      </c>
      <c r="AN13" t="s" s="0">
        <v>77</v>
      </c>
      <c r="AO13" t="s" s="0">
        <v>78</v>
      </c>
      <c r="AP13" t="s" s="0">
        <v>204</v>
      </c>
      <c r="AQ13" t="s" s="0">
        <v>100</v>
      </c>
      <c r="AR13" t="s" s="0">
        <v>101</v>
      </c>
      <c r="AS13" t="s" s="0">
        <v>102</v>
      </c>
      <c r="AT13" t="s" s="0">
        <v>141</v>
      </c>
      <c r="AU13" t="s" s="0">
        <v>142</v>
      </c>
      <c r="AV13" t="s" s="0">
        <v>82</v>
      </c>
      <c r="AW13" t="s" s="0">
        <v>143</v>
      </c>
      <c r="AX13" t="s" s="0">
        <v>144</v>
      </c>
      <c r="AY13" t="s" s="0">
        <v>448</v>
      </c>
      <c r="AZ13" t="s" s="0">
        <v>108</v>
      </c>
      <c r="BA13" t="s" s="0">
        <v>449</v>
      </c>
      <c r="BB13" t="s" s="0">
        <v>363</v>
      </c>
      <c r="BC13" t="s" s="0">
        <v>82</v>
      </c>
      <c r="BD13" t="s" s="0">
        <v>82</v>
      </c>
      <c r="BE13" t="s" s="0">
        <v>82</v>
      </c>
      <c r="BF13" t="s" s="0">
        <v>82</v>
      </c>
      <c r="BG13" t="s" s="0">
        <v>450</v>
      </c>
      <c r="BH13" t="s" s="0">
        <v>451</v>
      </c>
      <c r="BI13" t="s" s="0">
        <v>82</v>
      </c>
      <c r="BJ13" t="s" s="0">
        <v>452</v>
      </c>
      <c r="BK13" t="s" s="23">
        <f>HYPERLINK("http://dx.doi.org/10.1109/TMI.2024.3484294","http://dx.doi.org/10.1109/TMI.2024.3484294")</f>
        <v>453</v>
      </c>
      <c r="BL13" t="s" s="0">
        <v>82</v>
      </c>
      <c r="BM13" t="s" s="0">
        <v>82</v>
      </c>
      <c r="BN13" t="s" s="0">
        <v>184</v>
      </c>
      <c r="BO13" t="s" s="0">
        <v>153</v>
      </c>
      <c r="BP13" t="s" s="0">
        <v>154</v>
      </c>
      <c r="BQ13" t="s" s="0">
        <v>454</v>
      </c>
      <c r="BR13" t="s" s="0">
        <v>455</v>
      </c>
      <c r="BS13" t="s" s="0">
        <v>456</v>
      </c>
      <c r="BT13" t="s" s="24">
        <f>HYPERLINK("https://www.webofscience.com/wos/woscc/full-record/WOS:001606201000011","View Record in Web of Science")</f>
        <v>120</v>
      </c>
      <c r="BU13" t="s" s="0">
        <v>82</v>
      </c>
      <c r="BV13" t="s" s="0">
        <v>82</v>
      </c>
      <c r="BW13" t="s" s="0">
        <v>82</v>
      </c>
      <c r="BX13" t="s" s="0">
        <v>121</v>
      </c>
    </row>
    <row r="14">
      <c r="A14" t="s" s="0">
        <v>204</v>
      </c>
      <c r="B14" t="s" s="0">
        <v>77</v>
      </c>
      <c r="C14" t="s" s="0">
        <v>204</v>
      </c>
      <c r="D14" t="s" s="0">
        <v>77</v>
      </c>
      <c r="E14" t="s" s="0">
        <v>457</v>
      </c>
      <c r="F14" t="s" s="0">
        <v>458</v>
      </c>
      <c r="G14" t="s" s="0">
        <v>459</v>
      </c>
      <c r="H14" t="s" s="0">
        <v>82</v>
      </c>
      <c r="I14" t="s" s="0">
        <v>460</v>
      </c>
      <c r="J14" t="s" s="0">
        <v>461</v>
      </c>
      <c r="K14" t="s" s="0">
        <v>462</v>
      </c>
      <c r="L14" t="s" s="0">
        <v>463</v>
      </c>
      <c r="M14" t="s" s="0">
        <v>464</v>
      </c>
      <c r="N14" t="s" s="0">
        <v>465</v>
      </c>
      <c r="O14" t="s" s="0">
        <v>466</v>
      </c>
      <c r="P14" t="s" s="0">
        <v>467</v>
      </c>
      <c r="Q14" t="s" s="0">
        <v>88</v>
      </c>
      <c r="R14" t="s" s="0">
        <v>82</v>
      </c>
      <c r="S14" t="s" s="0">
        <v>82</v>
      </c>
      <c r="T14" t="s" s="0">
        <v>82</v>
      </c>
      <c r="U14" t="s" s="0">
        <v>82</v>
      </c>
      <c r="V14" t="s" s="0">
        <v>468</v>
      </c>
      <c r="W14" t="s" s="0">
        <v>469</v>
      </c>
      <c r="X14" t="s" s="0">
        <v>82</v>
      </c>
      <c r="Y14" t="s" s="0">
        <v>82</v>
      </c>
      <c r="Z14" t="s" s="0">
        <v>91</v>
      </c>
      <c r="AA14" t="s" s="0">
        <v>92</v>
      </c>
      <c r="AB14" t="s" s="0">
        <v>82</v>
      </c>
      <c r="AC14" t="s" s="0">
        <v>82</v>
      </c>
      <c r="AD14" t="s" s="0">
        <v>82</v>
      </c>
      <c r="AE14" t="s" s="0">
        <v>82</v>
      </c>
      <c r="AF14" t="s" s="0">
        <v>82</v>
      </c>
      <c r="AG14" t="s" s="0">
        <v>470</v>
      </c>
      <c r="AH14" t="s" s="0">
        <v>82</v>
      </c>
      <c r="AI14" t="s" s="0">
        <v>471</v>
      </c>
      <c r="AJ14" t="s" s="0">
        <v>82</v>
      </c>
      <c r="AK14" t="s" s="0">
        <v>82</v>
      </c>
      <c r="AL14" t="s" s="0">
        <v>137</v>
      </c>
      <c r="AM14" t="s" s="0">
        <v>472</v>
      </c>
      <c r="AN14" t="s" s="0">
        <v>473</v>
      </c>
      <c r="AO14" t="s" s="0">
        <v>204</v>
      </c>
      <c r="AP14" t="s" s="0">
        <v>99</v>
      </c>
      <c r="AQ14" t="s" s="0">
        <v>474</v>
      </c>
      <c r="AR14" t="s" s="0">
        <v>475</v>
      </c>
      <c r="AS14" t="s" s="0">
        <v>476</v>
      </c>
      <c r="AT14" t="s" s="0">
        <v>477</v>
      </c>
      <c r="AU14" t="s" s="0">
        <v>478</v>
      </c>
      <c r="AV14" t="s" s="0">
        <v>82</v>
      </c>
      <c r="AW14" t="s" s="0">
        <v>479</v>
      </c>
      <c r="AX14" t="s" s="0">
        <v>480</v>
      </c>
      <c r="AY14" t="s" s="0">
        <v>481</v>
      </c>
      <c r="AZ14" t="s" s="0">
        <v>146</v>
      </c>
      <c r="BA14" t="s" s="0">
        <v>204</v>
      </c>
      <c r="BB14" t="s" s="0">
        <v>78</v>
      </c>
      <c r="BC14" t="s" s="0">
        <v>82</v>
      </c>
      <c r="BD14" t="s" s="0">
        <v>82</v>
      </c>
      <c r="BE14" t="s" s="0">
        <v>82</v>
      </c>
      <c r="BF14" t="s" s="0">
        <v>82</v>
      </c>
      <c r="BG14" t="s" s="0">
        <v>82</v>
      </c>
      <c r="BH14" t="s" s="0">
        <v>82</v>
      </c>
      <c r="BI14" t="s" s="0">
        <v>428</v>
      </c>
      <c r="BJ14" t="s" s="0">
        <v>482</v>
      </c>
      <c r="BK14" t="s" s="25">
        <f>HYPERLINK("http://dx.doi.org/10.1007/s44267-024-00050-1","http://dx.doi.org/10.1007/s44267-024-00050-1")</f>
        <v>483</v>
      </c>
      <c r="BL14" t="s" s="0">
        <v>82</v>
      </c>
      <c r="BM14" t="s" s="0">
        <v>484</v>
      </c>
      <c r="BN14" t="s" s="0">
        <v>428</v>
      </c>
      <c r="BO14" t="s" s="0">
        <v>485</v>
      </c>
      <c r="BP14" t="s" s="0">
        <v>486</v>
      </c>
      <c r="BQ14" t="s" s="0">
        <v>487</v>
      </c>
      <c r="BR14" t="s" s="0">
        <v>82</v>
      </c>
      <c r="BS14" t="s" s="0">
        <v>488</v>
      </c>
      <c r="BT14" t="s" s="26">
        <f>HYPERLINK("https://www.webofscience.com/wos/woscc/full-record/WOS:001746513300001","View Record in Web of Science")</f>
        <v>120</v>
      </c>
      <c r="BU14" t="s" s="0">
        <v>189</v>
      </c>
      <c r="BV14" t="s" s="0">
        <v>82</v>
      </c>
      <c r="BW14" t="s" s="0">
        <v>82</v>
      </c>
      <c r="BX14" t="s" s="0">
        <v>121</v>
      </c>
    </row>
    <row r="15">
      <c r="A15" t="s" s="0">
        <v>77</v>
      </c>
      <c r="B15" t="s" s="0">
        <v>77</v>
      </c>
      <c r="C15" t="s" s="0">
        <v>77</v>
      </c>
      <c r="D15" t="s" s="0">
        <v>77</v>
      </c>
      <c r="E15" t="s" s="0">
        <v>489</v>
      </c>
      <c r="F15" t="s" s="0">
        <v>490</v>
      </c>
      <c r="G15" t="s" s="0">
        <v>491</v>
      </c>
      <c r="H15" t="s" s="0">
        <v>82</v>
      </c>
      <c r="I15" t="s" s="0">
        <v>83</v>
      </c>
      <c r="J15" t="s" s="0">
        <v>492</v>
      </c>
      <c r="K15" t="s" s="0">
        <v>493</v>
      </c>
      <c r="L15" t="s" s="0">
        <v>494</v>
      </c>
      <c r="M15" t="s" s="0">
        <v>495</v>
      </c>
      <c r="N15" t="s" s="0">
        <v>496</v>
      </c>
      <c r="O15" t="s" s="0">
        <v>497</v>
      </c>
      <c r="P15" t="s" s="0">
        <v>498</v>
      </c>
      <c r="Q15" t="s" s="0">
        <v>88</v>
      </c>
      <c r="R15" t="s" s="0">
        <v>82</v>
      </c>
      <c r="S15" t="s" s="0">
        <v>82</v>
      </c>
      <c r="T15" t="s" s="0">
        <v>82</v>
      </c>
      <c r="U15" t="s" s="0">
        <v>82</v>
      </c>
      <c r="V15" t="s" s="0">
        <v>499</v>
      </c>
      <c r="W15" t="s" s="0">
        <v>500</v>
      </c>
      <c r="X15" t="s" s="0">
        <v>82</v>
      </c>
      <c r="Y15" t="s" s="0">
        <v>82</v>
      </c>
      <c r="Z15" t="s" s="0">
        <v>91</v>
      </c>
      <c r="AA15" t="s" s="0">
        <v>92</v>
      </c>
      <c r="AB15" t="s" s="0">
        <v>82</v>
      </c>
      <c r="AC15" t="s" s="0">
        <v>82</v>
      </c>
      <c r="AD15" t="s" s="0">
        <v>82</v>
      </c>
      <c r="AE15" t="s" s="0">
        <v>82</v>
      </c>
      <c r="AF15" t="s" s="0">
        <v>82</v>
      </c>
      <c r="AG15" t="s" s="0">
        <v>501</v>
      </c>
      <c r="AH15" t="s" s="0">
        <v>82</v>
      </c>
      <c r="AI15" t="s" s="0">
        <v>82</v>
      </c>
      <c r="AJ15" t="s" s="0">
        <v>82</v>
      </c>
      <c r="AK15" t="s" s="0">
        <v>82</v>
      </c>
      <c r="AL15" t="s" s="0">
        <v>502</v>
      </c>
      <c r="AM15" t="s" s="0">
        <v>77</v>
      </c>
      <c r="AN15" t="s" s="0">
        <v>77</v>
      </c>
      <c r="AO15" t="s" s="0">
        <v>77</v>
      </c>
      <c r="AP15" t="s" s="0">
        <v>77</v>
      </c>
      <c r="AQ15" t="s" s="0">
        <v>503</v>
      </c>
      <c r="AR15" t="s" s="0">
        <v>504</v>
      </c>
      <c r="AS15" t="s" s="0">
        <v>505</v>
      </c>
      <c r="AT15" t="s" s="0">
        <v>506</v>
      </c>
      <c r="AU15" t="s" s="0">
        <v>507</v>
      </c>
      <c r="AV15" t="s" s="0">
        <v>82</v>
      </c>
      <c r="AW15" t="s" s="0">
        <v>508</v>
      </c>
      <c r="AX15" t="s" s="0">
        <v>509</v>
      </c>
      <c r="AY15" t="s" s="0">
        <v>510</v>
      </c>
      <c r="AZ15" t="s" s="0">
        <v>179</v>
      </c>
      <c r="BA15" t="s" s="0">
        <v>511</v>
      </c>
      <c r="BB15" t="s" s="0">
        <v>82</v>
      </c>
      <c r="BC15" t="s" s="0">
        <v>82</v>
      </c>
      <c r="BD15" t="s" s="0">
        <v>512</v>
      </c>
      <c r="BE15" t="s" s="0">
        <v>82</v>
      </c>
      <c r="BF15" t="s" s="0">
        <v>82</v>
      </c>
      <c r="BG15" t="s" s="0">
        <v>82</v>
      </c>
      <c r="BH15" t="s" s="0">
        <v>82</v>
      </c>
      <c r="BI15" t="s" s="0">
        <v>513</v>
      </c>
      <c r="BJ15" t="s" s="0">
        <v>514</v>
      </c>
      <c r="BK15" t="s" s="27">
        <f>HYPERLINK("http://dx.doi.org/10.1016/j.bspc.2026.111214","http://dx.doi.org/10.1016/j.bspc.2026.111214")</f>
        <v>515</v>
      </c>
      <c r="BL15" t="s" s="0">
        <v>82</v>
      </c>
      <c r="BM15" t="s" s="0">
        <v>82</v>
      </c>
      <c r="BN15" t="s" s="0">
        <v>148</v>
      </c>
      <c r="BO15" t="s" s="0">
        <v>516</v>
      </c>
      <c r="BP15" t="s" s="0">
        <v>247</v>
      </c>
      <c r="BQ15" t="s" s="0">
        <v>517</v>
      </c>
      <c r="BR15" t="s" s="0">
        <v>82</v>
      </c>
      <c r="BS15" t="s" s="0">
        <v>518</v>
      </c>
      <c r="BT15" t="s" s="28">
        <f>HYPERLINK("https://www.webofscience.com/wos/woscc/full-record/WOS:001845751200001","View Record in Web of Science")</f>
        <v>120</v>
      </c>
      <c r="BU15" t="s" s="0">
        <v>519</v>
      </c>
      <c r="BV15" t="s" s="0">
        <v>82</v>
      </c>
      <c r="BW15" t="s" s="0">
        <v>82</v>
      </c>
      <c r="BX15" t="s" s="0">
        <v>121</v>
      </c>
    </row>
    <row r="16">
      <c r="A16" t="s" s="0">
        <v>77</v>
      </c>
      <c r="B16" t="s" s="0">
        <v>77</v>
      </c>
      <c r="C16" t="s" s="0">
        <v>78</v>
      </c>
      <c r="D16" t="s" s="0">
        <v>77</v>
      </c>
      <c r="E16" t="s" s="0">
        <v>520</v>
      </c>
      <c r="F16" t="s" s="0">
        <v>521</v>
      </c>
      <c r="G16" t="s" s="0">
        <v>522</v>
      </c>
      <c r="H16" t="s" s="0">
        <v>82</v>
      </c>
      <c r="I16" t="s" s="0">
        <v>83</v>
      </c>
      <c r="J16" t="s" s="0">
        <v>523</v>
      </c>
      <c r="K16" t="s" s="0">
        <v>524</v>
      </c>
      <c r="L16" t="s" s="0">
        <v>525</v>
      </c>
      <c r="M16" t="s" s="0">
        <v>526</v>
      </c>
      <c r="N16" t="s" s="0">
        <v>527</v>
      </c>
      <c r="O16" t="s" s="0">
        <v>528</v>
      </c>
      <c r="P16" t="s" s="0">
        <v>529</v>
      </c>
      <c r="Q16" t="s" s="0">
        <v>88</v>
      </c>
      <c r="R16" t="s" s="0">
        <v>82</v>
      </c>
      <c r="S16" t="s" s="0">
        <v>82</v>
      </c>
      <c r="T16" t="s" s="0">
        <v>82</v>
      </c>
      <c r="U16" t="s" s="0">
        <v>82</v>
      </c>
      <c r="V16" t="s" s="0">
        <v>530</v>
      </c>
      <c r="W16" t="s" s="0">
        <v>294</v>
      </c>
      <c r="X16" t="s" s="0">
        <v>82</v>
      </c>
      <c r="Y16" t="s" s="0">
        <v>82</v>
      </c>
      <c r="Z16" t="s" s="0">
        <v>91</v>
      </c>
      <c r="AA16" t="s" s="0">
        <v>92</v>
      </c>
      <c r="AB16" t="s" s="0">
        <v>82</v>
      </c>
      <c r="AC16" t="s" s="0">
        <v>82</v>
      </c>
      <c r="AD16" t="s" s="0">
        <v>82</v>
      </c>
      <c r="AE16" t="s" s="0">
        <v>82</v>
      </c>
      <c r="AF16" t="s" s="0">
        <v>82</v>
      </c>
      <c r="AG16" t="s" s="0">
        <v>531</v>
      </c>
      <c r="AH16" t="s" s="0">
        <v>82</v>
      </c>
      <c r="AI16" t="s" s="0">
        <v>532</v>
      </c>
      <c r="AJ16" t="s" s="0">
        <v>533</v>
      </c>
      <c r="AK16" t="s" s="0">
        <v>82</v>
      </c>
      <c r="AL16" t="s" s="0">
        <v>350</v>
      </c>
      <c r="AM16" t="s" s="0">
        <v>99</v>
      </c>
      <c r="AN16" t="s" s="0">
        <v>99</v>
      </c>
      <c r="AO16" t="s" s="0">
        <v>110</v>
      </c>
      <c r="AP16" t="s" s="0">
        <v>277</v>
      </c>
      <c r="AQ16" t="s" s="0">
        <v>296</v>
      </c>
      <c r="AR16" t="s" s="0">
        <v>297</v>
      </c>
      <c r="AS16" t="s" s="0">
        <v>298</v>
      </c>
      <c r="AT16" t="s" s="0">
        <v>299</v>
      </c>
      <c r="AU16" t="s" s="0">
        <v>300</v>
      </c>
      <c r="AV16" t="s" s="0">
        <v>82</v>
      </c>
      <c r="AW16" t="s" s="0">
        <v>294</v>
      </c>
      <c r="AX16" t="s" s="0">
        <v>301</v>
      </c>
      <c r="AY16" t="s" s="0">
        <v>534</v>
      </c>
      <c r="AZ16" t="s" s="0">
        <v>108</v>
      </c>
      <c r="BA16" t="s" s="0">
        <v>535</v>
      </c>
      <c r="BB16" t="s" s="0">
        <v>82</v>
      </c>
      <c r="BC16" t="s" s="0">
        <v>82</v>
      </c>
      <c r="BD16" t="s" s="0">
        <v>82</v>
      </c>
      <c r="BE16" t="s" s="0">
        <v>82</v>
      </c>
      <c r="BF16" t="s" s="0">
        <v>82</v>
      </c>
      <c r="BG16" t="s" s="0">
        <v>82</v>
      </c>
      <c r="BH16" t="s" s="0">
        <v>82</v>
      </c>
      <c r="BI16" t="s" s="0">
        <v>536</v>
      </c>
      <c r="BJ16" t="s" s="0">
        <v>537</v>
      </c>
      <c r="BK16" t="s" s="29">
        <f>HYPERLINK("http://dx.doi.org/10.1016/j.neucom.2025.130018","http://dx.doi.org/10.1016/j.neucom.2025.130018")</f>
        <v>538</v>
      </c>
      <c r="BL16" t="s" s="0">
        <v>82</v>
      </c>
      <c r="BM16" t="s" s="0">
        <v>539</v>
      </c>
      <c r="BN16" t="s" s="0">
        <v>307</v>
      </c>
      <c r="BO16" t="s" s="0">
        <v>308</v>
      </c>
      <c r="BP16" t="s" s="0">
        <v>309</v>
      </c>
      <c r="BQ16" t="s" s="0">
        <v>540</v>
      </c>
      <c r="BR16" t="s" s="0">
        <v>82</v>
      </c>
      <c r="BS16" t="s" s="0">
        <v>541</v>
      </c>
      <c r="BT16" t="s" s="30">
        <f>HYPERLINK("https://www.webofscience.com/wos/woscc/full-record/WOS:001452981600001","View Record in Web of Science")</f>
        <v>120</v>
      </c>
      <c r="BU16" t="s" s="0">
        <v>82</v>
      </c>
      <c r="BV16" t="s" s="0">
        <v>82</v>
      </c>
      <c r="BW16" t="s" s="0">
        <v>82</v>
      </c>
      <c r="BX16" t="s" s="0">
        <v>121</v>
      </c>
    </row>
    <row r="17">
      <c r="A17" t="s" s="0">
        <v>77</v>
      </c>
      <c r="B17" t="s" s="0">
        <v>77</v>
      </c>
      <c r="C17" t="s" s="0">
        <v>77</v>
      </c>
      <c r="D17" t="s" s="0">
        <v>77</v>
      </c>
      <c r="E17" t="s" s="0">
        <v>542</v>
      </c>
      <c r="F17" t="s" s="0">
        <v>543</v>
      </c>
      <c r="G17" t="s" s="0">
        <v>544</v>
      </c>
      <c r="H17" t="s" s="0">
        <v>82</v>
      </c>
      <c r="I17" t="s" s="0">
        <v>83</v>
      </c>
      <c r="J17" t="s" s="0">
        <v>545</v>
      </c>
      <c r="K17" t="s" s="0">
        <v>546</v>
      </c>
      <c r="L17" t="s" s="0">
        <v>82</v>
      </c>
      <c r="M17" t="s" s="0">
        <v>82</v>
      </c>
      <c r="N17" t="s" s="0">
        <v>82</v>
      </c>
      <c r="O17" t="s" s="0">
        <v>547</v>
      </c>
      <c r="P17" t="s" s="0">
        <v>548</v>
      </c>
      <c r="Q17" t="s" s="0">
        <v>88</v>
      </c>
      <c r="R17" t="s" s="0">
        <v>82</v>
      </c>
      <c r="S17" t="s" s="0">
        <v>82</v>
      </c>
      <c r="T17" t="s" s="0">
        <v>82</v>
      </c>
      <c r="U17" t="s" s="0">
        <v>82</v>
      </c>
      <c r="V17" t="s" s="0">
        <v>549</v>
      </c>
      <c r="W17" t="s" s="0">
        <v>550</v>
      </c>
      <c r="X17" t="s" s="0">
        <v>82</v>
      </c>
      <c r="Y17" t="s" s="0">
        <v>82</v>
      </c>
      <c r="Z17" t="s" s="0">
        <v>91</v>
      </c>
      <c r="AA17" t="s" s="0">
        <v>92</v>
      </c>
      <c r="AB17" t="s" s="0">
        <v>82</v>
      </c>
      <c r="AC17" t="s" s="0">
        <v>82</v>
      </c>
      <c r="AD17" t="s" s="0">
        <v>82</v>
      </c>
      <c r="AE17" t="s" s="0">
        <v>82</v>
      </c>
      <c r="AF17" t="s" s="0">
        <v>82</v>
      </c>
      <c r="AG17" t="s" s="0">
        <v>551</v>
      </c>
      <c r="AH17" t="s" s="0">
        <v>552</v>
      </c>
      <c r="AI17" t="s" s="0">
        <v>553</v>
      </c>
      <c r="AJ17" t="s" s="0">
        <v>554</v>
      </c>
      <c r="AK17" t="s" s="0">
        <v>82</v>
      </c>
      <c r="AL17" t="s" s="0">
        <v>555</v>
      </c>
      <c r="AM17" t="s" s="0">
        <v>331</v>
      </c>
      <c r="AN17" t="s" s="0">
        <v>556</v>
      </c>
      <c r="AO17" t="s" s="0">
        <v>96</v>
      </c>
      <c r="AP17" t="s" s="0">
        <v>391</v>
      </c>
      <c r="AQ17" t="s" s="0">
        <v>100</v>
      </c>
      <c r="AR17" t="s" s="0">
        <v>101</v>
      </c>
      <c r="AS17" t="s" s="0">
        <v>102</v>
      </c>
      <c r="AT17" t="s" s="0">
        <v>557</v>
      </c>
      <c r="AU17" t="s" s="0">
        <v>82</v>
      </c>
      <c r="AV17" t="s" s="0">
        <v>82</v>
      </c>
      <c r="AW17" t="s" s="0">
        <v>558</v>
      </c>
      <c r="AX17" t="s" s="0">
        <v>559</v>
      </c>
      <c r="AY17" t="s" s="0">
        <v>560</v>
      </c>
      <c r="AZ17" t="s" s="0">
        <v>108</v>
      </c>
      <c r="BA17" t="s" s="0">
        <v>148</v>
      </c>
      <c r="BB17" t="s" s="0">
        <v>209</v>
      </c>
      <c r="BC17" t="s" s="0">
        <v>82</v>
      </c>
      <c r="BD17" t="s" s="0">
        <v>82</v>
      </c>
      <c r="BE17" t="s" s="0">
        <v>82</v>
      </c>
      <c r="BF17" t="s" s="0">
        <v>82</v>
      </c>
      <c r="BG17" t="s" s="0">
        <v>561</v>
      </c>
      <c r="BH17" t="s" s="0">
        <v>562</v>
      </c>
      <c r="BI17" t="s" s="0">
        <v>82</v>
      </c>
      <c r="BJ17" t="s" s="0">
        <v>563</v>
      </c>
      <c r="BK17" t="s" s="31">
        <f>HYPERLINK("http://dx.doi.org/10.1109/JIOT.2025.3579032","http://dx.doi.org/10.1109/JIOT.2025.3579032")</f>
        <v>564</v>
      </c>
      <c r="BL17" t="s" s="0">
        <v>82</v>
      </c>
      <c r="BM17" t="s" s="0">
        <v>82</v>
      </c>
      <c r="BN17" t="s" s="0">
        <v>96</v>
      </c>
      <c r="BO17" t="s" s="0">
        <v>332</v>
      </c>
      <c r="BP17" t="s" s="0">
        <v>117</v>
      </c>
      <c r="BQ17" t="s" s="0">
        <v>565</v>
      </c>
      <c r="BR17" t="s" s="0">
        <v>82</v>
      </c>
      <c r="BS17" t="s" s="0">
        <v>566</v>
      </c>
      <c r="BT17" t="s" s="32">
        <f>HYPERLINK("https://www.webofscience.com/wos/woscc/full-record/WOS:001546984500033","View Record in Web of Science")</f>
        <v>120</v>
      </c>
      <c r="BU17" t="s" s="0">
        <v>82</v>
      </c>
      <c r="BV17" t="s" s="0">
        <v>82</v>
      </c>
      <c r="BW17" t="s" s="0">
        <v>82</v>
      </c>
      <c r="BX17" t="s" s="0">
        <v>121</v>
      </c>
    </row>
    <row r="18">
      <c r="A18" t="s" s="0">
        <v>77</v>
      </c>
      <c r="B18" t="s" s="0">
        <v>77</v>
      </c>
      <c r="C18" t="s" s="0">
        <v>77</v>
      </c>
      <c r="D18" t="s" s="0">
        <v>77</v>
      </c>
      <c r="E18" t="s" s="0">
        <v>567</v>
      </c>
      <c r="F18" t="s" s="0">
        <v>568</v>
      </c>
      <c r="G18" t="s" s="0">
        <v>569</v>
      </c>
      <c r="H18" t="s" s="0">
        <v>82</v>
      </c>
      <c r="I18" t="s" s="0">
        <v>460</v>
      </c>
      <c r="J18" t="s" s="0">
        <v>570</v>
      </c>
      <c r="K18" t="s" s="0">
        <v>571</v>
      </c>
      <c r="L18" t="s" s="0">
        <v>82</v>
      </c>
      <c r="M18" t="s" s="0">
        <v>82</v>
      </c>
      <c r="N18" t="s" s="0">
        <v>82</v>
      </c>
      <c r="O18" t="s" s="0">
        <v>572</v>
      </c>
      <c r="P18" t="s" s="0">
        <v>573</v>
      </c>
      <c r="Q18" t="s" s="0">
        <v>88</v>
      </c>
      <c r="R18" t="s" s="0">
        <v>82</v>
      </c>
      <c r="S18" t="s" s="0">
        <v>82</v>
      </c>
      <c r="T18" t="s" s="0">
        <v>82</v>
      </c>
      <c r="U18" t="s" s="0">
        <v>82</v>
      </c>
      <c r="V18" t="s" s="0">
        <v>574</v>
      </c>
      <c r="W18" t="s" s="0">
        <v>575</v>
      </c>
      <c r="X18" t="s" s="0">
        <v>82</v>
      </c>
      <c r="Y18" t="s" s="0">
        <v>82</v>
      </c>
      <c r="Z18" t="s" s="0">
        <v>91</v>
      </c>
      <c r="AA18" t="s" s="0">
        <v>92</v>
      </c>
      <c r="AB18" t="s" s="0">
        <v>82</v>
      </c>
      <c r="AC18" t="s" s="0">
        <v>82</v>
      </c>
      <c r="AD18" t="s" s="0">
        <v>82</v>
      </c>
      <c r="AE18" t="s" s="0">
        <v>82</v>
      </c>
      <c r="AF18" t="s" s="0">
        <v>82</v>
      </c>
      <c r="AG18" t="s" s="0">
        <v>576</v>
      </c>
      <c r="AH18" t="s" s="0">
        <v>82</v>
      </c>
      <c r="AI18" t="s" s="0">
        <v>577</v>
      </c>
      <c r="AJ18" t="s" s="0">
        <v>82</v>
      </c>
      <c r="AK18" t="s" s="0">
        <v>82</v>
      </c>
      <c r="AL18" t="s" s="0">
        <v>578</v>
      </c>
      <c r="AM18" t="s" s="0">
        <v>77</v>
      </c>
      <c r="AN18" t="s" s="0">
        <v>77</v>
      </c>
      <c r="AO18" t="s" s="0">
        <v>77</v>
      </c>
      <c r="AP18" t="s" s="0">
        <v>77</v>
      </c>
      <c r="AQ18" t="s" s="0">
        <v>579</v>
      </c>
      <c r="AR18" t="s" s="0">
        <v>580</v>
      </c>
      <c r="AS18" t="s" s="0">
        <v>581</v>
      </c>
      <c r="AT18" t="s" s="0">
        <v>582</v>
      </c>
      <c r="AU18" t="s" s="0">
        <v>583</v>
      </c>
      <c r="AV18" t="s" s="0">
        <v>82</v>
      </c>
      <c r="AW18" t="s" s="0">
        <v>584</v>
      </c>
      <c r="AX18" t="s" s="0">
        <v>585</v>
      </c>
      <c r="AY18" t="s" s="0">
        <v>179</v>
      </c>
      <c r="AZ18" t="s" s="0">
        <v>179</v>
      </c>
      <c r="BA18" t="s" s="0">
        <v>586</v>
      </c>
      <c r="BB18" t="s" s="0">
        <v>82</v>
      </c>
      <c r="BC18" t="s" s="0">
        <v>82</v>
      </c>
      <c r="BD18" t="s" s="0">
        <v>82</v>
      </c>
      <c r="BE18" t="s" s="0">
        <v>82</v>
      </c>
      <c r="BF18" t="s" s="0">
        <v>82</v>
      </c>
      <c r="BG18" t="s" s="0">
        <v>82</v>
      </c>
      <c r="BH18" t="s" s="0">
        <v>82</v>
      </c>
      <c r="BI18" t="s" s="0">
        <v>587</v>
      </c>
      <c r="BJ18" t="s" s="0">
        <v>588</v>
      </c>
      <c r="BK18" t="s" s="33">
        <f>HYPERLINK("http://dx.doi.org/10.6180/jase.202607_30.006","http://dx.doi.org/10.6180/jase.202607_30.006")</f>
        <v>589</v>
      </c>
      <c r="BL18" t="s" s="0">
        <v>82</v>
      </c>
      <c r="BM18" t="s" s="0">
        <v>82</v>
      </c>
      <c r="BN18" t="s" s="0">
        <v>428</v>
      </c>
      <c r="BO18" t="s" s="0">
        <v>590</v>
      </c>
      <c r="BP18" t="s" s="0">
        <v>247</v>
      </c>
      <c r="BQ18" t="s" s="0">
        <v>591</v>
      </c>
      <c r="BR18" t="s" s="0">
        <v>82</v>
      </c>
      <c r="BS18" t="s" s="0">
        <v>592</v>
      </c>
      <c r="BT18" t="s" s="34">
        <f>HYPERLINK("https://www.webofscience.com/wos/woscc/full-record/WOS:001796713000034","View Record in Web of Science")</f>
        <v>120</v>
      </c>
      <c r="BU18" t="s" s="0">
        <v>82</v>
      </c>
      <c r="BV18" t="s" s="0">
        <v>82</v>
      </c>
      <c r="BW18" t="s" s="0">
        <v>82</v>
      </c>
      <c r="BX18" t="s" s="0">
        <v>121</v>
      </c>
    </row>
    <row r="19">
      <c r="A19" t="s" s="0">
        <v>77</v>
      </c>
      <c r="B19" t="s" s="0">
        <v>77</v>
      </c>
      <c r="C19" t="s" s="0">
        <v>77</v>
      </c>
      <c r="D19" t="s" s="0">
        <v>77</v>
      </c>
      <c r="E19" t="s" s="0">
        <v>593</v>
      </c>
      <c r="F19" t="s" s="0">
        <v>594</v>
      </c>
      <c r="G19" t="s" s="0">
        <v>595</v>
      </c>
      <c r="H19" t="s" s="0">
        <v>82</v>
      </c>
      <c r="I19" t="s" s="0">
        <v>460</v>
      </c>
      <c r="J19" t="s" s="0">
        <v>596</v>
      </c>
      <c r="K19" t="s" s="0">
        <v>597</v>
      </c>
      <c r="L19" t="s" s="0">
        <v>82</v>
      </c>
      <c r="M19" t="s" s="0">
        <v>82</v>
      </c>
      <c r="N19" t="s" s="0">
        <v>82</v>
      </c>
      <c r="O19" t="s" s="0">
        <v>598</v>
      </c>
      <c r="P19" t="s" s="0">
        <v>599</v>
      </c>
      <c r="Q19" t="s" s="0">
        <v>88</v>
      </c>
      <c r="R19" t="s" s="0">
        <v>82</v>
      </c>
      <c r="S19" t="s" s="0">
        <v>82</v>
      </c>
      <c r="T19" t="s" s="0">
        <v>82</v>
      </c>
      <c r="U19" t="s" s="0">
        <v>82</v>
      </c>
      <c r="V19" t="s" s="0">
        <v>600</v>
      </c>
      <c r="W19" t="s" s="0">
        <v>601</v>
      </c>
      <c r="X19" t="s" s="0">
        <v>82</v>
      </c>
      <c r="Y19" t="s" s="0">
        <v>82</v>
      </c>
      <c r="Z19" t="s" s="0">
        <v>91</v>
      </c>
      <c r="AA19" t="s" s="0">
        <v>92</v>
      </c>
      <c r="AB19" t="s" s="0">
        <v>82</v>
      </c>
      <c r="AC19" t="s" s="0">
        <v>82</v>
      </c>
      <c r="AD19" t="s" s="0">
        <v>82</v>
      </c>
      <c r="AE19" t="s" s="0">
        <v>82</v>
      </c>
      <c r="AF19" t="s" s="0">
        <v>82</v>
      </c>
      <c r="AG19" t="s" s="0">
        <v>602</v>
      </c>
      <c r="AH19" t="s" s="0">
        <v>82</v>
      </c>
      <c r="AI19" t="s" s="0">
        <v>603</v>
      </c>
      <c r="AJ19" t="s" s="0">
        <v>604</v>
      </c>
      <c r="AK19" t="s" s="0">
        <v>82</v>
      </c>
      <c r="AL19" t="s" s="0">
        <v>140</v>
      </c>
      <c r="AM19" t="s" s="0">
        <v>77</v>
      </c>
      <c r="AN19" t="s" s="0">
        <v>78</v>
      </c>
      <c r="AO19" t="s" s="0">
        <v>77</v>
      </c>
      <c r="AP19" t="s" s="0">
        <v>204</v>
      </c>
      <c r="AQ19" t="s" s="0">
        <v>605</v>
      </c>
      <c r="AR19" t="s" s="0">
        <v>606</v>
      </c>
      <c r="AS19" t="s" s="0">
        <v>607</v>
      </c>
      <c r="AT19" t="s" s="0">
        <v>82</v>
      </c>
      <c r="AU19" t="s" s="0">
        <v>608</v>
      </c>
      <c r="AV19" t="s" s="0">
        <v>82</v>
      </c>
      <c r="AW19" t="s" s="0">
        <v>609</v>
      </c>
      <c r="AX19" t="s" s="0">
        <v>610</v>
      </c>
      <c r="AY19" t="s" s="0">
        <v>611</v>
      </c>
      <c r="AZ19" t="s" s="0">
        <v>108</v>
      </c>
      <c r="BA19" t="s" s="0">
        <v>98</v>
      </c>
      <c r="BB19" t="s" s="0">
        <v>97</v>
      </c>
      <c r="BC19" t="s" s="0">
        <v>82</v>
      </c>
      <c r="BD19" t="s" s="0">
        <v>82</v>
      </c>
      <c r="BE19" t="s" s="0">
        <v>82</v>
      </c>
      <c r="BF19" t="s" s="0">
        <v>82</v>
      </c>
      <c r="BG19" t="s" s="0">
        <v>82</v>
      </c>
      <c r="BH19" t="s" s="0">
        <v>82</v>
      </c>
      <c r="BI19" t="s" s="0">
        <v>612</v>
      </c>
      <c r="BJ19" t="s" s="0">
        <v>613</v>
      </c>
      <c r="BK19" t="s" s="35">
        <f>HYPERLINK("http://dx.doi.org/10.1002/eng2.70220","http://dx.doi.org/10.1002/eng2.70220")</f>
        <v>614</v>
      </c>
      <c r="BL19" t="s" s="0">
        <v>82</v>
      </c>
      <c r="BM19" t="s" s="0">
        <v>82</v>
      </c>
      <c r="BN19" t="s" s="0">
        <v>184</v>
      </c>
      <c r="BO19" t="s" s="0">
        <v>615</v>
      </c>
      <c r="BP19" t="s" s="0">
        <v>616</v>
      </c>
      <c r="BQ19" t="s" s="0">
        <v>617</v>
      </c>
      <c r="BR19" t="s" s="0">
        <v>82</v>
      </c>
      <c r="BS19" t="s" s="0">
        <v>618</v>
      </c>
      <c r="BT19" t="s" s="36">
        <f>HYPERLINK("https://www.webofscience.com/wos/woscc/full-record/WOS:001518764300008","View Record in Web of Science")</f>
        <v>120</v>
      </c>
      <c r="BU19" t="s" s="0">
        <v>189</v>
      </c>
      <c r="BV19" t="s" s="0">
        <v>82</v>
      </c>
      <c r="BW19" t="s" s="0">
        <v>82</v>
      </c>
      <c r="BX19" t="s" s="0">
        <v>121</v>
      </c>
    </row>
    <row r="20">
      <c r="A20" t="s" s="0">
        <v>77</v>
      </c>
      <c r="B20" t="s" s="0">
        <v>77</v>
      </c>
      <c r="C20" t="s" s="0">
        <v>77</v>
      </c>
      <c r="D20" t="s" s="0">
        <v>77</v>
      </c>
      <c r="E20" t="s" s="0">
        <v>619</v>
      </c>
      <c r="F20" t="s" s="0">
        <v>620</v>
      </c>
      <c r="G20" t="s" s="0">
        <v>621</v>
      </c>
      <c r="H20" t="s" s="0">
        <v>82</v>
      </c>
      <c r="I20" t="s" s="0">
        <v>83</v>
      </c>
      <c r="J20" t="s" s="0">
        <v>622</v>
      </c>
      <c r="K20" t="s" s="0">
        <v>623</v>
      </c>
      <c r="L20" t="s" s="0">
        <v>624</v>
      </c>
      <c r="M20" t="s" s="0">
        <v>625</v>
      </c>
      <c r="N20" t="s" s="0">
        <v>626</v>
      </c>
      <c r="O20" t="s" s="0">
        <v>627</v>
      </c>
      <c r="P20" t="s" s="0">
        <v>628</v>
      </c>
      <c r="Q20" t="s" s="0">
        <v>88</v>
      </c>
      <c r="R20" t="s" s="0">
        <v>82</v>
      </c>
      <c r="S20" t="s" s="0">
        <v>82</v>
      </c>
      <c r="T20" t="s" s="0">
        <v>82</v>
      </c>
      <c r="U20" t="s" s="0">
        <v>82</v>
      </c>
      <c r="V20" t="s" s="0">
        <v>629</v>
      </c>
      <c r="W20" t="s" s="0">
        <v>133</v>
      </c>
      <c r="X20" t="s" s="0">
        <v>82</v>
      </c>
      <c r="Y20" t="s" s="0">
        <v>82</v>
      </c>
      <c r="Z20" t="s" s="0">
        <v>91</v>
      </c>
      <c r="AA20" t="s" s="0">
        <v>92</v>
      </c>
      <c r="AB20" t="s" s="0">
        <v>82</v>
      </c>
      <c r="AC20" t="s" s="0">
        <v>82</v>
      </c>
      <c r="AD20" t="s" s="0">
        <v>82</v>
      </c>
      <c r="AE20" t="s" s="0">
        <v>82</v>
      </c>
      <c r="AF20" t="s" s="0">
        <v>82</v>
      </c>
      <c r="AG20" t="s" s="0">
        <v>630</v>
      </c>
      <c r="AH20" t="s" s="0">
        <v>631</v>
      </c>
      <c r="AI20" t="s" s="0">
        <v>632</v>
      </c>
      <c r="AJ20" t="s" s="0">
        <v>633</v>
      </c>
      <c r="AK20" t="s" s="0">
        <v>82</v>
      </c>
      <c r="AL20" t="s" s="0">
        <v>262</v>
      </c>
      <c r="AM20" t="s" s="0">
        <v>97</v>
      </c>
      <c r="AN20" t="s" s="0">
        <v>97</v>
      </c>
      <c r="AO20" t="s" s="0">
        <v>307</v>
      </c>
      <c r="AP20" t="s" s="0">
        <v>96</v>
      </c>
      <c r="AQ20" t="s" s="0">
        <v>100</v>
      </c>
      <c r="AR20" t="s" s="0">
        <v>101</v>
      </c>
      <c r="AS20" t="s" s="0">
        <v>102</v>
      </c>
      <c r="AT20" t="s" s="0">
        <v>141</v>
      </c>
      <c r="AU20" t="s" s="0">
        <v>142</v>
      </c>
      <c r="AV20" t="s" s="0">
        <v>82</v>
      </c>
      <c r="AW20" t="s" s="0">
        <v>143</v>
      </c>
      <c r="AX20" t="s" s="0">
        <v>144</v>
      </c>
      <c r="AY20" t="s" s="0">
        <v>634</v>
      </c>
      <c r="AZ20" t="s" s="0">
        <v>108</v>
      </c>
      <c r="BA20" t="s" s="0">
        <v>449</v>
      </c>
      <c r="BB20" t="s" s="0">
        <v>307</v>
      </c>
      <c r="BC20" t="s" s="0">
        <v>82</v>
      </c>
      <c r="BD20" t="s" s="0">
        <v>82</v>
      </c>
      <c r="BE20" t="s" s="0">
        <v>82</v>
      </c>
      <c r="BF20" t="s" s="0">
        <v>82</v>
      </c>
      <c r="BG20" t="s" s="0">
        <v>635</v>
      </c>
      <c r="BH20" t="s" s="0">
        <v>636</v>
      </c>
      <c r="BI20" t="s" s="0">
        <v>82</v>
      </c>
      <c r="BJ20" t="s" s="0">
        <v>637</v>
      </c>
      <c r="BK20" t="s" s="37">
        <f>HYPERLINK("http://dx.doi.org/10.1109/TMI.2025.3579214","http://dx.doi.org/10.1109/TMI.2025.3579214")</f>
        <v>638</v>
      </c>
      <c r="BL20" t="s" s="0">
        <v>82</v>
      </c>
      <c r="BM20" t="s" s="0">
        <v>82</v>
      </c>
      <c r="BN20" t="s" s="0">
        <v>148</v>
      </c>
      <c r="BO20" t="s" s="0">
        <v>153</v>
      </c>
      <c r="BP20" t="s" s="0">
        <v>154</v>
      </c>
      <c r="BQ20" t="s" s="0">
        <v>639</v>
      </c>
      <c r="BR20" t="s" s="0">
        <v>640</v>
      </c>
      <c r="BS20" t="s" s="0">
        <v>641</v>
      </c>
      <c r="BT20" t="s" s="38">
        <f>HYPERLINK("https://www.webofscience.com/wos/woscc/full-record/WOS:001616144400012","View Record in Web of Science")</f>
        <v>120</v>
      </c>
      <c r="BU20" t="s" s="0">
        <v>82</v>
      </c>
      <c r="BV20" t="s" s="0">
        <v>82</v>
      </c>
      <c r="BW20" t="s" s="0">
        <v>82</v>
      </c>
      <c r="BX20" t="s" s="0">
        <v>121</v>
      </c>
    </row>
    <row r="21">
      <c r="A21" t="s" s="0">
        <v>77</v>
      </c>
      <c r="B21" t="s" s="0">
        <v>77</v>
      </c>
      <c r="C21" t="s" s="0">
        <v>77</v>
      </c>
      <c r="D21" t="s" s="0">
        <v>77</v>
      </c>
      <c r="E21" t="s" s="0">
        <v>642</v>
      </c>
      <c r="F21" t="s" s="0">
        <v>643</v>
      </c>
      <c r="G21" t="s" s="0">
        <v>644</v>
      </c>
      <c r="H21" t="s" s="0">
        <v>82</v>
      </c>
      <c r="I21" t="s" s="0">
        <v>83</v>
      </c>
      <c r="J21" t="s" s="0">
        <v>645</v>
      </c>
      <c r="K21" t="s" s="0">
        <v>646</v>
      </c>
      <c r="L21" t="s" s="0">
        <v>647</v>
      </c>
      <c r="M21" t="s" s="0">
        <v>648</v>
      </c>
      <c r="N21" t="s" s="0">
        <v>649</v>
      </c>
      <c r="O21" t="s" s="0">
        <v>650</v>
      </c>
      <c r="P21" t="s" s="0">
        <v>651</v>
      </c>
      <c r="Q21" t="s" s="0">
        <v>88</v>
      </c>
      <c r="R21" t="s" s="0">
        <v>82</v>
      </c>
      <c r="S21" t="s" s="0">
        <v>82</v>
      </c>
      <c r="T21" t="s" s="0">
        <v>82</v>
      </c>
      <c r="U21" t="s" s="0">
        <v>82</v>
      </c>
      <c r="V21" t="s" s="0">
        <v>652</v>
      </c>
      <c r="W21" t="s" s="0">
        <v>653</v>
      </c>
      <c r="X21" t="s" s="0">
        <v>82</v>
      </c>
      <c r="Y21" t="s" s="0">
        <v>82</v>
      </c>
      <c r="Z21" t="s" s="0">
        <v>91</v>
      </c>
      <c r="AA21" t="s" s="0">
        <v>92</v>
      </c>
      <c r="AB21" t="s" s="0">
        <v>82</v>
      </c>
      <c r="AC21" t="s" s="0">
        <v>82</v>
      </c>
      <c r="AD21" t="s" s="0">
        <v>82</v>
      </c>
      <c r="AE21" t="s" s="0">
        <v>82</v>
      </c>
      <c r="AF21" t="s" s="0">
        <v>82</v>
      </c>
      <c r="AG21" t="s" s="0">
        <v>654</v>
      </c>
      <c r="AH21" t="s" s="0">
        <v>82</v>
      </c>
      <c r="AI21" t="s" s="0">
        <v>82</v>
      </c>
      <c r="AJ21" t="s" s="0">
        <v>655</v>
      </c>
      <c r="AK21" t="s" s="0">
        <v>82</v>
      </c>
      <c r="AL21" t="s" s="0">
        <v>447</v>
      </c>
      <c r="AM21" t="s" s="0">
        <v>78</v>
      </c>
      <c r="AN21" t="s" s="0">
        <v>78</v>
      </c>
      <c r="AO21" t="s" s="0">
        <v>99</v>
      </c>
      <c r="AP21" t="s" s="0">
        <v>109</v>
      </c>
      <c r="AQ21" t="s" s="0">
        <v>100</v>
      </c>
      <c r="AR21" t="s" s="0">
        <v>101</v>
      </c>
      <c r="AS21" t="s" s="0">
        <v>102</v>
      </c>
      <c r="AT21" t="s" s="0">
        <v>656</v>
      </c>
      <c r="AU21" t="s" s="0">
        <v>657</v>
      </c>
      <c r="AV21" t="s" s="0">
        <v>82</v>
      </c>
      <c r="AW21" t="s" s="0">
        <v>658</v>
      </c>
      <c r="AX21" t="s" s="0">
        <v>659</v>
      </c>
      <c r="AY21" t="s" s="0">
        <v>660</v>
      </c>
      <c r="AZ21" t="s" s="0">
        <v>108</v>
      </c>
      <c r="BA21" t="s" s="0">
        <v>661</v>
      </c>
      <c r="BB21" t="s" s="0">
        <v>148</v>
      </c>
      <c r="BC21" t="s" s="0">
        <v>82</v>
      </c>
      <c r="BD21" t="s" s="0">
        <v>82</v>
      </c>
      <c r="BE21" t="s" s="0">
        <v>82</v>
      </c>
      <c r="BF21" t="s" s="0">
        <v>82</v>
      </c>
      <c r="BG21" t="s" s="0">
        <v>662</v>
      </c>
      <c r="BH21" t="s" s="0">
        <v>663</v>
      </c>
      <c r="BI21" t="s" s="0">
        <v>82</v>
      </c>
      <c r="BJ21" t="s" s="0">
        <v>664</v>
      </c>
      <c r="BK21" t="s" s="39">
        <f>HYPERLINK("http://dx.doi.org/10.1109/JSEN.2025.3565766","http://dx.doi.org/10.1109/JSEN.2025.3565766")</f>
        <v>665</v>
      </c>
      <c r="BL21" t="s" s="0">
        <v>82</v>
      </c>
      <c r="BM21" t="s" s="0">
        <v>82</v>
      </c>
      <c r="BN21" t="s" s="0">
        <v>115</v>
      </c>
      <c r="BO21" t="s" s="0">
        <v>666</v>
      </c>
      <c r="BP21" t="s" s="0">
        <v>667</v>
      </c>
      <c r="BQ21" t="s" s="0">
        <v>668</v>
      </c>
      <c r="BR21" t="s" s="0">
        <v>82</v>
      </c>
      <c r="BS21" t="s" s="0">
        <v>669</v>
      </c>
      <c r="BT21" t="s" s="40">
        <f>HYPERLINK("https://www.webofscience.com/wos/woscc/full-record/WOS:001511070500038","View Record in Web of Science")</f>
        <v>120</v>
      </c>
      <c r="BU21" t="s" s="0">
        <v>82</v>
      </c>
      <c r="BV21" t="s" s="0">
        <v>82</v>
      </c>
      <c r="BW21" t="s" s="0">
        <v>82</v>
      </c>
      <c r="BX21" t="s" s="0">
        <v>121</v>
      </c>
    </row>
    <row r="22">
      <c r="A22" t="s" s="0">
        <v>78</v>
      </c>
      <c r="B22" t="s" s="0">
        <v>77</v>
      </c>
      <c r="C22" t="s" s="0">
        <v>77</v>
      </c>
      <c r="D22" t="s" s="0">
        <v>77</v>
      </c>
      <c r="E22" t="s" s="0">
        <v>670</v>
      </c>
      <c r="F22" t="s" s="0">
        <v>671</v>
      </c>
      <c r="G22" t="s" s="0">
        <v>672</v>
      </c>
      <c r="H22" t="s" s="0">
        <v>82</v>
      </c>
      <c r="I22" t="s" s="0">
        <v>460</v>
      </c>
      <c r="J22" t="s" s="0">
        <v>673</v>
      </c>
      <c r="K22" t="s" s="0">
        <v>674</v>
      </c>
      <c r="L22" t="s" s="0">
        <v>675</v>
      </c>
      <c r="M22" t="s" s="0">
        <v>676</v>
      </c>
      <c r="N22" t="s" s="0">
        <v>677</v>
      </c>
      <c r="O22" t="s" s="0">
        <v>678</v>
      </c>
      <c r="P22" t="s" s="0">
        <v>679</v>
      </c>
      <c r="Q22" t="s" s="0">
        <v>88</v>
      </c>
      <c r="R22" t="s" s="0">
        <v>82</v>
      </c>
      <c r="S22" t="s" s="0">
        <v>82</v>
      </c>
      <c r="T22" t="s" s="0">
        <v>82</v>
      </c>
      <c r="U22" t="s" s="0">
        <v>82</v>
      </c>
      <c r="V22" t="s" s="0">
        <v>680</v>
      </c>
      <c r="W22" t="s" s="0">
        <v>681</v>
      </c>
      <c r="X22" t="s" s="0">
        <v>82</v>
      </c>
      <c r="Y22" t="s" s="0">
        <v>82</v>
      </c>
      <c r="Z22" t="s" s="0">
        <v>91</v>
      </c>
      <c r="AA22" t="s" s="0">
        <v>92</v>
      </c>
      <c r="AB22" t="s" s="0">
        <v>82</v>
      </c>
      <c r="AC22" t="s" s="0">
        <v>82</v>
      </c>
      <c r="AD22" t="s" s="0">
        <v>82</v>
      </c>
      <c r="AE22" t="s" s="0">
        <v>82</v>
      </c>
      <c r="AF22" t="s" s="0">
        <v>82</v>
      </c>
      <c r="AG22" t="s" s="0">
        <v>82</v>
      </c>
      <c r="AH22" t="s" s="0">
        <v>682</v>
      </c>
      <c r="AI22" t="s" s="0">
        <v>683</v>
      </c>
      <c r="AJ22" t="s" s="0">
        <v>82</v>
      </c>
      <c r="AK22" t="s" s="0">
        <v>82</v>
      </c>
      <c r="AL22" t="s" s="0">
        <v>684</v>
      </c>
      <c r="AM22" t="s" s="0">
        <v>99</v>
      </c>
      <c r="AN22" t="s" s="0">
        <v>235</v>
      </c>
      <c r="AO22" t="s" s="0">
        <v>78</v>
      </c>
      <c r="AP22" t="s" s="0">
        <v>78</v>
      </c>
      <c r="AQ22" t="s" s="0">
        <v>296</v>
      </c>
      <c r="AR22" t="s" s="0">
        <v>297</v>
      </c>
      <c r="AS22" t="s" s="0">
        <v>298</v>
      </c>
      <c r="AT22" t="s" s="0">
        <v>82</v>
      </c>
      <c r="AU22" t="s" s="0">
        <v>685</v>
      </c>
      <c r="AV22" t="s" s="0">
        <v>82</v>
      </c>
      <c r="AW22" t="s" s="0">
        <v>686</v>
      </c>
      <c r="AX22" t="s" s="0">
        <v>687</v>
      </c>
      <c r="AY22" t="s" s="0">
        <v>688</v>
      </c>
      <c r="AZ22" t="s" s="0">
        <v>108</v>
      </c>
      <c r="BA22" t="s" s="0">
        <v>204</v>
      </c>
      <c r="BB22" t="s" s="0">
        <v>204</v>
      </c>
      <c r="BC22" t="s" s="0">
        <v>82</v>
      </c>
      <c r="BD22" t="s" s="0">
        <v>82</v>
      </c>
      <c r="BE22" t="s" s="0">
        <v>82</v>
      </c>
      <c r="BF22" t="s" s="0">
        <v>82</v>
      </c>
      <c r="BG22" t="s" s="0">
        <v>82</v>
      </c>
      <c r="BH22" t="s" s="0">
        <v>82</v>
      </c>
      <c r="BI22" t="s" s="0">
        <v>689</v>
      </c>
      <c r="BJ22" t="s" s="0">
        <v>690</v>
      </c>
      <c r="BK22" t="s" s="41">
        <f>HYPERLINK("http://dx.doi.org/10.1016/j.ynexs.2025.100069","http://dx.doi.org/10.1016/j.ynexs.2025.100069")</f>
        <v>691</v>
      </c>
      <c r="BL22" t="s" s="0">
        <v>82</v>
      </c>
      <c r="BM22" t="s" s="0">
        <v>82</v>
      </c>
      <c r="BN22" t="s" s="0">
        <v>209</v>
      </c>
      <c r="BO22" t="s" s="0">
        <v>590</v>
      </c>
      <c r="BP22" t="s" s="0">
        <v>247</v>
      </c>
      <c r="BQ22" t="s" s="0">
        <v>692</v>
      </c>
      <c r="BR22" t="s" s="0">
        <v>82</v>
      </c>
      <c r="BS22" t="s" s="0">
        <v>693</v>
      </c>
      <c r="BT22" t="s" s="42">
        <f>HYPERLINK("https://www.webofscience.com/wos/woscc/full-record/WOS:001766822500004","View Record in Web of Science")</f>
        <v>120</v>
      </c>
      <c r="BU22" t="s" s="0">
        <v>189</v>
      </c>
      <c r="BV22" t="s" s="0">
        <v>82</v>
      </c>
      <c r="BW22" t="s" s="0">
        <v>82</v>
      </c>
      <c r="BX22" t="s" s="0">
        <v>121</v>
      </c>
    </row>
    <row r="23">
      <c r="A23" t="s" s="0">
        <v>77</v>
      </c>
      <c r="B23" t="s" s="0">
        <v>77</v>
      </c>
      <c r="C23" t="s" s="0">
        <v>77</v>
      </c>
      <c r="D23" t="s" s="0">
        <v>77</v>
      </c>
      <c r="E23" t="s" s="0">
        <v>694</v>
      </c>
      <c r="F23" t="s" s="0">
        <v>695</v>
      </c>
      <c r="G23" t="s" s="0">
        <v>696</v>
      </c>
      <c r="H23" t="s" s="0">
        <v>82</v>
      </c>
      <c r="I23" t="s" s="0">
        <v>460</v>
      </c>
      <c r="J23" t="s" s="0">
        <v>697</v>
      </c>
      <c r="K23" t="s" s="0">
        <v>698</v>
      </c>
      <c r="L23" t="s" s="0">
        <v>699</v>
      </c>
      <c r="M23" t="s" s="0">
        <v>699</v>
      </c>
      <c r="N23" t="s" s="0">
        <v>700</v>
      </c>
      <c r="O23" t="s" s="0">
        <v>701</v>
      </c>
      <c r="P23" t="s" s="0">
        <v>702</v>
      </c>
      <c r="Q23" t="s" s="0">
        <v>88</v>
      </c>
      <c r="R23" t="s" s="0">
        <v>82</v>
      </c>
      <c r="S23" t="s" s="0">
        <v>82</v>
      </c>
      <c r="T23" t="s" s="0">
        <v>82</v>
      </c>
      <c r="U23" t="s" s="0">
        <v>82</v>
      </c>
      <c r="V23" t="s" s="0">
        <v>703</v>
      </c>
      <c r="W23" t="s" s="0">
        <v>704</v>
      </c>
      <c r="X23" t="s" s="0">
        <v>82</v>
      </c>
      <c r="Y23" t="s" s="0">
        <v>82</v>
      </c>
      <c r="Z23" t="s" s="0">
        <v>91</v>
      </c>
      <c r="AA23" t="s" s="0">
        <v>92</v>
      </c>
      <c r="AB23" t="s" s="0">
        <v>82</v>
      </c>
      <c r="AC23" t="s" s="0">
        <v>82</v>
      </c>
      <c r="AD23" t="s" s="0">
        <v>82</v>
      </c>
      <c r="AE23" t="s" s="0">
        <v>82</v>
      </c>
      <c r="AF23" t="s" s="0">
        <v>82</v>
      </c>
      <c r="AG23" t="s" s="0">
        <v>705</v>
      </c>
      <c r="AH23" t="s" s="0">
        <v>82</v>
      </c>
      <c r="AI23" t="s" s="0">
        <v>82</v>
      </c>
      <c r="AJ23" t="s" s="0">
        <v>82</v>
      </c>
      <c r="AK23" t="s" s="0">
        <v>82</v>
      </c>
      <c r="AL23" t="s" s="0">
        <v>148</v>
      </c>
      <c r="AM23" t="s" s="0">
        <v>77</v>
      </c>
      <c r="AN23" t="s" s="0">
        <v>77</v>
      </c>
      <c r="AO23" t="s" s="0">
        <v>77</v>
      </c>
      <c r="AP23" t="s" s="0">
        <v>77</v>
      </c>
      <c r="AQ23" t="s" s="0">
        <v>706</v>
      </c>
      <c r="AR23" t="s" s="0">
        <v>707</v>
      </c>
      <c r="AS23" t="s" s="0">
        <v>708</v>
      </c>
      <c r="AT23" t="s" s="0">
        <v>82</v>
      </c>
      <c r="AU23" t="s" s="0">
        <v>709</v>
      </c>
      <c r="AV23" t="s" s="0">
        <v>82</v>
      </c>
      <c r="AW23" t="s" s="0">
        <v>710</v>
      </c>
      <c r="AX23" t="s" s="0">
        <v>711</v>
      </c>
      <c r="AY23" t="s" s="0">
        <v>712</v>
      </c>
      <c r="AZ23" t="s" s="0">
        <v>179</v>
      </c>
      <c r="BA23" t="s" s="0">
        <v>363</v>
      </c>
      <c r="BB23" t="s" s="0">
        <v>78</v>
      </c>
      <c r="BC23" t="s" s="0">
        <v>82</v>
      </c>
      <c r="BD23" t="s" s="0">
        <v>82</v>
      </c>
      <c r="BE23" t="s" s="0">
        <v>82</v>
      </c>
      <c r="BF23" t="s" s="0">
        <v>82</v>
      </c>
      <c r="BG23" t="s" s="0">
        <v>82</v>
      </c>
      <c r="BH23" t="s" s="0">
        <v>82</v>
      </c>
      <c r="BI23" t="s" s="0">
        <v>713</v>
      </c>
      <c r="BJ23" t="s" s="0">
        <v>714</v>
      </c>
      <c r="BK23" t="s" s="43">
        <f>HYPERLINK("http://dx.doi.org/10.1186/s41747-026-00769-0","http://dx.doi.org/10.1186/s41747-026-00769-0")</f>
        <v>715</v>
      </c>
      <c r="BL23" t="s" s="0">
        <v>82</v>
      </c>
      <c r="BM23" t="s" s="0">
        <v>716</v>
      </c>
      <c r="BN23" t="s" s="0">
        <v>115</v>
      </c>
      <c r="BO23" t="s" s="0">
        <v>717</v>
      </c>
      <c r="BP23" t="s" s="0">
        <v>717</v>
      </c>
      <c r="BQ23" t="s" s="0">
        <v>718</v>
      </c>
      <c r="BR23" t="s" s="0">
        <v>719</v>
      </c>
      <c r="BS23" t="s" s="0">
        <v>720</v>
      </c>
      <c r="BT23" t="s" s="44">
        <f>HYPERLINK("https://www.webofscience.com/wos/woscc/full-record/WOS:001809263900003","View Record in Web of Science")</f>
        <v>120</v>
      </c>
      <c r="BU23" t="s" s="0">
        <v>189</v>
      </c>
      <c r="BV23" t="s" s="0">
        <v>82</v>
      </c>
      <c r="BW23" t="s" s="0">
        <v>82</v>
      </c>
      <c r="BX23" t="s" s="0">
        <v>121</v>
      </c>
    </row>
    <row r="24">
      <c r="A24" t="s" s="0">
        <v>77</v>
      </c>
      <c r="B24" t="s" s="0">
        <v>77</v>
      </c>
      <c r="C24" t="s" s="0">
        <v>77</v>
      </c>
      <c r="D24" t="s" s="0">
        <v>77</v>
      </c>
      <c r="E24" t="s" s="0">
        <v>721</v>
      </c>
      <c r="F24" t="s" s="0">
        <v>722</v>
      </c>
      <c r="G24" t="s" s="0">
        <v>723</v>
      </c>
      <c r="H24" t="s" s="0">
        <v>82</v>
      </c>
      <c r="I24" t="s" s="0">
        <v>83</v>
      </c>
      <c r="J24" t="s" s="0">
        <v>724</v>
      </c>
      <c r="K24" t="s" s="0">
        <v>725</v>
      </c>
      <c r="L24" t="s" s="0">
        <v>726</v>
      </c>
      <c r="M24" t="s" s="0">
        <v>727</v>
      </c>
      <c r="N24" t="s" s="0">
        <v>728</v>
      </c>
      <c r="O24" t="s" s="0">
        <v>729</v>
      </c>
      <c r="P24" t="s" s="0">
        <v>730</v>
      </c>
      <c r="Q24" t="s" s="0">
        <v>88</v>
      </c>
      <c r="R24" t="s" s="0">
        <v>82</v>
      </c>
      <c r="S24" t="s" s="0">
        <v>82</v>
      </c>
      <c r="T24" t="s" s="0">
        <v>82</v>
      </c>
      <c r="U24" t="s" s="0">
        <v>82</v>
      </c>
      <c r="V24" t="s" s="0">
        <v>731</v>
      </c>
      <c r="W24" t="s" s="0">
        <v>732</v>
      </c>
      <c r="X24" t="s" s="0">
        <v>82</v>
      </c>
      <c r="Y24" t="s" s="0">
        <v>82</v>
      </c>
      <c r="Z24" t="s" s="0">
        <v>91</v>
      </c>
      <c r="AA24" t="s" s="0">
        <v>92</v>
      </c>
      <c r="AB24" t="s" s="0">
        <v>82</v>
      </c>
      <c r="AC24" t="s" s="0">
        <v>82</v>
      </c>
      <c r="AD24" t="s" s="0">
        <v>82</v>
      </c>
      <c r="AE24" t="s" s="0">
        <v>82</v>
      </c>
      <c r="AF24" t="s" s="0">
        <v>82</v>
      </c>
      <c r="AG24" t="s" s="0">
        <v>733</v>
      </c>
      <c r="AH24" t="s" s="0">
        <v>734</v>
      </c>
      <c r="AI24" t="s" s="0">
        <v>82</v>
      </c>
      <c r="AJ24" t="s" s="0">
        <v>735</v>
      </c>
      <c r="AK24" t="s" s="0">
        <v>82</v>
      </c>
      <c r="AL24" t="s" s="0">
        <v>736</v>
      </c>
      <c r="AM24" t="s" s="0">
        <v>78</v>
      </c>
      <c r="AN24" t="s" s="0">
        <v>78</v>
      </c>
      <c r="AO24" t="s" s="0">
        <v>99</v>
      </c>
      <c r="AP24" t="s" s="0">
        <v>99</v>
      </c>
      <c r="AQ24" t="s" s="0">
        <v>100</v>
      </c>
      <c r="AR24" t="s" s="0">
        <v>101</v>
      </c>
      <c r="AS24" t="s" s="0">
        <v>102</v>
      </c>
      <c r="AT24" t="s" s="0">
        <v>737</v>
      </c>
      <c r="AU24" t="s" s="0">
        <v>738</v>
      </c>
      <c r="AV24" t="s" s="0">
        <v>82</v>
      </c>
      <c r="AW24" t="s" s="0">
        <v>739</v>
      </c>
      <c r="AX24" t="s" s="0">
        <v>740</v>
      </c>
      <c r="AY24" t="s" s="0">
        <v>179</v>
      </c>
      <c r="AZ24" t="s" s="0">
        <v>179</v>
      </c>
      <c r="BA24" t="s" s="0">
        <v>111</v>
      </c>
      <c r="BB24" t="s" s="0">
        <v>82</v>
      </c>
      <c r="BC24" t="s" s="0">
        <v>82</v>
      </c>
      <c r="BD24" t="s" s="0">
        <v>82</v>
      </c>
      <c r="BE24" t="s" s="0">
        <v>82</v>
      </c>
      <c r="BF24" t="s" s="0">
        <v>82</v>
      </c>
      <c r="BG24" t="s" s="0">
        <v>82</v>
      </c>
      <c r="BH24" t="s" s="0">
        <v>82</v>
      </c>
      <c r="BI24" t="s" s="0">
        <v>741</v>
      </c>
      <c r="BJ24" t="s" s="0">
        <v>742</v>
      </c>
      <c r="BK24" t="s" s="45">
        <f>HYPERLINK("http://dx.doi.org/10.1109/TIM.2026.3671908","http://dx.doi.org/10.1109/TIM.2026.3671908")</f>
        <v>743</v>
      </c>
      <c r="BL24" t="s" s="0">
        <v>82</v>
      </c>
      <c r="BM24" t="s" s="0">
        <v>82</v>
      </c>
      <c r="BN24" t="s" s="0">
        <v>277</v>
      </c>
      <c r="BO24" t="s" s="0">
        <v>744</v>
      </c>
      <c r="BP24" t="s" s="0">
        <v>745</v>
      </c>
      <c r="BQ24" t="s" s="0">
        <v>746</v>
      </c>
      <c r="BR24" t="s" s="0">
        <v>82</v>
      </c>
      <c r="BS24" t="s" s="0">
        <v>747</v>
      </c>
      <c r="BT24" t="s" s="46">
        <f>HYPERLINK("https://www.webofscience.com/wos/woscc/full-record/WOS:001719525800010","View Record in Web of Science")</f>
        <v>120</v>
      </c>
      <c r="BU24" t="s" s="0">
        <v>82</v>
      </c>
      <c r="BV24" t="s" s="0">
        <v>82</v>
      </c>
      <c r="BW24" t="s" s="0">
        <v>82</v>
      </c>
      <c r="BX24" t="s" s="0">
        <v>121</v>
      </c>
    </row>
    <row r="25">
      <c r="A25" t="s" s="0">
        <v>77</v>
      </c>
      <c r="B25" t="s" s="0">
        <v>77</v>
      </c>
      <c r="C25" t="s" s="0">
        <v>99</v>
      </c>
      <c r="D25" t="s" s="0">
        <v>77</v>
      </c>
      <c r="E25" t="s" s="0">
        <v>748</v>
      </c>
      <c r="F25" t="s" s="0">
        <v>749</v>
      </c>
      <c r="G25" t="s" s="0">
        <v>750</v>
      </c>
      <c r="H25" t="s" s="0">
        <v>82</v>
      </c>
      <c r="I25" t="s" s="0">
        <v>83</v>
      </c>
      <c r="J25" t="s" s="0">
        <v>751</v>
      </c>
      <c r="K25" t="s" s="0">
        <v>752</v>
      </c>
      <c r="L25" t="s" s="0">
        <v>753</v>
      </c>
      <c r="M25" t="s" s="0">
        <v>754</v>
      </c>
      <c r="N25" t="s" s="0">
        <v>755</v>
      </c>
      <c r="O25" t="s" s="0">
        <v>756</v>
      </c>
      <c r="P25" t="s" s="0">
        <v>757</v>
      </c>
      <c r="Q25" t="s" s="0">
        <v>88</v>
      </c>
      <c r="R25" t="s" s="0">
        <v>82</v>
      </c>
      <c r="S25" t="s" s="0">
        <v>82</v>
      </c>
      <c r="T25" t="s" s="0">
        <v>82</v>
      </c>
      <c r="U25" t="s" s="0">
        <v>82</v>
      </c>
      <c r="V25" t="s" s="0">
        <v>758</v>
      </c>
      <c r="W25" t="s" s="0">
        <v>759</v>
      </c>
      <c r="X25" t="s" s="0">
        <v>82</v>
      </c>
      <c r="Y25" t="s" s="0">
        <v>82</v>
      </c>
      <c r="Z25" t="s" s="0">
        <v>91</v>
      </c>
      <c r="AA25" t="s" s="0">
        <v>92</v>
      </c>
      <c r="AB25" t="s" s="0">
        <v>82</v>
      </c>
      <c r="AC25" t="s" s="0">
        <v>82</v>
      </c>
      <c r="AD25" t="s" s="0">
        <v>82</v>
      </c>
      <c r="AE25" t="s" s="0">
        <v>82</v>
      </c>
      <c r="AF25" t="s" s="0">
        <v>82</v>
      </c>
      <c r="AG25" t="s" s="0">
        <v>760</v>
      </c>
      <c r="AH25" t="s" s="0">
        <v>82</v>
      </c>
      <c r="AI25" t="s" s="0">
        <v>761</v>
      </c>
      <c r="AJ25" t="s" s="0">
        <v>762</v>
      </c>
      <c r="AK25" t="s" s="0">
        <v>82</v>
      </c>
      <c r="AL25" t="s" s="0">
        <v>736</v>
      </c>
      <c r="AM25" t="s" s="0">
        <v>272</v>
      </c>
      <c r="AN25" t="s" s="0">
        <v>272</v>
      </c>
      <c r="AO25" t="s" s="0">
        <v>99</v>
      </c>
      <c r="AP25" t="s" s="0">
        <v>763</v>
      </c>
      <c r="AQ25" t="s" s="0">
        <v>764</v>
      </c>
      <c r="AR25" t="s" s="0">
        <v>765</v>
      </c>
      <c r="AS25" t="s" s="0">
        <v>766</v>
      </c>
      <c r="AT25" t="s" s="0">
        <v>82</v>
      </c>
      <c r="AU25" t="s" s="0">
        <v>767</v>
      </c>
      <c r="AV25" t="s" s="0">
        <v>82</v>
      </c>
      <c r="AW25" t="s" s="0">
        <v>768</v>
      </c>
      <c r="AX25" t="s" s="0">
        <v>769</v>
      </c>
      <c r="AY25" t="s" s="0">
        <v>770</v>
      </c>
      <c r="AZ25" t="s" s="0">
        <v>146</v>
      </c>
      <c r="BA25" t="s" s="0">
        <v>307</v>
      </c>
      <c r="BB25" t="s" s="0">
        <v>502</v>
      </c>
      <c r="BC25" t="s" s="0">
        <v>82</v>
      </c>
      <c r="BD25" t="s" s="0">
        <v>82</v>
      </c>
      <c r="BE25" t="s" s="0">
        <v>82</v>
      </c>
      <c r="BF25" t="s" s="0">
        <v>82</v>
      </c>
      <c r="BG25" t="s" s="0">
        <v>82</v>
      </c>
      <c r="BH25" t="s" s="0">
        <v>82</v>
      </c>
      <c r="BI25" t="s" s="0">
        <v>82</v>
      </c>
      <c r="BJ25" t="s" s="0">
        <v>771</v>
      </c>
      <c r="BK25" t="s" s="47">
        <f>HYPERLINK("http://dx.doi.org/10.1002/advs.202403578","http://dx.doi.org/10.1002/advs.202403578")</f>
        <v>772</v>
      </c>
      <c r="BL25" t="s" s="0">
        <v>82</v>
      </c>
      <c r="BM25" t="s" s="0">
        <v>773</v>
      </c>
      <c r="BN25" t="s" s="0">
        <v>363</v>
      </c>
      <c r="BO25" t="s" s="0">
        <v>774</v>
      </c>
      <c r="BP25" t="s" s="0">
        <v>775</v>
      </c>
      <c r="BQ25" t="s" s="0">
        <v>776</v>
      </c>
      <c r="BR25" t="s" s="0">
        <v>777</v>
      </c>
      <c r="BS25" t="s" s="0">
        <v>778</v>
      </c>
      <c r="BT25" t="s" s="48">
        <f>HYPERLINK("https://www.webofscience.com/wos/woscc/full-record/WOS:001263739000001","View Record in Web of Science")</f>
        <v>120</v>
      </c>
      <c r="BU25" t="s" s="0">
        <v>189</v>
      </c>
      <c r="BV25" t="s" s="0">
        <v>82</v>
      </c>
      <c r="BW25" t="s" s="0">
        <v>82</v>
      </c>
      <c r="BX25" t="s" s="0">
        <v>121</v>
      </c>
    </row>
    <row r="26">
      <c r="A26" t="s" s="0">
        <v>77</v>
      </c>
      <c r="B26" t="s" s="0">
        <v>77</v>
      </c>
      <c r="C26" t="s" s="0">
        <v>77</v>
      </c>
      <c r="D26" t="s" s="0">
        <v>77</v>
      </c>
      <c r="E26" t="s" s="0">
        <v>779</v>
      </c>
      <c r="F26" t="s" s="0">
        <v>780</v>
      </c>
      <c r="G26" t="s" s="0">
        <v>781</v>
      </c>
      <c r="H26" t="s" s="0">
        <v>82</v>
      </c>
      <c r="I26" t="s" s="0">
        <v>83</v>
      </c>
      <c r="J26" t="s" s="0">
        <v>782</v>
      </c>
      <c r="K26" t="s" s="0">
        <v>783</v>
      </c>
      <c r="L26" t="s" s="0">
        <v>784</v>
      </c>
      <c r="M26" t="s" s="0">
        <v>785</v>
      </c>
      <c r="N26" t="s" s="0">
        <v>786</v>
      </c>
      <c r="O26" t="s" s="0">
        <v>787</v>
      </c>
      <c r="P26" t="s" s="0">
        <v>788</v>
      </c>
      <c r="Q26" t="s" s="0">
        <v>88</v>
      </c>
      <c r="R26" t="s" s="0">
        <v>82</v>
      </c>
      <c r="S26" t="s" s="0">
        <v>82</v>
      </c>
      <c r="T26" t="s" s="0">
        <v>82</v>
      </c>
      <c r="U26" t="s" s="0">
        <v>82</v>
      </c>
      <c r="V26" t="s" s="0">
        <v>789</v>
      </c>
      <c r="W26" t="s" s="0">
        <v>790</v>
      </c>
      <c r="X26" t="s" s="0">
        <v>82</v>
      </c>
      <c r="Y26" t="s" s="0">
        <v>82</v>
      </c>
      <c r="Z26" t="s" s="0">
        <v>91</v>
      </c>
      <c r="AA26" t="s" s="0">
        <v>92</v>
      </c>
      <c r="AB26" t="s" s="0">
        <v>82</v>
      </c>
      <c r="AC26" t="s" s="0">
        <v>82</v>
      </c>
      <c r="AD26" t="s" s="0">
        <v>82</v>
      </c>
      <c r="AE26" t="s" s="0">
        <v>82</v>
      </c>
      <c r="AF26" t="s" s="0">
        <v>82</v>
      </c>
      <c r="AG26" t="s" s="0">
        <v>791</v>
      </c>
      <c r="AH26" t="s" s="0">
        <v>82</v>
      </c>
      <c r="AI26" t="s" s="0">
        <v>792</v>
      </c>
      <c r="AJ26" t="s" s="0">
        <v>793</v>
      </c>
      <c r="AK26" t="s" s="0">
        <v>82</v>
      </c>
      <c r="AL26" t="s" s="0">
        <v>794</v>
      </c>
      <c r="AM26" t="s" s="0">
        <v>77</v>
      </c>
      <c r="AN26" t="s" s="0">
        <v>77</v>
      </c>
      <c r="AO26" t="s" s="0">
        <v>204</v>
      </c>
      <c r="AP26" t="s" s="0">
        <v>98</v>
      </c>
      <c r="AQ26" t="s" s="0">
        <v>795</v>
      </c>
      <c r="AR26" t="s" s="0">
        <v>796</v>
      </c>
      <c r="AS26" t="s" s="0">
        <v>797</v>
      </c>
      <c r="AT26" t="s" s="0">
        <v>798</v>
      </c>
      <c r="AU26" t="s" s="0">
        <v>82</v>
      </c>
      <c r="AV26" t="s" s="0">
        <v>82</v>
      </c>
      <c r="AW26" t="s" s="0">
        <v>799</v>
      </c>
      <c r="AX26" t="s" s="0">
        <v>800</v>
      </c>
      <c r="AY26" t="s" s="0">
        <v>801</v>
      </c>
      <c r="AZ26" t="s" s="0">
        <v>108</v>
      </c>
      <c r="BA26" t="s" s="0">
        <v>184</v>
      </c>
      <c r="BB26" t="s" s="0">
        <v>78</v>
      </c>
      <c r="BC26" t="s" s="0">
        <v>82</v>
      </c>
      <c r="BD26" t="s" s="0">
        <v>82</v>
      </c>
      <c r="BE26" t="s" s="0">
        <v>82</v>
      </c>
      <c r="BF26" t="s" s="0">
        <v>82</v>
      </c>
      <c r="BG26" t="s" s="0">
        <v>82</v>
      </c>
      <c r="BH26" t="s" s="0">
        <v>82</v>
      </c>
      <c r="BI26" t="s" s="0">
        <v>802</v>
      </c>
      <c r="BJ26" t="s" s="0">
        <v>803</v>
      </c>
      <c r="BK26" t="s" s="49">
        <f>HYPERLINK("http://dx.doi.org/10.1007/s13755-025-00389-9","http://dx.doi.org/10.1007/s13755-025-00389-9")</f>
        <v>804</v>
      </c>
      <c r="BL26" t="s" s="0">
        <v>82</v>
      </c>
      <c r="BM26" t="s" s="0">
        <v>82</v>
      </c>
      <c r="BN26" t="s" s="0">
        <v>148</v>
      </c>
      <c r="BO26" t="s" s="0">
        <v>805</v>
      </c>
      <c r="BP26" t="s" s="0">
        <v>805</v>
      </c>
      <c r="BQ26" t="s" s="0">
        <v>806</v>
      </c>
      <c r="BR26" t="s" s="0">
        <v>807</v>
      </c>
      <c r="BS26" t="s" s="0">
        <v>808</v>
      </c>
      <c r="BT26" t="s" s="50">
        <f>HYPERLINK("https://www.webofscience.com/wos/woscc/full-record/WOS:001606408600002","View Record in Web of Science")</f>
        <v>120</v>
      </c>
      <c r="BU26" t="s" s="0">
        <v>809</v>
      </c>
      <c r="BV26" t="s" s="0">
        <v>82</v>
      </c>
      <c r="BW26" t="s" s="0">
        <v>82</v>
      </c>
      <c r="BX26" t="s" s="0">
        <v>121</v>
      </c>
    </row>
    <row r="27">
      <c r="A27" t="s" s="0">
        <v>77</v>
      </c>
      <c r="B27" t="s" s="0">
        <v>77</v>
      </c>
      <c r="C27" t="s" s="0">
        <v>78</v>
      </c>
      <c r="D27" t="s" s="0">
        <v>77</v>
      </c>
      <c r="E27" t="s" s="0">
        <v>810</v>
      </c>
      <c r="F27" t="s" s="0">
        <v>811</v>
      </c>
      <c r="G27" t="s" s="0">
        <v>812</v>
      </c>
      <c r="H27" t="s" s="0">
        <v>82</v>
      </c>
      <c r="I27" t="s" s="0">
        <v>83</v>
      </c>
      <c r="J27" t="s" s="0">
        <v>813</v>
      </c>
      <c r="K27" t="s" s="0">
        <v>814</v>
      </c>
      <c r="L27" t="s" s="0">
        <v>815</v>
      </c>
      <c r="M27" t="s" s="0">
        <v>815</v>
      </c>
      <c r="N27" t="s" s="0">
        <v>816</v>
      </c>
      <c r="O27" t="s" s="0">
        <v>817</v>
      </c>
      <c r="P27" t="s" s="0">
        <v>818</v>
      </c>
      <c r="Q27" t="s" s="0">
        <v>88</v>
      </c>
      <c r="R27" t="s" s="0">
        <v>82</v>
      </c>
      <c r="S27" t="s" s="0">
        <v>82</v>
      </c>
      <c r="T27" t="s" s="0">
        <v>82</v>
      </c>
      <c r="U27" t="s" s="0">
        <v>82</v>
      </c>
      <c r="V27" t="s" s="0">
        <v>819</v>
      </c>
      <c r="W27" t="s" s="0">
        <v>820</v>
      </c>
      <c r="X27" t="s" s="0">
        <v>82</v>
      </c>
      <c r="Y27" t="s" s="0">
        <v>82</v>
      </c>
      <c r="Z27" t="s" s="0">
        <v>91</v>
      </c>
      <c r="AA27" t="s" s="0">
        <v>92</v>
      </c>
      <c r="AB27" t="s" s="0">
        <v>82</v>
      </c>
      <c r="AC27" t="s" s="0">
        <v>82</v>
      </c>
      <c r="AD27" t="s" s="0">
        <v>82</v>
      </c>
      <c r="AE27" t="s" s="0">
        <v>82</v>
      </c>
      <c r="AF27" t="s" s="0">
        <v>82</v>
      </c>
      <c r="AG27" t="s" s="0">
        <v>821</v>
      </c>
      <c r="AH27" t="s" s="0">
        <v>82</v>
      </c>
      <c r="AI27" t="s" s="0">
        <v>822</v>
      </c>
      <c r="AJ27" t="s" s="0">
        <v>823</v>
      </c>
      <c r="AK27" t="s" s="0">
        <v>82</v>
      </c>
      <c r="AL27" t="s" s="0">
        <v>824</v>
      </c>
      <c r="AM27" t="s" s="0">
        <v>97</v>
      </c>
      <c r="AN27" t="s" s="0">
        <v>115</v>
      </c>
      <c r="AO27" t="s" s="0">
        <v>307</v>
      </c>
      <c r="AP27" t="s" s="0">
        <v>307</v>
      </c>
      <c r="AQ27" t="s" s="0">
        <v>100</v>
      </c>
      <c r="AR27" t="s" s="0">
        <v>101</v>
      </c>
      <c r="AS27" t="s" s="0">
        <v>102</v>
      </c>
      <c r="AT27" t="s" s="0">
        <v>825</v>
      </c>
      <c r="AU27" t="s" s="0">
        <v>826</v>
      </c>
      <c r="AV27" t="s" s="0">
        <v>82</v>
      </c>
      <c r="AW27" t="s" s="0">
        <v>827</v>
      </c>
      <c r="AX27" t="s" s="0">
        <v>828</v>
      </c>
      <c r="AY27" t="s" s="0">
        <v>829</v>
      </c>
      <c r="AZ27" t="s" s="0">
        <v>179</v>
      </c>
      <c r="BA27" t="s" s="0">
        <v>586</v>
      </c>
      <c r="BB27" t="s" s="0">
        <v>99</v>
      </c>
      <c r="BC27" t="s" s="0">
        <v>82</v>
      </c>
      <c r="BD27" t="s" s="0">
        <v>82</v>
      </c>
      <c r="BE27" t="s" s="0">
        <v>82</v>
      </c>
      <c r="BF27" t="s" s="0">
        <v>82</v>
      </c>
      <c r="BG27" t="s" s="0">
        <v>830</v>
      </c>
      <c r="BH27" t="s" s="0">
        <v>831</v>
      </c>
      <c r="BI27" t="s" s="0">
        <v>82</v>
      </c>
      <c r="BJ27" t="s" s="0">
        <v>832</v>
      </c>
      <c r="BK27" t="s" s="51">
        <f>HYPERLINK("http://dx.doi.org/10.1109/JBHI.2025.3604595","http://dx.doi.org/10.1109/JBHI.2025.3604595")</f>
        <v>833</v>
      </c>
      <c r="BL27" t="s" s="0">
        <v>82</v>
      </c>
      <c r="BM27" t="s" s="0">
        <v>82</v>
      </c>
      <c r="BN27" t="s" s="0">
        <v>184</v>
      </c>
      <c r="BO27" t="s" s="0">
        <v>834</v>
      </c>
      <c r="BP27" t="s" s="0">
        <v>835</v>
      </c>
      <c r="BQ27" t="s" s="0">
        <v>836</v>
      </c>
      <c r="BR27" t="s" s="0">
        <v>837</v>
      </c>
      <c r="BS27" t="s" s="0">
        <v>838</v>
      </c>
      <c r="BT27" t="s" s="52">
        <f>HYPERLINK("https://www.webofscience.com/wos/woscc/full-record/WOS:001708168300046","View Record in Web of Science")</f>
        <v>120</v>
      </c>
      <c r="BU27" t="s" s="0">
        <v>82</v>
      </c>
      <c r="BV27" t="s" s="0">
        <v>82</v>
      </c>
      <c r="BW27" t="s" s="0">
        <v>82</v>
      </c>
      <c r="BX27" t="s" s="0">
        <v>121</v>
      </c>
    </row>
    <row r="28">
      <c r="A28" t="s" s="0">
        <v>77</v>
      </c>
      <c r="B28" t="s" s="0">
        <v>77</v>
      </c>
      <c r="C28" t="s" s="0">
        <v>77</v>
      </c>
      <c r="D28" t="s" s="0">
        <v>77</v>
      </c>
      <c r="E28" t="s" s="0">
        <v>839</v>
      </c>
      <c r="F28" t="s" s="0">
        <v>840</v>
      </c>
      <c r="G28" t="s" s="0">
        <v>841</v>
      </c>
      <c r="H28" t="s" s="0">
        <v>82</v>
      </c>
      <c r="I28" t="s" s="0">
        <v>83</v>
      </c>
      <c r="J28" t="s" s="0">
        <v>842</v>
      </c>
      <c r="K28" t="s" s="0">
        <v>843</v>
      </c>
      <c r="L28" t="s" s="0">
        <v>844</v>
      </c>
      <c r="M28" t="s" s="0">
        <v>845</v>
      </c>
      <c r="N28" t="s" s="0">
        <v>846</v>
      </c>
      <c r="O28" t="s" s="0">
        <v>847</v>
      </c>
      <c r="P28" t="s" s="0">
        <v>848</v>
      </c>
      <c r="Q28" t="s" s="0">
        <v>88</v>
      </c>
      <c r="R28" t="s" s="0">
        <v>82</v>
      </c>
      <c r="S28" t="s" s="0">
        <v>82</v>
      </c>
      <c r="T28" t="s" s="0">
        <v>82</v>
      </c>
      <c r="U28" t="s" s="0">
        <v>82</v>
      </c>
      <c r="V28" t="s" s="0">
        <v>849</v>
      </c>
      <c r="W28" t="s" s="0">
        <v>169</v>
      </c>
      <c r="X28" t="s" s="0">
        <v>82</v>
      </c>
      <c r="Y28" t="s" s="0">
        <v>82</v>
      </c>
      <c r="Z28" t="s" s="0">
        <v>91</v>
      </c>
      <c r="AA28" t="s" s="0">
        <v>92</v>
      </c>
      <c r="AB28" t="s" s="0">
        <v>82</v>
      </c>
      <c r="AC28" t="s" s="0">
        <v>82</v>
      </c>
      <c r="AD28" t="s" s="0">
        <v>82</v>
      </c>
      <c r="AE28" t="s" s="0">
        <v>82</v>
      </c>
      <c r="AF28" t="s" s="0">
        <v>82</v>
      </c>
      <c r="AG28" t="s" s="0">
        <v>82</v>
      </c>
      <c r="AH28" t="s" s="0">
        <v>82</v>
      </c>
      <c r="AI28" t="s" s="0">
        <v>82</v>
      </c>
      <c r="AJ28" t="s" s="0">
        <v>82</v>
      </c>
      <c r="AK28" t="s" s="0">
        <v>82</v>
      </c>
      <c r="AL28" t="s" s="0">
        <v>850</v>
      </c>
      <c r="AM28" t="s" s="0">
        <v>77</v>
      </c>
      <c r="AN28" t="s" s="0">
        <v>77</v>
      </c>
      <c r="AO28" t="s" s="0">
        <v>204</v>
      </c>
      <c r="AP28" t="s" s="0">
        <v>204</v>
      </c>
      <c r="AQ28" t="s" s="0">
        <v>172</v>
      </c>
      <c r="AR28" t="s" s="0">
        <v>173</v>
      </c>
      <c r="AS28" t="s" s="0">
        <v>174</v>
      </c>
      <c r="AT28" t="s" s="0">
        <v>175</v>
      </c>
      <c r="AU28" t="s" s="0">
        <v>82</v>
      </c>
      <c r="AV28" t="s" s="0">
        <v>82</v>
      </c>
      <c r="AW28" t="s" s="0">
        <v>176</v>
      </c>
      <c r="AX28" t="s" s="0">
        <v>177</v>
      </c>
      <c r="AY28" t="s" s="0">
        <v>851</v>
      </c>
      <c r="AZ28" t="s" s="0">
        <v>179</v>
      </c>
      <c r="BA28" t="s" s="0">
        <v>115</v>
      </c>
      <c r="BB28" t="s" s="0">
        <v>78</v>
      </c>
      <c r="BC28" t="s" s="0">
        <v>82</v>
      </c>
      <c r="BD28" t="s" s="0">
        <v>82</v>
      </c>
      <c r="BE28" t="s" s="0">
        <v>82</v>
      </c>
      <c r="BF28" t="s" s="0">
        <v>82</v>
      </c>
      <c r="BG28" t="s" s="0">
        <v>82</v>
      </c>
      <c r="BH28" t="s" s="0">
        <v>82</v>
      </c>
      <c r="BI28" t="s" s="0">
        <v>852</v>
      </c>
      <c r="BJ28" t="s" s="0">
        <v>853</v>
      </c>
      <c r="BK28" t="s" s="53">
        <f>HYPERLINK("http://dx.doi.org/10.1038/s41746-026-02602-9","http://dx.doi.org/10.1038/s41746-026-02602-9")</f>
        <v>854</v>
      </c>
      <c r="BL28" t="s" s="0">
        <v>82</v>
      </c>
      <c r="BM28" t="s" s="0">
        <v>82</v>
      </c>
      <c r="BN28" t="s" s="0">
        <v>277</v>
      </c>
      <c r="BO28" t="s" s="0">
        <v>185</v>
      </c>
      <c r="BP28" t="s" s="0">
        <v>185</v>
      </c>
      <c r="BQ28" t="s" s="0">
        <v>855</v>
      </c>
      <c r="BR28" t="s" s="0">
        <v>856</v>
      </c>
      <c r="BS28" t="s" s="0">
        <v>857</v>
      </c>
      <c r="BT28" t="s" s="54">
        <f>HYPERLINK("https://www.webofscience.com/wos/woscc/full-record/WOS:001790372400002","View Record in Web of Science")</f>
        <v>120</v>
      </c>
      <c r="BU28" t="s" s="0">
        <v>189</v>
      </c>
      <c r="BV28" t="s" s="0">
        <v>82</v>
      </c>
      <c r="BW28" t="s" s="0">
        <v>82</v>
      </c>
      <c r="BX28" t="s" s="0">
        <v>121</v>
      </c>
    </row>
    <row r="29">
      <c r="A29" t="s" s="0">
        <v>77</v>
      </c>
      <c r="B29" t="s" s="0">
        <v>77</v>
      </c>
      <c r="C29" t="s" s="0">
        <v>204</v>
      </c>
      <c r="D29" t="s" s="0">
        <v>77</v>
      </c>
      <c r="E29" t="s" s="0">
        <v>858</v>
      </c>
      <c r="F29" t="s" s="0">
        <v>859</v>
      </c>
      <c r="G29" t="s" s="0">
        <v>860</v>
      </c>
      <c r="H29" t="s" s="0">
        <v>82</v>
      </c>
      <c r="I29" t="s" s="0">
        <v>83</v>
      </c>
      <c r="J29" t="s" s="0">
        <v>861</v>
      </c>
      <c r="K29" t="s" s="0">
        <v>862</v>
      </c>
      <c r="L29" t="s" s="0">
        <v>82</v>
      </c>
      <c r="M29" t="s" s="0">
        <v>82</v>
      </c>
      <c r="N29" t="s" s="0">
        <v>82</v>
      </c>
      <c r="O29" t="s" s="0">
        <v>863</v>
      </c>
      <c r="P29" t="s" s="0">
        <v>864</v>
      </c>
      <c r="Q29" t="s" s="0">
        <v>88</v>
      </c>
      <c r="R29" t="s" s="0">
        <v>82</v>
      </c>
      <c r="S29" t="s" s="0">
        <v>82</v>
      </c>
      <c r="T29" t="s" s="0">
        <v>82</v>
      </c>
      <c r="U29" t="s" s="0">
        <v>82</v>
      </c>
      <c r="V29" t="s" s="0">
        <v>865</v>
      </c>
      <c r="W29" t="s" s="0">
        <v>323</v>
      </c>
      <c r="X29" t="s" s="0">
        <v>82</v>
      </c>
      <c r="Y29" t="s" s="0">
        <v>82</v>
      </c>
      <c r="Z29" t="s" s="0">
        <v>91</v>
      </c>
      <c r="AA29" t="s" s="0">
        <v>92</v>
      </c>
      <c r="AB29" t="s" s="0">
        <v>82</v>
      </c>
      <c r="AC29" t="s" s="0">
        <v>82</v>
      </c>
      <c r="AD29" t="s" s="0">
        <v>82</v>
      </c>
      <c r="AE29" t="s" s="0">
        <v>82</v>
      </c>
      <c r="AF29" t="s" s="0">
        <v>82</v>
      </c>
      <c r="AG29" t="s" s="0">
        <v>866</v>
      </c>
      <c r="AH29" t="s" s="0">
        <v>82</v>
      </c>
      <c r="AI29" t="s" s="0">
        <v>867</v>
      </c>
      <c r="AJ29" t="s" s="0">
        <v>868</v>
      </c>
      <c r="AK29" t="s" s="0">
        <v>82</v>
      </c>
      <c r="AL29" t="s" s="0">
        <v>869</v>
      </c>
      <c r="AM29" t="s" s="0">
        <v>363</v>
      </c>
      <c r="AN29" t="s" s="0">
        <v>363</v>
      </c>
      <c r="AO29" t="s" s="0">
        <v>110</v>
      </c>
      <c r="AP29" t="s" s="0">
        <v>428</v>
      </c>
      <c r="AQ29" t="s" s="0">
        <v>100</v>
      </c>
      <c r="AR29" t="s" s="0">
        <v>101</v>
      </c>
      <c r="AS29" t="s" s="0">
        <v>102</v>
      </c>
      <c r="AT29" t="s" s="0">
        <v>325</v>
      </c>
      <c r="AU29" t="s" s="0">
        <v>82</v>
      </c>
      <c r="AV29" t="s" s="0">
        <v>82</v>
      </c>
      <c r="AW29" t="s" s="0">
        <v>323</v>
      </c>
      <c r="AX29" t="s" s="0">
        <v>326</v>
      </c>
      <c r="AY29" t="s" s="0">
        <v>108</v>
      </c>
      <c r="AZ29" t="s" s="0">
        <v>108</v>
      </c>
      <c r="BA29" t="s" s="0">
        <v>184</v>
      </c>
      <c r="BB29" t="s" s="0">
        <v>82</v>
      </c>
      <c r="BC29" t="s" s="0">
        <v>82</v>
      </c>
      <c r="BD29" t="s" s="0">
        <v>82</v>
      </c>
      <c r="BE29" t="s" s="0">
        <v>82</v>
      </c>
      <c r="BF29" t="s" s="0">
        <v>82</v>
      </c>
      <c r="BG29" t="s" s="0">
        <v>870</v>
      </c>
      <c r="BH29" t="s" s="0">
        <v>871</v>
      </c>
      <c r="BI29" t="s" s="0">
        <v>82</v>
      </c>
      <c r="BJ29" t="s" s="0">
        <v>872</v>
      </c>
      <c r="BK29" t="s" s="55">
        <f>HYPERLINK("http://dx.doi.org/10.1109/ACCESS.2025.3606961","http://dx.doi.org/10.1109/ACCESS.2025.3606961")</f>
        <v>873</v>
      </c>
      <c r="BL29" t="s" s="0">
        <v>82</v>
      </c>
      <c r="BM29" t="s" s="0">
        <v>82</v>
      </c>
      <c r="BN29" t="s" s="0">
        <v>139</v>
      </c>
      <c r="BO29" t="s" s="0">
        <v>332</v>
      </c>
      <c r="BP29" t="s" s="0">
        <v>117</v>
      </c>
      <c r="BQ29" t="s" s="0">
        <v>874</v>
      </c>
      <c r="BR29" t="s" s="0">
        <v>82</v>
      </c>
      <c r="BS29" t="s" s="0">
        <v>875</v>
      </c>
      <c r="BT29" t="s" s="56">
        <f>HYPERLINK("https://www.webofscience.com/wos/woscc/full-record/WOS:001571485600045","View Record in Web of Science")</f>
        <v>120</v>
      </c>
      <c r="BU29" t="s" s="0">
        <v>189</v>
      </c>
      <c r="BV29" t="s" s="0">
        <v>82</v>
      </c>
      <c r="BW29" t="s" s="0">
        <v>82</v>
      </c>
      <c r="BX29" t="s" s="0">
        <v>121</v>
      </c>
    </row>
    <row r="30">
      <c r="A30" t="s" s="0">
        <v>78</v>
      </c>
      <c r="B30" t="s" s="0">
        <v>77</v>
      </c>
      <c r="C30" t="s" s="0">
        <v>77</v>
      </c>
      <c r="D30" t="s" s="0">
        <v>77</v>
      </c>
      <c r="E30" t="s" s="0">
        <v>876</v>
      </c>
      <c r="F30" t="s" s="0">
        <v>877</v>
      </c>
      <c r="G30" t="s" s="0">
        <v>878</v>
      </c>
      <c r="H30" t="s" s="0">
        <v>82</v>
      </c>
      <c r="I30" t="s" s="0">
        <v>83</v>
      </c>
      <c r="J30" t="s" s="0">
        <v>879</v>
      </c>
      <c r="K30" t="s" s="0">
        <v>880</v>
      </c>
      <c r="L30" t="s" s="0">
        <v>881</v>
      </c>
      <c r="M30" t="s" s="0">
        <v>882</v>
      </c>
      <c r="N30" t="s" s="0">
        <v>883</v>
      </c>
      <c r="O30" t="s" s="0">
        <v>884</v>
      </c>
      <c r="P30" t="s" s="0">
        <v>885</v>
      </c>
      <c r="Q30" t="s" s="0">
        <v>88</v>
      </c>
      <c r="R30" t="s" s="0">
        <v>82</v>
      </c>
      <c r="S30" t="s" s="0">
        <v>82</v>
      </c>
      <c r="T30" t="s" s="0">
        <v>82</v>
      </c>
      <c r="U30" t="s" s="0">
        <v>82</v>
      </c>
      <c r="V30" t="s" s="0">
        <v>886</v>
      </c>
      <c r="W30" t="s" s="0">
        <v>201</v>
      </c>
      <c r="X30" t="s" s="0">
        <v>82</v>
      </c>
      <c r="Y30" t="s" s="0">
        <v>82</v>
      </c>
      <c r="Z30" t="s" s="0">
        <v>91</v>
      </c>
      <c r="AA30" t="s" s="0">
        <v>92</v>
      </c>
      <c r="AB30" t="s" s="0">
        <v>82</v>
      </c>
      <c r="AC30" t="s" s="0">
        <v>82</v>
      </c>
      <c r="AD30" t="s" s="0">
        <v>82</v>
      </c>
      <c r="AE30" t="s" s="0">
        <v>82</v>
      </c>
      <c r="AF30" t="s" s="0">
        <v>82</v>
      </c>
      <c r="AG30" t="s" s="0">
        <v>82</v>
      </c>
      <c r="AH30" t="s" s="0">
        <v>82</v>
      </c>
      <c r="AI30" t="s" s="0">
        <v>887</v>
      </c>
      <c r="AJ30" t="s" s="0">
        <v>82</v>
      </c>
      <c r="AK30" t="s" s="0">
        <v>82</v>
      </c>
      <c r="AL30" t="s" s="0">
        <v>415</v>
      </c>
      <c r="AM30" t="s" s="0">
        <v>235</v>
      </c>
      <c r="AN30" t="s" s="0">
        <v>110</v>
      </c>
      <c r="AO30" t="s" s="0">
        <v>78</v>
      </c>
      <c r="AP30" t="s" s="0">
        <v>307</v>
      </c>
      <c r="AQ30" t="s" s="0">
        <v>172</v>
      </c>
      <c r="AR30" t="s" s="0">
        <v>173</v>
      </c>
      <c r="AS30" t="s" s="0">
        <v>174</v>
      </c>
      <c r="AT30" t="s" s="0">
        <v>205</v>
      </c>
      <c r="AU30" t="s" s="0">
        <v>82</v>
      </c>
      <c r="AV30" t="s" s="0">
        <v>82</v>
      </c>
      <c r="AW30" t="s" s="0">
        <v>206</v>
      </c>
      <c r="AX30" t="s" s="0">
        <v>207</v>
      </c>
      <c r="AY30" t="s" s="0">
        <v>888</v>
      </c>
      <c r="AZ30" t="s" s="0">
        <v>108</v>
      </c>
      <c r="BA30" t="s" s="0">
        <v>277</v>
      </c>
      <c r="BB30" t="s" s="0">
        <v>78</v>
      </c>
      <c r="BC30" t="s" s="0">
        <v>82</v>
      </c>
      <c r="BD30" t="s" s="0">
        <v>82</v>
      </c>
      <c r="BE30" t="s" s="0">
        <v>82</v>
      </c>
      <c r="BF30" t="s" s="0">
        <v>82</v>
      </c>
      <c r="BG30" t="s" s="0">
        <v>82</v>
      </c>
      <c r="BH30" t="s" s="0">
        <v>82</v>
      </c>
      <c r="BI30" t="s" s="0">
        <v>889</v>
      </c>
      <c r="BJ30" t="s" s="0">
        <v>890</v>
      </c>
      <c r="BK30" t="s" s="57">
        <f>HYPERLINK("http://dx.doi.org/10.1038/s41598-025-91802-6","http://dx.doi.org/10.1038/s41598-025-91802-6")</f>
        <v>891</v>
      </c>
      <c r="BL30" t="s" s="0">
        <v>82</v>
      </c>
      <c r="BM30" t="s" s="0">
        <v>82</v>
      </c>
      <c r="BN30" t="s" s="0">
        <v>892</v>
      </c>
      <c r="BO30" t="s" s="0">
        <v>213</v>
      </c>
      <c r="BP30" t="s" s="0">
        <v>214</v>
      </c>
      <c r="BQ30" t="s" s="0">
        <v>893</v>
      </c>
      <c r="BR30" t="s" s="0">
        <v>894</v>
      </c>
      <c r="BS30" t="s" s="0">
        <v>895</v>
      </c>
      <c r="BT30" t="s" s="58">
        <f>HYPERLINK("https://www.webofscience.com/wos/woscc/full-record/WOS:001436409500001","View Record in Web of Science")</f>
        <v>120</v>
      </c>
      <c r="BU30" t="s" s="0">
        <v>189</v>
      </c>
      <c r="BV30" t="s" s="0">
        <v>82</v>
      </c>
      <c r="BW30" t="s" s="0">
        <v>82</v>
      </c>
      <c r="BX30" t="s" s="0">
        <v>121</v>
      </c>
    </row>
    <row r="31">
      <c r="A31" t="s" s="0">
        <v>77</v>
      </c>
      <c r="B31" t="s" s="0">
        <v>77</v>
      </c>
      <c r="C31" t="s" s="0">
        <v>77</v>
      </c>
      <c r="D31" t="s" s="0">
        <v>77</v>
      </c>
      <c r="E31" t="s" s="0">
        <v>896</v>
      </c>
      <c r="F31" t="s" s="0">
        <v>897</v>
      </c>
      <c r="G31" t="s" s="0">
        <v>898</v>
      </c>
      <c r="H31" t="s" s="0">
        <v>82</v>
      </c>
      <c r="I31" t="s" s="0">
        <v>83</v>
      </c>
      <c r="J31" t="s" s="0">
        <v>899</v>
      </c>
      <c r="K31" t="s" s="0">
        <v>900</v>
      </c>
      <c r="L31" t="s" s="0">
        <v>901</v>
      </c>
      <c r="M31" t="s" s="0">
        <v>902</v>
      </c>
      <c r="N31" t="s" s="0">
        <v>903</v>
      </c>
      <c r="O31" t="s" s="0">
        <v>904</v>
      </c>
      <c r="P31" t="s" s="0">
        <v>905</v>
      </c>
      <c r="Q31" t="s" s="0">
        <v>88</v>
      </c>
      <c r="R31" t="s" s="0">
        <v>82</v>
      </c>
      <c r="S31" t="s" s="0">
        <v>82</v>
      </c>
      <c r="T31" t="s" s="0">
        <v>82</v>
      </c>
      <c r="U31" t="s" s="0">
        <v>82</v>
      </c>
      <c r="V31" t="s" s="0">
        <v>906</v>
      </c>
      <c r="W31" t="s" s="0">
        <v>907</v>
      </c>
      <c r="X31" t="s" s="0">
        <v>82</v>
      </c>
      <c r="Y31" t="s" s="0">
        <v>82</v>
      </c>
      <c r="Z31" t="s" s="0">
        <v>91</v>
      </c>
      <c r="AA31" t="s" s="0">
        <v>908</v>
      </c>
      <c r="AB31" t="s" s="0">
        <v>82</v>
      </c>
      <c r="AC31" t="s" s="0">
        <v>82</v>
      </c>
      <c r="AD31" t="s" s="0">
        <v>82</v>
      </c>
      <c r="AE31" t="s" s="0">
        <v>82</v>
      </c>
      <c r="AF31" t="s" s="0">
        <v>82</v>
      </c>
      <c r="AG31" t="s" s="0">
        <v>909</v>
      </c>
      <c r="AH31" t="s" s="0">
        <v>82</v>
      </c>
      <c r="AI31" t="s" s="0">
        <v>910</v>
      </c>
      <c r="AJ31" t="s" s="0">
        <v>82</v>
      </c>
      <c r="AK31" t="s" s="0">
        <v>82</v>
      </c>
      <c r="AL31" t="s" s="0">
        <v>763</v>
      </c>
      <c r="AM31" t="s" s="0">
        <v>78</v>
      </c>
      <c r="AN31" t="s" s="0">
        <v>78</v>
      </c>
      <c r="AO31" t="s" s="0">
        <v>97</v>
      </c>
      <c r="AP31" t="s" s="0">
        <v>97</v>
      </c>
      <c r="AQ31" t="s" s="0">
        <v>911</v>
      </c>
      <c r="AR31" t="s" s="0">
        <v>912</v>
      </c>
      <c r="AS31" t="s" s="0">
        <v>913</v>
      </c>
      <c r="AT31" t="s" s="0">
        <v>914</v>
      </c>
      <c r="AU31" t="s" s="0">
        <v>915</v>
      </c>
      <c r="AV31" t="s" s="0">
        <v>82</v>
      </c>
      <c r="AW31" t="s" s="0">
        <v>916</v>
      </c>
      <c r="AX31" t="s" s="0">
        <v>917</v>
      </c>
      <c r="AY31" t="s" s="0">
        <v>82</v>
      </c>
      <c r="AZ31" t="s" s="0">
        <v>179</v>
      </c>
      <c r="BA31" t="s" s="0">
        <v>82</v>
      </c>
      <c r="BB31" t="s" s="0">
        <v>82</v>
      </c>
      <c r="BC31" t="s" s="0">
        <v>82</v>
      </c>
      <c r="BD31" t="s" s="0">
        <v>82</v>
      </c>
      <c r="BE31" t="s" s="0">
        <v>82</v>
      </c>
      <c r="BF31" t="s" s="0">
        <v>82</v>
      </c>
      <c r="BG31" t="s" s="0">
        <v>82</v>
      </c>
      <c r="BH31" t="s" s="0">
        <v>82</v>
      </c>
      <c r="BI31" t="s" s="0">
        <v>82</v>
      </c>
      <c r="BJ31" t="s" s="0">
        <v>918</v>
      </c>
      <c r="BK31" t="s" s="59">
        <f>HYPERLINK("http://dx.doi.org/10.1177/00220345261424242","http://dx.doi.org/10.1177/00220345261424242")</f>
        <v>919</v>
      </c>
      <c r="BL31" t="s" s="0">
        <v>82</v>
      </c>
      <c r="BM31" t="s" s="0">
        <v>829</v>
      </c>
      <c r="BN31" t="s" s="0">
        <v>272</v>
      </c>
      <c r="BO31" t="s" s="0">
        <v>920</v>
      </c>
      <c r="BP31" t="s" s="0">
        <v>920</v>
      </c>
      <c r="BQ31" t="s" s="0">
        <v>921</v>
      </c>
      <c r="BR31" t="s" s="0">
        <v>922</v>
      </c>
      <c r="BS31" t="s" s="0">
        <v>923</v>
      </c>
      <c r="BT31" t="s" s="60">
        <f>HYPERLINK("https://www.webofscience.com/wos/woscc/full-record/WOS:001715052700001","View Record in Web of Science")</f>
        <v>120</v>
      </c>
      <c r="BU31" t="s" s="0">
        <v>924</v>
      </c>
      <c r="BV31" t="s" s="0">
        <v>82</v>
      </c>
      <c r="BW31" t="s" s="0">
        <v>82</v>
      </c>
      <c r="BX31" t="s" s="0">
        <v>121</v>
      </c>
    </row>
    <row r="32">
      <c r="A32" t="s" s="0">
        <v>77</v>
      </c>
      <c r="B32" t="s" s="0">
        <v>77</v>
      </c>
      <c r="C32" t="s" s="0">
        <v>77</v>
      </c>
      <c r="D32" t="s" s="0">
        <v>77</v>
      </c>
      <c r="E32" t="s" s="0">
        <v>925</v>
      </c>
      <c r="F32" t="s" s="0">
        <v>926</v>
      </c>
      <c r="G32" t="s" s="0">
        <v>927</v>
      </c>
      <c r="H32" t="s" s="0">
        <v>82</v>
      </c>
      <c r="I32" t="s" s="0">
        <v>83</v>
      </c>
      <c r="J32" t="s" s="0">
        <v>928</v>
      </c>
      <c r="K32" t="s" s="0">
        <v>929</v>
      </c>
      <c r="L32" t="s" s="0">
        <v>930</v>
      </c>
      <c r="M32" t="s" s="0">
        <v>931</v>
      </c>
      <c r="N32" t="s" s="0">
        <v>932</v>
      </c>
      <c r="O32" t="s" s="0">
        <v>933</v>
      </c>
      <c r="P32" t="s" s="0">
        <v>934</v>
      </c>
      <c r="Q32" t="s" s="0">
        <v>88</v>
      </c>
      <c r="R32" t="s" s="0">
        <v>82</v>
      </c>
      <c r="S32" t="s" s="0">
        <v>82</v>
      </c>
      <c r="T32" t="s" s="0">
        <v>82</v>
      </c>
      <c r="U32" t="s" s="0">
        <v>82</v>
      </c>
      <c r="V32" t="s" s="0">
        <v>935</v>
      </c>
      <c r="W32" t="s" s="0">
        <v>936</v>
      </c>
      <c r="X32" t="s" s="0">
        <v>82</v>
      </c>
      <c r="Y32" t="s" s="0">
        <v>82</v>
      </c>
      <c r="Z32" t="s" s="0">
        <v>91</v>
      </c>
      <c r="AA32" t="s" s="0">
        <v>908</v>
      </c>
      <c r="AB32" t="s" s="0">
        <v>82</v>
      </c>
      <c r="AC32" t="s" s="0">
        <v>82</v>
      </c>
      <c r="AD32" t="s" s="0">
        <v>82</v>
      </c>
      <c r="AE32" t="s" s="0">
        <v>82</v>
      </c>
      <c r="AF32" t="s" s="0">
        <v>82</v>
      </c>
      <c r="AG32" t="s" s="0">
        <v>937</v>
      </c>
      <c r="AH32" t="s" s="0">
        <v>82</v>
      </c>
      <c r="AI32" t="s" s="0">
        <v>938</v>
      </c>
      <c r="AJ32" t="s" s="0">
        <v>939</v>
      </c>
      <c r="AK32" t="s" s="0">
        <v>82</v>
      </c>
      <c r="AL32" t="s" s="0">
        <v>96</v>
      </c>
      <c r="AM32" t="s" s="0">
        <v>77</v>
      </c>
      <c r="AN32" t="s" s="0">
        <v>77</v>
      </c>
      <c r="AO32" t="s" s="0">
        <v>97</v>
      </c>
      <c r="AP32" t="s" s="0">
        <v>97</v>
      </c>
      <c r="AQ32" t="s" s="0">
        <v>795</v>
      </c>
      <c r="AR32" t="s" s="0">
        <v>796</v>
      </c>
      <c r="AS32" t="s" s="0">
        <v>797</v>
      </c>
      <c r="AT32" t="s" s="0">
        <v>940</v>
      </c>
      <c r="AU32" t="s" s="0">
        <v>941</v>
      </c>
      <c r="AV32" t="s" s="0">
        <v>82</v>
      </c>
      <c r="AW32" t="s" s="0">
        <v>942</v>
      </c>
      <c r="AX32" t="s" s="0">
        <v>943</v>
      </c>
      <c r="AY32" t="s" s="0">
        <v>82</v>
      </c>
      <c r="AZ32" t="s" s="0">
        <v>179</v>
      </c>
      <c r="BA32" t="s" s="0">
        <v>82</v>
      </c>
      <c r="BB32" t="s" s="0">
        <v>82</v>
      </c>
      <c r="BC32" t="s" s="0">
        <v>82</v>
      </c>
      <c r="BD32" t="s" s="0">
        <v>82</v>
      </c>
      <c r="BE32" t="s" s="0">
        <v>82</v>
      </c>
      <c r="BF32" t="s" s="0">
        <v>82</v>
      </c>
      <c r="BG32" t="s" s="0">
        <v>82</v>
      </c>
      <c r="BH32" t="s" s="0">
        <v>82</v>
      </c>
      <c r="BI32" t="s" s="0">
        <v>82</v>
      </c>
      <c r="BJ32" t="s" s="0">
        <v>944</v>
      </c>
      <c r="BK32" t="s" s="61">
        <f>HYPERLINK("http://dx.doi.org/10.1007/s00330-026-12384-z","http://dx.doi.org/10.1007/s00330-026-12384-z")</f>
        <v>945</v>
      </c>
      <c r="BL32" t="s" s="0">
        <v>82</v>
      </c>
      <c r="BM32" t="s" s="0">
        <v>240</v>
      </c>
      <c r="BN32" t="s" s="0">
        <v>148</v>
      </c>
      <c r="BO32" t="s" s="0">
        <v>717</v>
      </c>
      <c r="BP32" t="s" s="0">
        <v>717</v>
      </c>
      <c r="BQ32" t="s" s="0">
        <v>946</v>
      </c>
      <c r="BR32" t="s" s="0">
        <v>947</v>
      </c>
      <c r="BS32" t="s" s="0">
        <v>948</v>
      </c>
      <c r="BT32" t="s" s="62">
        <f>HYPERLINK("https://www.webofscience.com/wos/woscc/full-record/WOS:001696738200001","View Record in Web of Science")</f>
        <v>120</v>
      </c>
      <c r="BU32" t="s" s="0">
        <v>924</v>
      </c>
      <c r="BV32" t="s" s="0">
        <v>82</v>
      </c>
      <c r="BW32" t="s" s="0">
        <v>82</v>
      </c>
      <c r="BX32" t="s" s="0">
        <v>121</v>
      </c>
    </row>
    <row r="33">
      <c r="A33" t="s" s="0">
        <v>77</v>
      </c>
      <c r="B33" t="s" s="0">
        <v>77</v>
      </c>
      <c r="C33" t="s" s="0">
        <v>77</v>
      </c>
      <c r="D33" t="s" s="0">
        <v>77</v>
      </c>
      <c r="E33" t="s" s="0">
        <v>949</v>
      </c>
      <c r="F33" t="s" s="0">
        <v>950</v>
      </c>
      <c r="G33" t="s" s="0">
        <v>951</v>
      </c>
      <c r="H33" t="s" s="0">
        <v>82</v>
      </c>
      <c r="I33" t="s" s="0">
        <v>83</v>
      </c>
      <c r="J33" t="s" s="0">
        <v>952</v>
      </c>
      <c r="K33" t="s" s="0">
        <v>953</v>
      </c>
      <c r="L33" t="s" s="0">
        <v>954</v>
      </c>
      <c r="M33" t="s" s="0">
        <v>955</v>
      </c>
      <c r="N33" t="s" s="0">
        <v>956</v>
      </c>
      <c r="O33" t="s" s="0">
        <v>957</v>
      </c>
      <c r="P33" t="s" s="0">
        <v>958</v>
      </c>
      <c r="Q33" t="s" s="0">
        <v>88</v>
      </c>
      <c r="R33" t="s" s="0">
        <v>82</v>
      </c>
      <c r="S33" t="s" s="0">
        <v>82</v>
      </c>
      <c r="T33" t="s" s="0">
        <v>82</v>
      </c>
      <c r="U33" t="s" s="0">
        <v>82</v>
      </c>
      <c r="V33" t="s" s="0">
        <v>959</v>
      </c>
      <c r="W33" t="s" s="0">
        <v>960</v>
      </c>
      <c r="X33" t="s" s="0">
        <v>82</v>
      </c>
      <c r="Y33" t="s" s="0">
        <v>82</v>
      </c>
      <c r="Z33" t="s" s="0">
        <v>91</v>
      </c>
      <c r="AA33" t="s" s="0">
        <v>92</v>
      </c>
      <c r="AB33" t="s" s="0">
        <v>82</v>
      </c>
      <c r="AC33" t="s" s="0">
        <v>82</v>
      </c>
      <c r="AD33" t="s" s="0">
        <v>82</v>
      </c>
      <c r="AE33" t="s" s="0">
        <v>82</v>
      </c>
      <c r="AF33" t="s" s="0">
        <v>82</v>
      </c>
      <c r="AG33" t="s" s="0">
        <v>961</v>
      </c>
      <c r="AH33" t="s" s="0">
        <v>82</v>
      </c>
      <c r="AI33" t="s" s="0">
        <v>82</v>
      </c>
      <c r="AJ33" t="s" s="0">
        <v>82</v>
      </c>
      <c r="AK33" t="s" s="0">
        <v>82</v>
      </c>
      <c r="AL33" t="s" s="0">
        <v>962</v>
      </c>
      <c r="AM33" t="s" s="0">
        <v>235</v>
      </c>
      <c r="AN33" t="s" s="0">
        <v>235</v>
      </c>
      <c r="AO33" t="s" s="0">
        <v>963</v>
      </c>
      <c r="AP33" t="s" s="0">
        <v>963</v>
      </c>
      <c r="AQ33" t="s" s="0">
        <v>964</v>
      </c>
      <c r="AR33" t="s" s="0">
        <v>965</v>
      </c>
      <c r="AS33" t="s" s="0">
        <v>966</v>
      </c>
      <c r="AT33" t="s" s="0">
        <v>967</v>
      </c>
      <c r="AU33" t="s" s="0">
        <v>968</v>
      </c>
      <c r="AV33" t="s" s="0">
        <v>82</v>
      </c>
      <c r="AW33" t="s" s="0">
        <v>969</v>
      </c>
      <c r="AX33" t="s" s="0">
        <v>970</v>
      </c>
      <c r="AY33" t="s" s="0">
        <v>971</v>
      </c>
      <c r="AZ33" t="s" s="0">
        <v>179</v>
      </c>
      <c r="BA33" t="s" s="0">
        <v>972</v>
      </c>
      <c r="BB33" t="s" s="0">
        <v>82</v>
      </c>
      <c r="BC33" t="s" s="0">
        <v>82</v>
      </c>
      <c r="BD33" t="s" s="0">
        <v>82</v>
      </c>
      <c r="BE33" t="s" s="0">
        <v>82</v>
      </c>
      <c r="BF33" t="s" s="0">
        <v>82</v>
      </c>
      <c r="BG33" t="s" s="0">
        <v>82</v>
      </c>
      <c r="BH33" t="s" s="0">
        <v>82</v>
      </c>
      <c r="BI33" t="s" s="0">
        <v>973</v>
      </c>
      <c r="BJ33" t="s" s="0">
        <v>974</v>
      </c>
      <c r="BK33" t="s" s="63">
        <f>HYPERLINK("http://dx.doi.org/10.1016/j.eswa.2026.131392","http://dx.doi.org/10.1016/j.eswa.2026.131392")</f>
        <v>975</v>
      </c>
      <c r="BL33" t="s" s="0">
        <v>82</v>
      </c>
      <c r="BM33" t="s" s="0">
        <v>240</v>
      </c>
      <c r="BN33" t="s" s="0">
        <v>976</v>
      </c>
      <c r="BO33" t="s" s="0">
        <v>977</v>
      </c>
      <c r="BP33" t="s" s="0">
        <v>978</v>
      </c>
      <c r="BQ33" t="s" s="0">
        <v>979</v>
      </c>
      <c r="BR33" t="s" s="0">
        <v>82</v>
      </c>
      <c r="BS33" t="s" s="0">
        <v>980</v>
      </c>
      <c r="BT33" t="s" s="64">
        <f>HYPERLINK("https://www.webofscience.com/wos/woscc/full-record/WOS:001689622700001","View Record in Web of Science")</f>
        <v>120</v>
      </c>
      <c r="BU33" t="s" s="0">
        <v>82</v>
      </c>
      <c r="BV33" t="s" s="0">
        <v>82</v>
      </c>
      <c r="BW33" t="s" s="0">
        <v>82</v>
      </c>
      <c r="BX33" t="s" s="0">
        <v>121</v>
      </c>
    </row>
    <row r="34">
      <c r="A34" t="s" s="0">
        <v>77</v>
      </c>
      <c r="B34" t="s" s="0">
        <v>77</v>
      </c>
      <c r="C34" t="s" s="0">
        <v>77</v>
      </c>
      <c r="D34" t="s" s="0">
        <v>77</v>
      </c>
      <c r="E34" t="s" s="0">
        <v>981</v>
      </c>
      <c r="F34" t="s" s="0">
        <v>982</v>
      </c>
      <c r="G34" t="s" s="0">
        <v>983</v>
      </c>
      <c r="H34" t="s" s="0">
        <v>82</v>
      </c>
      <c r="I34" t="s" s="0">
        <v>460</v>
      </c>
      <c r="J34" t="s" s="0">
        <v>984</v>
      </c>
      <c r="K34" t="s" s="0">
        <v>985</v>
      </c>
      <c r="L34" t="s" s="0">
        <v>986</v>
      </c>
      <c r="M34" t="s" s="0">
        <v>987</v>
      </c>
      <c r="N34" t="s" s="0">
        <v>988</v>
      </c>
      <c r="O34" t="s" s="0">
        <v>989</v>
      </c>
      <c r="P34" t="s" s="0">
        <v>990</v>
      </c>
      <c r="Q34" t="s" s="0">
        <v>88</v>
      </c>
      <c r="R34" t="s" s="0">
        <v>82</v>
      </c>
      <c r="S34" t="s" s="0">
        <v>82</v>
      </c>
      <c r="T34" t="s" s="0">
        <v>82</v>
      </c>
      <c r="U34" t="s" s="0">
        <v>82</v>
      </c>
      <c r="V34" t="s" s="0">
        <v>991</v>
      </c>
      <c r="W34" t="s" s="0">
        <v>992</v>
      </c>
      <c r="X34" t="s" s="0">
        <v>82</v>
      </c>
      <c r="Y34" t="s" s="0">
        <v>82</v>
      </c>
      <c r="Z34" t="s" s="0">
        <v>91</v>
      </c>
      <c r="AA34" t="s" s="0">
        <v>92</v>
      </c>
      <c r="AB34" t="s" s="0">
        <v>82</v>
      </c>
      <c r="AC34" t="s" s="0">
        <v>82</v>
      </c>
      <c r="AD34" t="s" s="0">
        <v>82</v>
      </c>
      <c r="AE34" t="s" s="0">
        <v>82</v>
      </c>
      <c r="AF34" t="s" s="0">
        <v>82</v>
      </c>
      <c r="AG34" t="s" s="0">
        <v>82</v>
      </c>
      <c r="AH34" t="s" s="0">
        <v>993</v>
      </c>
      <c r="AI34" t="s" s="0">
        <v>994</v>
      </c>
      <c r="AJ34" t="s" s="0">
        <v>82</v>
      </c>
      <c r="AK34" t="s" s="0">
        <v>82</v>
      </c>
      <c r="AL34" t="s" s="0">
        <v>447</v>
      </c>
      <c r="AM34" t="s" s="0">
        <v>77</v>
      </c>
      <c r="AN34" t="s" s="0">
        <v>77</v>
      </c>
      <c r="AO34" t="s" s="0">
        <v>77</v>
      </c>
      <c r="AP34" t="s" s="0">
        <v>77</v>
      </c>
      <c r="AQ34" t="s" s="0">
        <v>995</v>
      </c>
      <c r="AR34" t="s" s="0">
        <v>996</v>
      </c>
      <c r="AS34" t="s" s="0">
        <v>997</v>
      </c>
      <c r="AT34" t="s" s="0">
        <v>82</v>
      </c>
      <c r="AU34" t="s" s="0">
        <v>998</v>
      </c>
      <c r="AV34" t="s" s="0">
        <v>82</v>
      </c>
      <c r="AW34" t="s" s="0">
        <v>999</v>
      </c>
      <c r="AX34" t="s" s="0">
        <v>1000</v>
      </c>
      <c r="AY34" t="s" s="0">
        <v>716</v>
      </c>
      <c r="AZ34" t="s" s="0">
        <v>179</v>
      </c>
      <c r="BA34" t="s" s="0">
        <v>110</v>
      </c>
      <c r="BB34" t="s" s="0">
        <v>98</v>
      </c>
      <c r="BC34" t="s" s="0">
        <v>82</v>
      </c>
      <c r="BD34" t="s" s="0">
        <v>82</v>
      </c>
      <c r="BE34" t="s" s="0">
        <v>82</v>
      </c>
      <c r="BF34" t="s" s="0">
        <v>82</v>
      </c>
      <c r="BG34" t="s" s="0">
        <v>82</v>
      </c>
      <c r="BH34" t="s" s="0">
        <v>82</v>
      </c>
      <c r="BI34" t="s" s="0">
        <v>1001</v>
      </c>
      <c r="BJ34" t="s" s="0">
        <v>1002</v>
      </c>
      <c r="BK34" t="s" s="65">
        <f>HYPERLINK("http://dx.doi.org/10.1371/journal.pdig.0001506","http://dx.doi.org/10.1371/journal.pdig.0001506")</f>
        <v>1003</v>
      </c>
      <c r="BL34" t="s" s="0">
        <v>82</v>
      </c>
      <c r="BM34" t="s" s="0">
        <v>82</v>
      </c>
      <c r="BN34" t="s" s="0">
        <v>1004</v>
      </c>
      <c r="BO34" t="s" s="0">
        <v>185</v>
      </c>
      <c r="BP34" t="s" s="0">
        <v>185</v>
      </c>
      <c r="BQ34" t="s" s="0">
        <v>1005</v>
      </c>
      <c r="BR34" t="s" s="0">
        <v>1006</v>
      </c>
      <c r="BS34" t="s" s="0">
        <v>1007</v>
      </c>
      <c r="BT34" t="s" s="66">
        <f>HYPERLINK("https://www.webofscience.com/wos/woscc/full-record/WOS:001812663100001","View Record in Web of Science")</f>
        <v>120</v>
      </c>
      <c r="BU34" t="s" s="0">
        <v>189</v>
      </c>
      <c r="BV34" t="s" s="0">
        <v>82</v>
      </c>
      <c r="BW34" t="s" s="0">
        <v>82</v>
      </c>
      <c r="BX34" t="s" s="0">
        <v>121</v>
      </c>
    </row>
    <row r="35">
      <c r="A35" t="s" s="0">
        <v>77</v>
      </c>
      <c r="B35" t="s" s="0">
        <v>77</v>
      </c>
      <c r="C35" t="s" s="0">
        <v>77</v>
      </c>
      <c r="D35" t="s" s="0">
        <v>77</v>
      </c>
      <c r="E35" t="s" s="0">
        <v>1008</v>
      </c>
      <c r="F35" t="s" s="0">
        <v>1009</v>
      </c>
      <c r="G35" t="s" s="0">
        <v>1010</v>
      </c>
      <c r="H35" t="s" s="0">
        <v>82</v>
      </c>
      <c r="I35" t="s" s="0">
        <v>83</v>
      </c>
      <c r="J35" t="s" s="0">
        <v>1011</v>
      </c>
      <c r="K35" t="s" s="0">
        <v>1012</v>
      </c>
      <c r="L35" t="s" s="0">
        <v>1013</v>
      </c>
      <c r="M35" t="s" s="0">
        <v>1014</v>
      </c>
      <c r="N35" t="s" s="0">
        <v>1015</v>
      </c>
      <c r="O35" t="s" s="0">
        <v>1016</v>
      </c>
      <c r="P35" t="s" s="0">
        <v>1017</v>
      </c>
      <c r="Q35" t="s" s="0">
        <v>88</v>
      </c>
      <c r="R35" t="s" s="0">
        <v>82</v>
      </c>
      <c r="S35" t="s" s="0">
        <v>82</v>
      </c>
      <c r="T35" t="s" s="0">
        <v>82</v>
      </c>
      <c r="U35" t="s" s="0">
        <v>82</v>
      </c>
      <c r="V35" t="s" s="0">
        <v>1018</v>
      </c>
      <c r="W35" t="s" s="0">
        <v>1019</v>
      </c>
      <c r="X35" t="s" s="0">
        <v>82</v>
      </c>
      <c r="Y35" t="s" s="0">
        <v>82</v>
      </c>
      <c r="Z35" t="s" s="0">
        <v>91</v>
      </c>
      <c r="AA35" t="s" s="0">
        <v>92</v>
      </c>
      <c r="AB35" t="s" s="0">
        <v>82</v>
      </c>
      <c r="AC35" t="s" s="0">
        <v>82</v>
      </c>
      <c r="AD35" t="s" s="0">
        <v>82</v>
      </c>
      <c r="AE35" t="s" s="0">
        <v>82</v>
      </c>
      <c r="AF35" t="s" s="0">
        <v>82</v>
      </c>
      <c r="AG35" t="s" s="0">
        <v>1020</v>
      </c>
      <c r="AH35" t="s" s="0">
        <v>82</v>
      </c>
      <c r="AI35" t="s" s="0">
        <v>82</v>
      </c>
      <c r="AJ35" t="s" s="0">
        <v>82</v>
      </c>
      <c r="AK35" t="s" s="0">
        <v>82</v>
      </c>
      <c r="AL35" t="s" s="0">
        <v>417</v>
      </c>
      <c r="AM35" t="s" s="0">
        <v>77</v>
      </c>
      <c r="AN35" t="s" s="0">
        <v>77</v>
      </c>
      <c r="AO35" t="s" s="0">
        <v>77</v>
      </c>
      <c r="AP35" t="s" s="0">
        <v>77</v>
      </c>
      <c r="AQ35" t="s" s="0">
        <v>296</v>
      </c>
      <c r="AR35" t="s" s="0">
        <v>297</v>
      </c>
      <c r="AS35" t="s" s="0">
        <v>298</v>
      </c>
      <c r="AT35" t="s" s="0">
        <v>1021</v>
      </c>
      <c r="AU35" t="s" s="0">
        <v>1022</v>
      </c>
      <c r="AV35" t="s" s="0">
        <v>82</v>
      </c>
      <c r="AW35" t="s" s="0">
        <v>1023</v>
      </c>
      <c r="AX35" t="s" s="0">
        <v>1024</v>
      </c>
      <c r="AY35" t="s" s="0">
        <v>1025</v>
      </c>
      <c r="AZ35" t="s" s="0">
        <v>179</v>
      </c>
      <c r="BA35" t="s" s="0">
        <v>1026</v>
      </c>
      <c r="BB35" t="s" s="0">
        <v>82</v>
      </c>
      <c r="BC35" t="s" s="0">
        <v>82</v>
      </c>
      <c r="BD35" t="s" s="0">
        <v>82</v>
      </c>
      <c r="BE35" t="s" s="0">
        <v>82</v>
      </c>
      <c r="BF35" t="s" s="0">
        <v>82</v>
      </c>
      <c r="BG35" t="s" s="0">
        <v>82</v>
      </c>
      <c r="BH35" t="s" s="0">
        <v>82</v>
      </c>
      <c r="BI35" t="s" s="0">
        <v>1027</v>
      </c>
      <c r="BJ35" t="s" s="0">
        <v>1028</v>
      </c>
      <c r="BK35" t="s" s="67">
        <f>HYPERLINK("http://dx.doi.org/10.1016/j.media.2026.104196","http://dx.doi.org/10.1016/j.media.2026.104196")</f>
        <v>1029</v>
      </c>
      <c r="BL35" t="s" s="0">
        <v>82</v>
      </c>
      <c r="BM35" t="s" s="0">
        <v>716</v>
      </c>
      <c r="BN35" t="s" s="0">
        <v>184</v>
      </c>
      <c r="BO35" t="s" s="0">
        <v>1030</v>
      </c>
      <c r="BP35" t="s" s="0">
        <v>1031</v>
      </c>
      <c r="BQ35" t="s" s="0">
        <v>1032</v>
      </c>
      <c r="BR35" t="s" s="0">
        <v>1033</v>
      </c>
      <c r="BS35" t="s" s="0">
        <v>1034</v>
      </c>
      <c r="BT35" t="s" s="68">
        <f>HYPERLINK("https://www.webofscience.com/wos/woscc/full-record/WOS:001823236600001","View Record in Web of Science")</f>
        <v>120</v>
      </c>
      <c r="BU35" t="s" s="0">
        <v>82</v>
      </c>
      <c r="BV35" t="s" s="0">
        <v>82</v>
      </c>
      <c r="BW35" t="s" s="0">
        <v>82</v>
      </c>
      <c r="BX35" t="s" s="0">
        <v>121</v>
      </c>
    </row>
    <row r="36">
      <c r="A36" t="s" s="0">
        <v>77</v>
      </c>
      <c r="B36" t="s" s="0">
        <v>77</v>
      </c>
      <c r="C36" t="s" s="0">
        <v>77</v>
      </c>
      <c r="D36" t="s" s="0">
        <v>77</v>
      </c>
      <c r="E36" t="s" s="0">
        <v>1035</v>
      </c>
      <c r="F36" t="s" s="0">
        <v>1036</v>
      </c>
      <c r="G36" t="s" s="0">
        <v>1037</v>
      </c>
      <c r="H36" t="s" s="0">
        <v>82</v>
      </c>
      <c r="I36" t="s" s="0">
        <v>83</v>
      </c>
      <c r="J36" t="s" s="0">
        <v>1038</v>
      </c>
      <c r="K36" t="s" s="0">
        <v>1039</v>
      </c>
      <c r="L36" t="s" s="0">
        <v>82</v>
      </c>
      <c r="M36" t="s" s="0">
        <v>82</v>
      </c>
      <c r="N36" t="s" s="0">
        <v>82</v>
      </c>
      <c r="O36" t="s" s="0">
        <v>1040</v>
      </c>
      <c r="P36" t="s" s="0">
        <v>1041</v>
      </c>
      <c r="Q36" t="s" s="0">
        <v>88</v>
      </c>
      <c r="R36" t="s" s="0">
        <v>82</v>
      </c>
      <c r="S36" t="s" s="0">
        <v>82</v>
      </c>
      <c r="T36" t="s" s="0">
        <v>82</v>
      </c>
      <c r="U36" t="s" s="0">
        <v>82</v>
      </c>
      <c r="V36" t="s" s="0">
        <v>1042</v>
      </c>
      <c r="W36" t="s" s="0">
        <v>1043</v>
      </c>
      <c r="X36" t="s" s="0">
        <v>82</v>
      </c>
      <c r="Y36" t="s" s="0">
        <v>82</v>
      </c>
      <c r="Z36" t="s" s="0">
        <v>91</v>
      </c>
      <c r="AA36" t="s" s="0">
        <v>92</v>
      </c>
      <c r="AB36" t="s" s="0">
        <v>82</v>
      </c>
      <c r="AC36" t="s" s="0">
        <v>82</v>
      </c>
      <c r="AD36" t="s" s="0">
        <v>82</v>
      </c>
      <c r="AE36" t="s" s="0">
        <v>82</v>
      </c>
      <c r="AF36" t="s" s="0">
        <v>82</v>
      </c>
      <c r="AG36" t="s" s="0">
        <v>82</v>
      </c>
      <c r="AH36" t="s" s="0">
        <v>82</v>
      </c>
      <c r="AI36" t="s" s="0">
        <v>1044</v>
      </c>
      <c r="AJ36" t="s" s="0">
        <v>82</v>
      </c>
      <c r="AK36" t="s" s="0">
        <v>82</v>
      </c>
      <c r="AL36" t="s" s="0">
        <v>661</v>
      </c>
      <c r="AM36" t="s" s="0">
        <v>77</v>
      </c>
      <c r="AN36" t="s" s="0">
        <v>77</v>
      </c>
      <c r="AO36" t="s" s="0">
        <v>77</v>
      </c>
      <c r="AP36" t="s" s="0">
        <v>77</v>
      </c>
      <c r="AQ36" t="s" s="0">
        <v>172</v>
      </c>
      <c r="AR36" t="s" s="0">
        <v>173</v>
      </c>
      <c r="AS36" t="s" s="0">
        <v>174</v>
      </c>
      <c r="AT36" t="s" s="0">
        <v>82</v>
      </c>
      <c r="AU36" t="s" s="0">
        <v>1045</v>
      </c>
      <c r="AV36" t="s" s="0">
        <v>82</v>
      </c>
      <c r="AW36" t="s" s="0">
        <v>1046</v>
      </c>
      <c r="AX36" t="s" s="0">
        <v>1047</v>
      </c>
      <c r="AY36" t="s" s="0">
        <v>178</v>
      </c>
      <c r="AZ36" t="s" s="0">
        <v>179</v>
      </c>
      <c r="BA36" t="s" s="0">
        <v>184</v>
      </c>
      <c r="BB36" t="s" s="0">
        <v>78</v>
      </c>
      <c r="BC36" t="s" s="0">
        <v>82</v>
      </c>
      <c r="BD36" t="s" s="0">
        <v>82</v>
      </c>
      <c r="BE36" t="s" s="0">
        <v>82</v>
      </c>
      <c r="BF36" t="s" s="0">
        <v>82</v>
      </c>
      <c r="BG36" t="s" s="0">
        <v>82</v>
      </c>
      <c r="BH36" t="s" s="0">
        <v>82</v>
      </c>
      <c r="BI36" t="s" s="0">
        <v>1048</v>
      </c>
      <c r="BJ36" t="s" s="0">
        <v>1049</v>
      </c>
      <c r="BK36" t="s" s="69">
        <f>HYPERLINK("http://dx.doi.org/10.1038/s41597-026-07342-9","http://dx.doi.org/10.1038/s41597-026-07342-9")</f>
        <v>1050</v>
      </c>
      <c r="BL36" t="s" s="0">
        <v>82</v>
      </c>
      <c r="BM36" t="s" s="0">
        <v>183</v>
      </c>
      <c r="BN36" t="s" s="0">
        <v>115</v>
      </c>
      <c r="BO36" t="s" s="0">
        <v>213</v>
      </c>
      <c r="BP36" t="s" s="0">
        <v>214</v>
      </c>
      <c r="BQ36" t="s" s="0">
        <v>1051</v>
      </c>
      <c r="BR36" t="s" s="0">
        <v>1052</v>
      </c>
      <c r="BS36" t="s" s="0">
        <v>1053</v>
      </c>
      <c r="BT36" t="s" s="70">
        <f>HYPERLINK("https://www.webofscience.com/wos/woscc/full-record/WOS:001814539800003","View Record in Web of Science")</f>
        <v>120</v>
      </c>
      <c r="BU36" t="s" s="0">
        <v>189</v>
      </c>
      <c r="BV36" t="s" s="0">
        <v>82</v>
      </c>
      <c r="BW36" t="s" s="0">
        <v>82</v>
      </c>
      <c r="BX36" t="s" s="0">
        <v>121</v>
      </c>
    </row>
    <row r="37">
      <c r="A37" t="s" s="0">
        <v>77</v>
      </c>
      <c r="B37" t="s" s="0">
        <v>77</v>
      </c>
      <c r="C37" t="s" s="0">
        <v>77</v>
      </c>
      <c r="D37" t="s" s="0">
        <v>77</v>
      </c>
      <c r="E37" t="s" s="0">
        <v>1054</v>
      </c>
      <c r="F37" t="s" s="0">
        <v>1055</v>
      </c>
      <c r="G37" t="s" s="0">
        <v>1056</v>
      </c>
      <c r="H37" t="s" s="0">
        <v>82</v>
      </c>
      <c r="I37" t="s" s="0">
        <v>83</v>
      </c>
      <c r="J37" t="s" s="0">
        <v>1057</v>
      </c>
      <c r="K37" t="s" s="0">
        <v>1058</v>
      </c>
      <c r="L37" t="s" s="0">
        <v>1059</v>
      </c>
      <c r="M37" t="s" s="0">
        <v>1060</v>
      </c>
      <c r="N37" t="s" s="0">
        <v>1061</v>
      </c>
      <c r="O37" t="s" s="0">
        <v>1062</v>
      </c>
      <c r="P37" t="s" s="0">
        <v>1063</v>
      </c>
      <c r="Q37" t="s" s="0">
        <v>88</v>
      </c>
      <c r="R37" t="s" s="0">
        <v>82</v>
      </c>
      <c r="S37" t="s" s="0">
        <v>82</v>
      </c>
      <c r="T37" t="s" s="0">
        <v>82</v>
      </c>
      <c r="U37" t="s" s="0">
        <v>82</v>
      </c>
      <c r="V37" t="s" s="0">
        <v>1064</v>
      </c>
      <c r="W37" t="s" s="0">
        <v>1065</v>
      </c>
      <c r="X37" t="s" s="0">
        <v>82</v>
      </c>
      <c r="Y37" t="s" s="0">
        <v>82</v>
      </c>
      <c r="Z37" t="s" s="0">
        <v>91</v>
      </c>
      <c r="AA37" t="s" s="0">
        <v>92</v>
      </c>
      <c r="AB37" t="s" s="0">
        <v>82</v>
      </c>
      <c r="AC37" t="s" s="0">
        <v>82</v>
      </c>
      <c r="AD37" t="s" s="0">
        <v>82</v>
      </c>
      <c r="AE37" t="s" s="0">
        <v>82</v>
      </c>
      <c r="AF37" t="s" s="0">
        <v>82</v>
      </c>
      <c r="AG37" t="s" s="0">
        <v>1066</v>
      </c>
      <c r="AH37" t="s" s="0">
        <v>82</v>
      </c>
      <c r="AI37" t="s" s="0">
        <v>1067</v>
      </c>
      <c r="AJ37" t="s" s="0">
        <v>1068</v>
      </c>
      <c r="AK37" t="s" s="0">
        <v>82</v>
      </c>
      <c r="AL37" t="s" s="0">
        <v>586</v>
      </c>
      <c r="AM37" t="s" s="0">
        <v>204</v>
      </c>
      <c r="AN37" t="s" s="0">
        <v>235</v>
      </c>
      <c r="AO37" t="s" s="0">
        <v>77</v>
      </c>
      <c r="AP37" t="s" s="0">
        <v>97</v>
      </c>
      <c r="AQ37" t="s" s="0">
        <v>100</v>
      </c>
      <c r="AR37" t="s" s="0">
        <v>101</v>
      </c>
      <c r="AS37" t="s" s="0">
        <v>102</v>
      </c>
      <c r="AT37" t="s" s="0">
        <v>1069</v>
      </c>
      <c r="AU37" t="s" s="0">
        <v>1070</v>
      </c>
      <c r="AV37" t="s" s="0">
        <v>82</v>
      </c>
      <c r="AW37" t="s" s="0">
        <v>1071</v>
      </c>
      <c r="AX37" t="s" s="0">
        <v>1072</v>
      </c>
      <c r="AY37" t="s" s="0">
        <v>448</v>
      </c>
      <c r="AZ37" t="s" s="0">
        <v>108</v>
      </c>
      <c r="BA37" t="s" s="0">
        <v>241</v>
      </c>
      <c r="BB37" t="s" s="0">
        <v>363</v>
      </c>
      <c r="BC37" t="s" s="0">
        <v>82</v>
      </c>
      <c r="BD37" t="s" s="0">
        <v>82</v>
      </c>
      <c r="BE37" t="s" s="0">
        <v>82</v>
      </c>
      <c r="BF37" t="s" s="0">
        <v>82</v>
      </c>
      <c r="BG37" t="s" s="0">
        <v>1073</v>
      </c>
      <c r="BH37" t="s" s="0">
        <v>1074</v>
      </c>
      <c r="BI37" t="s" s="0">
        <v>82</v>
      </c>
      <c r="BJ37" t="s" s="0">
        <v>1075</v>
      </c>
      <c r="BK37" t="s" s="71">
        <f>HYPERLINK("http://dx.doi.org/10.1109/TNNLS.2025.3558857","http://dx.doi.org/10.1109/TNNLS.2025.3558857")</f>
        <v>1076</v>
      </c>
      <c r="BL37" t="s" s="0">
        <v>82</v>
      </c>
      <c r="BM37" t="s" s="0">
        <v>1077</v>
      </c>
      <c r="BN37" t="s" s="0">
        <v>148</v>
      </c>
      <c r="BO37" t="s" s="0">
        <v>1078</v>
      </c>
      <c r="BP37" t="s" s="0">
        <v>279</v>
      </c>
      <c r="BQ37" t="s" s="0">
        <v>1079</v>
      </c>
      <c r="BR37" t="s" s="0">
        <v>1080</v>
      </c>
      <c r="BS37" t="s" s="0">
        <v>1081</v>
      </c>
      <c r="BT37" t="s" s="72">
        <f>HYPERLINK("https://www.webofscience.com/wos/woscc/full-record/WOS:001480290200001","View Record in Web of Science")</f>
        <v>120</v>
      </c>
      <c r="BU37" t="s" s="0">
        <v>82</v>
      </c>
      <c r="BV37" t="s" s="0">
        <v>82</v>
      </c>
      <c r="BW37" t="s" s="0">
        <v>82</v>
      </c>
      <c r="BX37" t="s" s="0">
        <v>121</v>
      </c>
    </row>
    <row r="38">
      <c r="A38" t="s" s="0">
        <v>77</v>
      </c>
      <c r="B38" t="s" s="0">
        <v>77</v>
      </c>
      <c r="C38" t="s" s="0">
        <v>77</v>
      </c>
      <c r="D38" t="s" s="0">
        <v>77</v>
      </c>
      <c r="E38" t="s" s="0">
        <v>1082</v>
      </c>
      <c r="F38" t="s" s="0">
        <v>1083</v>
      </c>
      <c r="G38" t="s" s="0">
        <v>1084</v>
      </c>
      <c r="H38" t="s" s="0">
        <v>82</v>
      </c>
      <c r="I38" t="s" s="0">
        <v>83</v>
      </c>
      <c r="J38" t="s" s="0">
        <v>1085</v>
      </c>
      <c r="K38" t="s" s="0">
        <v>1086</v>
      </c>
      <c r="L38" t="s" s="0">
        <v>1087</v>
      </c>
      <c r="M38" t="s" s="0">
        <v>1087</v>
      </c>
      <c r="N38" t="s" s="0">
        <v>1088</v>
      </c>
      <c r="O38" t="s" s="0">
        <v>1089</v>
      </c>
      <c r="P38" t="s" s="0">
        <v>1090</v>
      </c>
      <c r="Q38" t="s" s="0">
        <v>88</v>
      </c>
      <c r="R38" t="s" s="0">
        <v>82</v>
      </c>
      <c r="S38" t="s" s="0">
        <v>82</v>
      </c>
      <c r="T38" t="s" s="0">
        <v>82</v>
      </c>
      <c r="U38" t="s" s="0">
        <v>82</v>
      </c>
      <c r="V38" t="s" s="0">
        <v>1091</v>
      </c>
      <c r="W38" t="s" s="0">
        <v>201</v>
      </c>
      <c r="X38" t="s" s="0">
        <v>82</v>
      </c>
      <c r="Y38" t="s" s="0">
        <v>82</v>
      </c>
      <c r="Z38" t="s" s="0">
        <v>91</v>
      </c>
      <c r="AA38" t="s" s="0">
        <v>92</v>
      </c>
      <c r="AB38" t="s" s="0">
        <v>82</v>
      </c>
      <c r="AC38" t="s" s="0">
        <v>82</v>
      </c>
      <c r="AD38" t="s" s="0">
        <v>82</v>
      </c>
      <c r="AE38" t="s" s="0">
        <v>82</v>
      </c>
      <c r="AF38" t="s" s="0">
        <v>82</v>
      </c>
      <c r="AG38" t="s" s="0">
        <v>1092</v>
      </c>
      <c r="AH38" t="s" s="0">
        <v>82</v>
      </c>
      <c r="AI38" t="s" s="0">
        <v>82</v>
      </c>
      <c r="AJ38" t="s" s="0">
        <v>82</v>
      </c>
      <c r="AK38" t="s" s="0">
        <v>82</v>
      </c>
      <c r="AL38" t="s" s="0">
        <v>140</v>
      </c>
      <c r="AM38" t="s" s="0">
        <v>77</v>
      </c>
      <c r="AN38" t="s" s="0">
        <v>77</v>
      </c>
      <c r="AO38" t="s" s="0">
        <v>77</v>
      </c>
      <c r="AP38" t="s" s="0">
        <v>77</v>
      </c>
      <c r="AQ38" t="s" s="0">
        <v>172</v>
      </c>
      <c r="AR38" t="s" s="0">
        <v>173</v>
      </c>
      <c r="AS38" t="s" s="0">
        <v>174</v>
      </c>
      <c r="AT38" t="s" s="0">
        <v>205</v>
      </c>
      <c r="AU38" t="s" s="0">
        <v>82</v>
      </c>
      <c r="AV38" t="s" s="0">
        <v>82</v>
      </c>
      <c r="AW38" t="s" s="0">
        <v>206</v>
      </c>
      <c r="AX38" t="s" s="0">
        <v>207</v>
      </c>
      <c r="AY38" t="s" s="0">
        <v>1093</v>
      </c>
      <c r="AZ38" t="s" s="0">
        <v>179</v>
      </c>
      <c r="BA38" t="s" s="0">
        <v>209</v>
      </c>
      <c r="BB38" t="s" s="0">
        <v>78</v>
      </c>
      <c r="BC38" t="s" s="0">
        <v>82</v>
      </c>
      <c r="BD38" t="s" s="0">
        <v>82</v>
      </c>
      <c r="BE38" t="s" s="0">
        <v>82</v>
      </c>
      <c r="BF38" t="s" s="0">
        <v>82</v>
      </c>
      <c r="BG38" t="s" s="0">
        <v>82</v>
      </c>
      <c r="BH38" t="s" s="0">
        <v>82</v>
      </c>
      <c r="BI38" t="s" s="0">
        <v>1094</v>
      </c>
      <c r="BJ38" t="s" s="0">
        <v>1095</v>
      </c>
      <c r="BK38" t="s" s="73">
        <f>HYPERLINK("http://dx.doi.org/10.1038/s41598-026-55179-4","http://dx.doi.org/10.1038/s41598-026-55179-4")</f>
        <v>1096</v>
      </c>
      <c r="BL38" t="s" s="0">
        <v>82</v>
      </c>
      <c r="BM38" t="s" s="0">
        <v>82</v>
      </c>
      <c r="BN38" t="s" s="0">
        <v>138</v>
      </c>
      <c r="BO38" t="s" s="0">
        <v>213</v>
      </c>
      <c r="BP38" t="s" s="0">
        <v>214</v>
      </c>
      <c r="BQ38" t="s" s="0">
        <v>1097</v>
      </c>
      <c r="BR38" t="s" s="0">
        <v>1098</v>
      </c>
      <c r="BS38" t="s" s="0">
        <v>1099</v>
      </c>
      <c r="BT38" t="s" s="74">
        <f>HYPERLINK("https://www.webofscience.com/wos/woscc/full-record/WOS:001841591800006","View Record in Web of Science")</f>
        <v>120</v>
      </c>
      <c r="BU38" t="s" s="0">
        <v>189</v>
      </c>
      <c r="BV38" t="s" s="0">
        <v>82</v>
      </c>
      <c r="BW38" t="s" s="0">
        <v>82</v>
      </c>
      <c r="BX38" t="s" s="0">
        <v>121</v>
      </c>
    </row>
    <row r="39">
      <c r="A39" t="s" s="0">
        <v>77</v>
      </c>
      <c r="B39" t="s" s="0">
        <v>77</v>
      </c>
      <c r="C39" t="s" s="0">
        <v>78</v>
      </c>
      <c r="D39" t="s" s="0">
        <v>77</v>
      </c>
      <c r="E39" t="s" s="0">
        <v>1100</v>
      </c>
      <c r="F39" t="s" s="0">
        <v>1101</v>
      </c>
      <c r="G39" t="s" s="0">
        <v>1102</v>
      </c>
      <c r="H39" t="s" s="0">
        <v>82</v>
      </c>
      <c r="I39" t="s" s="0">
        <v>83</v>
      </c>
      <c r="J39" t="s" s="0">
        <v>1103</v>
      </c>
      <c r="K39" t="s" s="0">
        <v>1104</v>
      </c>
      <c r="L39" t="s" s="0">
        <v>1105</v>
      </c>
      <c r="M39" t="s" s="0">
        <v>1106</v>
      </c>
      <c r="N39" t="s" s="0">
        <v>1107</v>
      </c>
      <c r="O39" t="s" s="0">
        <v>1108</v>
      </c>
      <c r="P39" t="s" s="0">
        <v>1109</v>
      </c>
      <c r="Q39" t="s" s="0">
        <v>88</v>
      </c>
      <c r="R39" t="s" s="0">
        <v>82</v>
      </c>
      <c r="S39" t="s" s="0">
        <v>82</v>
      </c>
      <c r="T39" t="s" s="0">
        <v>82</v>
      </c>
      <c r="U39" t="s" s="0">
        <v>82</v>
      </c>
      <c r="V39" t="s" s="0">
        <v>1110</v>
      </c>
      <c r="W39" t="s" s="0">
        <v>1111</v>
      </c>
      <c r="X39" t="s" s="0">
        <v>82</v>
      </c>
      <c r="Y39" t="s" s="0">
        <v>82</v>
      </c>
      <c r="Z39" t="s" s="0">
        <v>91</v>
      </c>
      <c r="AA39" t="s" s="0">
        <v>92</v>
      </c>
      <c r="AB39" t="s" s="0">
        <v>82</v>
      </c>
      <c r="AC39" t="s" s="0">
        <v>82</v>
      </c>
      <c r="AD39" t="s" s="0">
        <v>82</v>
      </c>
      <c r="AE39" t="s" s="0">
        <v>82</v>
      </c>
      <c r="AF39" t="s" s="0">
        <v>82</v>
      </c>
      <c r="AG39" t="s" s="0">
        <v>1112</v>
      </c>
      <c r="AH39" t="s" s="0">
        <v>1113</v>
      </c>
      <c r="AI39" t="s" s="0">
        <v>1114</v>
      </c>
      <c r="AJ39" t="s" s="0">
        <v>82</v>
      </c>
      <c r="AK39" t="s" s="0">
        <v>82</v>
      </c>
      <c r="AL39" t="s" s="0">
        <v>802</v>
      </c>
      <c r="AM39" t="s" s="0">
        <v>148</v>
      </c>
      <c r="AN39" t="s" s="0">
        <v>109</v>
      </c>
      <c r="AO39" t="s" s="0">
        <v>98</v>
      </c>
      <c r="AP39" t="s" s="0">
        <v>1115</v>
      </c>
      <c r="AQ39" t="s" s="0">
        <v>296</v>
      </c>
      <c r="AR39" t="s" s="0">
        <v>297</v>
      </c>
      <c r="AS39" t="s" s="0">
        <v>298</v>
      </c>
      <c r="AT39" t="s" s="0">
        <v>1116</v>
      </c>
      <c r="AU39" t="s" s="0">
        <v>1117</v>
      </c>
      <c r="AV39" t="s" s="0">
        <v>82</v>
      </c>
      <c r="AW39" t="s" s="0">
        <v>1118</v>
      </c>
      <c r="AX39" t="s" s="0">
        <v>1119</v>
      </c>
      <c r="AY39" t="s" s="0">
        <v>611</v>
      </c>
      <c r="AZ39" t="s" s="0">
        <v>108</v>
      </c>
      <c r="BA39" t="s" s="0">
        <v>1120</v>
      </c>
      <c r="BB39" t="s" s="0">
        <v>82</v>
      </c>
      <c r="BC39" t="s" s="0">
        <v>82</v>
      </c>
      <c r="BD39" t="s" s="0">
        <v>82</v>
      </c>
      <c r="BE39" t="s" s="0">
        <v>82</v>
      </c>
      <c r="BF39" t="s" s="0">
        <v>82</v>
      </c>
      <c r="BG39" t="s" s="0">
        <v>82</v>
      </c>
      <c r="BH39" t="s" s="0">
        <v>82</v>
      </c>
      <c r="BI39" t="s" s="0">
        <v>1121</v>
      </c>
      <c r="BJ39" t="s" s="0">
        <v>1122</v>
      </c>
      <c r="BK39" t="s" s="75">
        <f>HYPERLINK("http://dx.doi.org/10.1016/j.inffus.2025.102998","http://dx.doi.org/10.1016/j.inffus.2025.102998")</f>
        <v>1123</v>
      </c>
      <c r="BL39" t="s" s="0">
        <v>82</v>
      </c>
      <c r="BM39" t="s" s="0">
        <v>1124</v>
      </c>
      <c r="BN39" t="s" s="0">
        <v>363</v>
      </c>
      <c r="BO39" t="s" s="0">
        <v>1125</v>
      </c>
      <c r="BP39" t="s" s="0">
        <v>309</v>
      </c>
      <c r="BQ39" t="s" s="0">
        <v>1126</v>
      </c>
      <c r="BR39" t="s" s="0">
        <v>82</v>
      </c>
      <c r="BS39" t="s" s="0">
        <v>1127</v>
      </c>
      <c r="BT39" t="s" s="76">
        <f>HYPERLINK("https://www.webofscience.com/wos/woscc/full-record/WOS:001428238900001","View Record in Web of Science")</f>
        <v>120</v>
      </c>
      <c r="BU39" t="s" s="0">
        <v>82</v>
      </c>
      <c r="BV39" t="s" s="0">
        <v>82</v>
      </c>
      <c r="BW39" t="s" s="0">
        <v>82</v>
      </c>
      <c r="BX39" t="s" s="0">
        <v>121</v>
      </c>
    </row>
    <row r="40">
      <c r="A40" t="s" s="0">
        <v>77</v>
      </c>
      <c r="B40" t="s" s="0">
        <v>77</v>
      </c>
      <c r="C40" t="s" s="0">
        <v>77</v>
      </c>
      <c r="D40" t="s" s="0">
        <v>77</v>
      </c>
      <c r="E40" t="s" s="0">
        <v>1128</v>
      </c>
      <c r="F40" t="s" s="0">
        <v>1129</v>
      </c>
      <c r="G40" t="s" s="0">
        <v>1130</v>
      </c>
      <c r="H40" t="s" s="0">
        <v>82</v>
      </c>
      <c r="I40" t="s" s="0">
        <v>83</v>
      </c>
      <c r="J40" t="s" s="0">
        <v>1131</v>
      </c>
      <c r="K40" t="s" s="0">
        <v>1132</v>
      </c>
      <c r="L40" t="s" s="0">
        <v>1133</v>
      </c>
      <c r="M40" t="s" s="0">
        <v>1134</v>
      </c>
      <c r="N40" t="s" s="0">
        <v>1135</v>
      </c>
      <c r="O40" t="s" s="0">
        <v>1136</v>
      </c>
      <c r="P40" t="s" s="0">
        <v>1137</v>
      </c>
      <c r="Q40" t="s" s="0">
        <v>88</v>
      </c>
      <c r="R40" t="s" s="0">
        <v>82</v>
      </c>
      <c r="S40" t="s" s="0">
        <v>82</v>
      </c>
      <c r="T40" t="s" s="0">
        <v>82</v>
      </c>
      <c r="U40" t="s" s="0">
        <v>82</v>
      </c>
      <c r="V40" t="s" s="0">
        <v>1138</v>
      </c>
      <c r="W40" t="s" s="0">
        <v>323</v>
      </c>
      <c r="X40" t="s" s="0">
        <v>82</v>
      </c>
      <c r="Y40" t="s" s="0">
        <v>82</v>
      </c>
      <c r="Z40" t="s" s="0">
        <v>91</v>
      </c>
      <c r="AA40" t="s" s="0">
        <v>92</v>
      </c>
      <c r="AB40" t="s" s="0">
        <v>82</v>
      </c>
      <c r="AC40" t="s" s="0">
        <v>82</v>
      </c>
      <c r="AD40" t="s" s="0">
        <v>82</v>
      </c>
      <c r="AE40" t="s" s="0">
        <v>82</v>
      </c>
      <c r="AF40" t="s" s="0">
        <v>82</v>
      </c>
      <c r="AG40" t="s" s="0">
        <v>1139</v>
      </c>
      <c r="AH40" t="s" s="0">
        <v>1140</v>
      </c>
      <c r="AI40" t="s" s="0">
        <v>1141</v>
      </c>
      <c r="AJ40" t="s" s="0">
        <v>1142</v>
      </c>
      <c r="AK40" t="s" s="0">
        <v>82</v>
      </c>
      <c r="AL40" t="s" s="0">
        <v>1143</v>
      </c>
      <c r="AM40" t="s" s="0">
        <v>204</v>
      </c>
      <c r="AN40" t="s" s="0">
        <v>204</v>
      </c>
      <c r="AO40" t="s" s="0">
        <v>204</v>
      </c>
      <c r="AP40" t="s" s="0">
        <v>98</v>
      </c>
      <c r="AQ40" t="s" s="0">
        <v>100</v>
      </c>
      <c r="AR40" t="s" s="0">
        <v>101</v>
      </c>
      <c r="AS40" t="s" s="0">
        <v>102</v>
      </c>
      <c r="AT40" t="s" s="0">
        <v>325</v>
      </c>
      <c r="AU40" t="s" s="0">
        <v>82</v>
      </c>
      <c r="AV40" t="s" s="0">
        <v>82</v>
      </c>
      <c r="AW40" t="s" s="0">
        <v>323</v>
      </c>
      <c r="AX40" t="s" s="0">
        <v>326</v>
      </c>
      <c r="AY40" t="s" s="0">
        <v>108</v>
      </c>
      <c r="AZ40" t="s" s="0">
        <v>108</v>
      </c>
      <c r="BA40" t="s" s="0">
        <v>184</v>
      </c>
      <c r="BB40" t="s" s="0">
        <v>82</v>
      </c>
      <c r="BC40" t="s" s="0">
        <v>82</v>
      </c>
      <c r="BD40" t="s" s="0">
        <v>82</v>
      </c>
      <c r="BE40" t="s" s="0">
        <v>82</v>
      </c>
      <c r="BF40" t="s" s="0">
        <v>82</v>
      </c>
      <c r="BG40" t="s" s="0">
        <v>1144</v>
      </c>
      <c r="BH40" t="s" s="0">
        <v>1145</v>
      </c>
      <c r="BI40" t="s" s="0">
        <v>82</v>
      </c>
      <c r="BJ40" t="s" s="0">
        <v>1146</v>
      </c>
      <c r="BK40" t="s" s="77">
        <f>HYPERLINK("http://dx.doi.org/10.1109/ACCESS.2025.3591750","http://dx.doi.org/10.1109/ACCESS.2025.3591750")</f>
        <v>1147</v>
      </c>
      <c r="BL40" t="s" s="0">
        <v>82</v>
      </c>
      <c r="BM40" t="s" s="0">
        <v>82</v>
      </c>
      <c r="BN40" t="s" s="0">
        <v>209</v>
      </c>
      <c r="BO40" t="s" s="0">
        <v>332</v>
      </c>
      <c r="BP40" t="s" s="0">
        <v>117</v>
      </c>
      <c r="BQ40" t="s" s="0">
        <v>1148</v>
      </c>
      <c r="BR40" t="s" s="0">
        <v>1149</v>
      </c>
      <c r="BS40" t="s" s="0">
        <v>1150</v>
      </c>
      <c r="BT40" t="s" s="78">
        <f>HYPERLINK("https://www.webofscience.com/wos/woscc/full-record/WOS:001549816000044","View Record in Web of Science")</f>
        <v>120</v>
      </c>
      <c r="BU40" t="s" s="0">
        <v>189</v>
      </c>
      <c r="BV40" t="s" s="0">
        <v>82</v>
      </c>
      <c r="BW40" t="s" s="0">
        <v>82</v>
      </c>
      <c r="BX40" t="s" s="0">
        <v>121</v>
      </c>
    </row>
    <row r="41">
      <c r="A41" t="s" s="0">
        <v>77</v>
      </c>
      <c r="B41" t="s" s="0">
        <v>77</v>
      </c>
      <c r="C41" t="s" s="0">
        <v>77</v>
      </c>
      <c r="D41" t="s" s="0">
        <v>77</v>
      </c>
      <c r="E41" t="s" s="0">
        <v>1151</v>
      </c>
      <c r="F41" t="s" s="0">
        <v>1152</v>
      </c>
      <c r="G41" t="s" s="0">
        <v>1153</v>
      </c>
      <c r="H41" t="s" s="0">
        <v>82</v>
      </c>
      <c r="I41" t="s" s="0">
        <v>83</v>
      </c>
      <c r="J41" t="s" s="0">
        <v>1154</v>
      </c>
      <c r="K41" t="s" s="0">
        <v>1155</v>
      </c>
      <c r="L41" t="s" s="0">
        <v>1156</v>
      </c>
      <c r="M41" t="s" s="0">
        <v>1157</v>
      </c>
      <c r="N41" t="s" s="0">
        <v>1158</v>
      </c>
      <c r="O41" t="s" s="0">
        <v>1159</v>
      </c>
      <c r="P41" t="s" s="0">
        <v>1160</v>
      </c>
      <c r="Q41" t="s" s="0">
        <v>88</v>
      </c>
      <c r="R41" t="s" s="0">
        <v>82</v>
      </c>
      <c r="S41" t="s" s="0">
        <v>82</v>
      </c>
      <c r="T41" t="s" s="0">
        <v>82</v>
      </c>
      <c r="U41" t="s" s="0">
        <v>82</v>
      </c>
      <c r="V41" t="s" s="0">
        <v>1161</v>
      </c>
      <c r="W41" t="s" s="0">
        <v>1162</v>
      </c>
      <c r="X41" t="s" s="0">
        <v>82</v>
      </c>
      <c r="Y41" t="s" s="0">
        <v>82</v>
      </c>
      <c r="Z41" t="s" s="0">
        <v>91</v>
      </c>
      <c r="AA41" t="s" s="0">
        <v>92</v>
      </c>
      <c r="AB41" t="s" s="0">
        <v>82</v>
      </c>
      <c r="AC41" t="s" s="0">
        <v>82</v>
      </c>
      <c r="AD41" t="s" s="0">
        <v>82</v>
      </c>
      <c r="AE41" t="s" s="0">
        <v>82</v>
      </c>
      <c r="AF41" t="s" s="0">
        <v>82</v>
      </c>
      <c r="AG41" t="s" s="0">
        <v>1163</v>
      </c>
      <c r="AH41" t="s" s="0">
        <v>82</v>
      </c>
      <c r="AI41" t="s" s="0">
        <v>82</v>
      </c>
      <c r="AJ41" t="s" s="0">
        <v>82</v>
      </c>
      <c r="AK41" t="s" s="0">
        <v>82</v>
      </c>
      <c r="AL41" t="s" s="0">
        <v>892</v>
      </c>
      <c r="AM41" t="s" s="0">
        <v>78</v>
      </c>
      <c r="AN41" t="s" s="0">
        <v>78</v>
      </c>
      <c r="AO41" t="s" s="0">
        <v>110</v>
      </c>
      <c r="AP41" t="s" s="0">
        <v>115</v>
      </c>
      <c r="AQ41" t="s" s="0">
        <v>418</v>
      </c>
      <c r="AR41" t="s" s="0">
        <v>419</v>
      </c>
      <c r="AS41" t="s" s="0">
        <v>420</v>
      </c>
      <c r="AT41" t="s" s="0">
        <v>82</v>
      </c>
      <c r="AU41" t="s" s="0">
        <v>1164</v>
      </c>
      <c r="AV41" t="s" s="0">
        <v>82</v>
      </c>
      <c r="AW41" t="s" s="0">
        <v>1165</v>
      </c>
      <c r="AX41" t="s" s="0">
        <v>1166</v>
      </c>
      <c r="AY41" t="s" s="0">
        <v>1167</v>
      </c>
      <c r="AZ41" t="s" s="0">
        <v>108</v>
      </c>
      <c r="BA41" t="s" s="0">
        <v>277</v>
      </c>
      <c r="BB41" t="s" s="0">
        <v>138</v>
      </c>
      <c r="BC41" t="s" s="0">
        <v>82</v>
      </c>
      <c r="BD41" t="s" s="0">
        <v>82</v>
      </c>
      <c r="BE41" t="s" s="0">
        <v>82</v>
      </c>
      <c r="BF41" t="s" s="0">
        <v>82</v>
      </c>
      <c r="BG41" t="s" s="0">
        <v>82</v>
      </c>
      <c r="BH41" t="s" s="0">
        <v>82</v>
      </c>
      <c r="BI41" t="s" s="0">
        <v>1168</v>
      </c>
      <c r="BJ41" t="s" s="0">
        <v>1169</v>
      </c>
      <c r="BK41" t="s" s="79">
        <f>HYPERLINK("http://dx.doi.org/10.3390/app152111441","http://dx.doi.org/10.3390/app152111441")</f>
        <v>1170</v>
      </c>
      <c r="BL41" t="s" s="0">
        <v>82</v>
      </c>
      <c r="BM41" t="s" s="0">
        <v>82</v>
      </c>
      <c r="BN41" t="s" s="0">
        <v>963</v>
      </c>
      <c r="BO41" t="s" s="0">
        <v>1171</v>
      </c>
      <c r="BP41" t="s" s="0">
        <v>1172</v>
      </c>
      <c r="BQ41" t="s" s="0">
        <v>1173</v>
      </c>
      <c r="BR41" t="s" s="0">
        <v>82</v>
      </c>
      <c r="BS41" t="s" s="0">
        <v>1174</v>
      </c>
      <c r="BT41" t="s" s="80">
        <f>HYPERLINK("https://www.webofscience.com/wos/woscc/full-record/WOS:001612443600001","View Record in Web of Science")</f>
        <v>120</v>
      </c>
      <c r="BU41" t="s" s="0">
        <v>189</v>
      </c>
      <c r="BV41" t="s" s="0">
        <v>82</v>
      </c>
      <c r="BW41" t="s" s="0">
        <v>82</v>
      </c>
      <c r="BX41" t="s" s="0">
        <v>121</v>
      </c>
    </row>
    <row r="42">
      <c r="A42" t="s" s="0">
        <v>77</v>
      </c>
      <c r="B42" t="s" s="0">
        <v>77</v>
      </c>
      <c r="C42" t="s" s="0">
        <v>78</v>
      </c>
      <c r="D42" t="s" s="0">
        <v>77</v>
      </c>
      <c r="E42" t="s" s="0">
        <v>1175</v>
      </c>
      <c r="F42" t="s" s="0">
        <v>1176</v>
      </c>
      <c r="G42" t="s" s="0">
        <v>1177</v>
      </c>
      <c r="H42" t="s" s="0">
        <v>82</v>
      </c>
      <c r="I42" t="s" s="0">
        <v>83</v>
      </c>
      <c r="J42" t="s" s="0">
        <v>1178</v>
      </c>
      <c r="K42" t="s" s="0">
        <v>1179</v>
      </c>
      <c r="L42" t="s" s="0">
        <v>1180</v>
      </c>
      <c r="M42" t="s" s="0">
        <v>1180</v>
      </c>
      <c r="N42" t="s" s="0">
        <v>1181</v>
      </c>
      <c r="O42" t="s" s="0">
        <v>1182</v>
      </c>
      <c r="P42" t="s" s="0">
        <v>1183</v>
      </c>
      <c r="Q42" t="s" s="0">
        <v>88</v>
      </c>
      <c r="R42" t="s" s="0">
        <v>82</v>
      </c>
      <c r="S42" t="s" s="0">
        <v>82</v>
      </c>
      <c r="T42" t="s" s="0">
        <v>82</v>
      </c>
      <c r="U42" t="s" s="0">
        <v>82</v>
      </c>
      <c r="V42" t="s" s="0">
        <v>1184</v>
      </c>
      <c r="W42" t="s" s="0">
        <v>169</v>
      </c>
      <c r="X42" t="s" s="0">
        <v>82</v>
      </c>
      <c r="Y42" t="s" s="0">
        <v>82</v>
      </c>
      <c r="Z42" t="s" s="0">
        <v>91</v>
      </c>
      <c r="AA42" t="s" s="0">
        <v>92</v>
      </c>
      <c r="AB42" t="s" s="0">
        <v>82</v>
      </c>
      <c r="AC42" t="s" s="0">
        <v>82</v>
      </c>
      <c r="AD42" t="s" s="0">
        <v>82</v>
      </c>
      <c r="AE42" t="s" s="0">
        <v>82</v>
      </c>
      <c r="AF42" t="s" s="0">
        <v>82</v>
      </c>
      <c r="AG42" t="s" s="0">
        <v>82</v>
      </c>
      <c r="AH42" t="s" s="0">
        <v>82</v>
      </c>
      <c r="AI42" t="s" s="0">
        <v>1185</v>
      </c>
      <c r="AJ42" t="s" s="0">
        <v>1186</v>
      </c>
      <c r="AK42" t="s" s="0">
        <v>82</v>
      </c>
      <c r="AL42" t="s" s="0">
        <v>472</v>
      </c>
      <c r="AM42" t="s" s="0">
        <v>110</v>
      </c>
      <c r="AN42" t="s" s="0">
        <v>97</v>
      </c>
      <c r="AO42" t="s" s="0">
        <v>78</v>
      </c>
      <c r="AP42" t="s" s="0">
        <v>272</v>
      </c>
      <c r="AQ42" t="s" s="0">
        <v>172</v>
      </c>
      <c r="AR42" t="s" s="0">
        <v>173</v>
      </c>
      <c r="AS42" t="s" s="0">
        <v>174</v>
      </c>
      <c r="AT42" t="s" s="0">
        <v>175</v>
      </c>
      <c r="AU42" t="s" s="0">
        <v>82</v>
      </c>
      <c r="AV42" t="s" s="0">
        <v>82</v>
      </c>
      <c r="AW42" t="s" s="0">
        <v>176</v>
      </c>
      <c r="AX42" t="s" s="0">
        <v>177</v>
      </c>
      <c r="AY42" t="s" s="0">
        <v>1187</v>
      </c>
      <c r="AZ42" t="s" s="0">
        <v>108</v>
      </c>
      <c r="BA42" t="s" s="0">
        <v>272</v>
      </c>
      <c r="BB42" t="s" s="0">
        <v>78</v>
      </c>
      <c r="BC42" t="s" s="0">
        <v>82</v>
      </c>
      <c r="BD42" t="s" s="0">
        <v>82</v>
      </c>
      <c r="BE42" t="s" s="0">
        <v>82</v>
      </c>
      <c r="BF42" t="s" s="0">
        <v>82</v>
      </c>
      <c r="BG42" t="s" s="0">
        <v>82</v>
      </c>
      <c r="BH42" t="s" s="0">
        <v>82</v>
      </c>
      <c r="BI42" t="s" s="0">
        <v>1188</v>
      </c>
      <c r="BJ42" t="s" s="0">
        <v>1189</v>
      </c>
      <c r="BK42" t="s" s="81">
        <f>HYPERLINK("http://dx.doi.org/10.1038/s41746-025-01837-2","http://dx.doi.org/10.1038/s41746-025-01837-2")</f>
        <v>1190</v>
      </c>
      <c r="BL42" t="s" s="0">
        <v>82</v>
      </c>
      <c r="BM42" t="s" s="0">
        <v>82</v>
      </c>
      <c r="BN42" t="s" s="0">
        <v>97</v>
      </c>
      <c r="BO42" t="s" s="0">
        <v>185</v>
      </c>
      <c r="BP42" t="s" s="0">
        <v>185</v>
      </c>
      <c r="BQ42" t="s" s="0">
        <v>1191</v>
      </c>
      <c r="BR42" t="s" s="0">
        <v>1192</v>
      </c>
      <c r="BS42" t="s" s="0">
        <v>1193</v>
      </c>
      <c r="BT42" t="s" s="82">
        <f>HYPERLINK("https://www.webofscience.com/wos/woscc/full-record/WOS:001526850900003","View Record in Web of Science")</f>
        <v>120</v>
      </c>
      <c r="BU42" t="s" s="0">
        <v>189</v>
      </c>
      <c r="BV42" t="s" s="0">
        <v>82</v>
      </c>
      <c r="BW42" t="s" s="0">
        <v>82</v>
      </c>
      <c r="BX42" t="s" s="0">
        <v>121</v>
      </c>
    </row>
    <row r="43">
      <c r="A43" t="s" s="0">
        <v>77</v>
      </c>
      <c r="B43" t="s" s="0">
        <v>77</v>
      </c>
      <c r="C43" t="s" s="0">
        <v>77</v>
      </c>
      <c r="D43" t="s" s="0">
        <v>77</v>
      </c>
      <c r="E43" t="s" s="0">
        <v>1194</v>
      </c>
      <c r="F43" t="s" s="0">
        <v>1195</v>
      </c>
      <c r="G43" t="s" s="0">
        <v>1196</v>
      </c>
      <c r="H43" t="s" s="0">
        <v>82</v>
      </c>
      <c r="I43" t="s" s="0">
        <v>83</v>
      </c>
      <c r="J43" t="s" s="0">
        <v>1197</v>
      </c>
      <c r="K43" t="s" s="0">
        <v>1198</v>
      </c>
      <c r="L43" t="s" s="0">
        <v>1199</v>
      </c>
      <c r="M43" t="s" s="0">
        <v>1200</v>
      </c>
      <c r="N43" t="s" s="0">
        <v>1201</v>
      </c>
      <c r="O43" t="s" s="0">
        <v>1202</v>
      </c>
      <c r="P43" t="s" s="0">
        <v>1203</v>
      </c>
      <c r="Q43" t="s" s="0">
        <v>88</v>
      </c>
      <c r="R43" t="s" s="0">
        <v>82</v>
      </c>
      <c r="S43" t="s" s="0">
        <v>1204</v>
      </c>
      <c r="T43" t="s" s="0">
        <v>82</v>
      </c>
      <c r="U43" t="s" s="0">
        <v>82</v>
      </c>
      <c r="V43" t="s" s="0">
        <v>1205</v>
      </c>
      <c r="W43" t="s" s="0">
        <v>169</v>
      </c>
      <c r="X43" t="s" s="0">
        <v>82</v>
      </c>
      <c r="Y43" t="s" s="0">
        <v>82</v>
      </c>
      <c r="Z43" t="s" s="0">
        <v>91</v>
      </c>
      <c r="AA43" t="s" s="0">
        <v>92</v>
      </c>
      <c r="AB43" t="s" s="0">
        <v>82</v>
      </c>
      <c r="AC43" t="s" s="0">
        <v>82</v>
      </c>
      <c r="AD43" t="s" s="0">
        <v>82</v>
      </c>
      <c r="AE43" t="s" s="0">
        <v>82</v>
      </c>
      <c r="AF43" t="s" s="0">
        <v>82</v>
      </c>
      <c r="AG43" t="s" s="0">
        <v>82</v>
      </c>
      <c r="AH43" t="s" s="0">
        <v>1206</v>
      </c>
      <c r="AI43" t="s" s="0">
        <v>1207</v>
      </c>
      <c r="AJ43" t="s" s="0">
        <v>1208</v>
      </c>
      <c r="AK43" t="s" s="0">
        <v>82</v>
      </c>
      <c r="AL43" t="s" s="0">
        <v>578</v>
      </c>
      <c r="AM43" t="s" s="0">
        <v>110</v>
      </c>
      <c r="AN43" t="s" s="0">
        <v>110</v>
      </c>
      <c r="AO43" t="s" s="0">
        <v>204</v>
      </c>
      <c r="AP43" t="s" s="0">
        <v>97</v>
      </c>
      <c r="AQ43" t="s" s="0">
        <v>172</v>
      </c>
      <c r="AR43" t="s" s="0">
        <v>173</v>
      </c>
      <c r="AS43" t="s" s="0">
        <v>174</v>
      </c>
      <c r="AT43" t="s" s="0">
        <v>175</v>
      </c>
      <c r="AU43" t="s" s="0">
        <v>82</v>
      </c>
      <c r="AV43" t="s" s="0">
        <v>82</v>
      </c>
      <c r="AW43" t="s" s="0">
        <v>176</v>
      </c>
      <c r="AX43" t="s" s="0">
        <v>177</v>
      </c>
      <c r="AY43" t="s" s="0">
        <v>1209</v>
      </c>
      <c r="AZ43" t="s" s="0">
        <v>108</v>
      </c>
      <c r="BA43" t="s" s="0">
        <v>272</v>
      </c>
      <c r="BB43" t="s" s="0">
        <v>78</v>
      </c>
      <c r="BC43" t="s" s="0">
        <v>82</v>
      </c>
      <c r="BD43" t="s" s="0">
        <v>82</v>
      </c>
      <c r="BE43" t="s" s="0">
        <v>82</v>
      </c>
      <c r="BF43" t="s" s="0">
        <v>82</v>
      </c>
      <c r="BG43" t="s" s="0">
        <v>82</v>
      </c>
      <c r="BH43" t="s" s="0">
        <v>82</v>
      </c>
      <c r="BI43" t="s" s="0">
        <v>1210</v>
      </c>
      <c r="BJ43" t="s" s="0">
        <v>1211</v>
      </c>
      <c r="BK43" t="s" s="83">
        <f>HYPERLINK("http://dx.doi.org/10.1038/s41746-025-01893-8","http://dx.doi.org/10.1038/s41746-025-01893-8")</f>
        <v>1212</v>
      </c>
      <c r="BL43" t="s" s="0">
        <v>82</v>
      </c>
      <c r="BM43" t="s" s="0">
        <v>82</v>
      </c>
      <c r="BN43" t="s" s="0">
        <v>976</v>
      </c>
      <c r="BO43" t="s" s="0">
        <v>185</v>
      </c>
      <c r="BP43" t="s" s="0">
        <v>185</v>
      </c>
      <c r="BQ43" t="s" s="0">
        <v>1213</v>
      </c>
      <c r="BR43" t="s" s="0">
        <v>1214</v>
      </c>
      <c r="BS43" t="s" s="0">
        <v>1215</v>
      </c>
      <c r="BT43" t="s" s="84">
        <f>HYPERLINK("https://www.webofscience.com/wos/woscc/full-record/WOS:001553245200003","View Record in Web of Science")</f>
        <v>120</v>
      </c>
      <c r="BU43" t="s" s="0">
        <v>189</v>
      </c>
      <c r="BV43" t="s" s="0">
        <v>82</v>
      </c>
      <c r="BW43" t="s" s="0">
        <v>82</v>
      </c>
      <c r="BX43" t="s" s="0">
        <v>121</v>
      </c>
    </row>
    <row r="44">
      <c r="A44" t="s" s="0">
        <v>77</v>
      </c>
      <c r="B44" t="s" s="0">
        <v>77</v>
      </c>
      <c r="C44" t="s" s="0">
        <v>77</v>
      </c>
      <c r="D44" t="s" s="0">
        <v>77</v>
      </c>
      <c r="E44" t="s" s="0">
        <v>1216</v>
      </c>
      <c r="F44" t="s" s="0">
        <v>1217</v>
      </c>
      <c r="G44" t="s" s="0">
        <v>1218</v>
      </c>
      <c r="H44" t="s" s="0">
        <v>82</v>
      </c>
      <c r="I44" t="s" s="0">
        <v>83</v>
      </c>
      <c r="J44" t="s" s="0">
        <v>1219</v>
      </c>
      <c r="K44" t="s" s="0">
        <v>1220</v>
      </c>
      <c r="L44" t="s" s="0">
        <v>1221</v>
      </c>
      <c r="M44" t="s" s="0">
        <v>1221</v>
      </c>
      <c r="N44" t="s" s="0">
        <v>1222</v>
      </c>
      <c r="O44" t="s" s="0">
        <v>1223</v>
      </c>
      <c r="P44" t="s" s="0">
        <v>1224</v>
      </c>
      <c r="Q44" t="s" s="0">
        <v>88</v>
      </c>
      <c r="R44" t="s" s="0">
        <v>82</v>
      </c>
      <c r="S44" t="s" s="0">
        <v>82</v>
      </c>
      <c r="T44" t="s" s="0">
        <v>82</v>
      </c>
      <c r="U44" t="s" s="0">
        <v>82</v>
      </c>
      <c r="V44" t="s" s="0">
        <v>1225</v>
      </c>
      <c r="W44" t="s" s="0">
        <v>1226</v>
      </c>
      <c r="X44" t="s" s="0">
        <v>82</v>
      </c>
      <c r="Y44" t="s" s="0">
        <v>82</v>
      </c>
      <c r="Z44" t="s" s="0">
        <v>91</v>
      </c>
      <c r="AA44" t="s" s="0">
        <v>908</v>
      </c>
      <c r="AB44" t="s" s="0">
        <v>82</v>
      </c>
      <c r="AC44" t="s" s="0">
        <v>82</v>
      </c>
      <c r="AD44" t="s" s="0">
        <v>82</v>
      </c>
      <c r="AE44" t="s" s="0">
        <v>82</v>
      </c>
      <c r="AF44" t="s" s="0">
        <v>82</v>
      </c>
      <c r="AG44" t="s" s="0">
        <v>1227</v>
      </c>
      <c r="AH44" t="s" s="0">
        <v>82</v>
      </c>
      <c r="AI44" t="s" s="0">
        <v>1228</v>
      </c>
      <c r="AJ44" t="s" s="0">
        <v>82</v>
      </c>
      <c r="AK44" t="s" s="0">
        <v>82</v>
      </c>
      <c r="AL44" t="s" s="0">
        <v>794</v>
      </c>
      <c r="AM44" t="s" s="0">
        <v>77</v>
      </c>
      <c r="AN44" t="s" s="0">
        <v>77</v>
      </c>
      <c r="AO44" t="s" s="0">
        <v>77</v>
      </c>
      <c r="AP44" t="s" s="0">
        <v>77</v>
      </c>
      <c r="AQ44" t="s" s="0">
        <v>795</v>
      </c>
      <c r="AR44" t="s" s="0">
        <v>796</v>
      </c>
      <c r="AS44" t="s" s="0">
        <v>797</v>
      </c>
      <c r="AT44" t="s" s="0">
        <v>1229</v>
      </c>
      <c r="AU44" t="s" s="0">
        <v>1230</v>
      </c>
      <c r="AV44" t="s" s="0">
        <v>82</v>
      </c>
      <c r="AW44" t="s" s="0">
        <v>1231</v>
      </c>
      <c r="AX44" t="s" s="0">
        <v>1232</v>
      </c>
      <c r="AY44" t="s" s="0">
        <v>82</v>
      </c>
      <c r="AZ44" t="s" s="0">
        <v>179</v>
      </c>
      <c r="BA44" t="s" s="0">
        <v>82</v>
      </c>
      <c r="BB44" t="s" s="0">
        <v>82</v>
      </c>
      <c r="BC44" t="s" s="0">
        <v>82</v>
      </c>
      <c r="BD44" t="s" s="0">
        <v>82</v>
      </c>
      <c r="BE44" t="s" s="0">
        <v>82</v>
      </c>
      <c r="BF44" t="s" s="0">
        <v>82</v>
      </c>
      <c r="BG44" t="s" s="0">
        <v>82</v>
      </c>
      <c r="BH44" t="s" s="0">
        <v>82</v>
      </c>
      <c r="BI44" t="s" s="0">
        <v>82</v>
      </c>
      <c r="BJ44" t="s" s="0">
        <v>1233</v>
      </c>
      <c r="BK44" t="s" s="85">
        <f>HYPERLINK("http://dx.doi.org/10.1007/s10278-026-02111-x","http://dx.doi.org/10.1007/s10278-026-02111-x")</f>
        <v>1234</v>
      </c>
      <c r="BL44" t="s" s="0">
        <v>82</v>
      </c>
      <c r="BM44" t="s" s="0">
        <v>716</v>
      </c>
      <c r="BN44" t="s" s="0">
        <v>331</v>
      </c>
      <c r="BO44" t="s" s="0">
        <v>717</v>
      </c>
      <c r="BP44" t="s" s="0">
        <v>717</v>
      </c>
      <c r="BQ44" t="s" s="0">
        <v>1235</v>
      </c>
      <c r="BR44" t="s" s="0">
        <v>1236</v>
      </c>
      <c r="BS44" t="s" s="0">
        <v>1237</v>
      </c>
      <c r="BT44" t="s" s="86">
        <f>HYPERLINK("https://www.webofscience.com/wos/woscc/full-record/WOS:001835101600001","View Record in Web of Science")</f>
        <v>120</v>
      </c>
      <c r="BU44" t="s" s="0">
        <v>924</v>
      </c>
      <c r="BV44" t="s" s="0">
        <v>82</v>
      </c>
      <c r="BW44" t="s" s="0">
        <v>82</v>
      </c>
      <c r="BX44" t="s" s="0">
        <v>121</v>
      </c>
    </row>
    <row r="45">
      <c r="A45" t="s" s="0">
        <v>77</v>
      </c>
      <c r="B45" t="s" s="0">
        <v>77</v>
      </c>
      <c r="C45" t="s" s="0">
        <v>77</v>
      </c>
      <c r="D45" t="s" s="0">
        <v>77</v>
      </c>
      <c r="E45" t="s" s="0">
        <v>1238</v>
      </c>
      <c r="F45" t="s" s="0">
        <v>1239</v>
      </c>
      <c r="G45" t="s" s="0">
        <v>1240</v>
      </c>
      <c r="H45" t="s" s="0">
        <v>82</v>
      </c>
      <c r="I45" t="s" s="0">
        <v>83</v>
      </c>
      <c r="J45" t="s" s="0">
        <v>1241</v>
      </c>
      <c r="K45" t="s" s="0">
        <v>1242</v>
      </c>
      <c r="L45" t="s" s="0">
        <v>1243</v>
      </c>
      <c r="M45" t="s" s="0">
        <v>1244</v>
      </c>
      <c r="N45" t="s" s="0">
        <v>1245</v>
      </c>
      <c r="O45" t="s" s="0">
        <v>1246</v>
      </c>
      <c r="P45" t="s" s="0">
        <v>1247</v>
      </c>
      <c r="Q45" t="s" s="0">
        <v>88</v>
      </c>
      <c r="R45" t="s" s="0">
        <v>82</v>
      </c>
      <c r="S45" t="s" s="0">
        <v>82</v>
      </c>
      <c r="T45" t="s" s="0">
        <v>82</v>
      </c>
      <c r="U45" t="s" s="0">
        <v>82</v>
      </c>
      <c r="V45" t="s" s="0">
        <v>1248</v>
      </c>
      <c r="W45" t="s" s="0">
        <v>133</v>
      </c>
      <c r="X45" t="s" s="0">
        <v>82</v>
      </c>
      <c r="Y45" t="s" s="0">
        <v>82</v>
      </c>
      <c r="Z45" t="s" s="0">
        <v>91</v>
      </c>
      <c r="AA45" t="s" s="0">
        <v>92</v>
      </c>
      <c r="AB45" t="s" s="0">
        <v>82</v>
      </c>
      <c r="AC45" t="s" s="0">
        <v>82</v>
      </c>
      <c r="AD45" t="s" s="0">
        <v>82</v>
      </c>
      <c r="AE45" t="s" s="0">
        <v>82</v>
      </c>
      <c r="AF45" t="s" s="0">
        <v>82</v>
      </c>
      <c r="AG45" t="s" s="0">
        <v>1249</v>
      </c>
      <c r="AH45" t="s" s="0">
        <v>82</v>
      </c>
      <c r="AI45" t="s" s="0">
        <v>1250</v>
      </c>
      <c r="AJ45" t="s" s="0">
        <v>1251</v>
      </c>
      <c r="AK45" t="s" s="0">
        <v>82</v>
      </c>
      <c r="AL45" t="s" s="0">
        <v>1252</v>
      </c>
      <c r="AM45" t="s" s="0">
        <v>110</v>
      </c>
      <c r="AN45" t="s" s="0">
        <v>110</v>
      </c>
      <c r="AO45" t="s" s="0">
        <v>97</v>
      </c>
      <c r="AP45" t="s" s="0">
        <v>976</v>
      </c>
      <c r="AQ45" t="s" s="0">
        <v>100</v>
      </c>
      <c r="AR45" t="s" s="0">
        <v>101</v>
      </c>
      <c r="AS45" t="s" s="0">
        <v>102</v>
      </c>
      <c r="AT45" t="s" s="0">
        <v>141</v>
      </c>
      <c r="AU45" t="s" s="0">
        <v>142</v>
      </c>
      <c r="AV45" t="s" s="0">
        <v>82</v>
      </c>
      <c r="AW45" t="s" s="0">
        <v>143</v>
      </c>
      <c r="AX45" t="s" s="0">
        <v>144</v>
      </c>
      <c r="AY45" t="s" s="0">
        <v>634</v>
      </c>
      <c r="AZ45" t="s" s="0">
        <v>108</v>
      </c>
      <c r="BA45" t="s" s="0">
        <v>449</v>
      </c>
      <c r="BB45" t="s" s="0">
        <v>307</v>
      </c>
      <c r="BC45" t="s" s="0">
        <v>82</v>
      </c>
      <c r="BD45" t="s" s="0">
        <v>82</v>
      </c>
      <c r="BE45" t="s" s="0">
        <v>82</v>
      </c>
      <c r="BF45" t="s" s="0">
        <v>82</v>
      </c>
      <c r="BG45" t="s" s="0">
        <v>1253</v>
      </c>
      <c r="BH45" t="s" s="0">
        <v>1254</v>
      </c>
      <c r="BI45" t="s" s="0">
        <v>82</v>
      </c>
      <c r="BJ45" t="s" s="0">
        <v>1255</v>
      </c>
      <c r="BK45" t="s" s="87">
        <f>HYPERLINK("http://dx.doi.org/10.1109/TMI.2025.3573018","http://dx.doi.org/10.1109/TMI.2025.3573018")</f>
        <v>1256</v>
      </c>
      <c r="BL45" t="s" s="0">
        <v>82</v>
      </c>
      <c r="BM45" t="s" s="0">
        <v>82</v>
      </c>
      <c r="BN45" t="s" s="0">
        <v>209</v>
      </c>
      <c r="BO45" t="s" s="0">
        <v>153</v>
      </c>
      <c r="BP45" t="s" s="0">
        <v>154</v>
      </c>
      <c r="BQ45" t="s" s="0">
        <v>639</v>
      </c>
      <c r="BR45" t="s" s="0">
        <v>1257</v>
      </c>
      <c r="BS45" t="s" s="0">
        <v>1258</v>
      </c>
      <c r="BT45" t="s" s="88">
        <f>HYPERLINK("https://www.webofscience.com/wos/woscc/full-record/WOS:001616144400038","View Record in Web of Science")</f>
        <v>120</v>
      </c>
      <c r="BU45" t="s" s="0">
        <v>82</v>
      </c>
      <c r="BV45" t="s" s="0">
        <v>82</v>
      </c>
      <c r="BW45" t="s" s="0">
        <v>82</v>
      </c>
      <c r="BX45" t="s" s="0">
        <v>121</v>
      </c>
    </row>
    <row r="46">
      <c r="A46" t="s" s="0">
        <v>77</v>
      </c>
      <c r="B46" t="s" s="0">
        <v>77</v>
      </c>
      <c r="C46" t="s" s="0">
        <v>110</v>
      </c>
      <c r="D46" t="s" s="0">
        <v>77</v>
      </c>
      <c r="E46" t="s" s="0">
        <v>1259</v>
      </c>
      <c r="F46" t="s" s="0">
        <v>1260</v>
      </c>
      <c r="G46" t="s" s="0">
        <v>1261</v>
      </c>
      <c r="H46" t="s" s="0">
        <v>82</v>
      </c>
      <c r="I46" t="s" s="0">
        <v>83</v>
      </c>
      <c r="J46" t="s" s="0">
        <v>1262</v>
      </c>
      <c r="K46" t="s" s="0">
        <v>1263</v>
      </c>
      <c r="L46" t="s" s="0">
        <v>1264</v>
      </c>
      <c r="M46" t="s" s="0">
        <v>1265</v>
      </c>
      <c r="N46" t="s" s="0">
        <v>1266</v>
      </c>
      <c r="O46" t="s" s="0">
        <v>1267</v>
      </c>
      <c r="P46" t="s" s="0">
        <v>1268</v>
      </c>
      <c r="Q46" t="s" s="0">
        <v>88</v>
      </c>
      <c r="R46" t="s" s="0">
        <v>82</v>
      </c>
      <c r="S46" t="s" s="0">
        <v>82</v>
      </c>
      <c r="T46" t="s" s="0">
        <v>82</v>
      </c>
      <c r="U46" t="s" s="0">
        <v>82</v>
      </c>
      <c r="V46" t="s" s="0">
        <v>1269</v>
      </c>
      <c r="W46" t="s" s="0">
        <v>169</v>
      </c>
      <c r="X46" t="s" s="0">
        <v>82</v>
      </c>
      <c r="Y46" t="s" s="0">
        <v>82</v>
      </c>
      <c r="Z46" t="s" s="0">
        <v>91</v>
      </c>
      <c r="AA46" t="s" s="0">
        <v>92</v>
      </c>
      <c r="AB46" t="s" s="0">
        <v>82</v>
      </c>
      <c r="AC46" t="s" s="0">
        <v>82</v>
      </c>
      <c r="AD46" t="s" s="0">
        <v>82</v>
      </c>
      <c r="AE46" t="s" s="0">
        <v>82</v>
      </c>
      <c r="AF46" t="s" s="0">
        <v>82</v>
      </c>
      <c r="AG46" t="s" s="0">
        <v>82</v>
      </c>
      <c r="AH46" t="s" s="0">
        <v>1270</v>
      </c>
      <c r="AI46" t="s" s="0">
        <v>1271</v>
      </c>
      <c r="AJ46" t="s" s="0">
        <v>1272</v>
      </c>
      <c r="AK46" t="s" s="0">
        <v>82</v>
      </c>
      <c r="AL46" t="s" s="0">
        <v>1273</v>
      </c>
      <c r="AM46" t="s" s="0">
        <v>109</v>
      </c>
      <c r="AN46" t="s" s="0">
        <v>277</v>
      </c>
      <c r="AO46" t="s" s="0">
        <v>307</v>
      </c>
      <c r="AP46" t="s" s="0">
        <v>661</v>
      </c>
      <c r="AQ46" t="s" s="0">
        <v>172</v>
      </c>
      <c r="AR46" t="s" s="0">
        <v>173</v>
      </c>
      <c r="AS46" t="s" s="0">
        <v>174</v>
      </c>
      <c r="AT46" t="s" s="0">
        <v>175</v>
      </c>
      <c r="AU46" t="s" s="0">
        <v>82</v>
      </c>
      <c r="AV46" t="s" s="0">
        <v>82</v>
      </c>
      <c r="AW46" t="s" s="0">
        <v>176</v>
      </c>
      <c r="AX46" t="s" s="0">
        <v>177</v>
      </c>
      <c r="AY46" t="s" s="0">
        <v>1274</v>
      </c>
      <c r="AZ46" t="s" s="0">
        <v>108</v>
      </c>
      <c r="BA46" t="s" s="0">
        <v>272</v>
      </c>
      <c r="BB46" t="s" s="0">
        <v>78</v>
      </c>
      <c r="BC46" t="s" s="0">
        <v>82</v>
      </c>
      <c r="BD46" t="s" s="0">
        <v>82</v>
      </c>
      <c r="BE46" t="s" s="0">
        <v>82</v>
      </c>
      <c r="BF46" t="s" s="0">
        <v>82</v>
      </c>
      <c r="BG46" t="s" s="0">
        <v>82</v>
      </c>
      <c r="BH46" t="s" s="0">
        <v>82</v>
      </c>
      <c r="BI46" t="s" s="0">
        <v>1275</v>
      </c>
      <c r="BJ46" t="s" s="0">
        <v>1276</v>
      </c>
      <c r="BK46" t="s" s="89">
        <f>HYPERLINK("http://dx.doi.org/10.1038/s41746-025-01807-8","http://dx.doi.org/10.1038/s41746-025-01807-8")</f>
        <v>1277</v>
      </c>
      <c r="BL46" t="s" s="0">
        <v>82</v>
      </c>
      <c r="BM46" t="s" s="0">
        <v>82</v>
      </c>
      <c r="BN46" t="s" s="0">
        <v>277</v>
      </c>
      <c r="BO46" t="s" s="0">
        <v>185</v>
      </c>
      <c r="BP46" t="s" s="0">
        <v>185</v>
      </c>
      <c r="BQ46" t="s" s="0">
        <v>1278</v>
      </c>
      <c r="BR46" t="s" s="0">
        <v>1279</v>
      </c>
      <c r="BS46" t="s" s="0">
        <v>1280</v>
      </c>
      <c r="BT46" t="s" s="90">
        <f>HYPERLINK("https://www.webofscience.com/wos/woscc/full-record/WOS:001527765700001","View Record in Web of Science")</f>
        <v>120</v>
      </c>
      <c r="BU46" t="s" s="0">
        <v>189</v>
      </c>
      <c r="BV46" t="s" s="0">
        <v>82</v>
      </c>
      <c r="BW46" t="s" s="0">
        <v>82</v>
      </c>
      <c r="BX46" t="s" s="0">
        <v>121</v>
      </c>
    </row>
    <row r="47">
      <c r="A47" t="s" s="0">
        <v>77</v>
      </c>
      <c r="B47" t="s" s="0">
        <v>77</v>
      </c>
      <c r="C47" t="s" s="0">
        <v>77</v>
      </c>
      <c r="D47" t="s" s="0">
        <v>77</v>
      </c>
      <c r="E47" t="s" s="0">
        <v>1281</v>
      </c>
      <c r="F47" t="s" s="0">
        <v>1282</v>
      </c>
      <c r="G47" t="s" s="0">
        <v>1283</v>
      </c>
      <c r="H47" t="s" s="0">
        <v>82</v>
      </c>
      <c r="I47" t="s" s="0">
        <v>1284</v>
      </c>
      <c r="J47" t="s" s="0">
        <v>1285</v>
      </c>
      <c r="K47" t="s" s="0">
        <v>1286</v>
      </c>
      <c r="L47" t="s" s="0">
        <v>1287</v>
      </c>
      <c r="M47" t="s" s="0">
        <v>1288</v>
      </c>
      <c r="N47" t="s" s="0">
        <v>1289</v>
      </c>
      <c r="O47" t="s" s="0">
        <v>1290</v>
      </c>
      <c r="P47" t="s" s="0">
        <v>1291</v>
      </c>
      <c r="Q47" t="s" s="0">
        <v>88</v>
      </c>
      <c r="R47" t="s" s="0">
        <v>82</v>
      </c>
      <c r="S47" t="s" s="0">
        <v>82</v>
      </c>
      <c r="T47" t="s" s="0">
        <v>82</v>
      </c>
      <c r="U47" t="s" s="0">
        <v>82</v>
      </c>
      <c r="V47" t="s" s="0">
        <v>1292</v>
      </c>
      <c r="W47" t="s" s="0">
        <v>1293</v>
      </c>
      <c r="X47" t="s" s="0">
        <v>82</v>
      </c>
      <c r="Y47" t="s" s="0">
        <v>82</v>
      </c>
      <c r="Z47" t="s" s="0">
        <v>91</v>
      </c>
      <c r="AA47" t="s" s="0">
        <v>908</v>
      </c>
      <c r="AB47" t="s" s="0">
        <v>82</v>
      </c>
      <c r="AC47" t="s" s="0">
        <v>82</v>
      </c>
      <c r="AD47" t="s" s="0">
        <v>82</v>
      </c>
      <c r="AE47" t="s" s="0">
        <v>82</v>
      </c>
      <c r="AF47" t="s" s="0">
        <v>82</v>
      </c>
      <c r="AG47" t="s" s="0">
        <v>1294</v>
      </c>
      <c r="AH47" t="s" s="0">
        <v>82</v>
      </c>
      <c r="AI47" t="s" s="0">
        <v>82</v>
      </c>
      <c r="AJ47" t="s" s="0">
        <v>1295</v>
      </c>
      <c r="AK47" t="s" s="0">
        <v>82</v>
      </c>
      <c r="AL47" t="s" s="0">
        <v>331</v>
      </c>
      <c r="AM47" t="s" s="0">
        <v>77</v>
      </c>
      <c r="AN47" t="s" s="0">
        <v>77</v>
      </c>
      <c r="AO47" t="s" s="0">
        <v>78</v>
      </c>
      <c r="AP47" t="s" s="0">
        <v>78</v>
      </c>
      <c r="AQ47" t="s" s="0">
        <v>1296</v>
      </c>
      <c r="AR47" t="s" s="0">
        <v>965</v>
      </c>
      <c r="AS47" t="s" s="0">
        <v>1297</v>
      </c>
      <c r="AT47" t="s" s="0">
        <v>1298</v>
      </c>
      <c r="AU47" t="s" s="0">
        <v>1299</v>
      </c>
      <c r="AV47" t="s" s="0">
        <v>82</v>
      </c>
      <c r="AW47" t="s" s="0">
        <v>1300</v>
      </c>
      <c r="AX47" t="s" s="0">
        <v>1301</v>
      </c>
      <c r="AY47" t="s" s="0">
        <v>82</v>
      </c>
      <c r="AZ47" t="s" s="0">
        <v>179</v>
      </c>
      <c r="BA47" t="s" s="0">
        <v>82</v>
      </c>
      <c r="BB47" t="s" s="0">
        <v>82</v>
      </c>
      <c r="BC47" t="s" s="0">
        <v>82</v>
      </c>
      <c r="BD47" t="s" s="0">
        <v>82</v>
      </c>
      <c r="BE47" t="s" s="0">
        <v>82</v>
      </c>
      <c r="BF47" t="s" s="0">
        <v>82</v>
      </c>
      <c r="BG47" t="s" s="0">
        <v>82</v>
      </c>
      <c r="BH47" t="s" s="0">
        <v>82</v>
      </c>
      <c r="BI47" t="s" s="0">
        <v>82</v>
      </c>
      <c r="BJ47" t="s" s="0">
        <v>1302</v>
      </c>
      <c r="BK47" t="s" s="91">
        <f>HYPERLINK("http://dx.doi.org/10.1093/ntr/ntag125","http://dx.doi.org/10.1093/ntr/ntag125")</f>
        <v>1303</v>
      </c>
      <c r="BL47" t="s" s="0">
        <v>82</v>
      </c>
      <c r="BM47" t="s" s="0">
        <v>716</v>
      </c>
      <c r="BN47" t="s" s="0">
        <v>97</v>
      </c>
      <c r="BO47" t="s" s="0">
        <v>1304</v>
      </c>
      <c r="BP47" t="s" s="0">
        <v>1304</v>
      </c>
      <c r="BQ47" t="s" s="0">
        <v>1305</v>
      </c>
      <c r="BR47" t="s" s="0">
        <v>1306</v>
      </c>
      <c r="BS47" t="s" s="0">
        <v>1307</v>
      </c>
      <c r="BT47" t="s" s="92">
        <f>HYPERLINK("https://www.webofscience.com/wos/woscc/full-record/WOS:001815109900001","View Record in Web of Science")</f>
        <v>120</v>
      </c>
      <c r="BU47" t="s" s="0">
        <v>82</v>
      </c>
      <c r="BV47" t="s" s="0">
        <v>82</v>
      </c>
      <c r="BW47" t="s" s="0">
        <v>82</v>
      </c>
      <c r="BX47" t="s" s="0">
        <v>121</v>
      </c>
    </row>
    <row r="48">
      <c r="A48" t="s" s="0">
        <v>77</v>
      </c>
      <c r="B48" t="s" s="0">
        <v>77</v>
      </c>
      <c r="C48" t="s" s="0">
        <v>77</v>
      </c>
      <c r="D48" t="s" s="0">
        <v>77</v>
      </c>
      <c r="E48" t="s" s="0">
        <v>1308</v>
      </c>
      <c r="F48" t="s" s="0">
        <v>1309</v>
      </c>
      <c r="G48" t="s" s="0">
        <v>1310</v>
      </c>
      <c r="H48" t="s" s="0">
        <v>82</v>
      </c>
      <c r="I48" t="s" s="0">
        <v>83</v>
      </c>
      <c r="J48" t="s" s="0">
        <v>1311</v>
      </c>
      <c r="K48" t="s" s="0">
        <v>1312</v>
      </c>
      <c r="L48" t="s" s="0">
        <v>82</v>
      </c>
      <c r="M48" t="s" s="0">
        <v>82</v>
      </c>
      <c r="N48" t="s" s="0">
        <v>82</v>
      </c>
      <c r="O48" t="s" s="0">
        <v>1313</v>
      </c>
      <c r="P48" t="s" s="0">
        <v>1314</v>
      </c>
      <c r="Q48" t="s" s="0">
        <v>88</v>
      </c>
      <c r="R48" t="s" s="0">
        <v>82</v>
      </c>
      <c r="S48" t="s" s="0">
        <v>82</v>
      </c>
      <c r="T48" t="s" s="0">
        <v>82</v>
      </c>
      <c r="U48" t="s" s="0">
        <v>82</v>
      </c>
      <c r="V48" t="s" s="0">
        <v>1315</v>
      </c>
      <c r="W48" t="s" s="0">
        <v>1111</v>
      </c>
      <c r="X48" t="s" s="0">
        <v>82</v>
      </c>
      <c r="Y48" t="s" s="0">
        <v>82</v>
      </c>
      <c r="Z48" t="s" s="0">
        <v>91</v>
      </c>
      <c r="AA48" t="s" s="0">
        <v>92</v>
      </c>
      <c r="AB48" t="s" s="0">
        <v>82</v>
      </c>
      <c r="AC48" t="s" s="0">
        <v>82</v>
      </c>
      <c r="AD48" t="s" s="0">
        <v>82</v>
      </c>
      <c r="AE48" t="s" s="0">
        <v>82</v>
      </c>
      <c r="AF48" t="s" s="0">
        <v>82</v>
      </c>
      <c r="AG48" t="s" s="0">
        <v>1316</v>
      </c>
      <c r="AH48" t="s" s="0">
        <v>1317</v>
      </c>
      <c r="AI48" t="s" s="0">
        <v>1318</v>
      </c>
      <c r="AJ48" t="s" s="0">
        <v>1319</v>
      </c>
      <c r="AK48" t="s" s="0">
        <v>82</v>
      </c>
      <c r="AL48" t="s" s="0">
        <v>1143</v>
      </c>
      <c r="AM48" t="s" s="0">
        <v>77</v>
      </c>
      <c r="AN48" t="s" s="0">
        <v>77</v>
      </c>
      <c r="AO48" t="s" s="0">
        <v>204</v>
      </c>
      <c r="AP48" t="s" s="0">
        <v>277</v>
      </c>
      <c r="AQ48" t="s" s="0">
        <v>296</v>
      </c>
      <c r="AR48" t="s" s="0">
        <v>297</v>
      </c>
      <c r="AS48" t="s" s="0">
        <v>298</v>
      </c>
      <c r="AT48" t="s" s="0">
        <v>1116</v>
      </c>
      <c r="AU48" t="s" s="0">
        <v>1117</v>
      </c>
      <c r="AV48" t="s" s="0">
        <v>82</v>
      </c>
      <c r="AW48" t="s" s="0">
        <v>1118</v>
      </c>
      <c r="AX48" t="s" s="0">
        <v>1119</v>
      </c>
      <c r="AY48" t="s" s="0">
        <v>829</v>
      </c>
      <c r="AZ48" t="s" s="0">
        <v>179</v>
      </c>
      <c r="BA48" t="s" s="0">
        <v>511</v>
      </c>
      <c r="BB48" t="s" s="0">
        <v>82</v>
      </c>
      <c r="BC48" t="s" s="0">
        <v>82</v>
      </c>
      <c r="BD48" t="s" s="0">
        <v>1320</v>
      </c>
      <c r="BE48" t="s" s="0">
        <v>82</v>
      </c>
      <c r="BF48" t="s" s="0">
        <v>82</v>
      </c>
      <c r="BG48" t="s" s="0">
        <v>82</v>
      </c>
      <c r="BH48" t="s" s="0">
        <v>82</v>
      </c>
      <c r="BI48" t="s" s="0">
        <v>1321</v>
      </c>
      <c r="BJ48" t="s" s="0">
        <v>1322</v>
      </c>
      <c r="BK48" t="s" s="93">
        <f>HYPERLINK("http://dx.doi.org/10.1016/j.inffus.2025.103737","http://dx.doi.org/10.1016/j.inffus.2025.103737")</f>
        <v>1323</v>
      </c>
      <c r="BL48" t="s" s="0">
        <v>82</v>
      </c>
      <c r="BM48" t="s" s="0">
        <v>107</v>
      </c>
      <c r="BN48" t="s" s="0">
        <v>209</v>
      </c>
      <c r="BO48" t="s" s="0">
        <v>1125</v>
      </c>
      <c r="BP48" t="s" s="0">
        <v>309</v>
      </c>
      <c r="BQ48" t="s" s="0">
        <v>1324</v>
      </c>
      <c r="BR48" t="s" s="0">
        <v>82</v>
      </c>
      <c r="BS48" t="s" s="0">
        <v>1325</v>
      </c>
      <c r="BT48" t="s" s="94">
        <f>HYPERLINK("https://www.webofscience.com/wos/woscc/full-record/WOS:001585491000001","View Record in Web of Science")</f>
        <v>120</v>
      </c>
      <c r="BU48" t="s" s="0">
        <v>1326</v>
      </c>
      <c r="BV48" t="s" s="0">
        <v>82</v>
      </c>
      <c r="BW48" t="s" s="0">
        <v>82</v>
      </c>
      <c r="BX48" t="s" s="0">
        <v>121</v>
      </c>
    </row>
    <row r="49">
      <c r="A49" t="s" s="0">
        <v>77</v>
      </c>
      <c r="B49" t="s" s="0">
        <v>77</v>
      </c>
      <c r="C49" t="s" s="0">
        <v>78</v>
      </c>
      <c r="D49" t="s" s="0">
        <v>77</v>
      </c>
      <c r="E49" t="s" s="0">
        <v>1327</v>
      </c>
      <c r="F49" t="s" s="0">
        <v>1328</v>
      </c>
      <c r="G49" t="s" s="0">
        <v>1329</v>
      </c>
      <c r="H49" t="s" s="0">
        <v>82</v>
      </c>
      <c r="I49" t="s" s="0">
        <v>83</v>
      </c>
      <c r="J49" t="s" s="0">
        <v>1330</v>
      </c>
      <c r="K49" t="s" s="0">
        <v>1331</v>
      </c>
      <c r="L49" t="s" s="0">
        <v>1332</v>
      </c>
      <c r="M49" t="s" s="0">
        <v>1332</v>
      </c>
      <c r="N49" t="s" s="0">
        <v>1333</v>
      </c>
      <c r="O49" t="s" s="0">
        <v>1334</v>
      </c>
      <c r="P49" t="s" s="0">
        <v>1335</v>
      </c>
      <c r="Q49" t="s" s="0">
        <v>88</v>
      </c>
      <c r="R49" t="s" s="0">
        <v>82</v>
      </c>
      <c r="S49" t="s" s="0">
        <v>82</v>
      </c>
      <c r="T49" t="s" s="0">
        <v>82</v>
      </c>
      <c r="U49" t="s" s="0">
        <v>82</v>
      </c>
      <c r="V49" t="s" s="0">
        <v>1336</v>
      </c>
      <c r="W49" t="s" s="0">
        <v>169</v>
      </c>
      <c r="X49" t="s" s="0">
        <v>82</v>
      </c>
      <c r="Y49" t="s" s="0">
        <v>82</v>
      </c>
      <c r="Z49" t="s" s="0">
        <v>91</v>
      </c>
      <c r="AA49" t="s" s="0">
        <v>92</v>
      </c>
      <c r="AB49" t="s" s="0">
        <v>82</v>
      </c>
      <c r="AC49" t="s" s="0">
        <v>82</v>
      </c>
      <c r="AD49" t="s" s="0">
        <v>82</v>
      </c>
      <c r="AE49" t="s" s="0">
        <v>82</v>
      </c>
      <c r="AF49" t="s" s="0">
        <v>82</v>
      </c>
      <c r="AG49" t="s" s="0">
        <v>82</v>
      </c>
      <c r="AH49" t="s" s="0">
        <v>82</v>
      </c>
      <c r="AI49" t="s" s="0">
        <v>1337</v>
      </c>
      <c r="AJ49" t="s" s="0">
        <v>1338</v>
      </c>
      <c r="AK49" t="s" s="0">
        <v>82</v>
      </c>
      <c r="AL49" t="s" s="0">
        <v>661</v>
      </c>
      <c r="AM49" t="s" s="0">
        <v>204</v>
      </c>
      <c r="AN49" t="s" s="0">
        <v>204</v>
      </c>
      <c r="AO49" t="s" s="0">
        <v>204</v>
      </c>
      <c r="AP49" t="s" s="0">
        <v>204</v>
      </c>
      <c r="AQ49" t="s" s="0">
        <v>172</v>
      </c>
      <c r="AR49" t="s" s="0">
        <v>173</v>
      </c>
      <c r="AS49" t="s" s="0">
        <v>174</v>
      </c>
      <c r="AT49" t="s" s="0">
        <v>175</v>
      </c>
      <c r="AU49" t="s" s="0">
        <v>82</v>
      </c>
      <c r="AV49" t="s" s="0">
        <v>82</v>
      </c>
      <c r="AW49" t="s" s="0">
        <v>176</v>
      </c>
      <c r="AX49" t="s" s="0">
        <v>177</v>
      </c>
      <c r="AY49" t="s" s="0">
        <v>1339</v>
      </c>
      <c r="AZ49" t="s" s="0">
        <v>108</v>
      </c>
      <c r="BA49" t="s" s="0">
        <v>272</v>
      </c>
      <c r="BB49" t="s" s="0">
        <v>78</v>
      </c>
      <c r="BC49" t="s" s="0">
        <v>82</v>
      </c>
      <c r="BD49" t="s" s="0">
        <v>82</v>
      </c>
      <c r="BE49" t="s" s="0">
        <v>82</v>
      </c>
      <c r="BF49" t="s" s="0">
        <v>82</v>
      </c>
      <c r="BG49" t="s" s="0">
        <v>82</v>
      </c>
      <c r="BH49" t="s" s="0">
        <v>82</v>
      </c>
      <c r="BI49" t="s" s="0">
        <v>1340</v>
      </c>
      <c r="BJ49" t="s" s="0">
        <v>1341</v>
      </c>
      <c r="BK49" t="s" s="95">
        <f>HYPERLINK("http://dx.doi.org/10.1038/s41746-025-02047-6","http://dx.doi.org/10.1038/s41746-025-02047-6")</f>
        <v>1342</v>
      </c>
      <c r="BL49" t="s" s="0">
        <v>82</v>
      </c>
      <c r="BM49" t="s" s="0">
        <v>82</v>
      </c>
      <c r="BN49" t="s" s="0">
        <v>98</v>
      </c>
      <c r="BO49" t="s" s="0">
        <v>185</v>
      </c>
      <c r="BP49" t="s" s="0">
        <v>185</v>
      </c>
      <c r="BQ49" t="s" s="0">
        <v>1343</v>
      </c>
      <c r="BR49" t="s" s="0">
        <v>1344</v>
      </c>
      <c r="BS49" t="s" s="0">
        <v>1345</v>
      </c>
      <c r="BT49" t="s" s="96">
        <f>HYPERLINK("https://www.webofscience.com/wos/woscc/full-record/WOS:001618214900016","View Record in Web of Science")</f>
        <v>120</v>
      </c>
      <c r="BU49" t="s" s="0">
        <v>189</v>
      </c>
      <c r="BV49" t="s" s="0">
        <v>82</v>
      </c>
      <c r="BW49" t="s" s="0">
        <v>82</v>
      </c>
      <c r="BX49" t="s" s="0">
        <v>121</v>
      </c>
    </row>
    <row r="50">
      <c r="A50" t="s" s="0">
        <v>77</v>
      </c>
      <c r="B50" t="s" s="0">
        <v>77</v>
      </c>
      <c r="C50" t="s" s="0">
        <v>77</v>
      </c>
      <c r="D50" t="s" s="0">
        <v>77</v>
      </c>
      <c r="E50" t="s" s="0">
        <v>1346</v>
      </c>
      <c r="F50" t="s" s="0">
        <v>1347</v>
      </c>
      <c r="G50" t="s" s="0">
        <v>1348</v>
      </c>
      <c r="H50" t="s" s="0">
        <v>82</v>
      </c>
      <c r="I50" t="s" s="0">
        <v>83</v>
      </c>
      <c r="J50" t="s" s="0">
        <v>1349</v>
      </c>
      <c r="K50" t="s" s="0">
        <v>1350</v>
      </c>
      <c r="L50" t="s" s="0">
        <v>82</v>
      </c>
      <c r="M50" t="s" s="0">
        <v>82</v>
      </c>
      <c r="N50" t="s" s="0">
        <v>82</v>
      </c>
      <c r="O50" t="s" s="0">
        <v>1351</v>
      </c>
      <c r="P50" t="s" s="0">
        <v>1352</v>
      </c>
      <c r="Q50" t="s" s="0">
        <v>88</v>
      </c>
      <c r="R50" t="s" s="0">
        <v>82</v>
      </c>
      <c r="S50" t="s" s="0">
        <v>82</v>
      </c>
      <c r="T50" t="s" s="0">
        <v>82</v>
      </c>
      <c r="U50" t="s" s="0">
        <v>82</v>
      </c>
      <c r="V50" t="s" s="0">
        <v>1353</v>
      </c>
      <c r="W50" t="s" s="0">
        <v>1354</v>
      </c>
      <c r="X50" t="s" s="0">
        <v>82</v>
      </c>
      <c r="Y50" t="s" s="0">
        <v>82</v>
      </c>
      <c r="Z50" t="s" s="0">
        <v>91</v>
      </c>
      <c r="AA50" t="s" s="0">
        <v>92</v>
      </c>
      <c r="AB50" t="s" s="0">
        <v>82</v>
      </c>
      <c r="AC50" t="s" s="0">
        <v>82</v>
      </c>
      <c r="AD50" t="s" s="0">
        <v>82</v>
      </c>
      <c r="AE50" t="s" s="0">
        <v>82</v>
      </c>
      <c r="AF50" t="s" s="0">
        <v>82</v>
      </c>
      <c r="AG50" t="s" s="0">
        <v>1355</v>
      </c>
      <c r="AH50" t="s" s="0">
        <v>82</v>
      </c>
      <c r="AI50" t="s" s="0">
        <v>82</v>
      </c>
      <c r="AJ50" t="s" s="0">
        <v>1356</v>
      </c>
      <c r="AK50" t="s" s="0">
        <v>82</v>
      </c>
      <c r="AL50" t="s" s="0">
        <v>307</v>
      </c>
      <c r="AM50" t="s" s="0">
        <v>77</v>
      </c>
      <c r="AN50" t="s" s="0">
        <v>77</v>
      </c>
      <c r="AO50" t="s" s="0">
        <v>99</v>
      </c>
      <c r="AP50" t="s" s="0">
        <v>99</v>
      </c>
      <c r="AQ50" t="s" s="0">
        <v>100</v>
      </c>
      <c r="AR50" t="s" s="0">
        <v>101</v>
      </c>
      <c r="AS50" t="s" s="0">
        <v>102</v>
      </c>
      <c r="AT50" t="s" s="0">
        <v>1357</v>
      </c>
      <c r="AU50" t="s" s="0">
        <v>1358</v>
      </c>
      <c r="AV50" t="s" s="0">
        <v>82</v>
      </c>
      <c r="AW50" t="s" s="0">
        <v>1354</v>
      </c>
      <c r="AX50" t="s" s="0">
        <v>1359</v>
      </c>
      <c r="AY50" t="s" s="0">
        <v>1360</v>
      </c>
      <c r="AZ50" t="s" s="0">
        <v>179</v>
      </c>
      <c r="BA50" t="s" s="0">
        <v>428</v>
      </c>
      <c r="BB50" t="s" s="0">
        <v>78</v>
      </c>
      <c r="BC50" t="s" s="0">
        <v>82</v>
      </c>
      <c r="BD50" t="s" s="0">
        <v>82</v>
      </c>
      <c r="BE50" t="s" s="0">
        <v>82</v>
      </c>
      <c r="BF50" t="s" s="0">
        <v>82</v>
      </c>
      <c r="BG50" t="s" s="0">
        <v>137</v>
      </c>
      <c r="BH50" t="s" s="0">
        <v>262</v>
      </c>
      <c r="BI50" t="s" s="0">
        <v>82</v>
      </c>
      <c r="BJ50" t="s" s="0">
        <v>1361</v>
      </c>
      <c r="BK50" t="s" s="97">
        <f>HYPERLINK("http://dx.doi.org/10.1109/MPULS.2026.3659245","http://dx.doi.org/10.1109/MPULS.2026.3659245")</f>
        <v>1362</v>
      </c>
      <c r="BL50" t="s" s="0">
        <v>82</v>
      </c>
      <c r="BM50" t="s" s="0">
        <v>82</v>
      </c>
      <c r="BN50" t="s" s="0">
        <v>99</v>
      </c>
      <c r="BO50" t="s" s="0">
        <v>516</v>
      </c>
      <c r="BP50" t="s" s="0">
        <v>247</v>
      </c>
      <c r="BQ50" t="s" s="0">
        <v>1363</v>
      </c>
      <c r="BR50" t="s" s="0">
        <v>1364</v>
      </c>
      <c r="BS50" t="s" s="0">
        <v>1365</v>
      </c>
      <c r="BT50" t="s" s="98">
        <f>HYPERLINK("https://www.webofscience.com/wos/woscc/full-record/WOS:001740998900007","View Record in Web of Science")</f>
        <v>120</v>
      </c>
      <c r="BU50" t="s" s="0">
        <v>82</v>
      </c>
      <c r="BV50" t="s" s="0">
        <v>82</v>
      </c>
      <c r="BW50" t="s" s="0">
        <v>82</v>
      </c>
      <c r="BX50" t="s" s="0">
        <v>121</v>
      </c>
    </row>
    <row r="51">
      <c r="A51" t="s" s="0">
        <v>77</v>
      </c>
      <c r="B51" t="s" s="0">
        <v>77</v>
      </c>
      <c r="C51" t="s" s="0">
        <v>77</v>
      </c>
      <c r="D51" t="s" s="0">
        <v>77</v>
      </c>
      <c r="E51" t="s" s="0">
        <v>1366</v>
      </c>
      <c r="F51" t="s" s="0">
        <v>1367</v>
      </c>
      <c r="G51" t="s" s="0">
        <v>1368</v>
      </c>
      <c r="H51" t="s" s="0">
        <v>82</v>
      </c>
      <c r="I51" t="s" s="0">
        <v>83</v>
      </c>
      <c r="J51" t="s" s="0">
        <v>1369</v>
      </c>
      <c r="K51" t="s" s="0">
        <v>1370</v>
      </c>
      <c r="L51" t="s" s="0">
        <v>82</v>
      </c>
      <c r="M51" t="s" s="0">
        <v>82</v>
      </c>
      <c r="N51" t="s" s="0">
        <v>82</v>
      </c>
      <c r="O51" t="s" s="0">
        <v>1371</v>
      </c>
      <c r="P51" t="s" s="0">
        <v>1372</v>
      </c>
      <c r="Q51" t="s" s="0">
        <v>88</v>
      </c>
      <c r="R51" t="s" s="0">
        <v>82</v>
      </c>
      <c r="S51" t="s" s="0">
        <v>82</v>
      </c>
      <c r="T51" t="s" s="0">
        <v>82</v>
      </c>
      <c r="U51" t="s" s="0">
        <v>82</v>
      </c>
      <c r="V51" t="s" s="0">
        <v>1373</v>
      </c>
      <c r="W51" t="s" s="0">
        <v>1374</v>
      </c>
      <c r="X51" t="s" s="0">
        <v>82</v>
      </c>
      <c r="Y51" t="s" s="0">
        <v>82</v>
      </c>
      <c r="Z51" t="s" s="0">
        <v>91</v>
      </c>
      <c r="AA51" t="s" s="0">
        <v>92</v>
      </c>
      <c r="AB51" t="s" s="0">
        <v>82</v>
      </c>
      <c r="AC51" t="s" s="0">
        <v>82</v>
      </c>
      <c r="AD51" t="s" s="0">
        <v>82</v>
      </c>
      <c r="AE51" t="s" s="0">
        <v>82</v>
      </c>
      <c r="AF51" t="s" s="0">
        <v>82</v>
      </c>
      <c r="AG51" t="s" s="0">
        <v>1375</v>
      </c>
      <c r="AH51" t="s" s="0">
        <v>682</v>
      </c>
      <c r="AI51" t="s" s="0">
        <v>82</v>
      </c>
      <c r="AJ51" t="s" s="0">
        <v>1376</v>
      </c>
      <c r="AK51" t="s" s="0">
        <v>82</v>
      </c>
      <c r="AL51" t="s" s="0">
        <v>661</v>
      </c>
      <c r="AM51" t="s" s="0">
        <v>77</v>
      </c>
      <c r="AN51" t="s" s="0">
        <v>77</v>
      </c>
      <c r="AO51" t="s" s="0">
        <v>77</v>
      </c>
      <c r="AP51" t="s" s="0">
        <v>99</v>
      </c>
      <c r="AQ51" t="s" s="0">
        <v>1377</v>
      </c>
      <c r="AR51" t="s" s="0">
        <v>1378</v>
      </c>
      <c r="AS51" t="s" s="0">
        <v>1379</v>
      </c>
      <c r="AT51" t="s" s="0">
        <v>82</v>
      </c>
      <c r="AU51" t="s" s="0">
        <v>1380</v>
      </c>
      <c r="AV51" t="s" s="0">
        <v>82</v>
      </c>
      <c r="AW51" t="s" s="0">
        <v>1381</v>
      </c>
      <c r="AX51" t="s" s="0">
        <v>1382</v>
      </c>
      <c r="AY51" t="s" s="0">
        <v>1383</v>
      </c>
      <c r="AZ51" t="s" s="0">
        <v>108</v>
      </c>
      <c r="BA51" t="s" s="0">
        <v>97</v>
      </c>
      <c r="BB51" t="s" s="0">
        <v>99</v>
      </c>
      <c r="BC51" t="s" s="0">
        <v>82</v>
      </c>
      <c r="BD51" t="s" s="0">
        <v>82</v>
      </c>
      <c r="BE51" t="s" s="0">
        <v>82</v>
      </c>
      <c r="BF51" t="s" s="0">
        <v>82</v>
      </c>
      <c r="BG51" t="s" s="0">
        <v>82</v>
      </c>
      <c r="BH51" t="s" s="0">
        <v>82</v>
      </c>
      <c r="BI51" t="s" s="0">
        <v>1384</v>
      </c>
      <c r="BJ51" t="s" s="0">
        <v>1385</v>
      </c>
      <c r="BK51" t="s" s="99">
        <f>HYPERLINK("http://dx.doi.org/10.1088/2632-2153/ae0557","http://dx.doi.org/10.1088/2632-2153/ae0557")</f>
        <v>1386</v>
      </c>
      <c r="BL51" t="s" s="0">
        <v>82</v>
      </c>
      <c r="BM51" t="s" s="0">
        <v>82</v>
      </c>
      <c r="BN51" t="s" s="0">
        <v>184</v>
      </c>
      <c r="BO51" t="s" s="0">
        <v>1387</v>
      </c>
      <c r="BP51" t="s" s="0">
        <v>1388</v>
      </c>
      <c r="BQ51" t="s" s="0">
        <v>1389</v>
      </c>
      <c r="BR51" t="s" s="0">
        <v>82</v>
      </c>
      <c r="BS51" t="s" s="0">
        <v>1390</v>
      </c>
      <c r="BT51" t="s" s="100">
        <f>HYPERLINK("https://www.webofscience.com/wos/woscc/full-record/WOS:001575428900001","View Record in Web of Science")</f>
        <v>120</v>
      </c>
      <c r="BU51" t="s" s="0">
        <v>189</v>
      </c>
      <c r="BV51" t="s" s="0">
        <v>82</v>
      </c>
      <c r="BW51" t="s" s="0">
        <v>82</v>
      </c>
      <c r="BX51" t="s" s="0">
        <v>121</v>
      </c>
    </row>
    <row r="52">
      <c r="A52" t="s" s="0">
        <v>77</v>
      </c>
      <c r="B52" t="s" s="0">
        <v>77</v>
      </c>
      <c r="C52" t="s" s="0">
        <v>204</v>
      </c>
      <c r="D52" t="s" s="0">
        <v>77</v>
      </c>
      <c r="E52" t="s" s="0">
        <v>1391</v>
      </c>
      <c r="F52" t="s" s="0">
        <v>1392</v>
      </c>
      <c r="G52" t="s" s="0">
        <v>1393</v>
      </c>
      <c r="H52" t="s" s="0">
        <v>82</v>
      </c>
      <c r="I52" t="s" s="0">
        <v>83</v>
      </c>
      <c r="J52" t="s" s="0">
        <v>1394</v>
      </c>
      <c r="K52" t="s" s="0">
        <v>1395</v>
      </c>
      <c r="L52" t="s" s="0">
        <v>1396</v>
      </c>
      <c r="M52" t="s" s="0">
        <v>1397</v>
      </c>
      <c r="N52" t="s" s="0">
        <v>1398</v>
      </c>
      <c r="O52" t="s" s="0">
        <v>1399</v>
      </c>
      <c r="P52" t="s" s="0">
        <v>1400</v>
      </c>
      <c r="Q52" t="s" s="0">
        <v>88</v>
      </c>
      <c r="R52" t="s" s="0">
        <v>82</v>
      </c>
      <c r="S52" t="s" s="0">
        <v>82</v>
      </c>
      <c r="T52" t="s" s="0">
        <v>82</v>
      </c>
      <c r="U52" t="s" s="0">
        <v>82</v>
      </c>
      <c r="V52" t="s" s="0">
        <v>1401</v>
      </c>
      <c r="W52" t="s" s="0">
        <v>1226</v>
      </c>
      <c r="X52" t="s" s="0">
        <v>82</v>
      </c>
      <c r="Y52" t="s" s="0">
        <v>82</v>
      </c>
      <c r="Z52" t="s" s="0">
        <v>91</v>
      </c>
      <c r="AA52" t="s" s="0">
        <v>92</v>
      </c>
      <c r="AB52" t="s" s="0">
        <v>82</v>
      </c>
      <c r="AC52" t="s" s="0">
        <v>82</v>
      </c>
      <c r="AD52" t="s" s="0">
        <v>82</v>
      </c>
      <c r="AE52" t="s" s="0">
        <v>82</v>
      </c>
      <c r="AF52" t="s" s="0">
        <v>82</v>
      </c>
      <c r="AG52" t="s" s="0">
        <v>1402</v>
      </c>
      <c r="AH52" t="s" s="0">
        <v>1403</v>
      </c>
      <c r="AI52" t="s" s="0">
        <v>1404</v>
      </c>
      <c r="AJ52" t="s" s="0">
        <v>1405</v>
      </c>
      <c r="AK52" t="s" s="0">
        <v>82</v>
      </c>
      <c r="AL52" t="s" s="0">
        <v>473</v>
      </c>
      <c r="AM52" t="s" s="0">
        <v>138</v>
      </c>
      <c r="AN52" t="s" s="0">
        <v>96</v>
      </c>
      <c r="AO52" t="s" s="0">
        <v>148</v>
      </c>
      <c r="AP52" t="s" s="0">
        <v>502</v>
      </c>
      <c r="AQ52" t="s" s="0">
        <v>795</v>
      </c>
      <c r="AR52" t="s" s="0">
        <v>796</v>
      </c>
      <c r="AS52" t="s" s="0">
        <v>797</v>
      </c>
      <c r="AT52" t="s" s="0">
        <v>1229</v>
      </c>
      <c r="AU52" t="s" s="0">
        <v>1230</v>
      </c>
      <c r="AV52" t="s" s="0">
        <v>82</v>
      </c>
      <c r="AW52" t="s" s="0">
        <v>1231</v>
      </c>
      <c r="AX52" t="s" s="0">
        <v>1232</v>
      </c>
      <c r="AY52" t="s" s="0">
        <v>1406</v>
      </c>
      <c r="AZ52" t="s" s="0">
        <v>146</v>
      </c>
      <c r="BA52" t="s" s="0">
        <v>763</v>
      </c>
      <c r="BB52" t="s" s="0">
        <v>235</v>
      </c>
      <c r="BC52" t="s" s="0">
        <v>82</v>
      </c>
      <c r="BD52" t="s" s="0">
        <v>82</v>
      </c>
      <c r="BE52" t="s" s="0">
        <v>82</v>
      </c>
      <c r="BF52" t="s" s="0">
        <v>82</v>
      </c>
      <c r="BG52" t="s" s="0">
        <v>1407</v>
      </c>
      <c r="BH52" t="s" s="0">
        <v>1408</v>
      </c>
      <c r="BI52" t="s" s="0">
        <v>82</v>
      </c>
      <c r="BJ52" t="s" s="0">
        <v>1409</v>
      </c>
      <c r="BK52" t="s" s="101">
        <f>HYPERLINK("http://dx.doi.org/10.1007/s10278-024-01051-8","http://dx.doi.org/10.1007/s10278-024-01051-8")</f>
        <v>1410</v>
      </c>
      <c r="BL52" t="s" s="0">
        <v>82</v>
      </c>
      <c r="BM52" t="s" s="0">
        <v>1411</v>
      </c>
      <c r="BN52" t="s" s="0">
        <v>148</v>
      </c>
      <c r="BO52" t="s" s="0">
        <v>717</v>
      </c>
      <c r="BP52" t="s" s="0">
        <v>717</v>
      </c>
      <c r="BQ52" t="s" s="0">
        <v>1412</v>
      </c>
      <c r="BR52" t="s" s="0">
        <v>1413</v>
      </c>
      <c r="BS52" t="s" s="0">
        <v>1414</v>
      </c>
      <c r="BT52" t="s" s="102">
        <f>HYPERLINK("https://www.webofscience.com/wos/woscc/full-record/WOS:001193751700001","View Record in Web of Science")</f>
        <v>120</v>
      </c>
      <c r="BU52" t="s" s="0">
        <v>809</v>
      </c>
      <c r="BV52" t="s" s="0">
        <v>82</v>
      </c>
      <c r="BW52" t="s" s="0">
        <v>82</v>
      </c>
      <c r="BX52" t="s" s="0">
        <v>121</v>
      </c>
    </row>
    <row r="53">
      <c r="A53" t="s" s="0">
        <v>363</v>
      </c>
      <c r="B53" t="s" s="0">
        <v>77</v>
      </c>
      <c r="C53" t="s" s="0">
        <v>96</v>
      </c>
      <c r="D53" t="s" s="0">
        <v>77</v>
      </c>
      <c r="E53" t="s" s="0">
        <v>1415</v>
      </c>
      <c r="F53" t="s" s="0">
        <v>1416</v>
      </c>
      <c r="G53" t="s" s="0">
        <v>1417</v>
      </c>
      <c r="H53" t="s" s="0">
        <v>82</v>
      </c>
      <c r="I53" t="s" s="0">
        <v>83</v>
      </c>
      <c r="J53" t="s" s="0">
        <v>1418</v>
      </c>
      <c r="K53" t="s" s="0">
        <v>1419</v>
      </c>
      <c r="L53" t="s" s="0">
        <v>1420</v>
      </c>
      <c r="M53" t="s" s="0">
        <v>1420</v>
      </c>
      <c r="N53" t="s" s="0">
        <v>1421</v>
      </c>
      <c r="O53" t="s" s="0">
        <v>1422</v>
      </c>
      <c r="P53" t="s" s="0">
        <v>1423</v>
      </c>
      <c r="Q53" t="s" s="0">
        <v>88</v>
      </c>
      <c r="R53" t="s" s="0">
        <v>82</v>
      </c>
      <c r="S53" t="s" s="0">
        <v>82</v>
      </c>
      <c r="T53" t="s" s="0">
        <v>82</v>
      </c>
      <c r="U53" t="s" s="0">
        <v>82</v>
      </c>
      <c r="V53" t="s" s="0">
        <v>1424</v>
      </c>
      <c r="W53" t="s" s="0">
        <v>1425</v>
      </c>
      <c r="X53" t="s" s="0">
        <v>82</v>
      </c>
      <c r="Y53" t="s" s="0">
        <v>82</v>
      </c>
      <c r="Z53" t="s" s="0">
        <v>91</v>
      </c>
      <c r="AA53" t="s" s="0">
        <v>92</v>
      </c>
      <c r="AB53" t="s" s="0">
        <v>82</v>
      </c>
      <c r="AC53" t="s" s="0">
        <v>82</v>
      </c>
      <c r="AD53" t="s" s="0">
        <v>82</v>
      </c>
      <c r="AE53" t="s" s="0">
        <v>82</v>
      </c>
      <c r="AF53" t="s" s="0">
        <v>82</v>
      </c>
      <c r="AG53" t="s" s="0">
        <v>82</v>
      </c>
      <c r="AH53" t="s" s="0">
        <v>1426</v>
      </c>
      <c r="AI53" t="s" s="0">
        <v>1427</v>
      </c>
      <c r="AJ53" t="s" s="0">
        <v>1428</v>
      </c>
      <c r="AK53" t="s" s="0">
        <v>82</v>
      </c>
      <c r="AL53" t="s" s="0">
        <v>824</v>
      </c>
      <c r="AM53" t="s" s="0">
        <v>1429</v>
      </c>
      <c r="AN53" t="s" s="0">
        <v>1430</v>
      </c>
      <c r="AO53" t="s" s="0">
        <v>272</v>
      </c>
      <c r="AP53" t="s" s="0">
        <v>962</v>
      </c>
      <c r="AQ53" t="s" s="0">
        <v>172</v>
      </c>
      <c r="AR53" t="s" s="0">
        <v>173</v>
      </c>
      <c r="AS53" t="s" s="0">
        <v>174</v>
      </c>
      <c r="AT53" t="s" s="0">
        <v>1431</v>
      </c>
      <c r="AU53" t="s" s="0">
        <v>1432</v>
      </c>
      <c r="AV53" t="s" s="0">
        <v>82</v>
      </c>
      <c r="AW53" t="s" s="0">
        <v>1433</v>
      </c>
      <c r="AX53" t="s" s="0">
        <v>1434</v>
      </c>
      <c r="AY53" t="s" s="0">
        <v>1435</v>
      </c>
      <c r="AZ53" t="s" s="0">
        <v>108</v>
      </c>
      <c r="BA53" t="s" s="0">
        <v>473</v>
      </c>
      <c r="BB53" t="s" s="0">
        <v>204</v>
      </c>
      <c r="BC53" t="s" s="0">
        <v>82</v>
      </c>
      <c r="BD53" t="s" s="0">
        <v>82</v>
      </c>
      <c r="BE53" t="s" s="0">
        <v>82</v>
      </c>
      <c r="BF53" t="s" s="0">
        <v>82</v>
      </c>
      <c r="BG53" t="s" s="0">
        <v>1436</v>
      </c>
      <c r="BH53" t="s" s="0">
        <v>1437</v>
      </c>
      <c r="BI53" t="s" s="0">
        <v>82</v>
      </c>
      <c r="BJ53" t="s" s="0">
        <v>1438</v>
      </c>
      <c r="BK53" t="s" s="103">
        <f>HYPERLINK("http://dx.doi.org/10.1038/s41591-024-03302-1","http://dx.doi.org/10.1038/s41591-024-03302-1")</f>
        <v>1439</v>
      </c>
      <c r="BL53" t="s" s="0">
        <v>82</v>
      </c>
      <c r="BM53" t="s" s="0">
        <v>390</v>
      </c>
      <c r="BN53" t="s" s="0">
        <v>363</v>
      </c>
      <c r="BO53" t="s" s="0">
        <v>1440</v>
      </c>
      <c r="BP53" t="s" s="0">
        <v>1441</v>
      </c>
      <c r="BQ53" t="s" s="0">
        <v>1442</v>
      </c>
      <c r="BR53" t="s" s="0">
        <v>1443</v>
      </c>
      <c r="BS53" t="s" s="0">
        <v>1444</v>
      </c>
      <c r="BT53" t="s" s="104">
        <f>HYPERLINK("https://www.webofscience.com/wos/woscc/full-record/WOS:001349843300001","View Record in Web of Science")</f>
        <v>120</v>
      </c>
      <c r="BU53" t="s" s="0">
        <v>924</v>
      </c>
      <c r="BV53" t="s" s="0">
        <v>82</v>
      </c>
      <c r="BW53" t="s" s="0">
        <v>82</v>
      </c>
      <c r="BX53" t="s" s="0">
        <v>121</v>
      </c>
    </row>
    <row r="54">
      <c r="A54" t="s" s="0">
        <v>77</v>
      </c>
      <c r="B54" t="s" s="0">
        <v>77</v>
      </c>
      <c r="C54" t="s" s="0">
        <v>77</v>
      </c>
      <c r="D54" t="s" s="0">
        <v>77</v>
      </c>
      <c r="E54" t="s" s="0">
        <v>1445</v>
      </c>
      <c r="F54" t="s" s="0">
        <v>1446</v>
      </c>
      <c r="G54" t="s" s="0">
        <v>1447</v>
      </c>
      <c r="H54" t="s" s="0">
        <v>82</v>
      </c>
      <c r="I54" t="s" s="0">
        <v>83</v>
      </c>
      <c r="J54" t="s" s="0">
        <v>1448</v>
      </c>
      <c r="K54" t="s" s="0">
        <v>1449</v>
      </c>
      <c r="L54" t="s" s="0">
        <v>1450</v>
      </c>
      <c r="M54" t="s" s="0">
        <v>224</v>
      </c>
      <c r="N54" t="s" s="0">
        <v>1451</v>
      </c>
      <c r="O54" t="s" s="0">
        <v>1452</v>
      </c>
      <c r="P54" t="s" s="0">
        <v>1453</v>
      </c>
      <c r="Q54" t="s" s="0">
        <v>88</v>
      </c>
      <c r="R54" t="s" s="0">
        <v>82</v>
      </c>
      <c r="S54" t="s" s="0">
        <v>82</v>
      </c>
      <c r="T54" t="s" s="0">
        <v>82</v>
      </c>
      <c r="U54" t="s" s="0">
        <v>82</v>
      </c>
      <c r="V54" t="s" s="0">
        <v>1454</v>
      </c>
      <c r="W54" t="s" s="0">
        <v>1455</v>
      </c>
      <c r="X54" t="s" s="0">
        <v>82</v>
      </c>
      <c r="Y54" t="s" s="0">
        <v>82</v>
      </c>
      <c r="Z54" t="s" s="0">
        <v>91</v>
      </c>
      <c r="AA54" t="s" s="0">
        <v>92</v>
      </c>
      <c r="AB54" t="s" s="0">
        <v>82</v>
      </c>
      <c r="AC54" t="s" s="0">
        <v>82</v>
      </c>
      <c r="AD54" t="s" s="0">
        <v>82</v>
      </c>
      <c r="AE54" t="s" s="0">
        <v>82</v>
      </c>
      <c r="AF54" t="s" s="0">
        <v>82</v>
      </c>
      <c r="AG54" t="s" s="0">
        <v>1456</v>
      </c>
      <c r="AH54" t="s" s="0">
        <v>82</v>
      </c>
      <c r="AI54" t="s" s="0">
        <v>1457</v>
      </c>
      <c r="AJ54" t="s" s="0">
        <v>82</v>
      </c>
      <c r="AK54" t="s" s="0">
        <v>82</v>
      </c>
      <c r="AL54" t="s" s="0">
        <v>1458</v>
      </c>
      <c r="AM54" t="s" s="0">
        <v>77</v>
      </c>
      <c r="AN54" t="s" s="0">
        <v>77</v>
      </c>
      <c r="AO54" t="s" s="0">
        <v>235</v>
      </c>
      <c r="AP54" t="s" s="0">
        <v>235</v>
      </c>
      <c r="AQ54" t="s" s="0">
        <v>100</v>
      </c>
      <c r="AR54" t="s" s="0">
        <v>101</v>
      </c>
      <c r="AS54" t="s" s="0">
        <v>102</v>
      </c>
      <c r="AT54" t="s" s="0">
        <v>1459</v>
      </c>
      <c r="AU54" t="s" s="0">
        <v>1460</v>
      </c>
      <c r="AV54" t="s" s="0">
        <v>82</v>
      </c>
      <c r="AW54" t="s" s="0">
        <v>1461</v>
      </c>
      <c r="AX54" t="s" s="0">
        <v>1462</v>
      </c>
      <c r="AY54" t="s" s="0">
        <v>179</v>
      </c>
      <c r="AZ54" t="s" s="0">
        <v>179</v>
      </c>
      <c r="BA54" t="s" s="0">
        <v>391</v>
      </c>
      <c r="BB54" t="s" s="0">
        <v>82</v>
      </c>
      <c r="BC54" t="s" s="0">
        <v>82</v>
      </c>
      <c r="BD54" t="s" s="0">
        <v>82</v>
      </c>
      <c r="BE54" t="s" s="0">
        <v>82</v>
      </c>
      <c r="BF54" t="s" s="0">
        <v>82</v>
      </c>
      <c r="BG54" t="s" s="0">
        <v>1463</v>
      </c>
      <c r="BH54" t="s" s="0">
        <v>1464</v>
      </c>
      <c r="BI54" t="s" s="0">
        <v>82</v>
      </c>
      <c r="BJ54" t="s" s="0">
        <v>1465</v>
      </c>
      <c r="BK54" t="s" s="105">
        <f>HYPERLINK("http://dx.doi.org/10.1109/TIP.2026.3671665","http://dx.doi.org/10.1109/TIP.2026.3671665")</f>
        <v>1466</v>
      </c>
      <c r="BL54" t="s" s="0">
        <v>82</v>
      </c>
      <c r="BM54" t="s" s="0">
        <v>82</v>
      </c>
      <c r="BN54" t="s" s="0">
        <v>109</v>
      </c>
      <c r="BO54" t="s" s="0">
        <v>278</v>
      </c>
      <c r="BP54" t="s" s="0">
        <v>279</v>
      </c>
      <c r="BQ54" t="s" s="0">
        <v>1467</v>
      </c>
      <c r="BR54" t="s" s="0">
        <v>1468</v>
      </c>
      <c r="BS54" t="s" s="0">
        <v>1469</v>
      </c>
      <c r="BT54" t="s" s="106">
        <f>HYPERLINK("https://www.webofscience.com/wos/woscc/full-record/WOS:001719543800007","View Record in Web of Science")</f>
        <v>120</v>
      </c>
      <c r="BU54" t="s" s="0">
        <v>82</v>
      </c>
      <c r="BV54" t="s" s="0">
        <v>82</v>
      </c>
      <c r="BW54" t="s" s="0">
        <v>82</v>
      </c>
      <c r="BX54" t="s" s="0">
        <v>121</v>
      </c>
    </row>
    <row r="55">
      <c r="A55" t="s" s="0">
        <v>77</v>
      </c>
      <c r="B55" t="s" s="0">
        <v>77</v>
      </c>
      <c r="C55" t="s" s="0">
        <v>77</v>
      </c>
      <c r="D55" t="s" s="0">
        <v>77</v>
      </c>
      <c r="E55" t="s" s="0">
        <v>1470</v>
      </c>
      <c r="F55" t="s" s="0">
        <v>1471</v>
      </c>
      <c r="G55" t="s" s="0">
        <v>1472</v>
      </c>
      <c r="H55" t="s" s="0">
        <v>82</v>
      </c>
      <c r="I55" t="s" s="0">
        <v>460</v>
      </c>
      <c r="J55" t="s" s="0">
        <v>1473</v>
      </c>
      <c r="K55" t="s" s="0">
        <v>1474</v>
      </c>
      <c r="L55" t="s" s="0">
        <v>82</v>
      </c>
      <c r="M55" t="s" s="0">
        <v>82</v>
      </c>
      <c r="N55" t="s" s="0">
        <v>82</v>
      </c>
      <c r="O55" t="s" s="0">
        <v>1475</v>
      </c>
      <c r="P55" t="s" s="0">
        <v>1476</v>
      </c>
      <c r="Q55" t="s" s="0">
        <v>88</v>
      </c>
      <c r="R55" t="s" s="0">
        <v>82</v>
      </c>
      <c r="S55" t="s" s="0">
        <v>82</v>
      </c>
      <c r="T55" t="s" s="0">
        <v>82</v>
      </c>
      <c r="U55" t="s" s="0">
        <v>82</v>
      </c>
      <c r="V55" t="s" s="0">
        <v>1477</v>
      </c>
      <c r="W55" t="s" s="0">
        <v>1478</v>
      </c>
      <c r="X55" t="s" s="0">
        <v>82</v>
      </c>
      <c r="Y55" t="s" s="0">
        <v>82</v>
      </c>
      <c r="Z55" t="s" s="0">
        <v>91</v>
      </c>
      <c r="AA55" t="s" s="0">
        <v>92</v>
      </c>
      <c r="AB55" t="s" s="0">
        <v>82</v>
      </c>
      <c r="AC55" t="s" s="0">
        <v>82</v>
      </c>
      <c r="AD55" t="s" s="0">
        <v>82</v>
      </c>
      <c r="AE55" t="s" s="0">
        <v>82</v>
      </c>
      <c r="AF55" t="s" s="0">
        <v>82</v>
      </c>
      <c r="AG55" t="s" s="0">
        <v>1479</v>
      </c>
      <c r="AH55" t="s" s="0">
        <v>82</v>
      </c>
      <c r="AI55" t="s" s="0">
        <v>82</v>
      </c>
      <c r="AJ55" t="s" s="0">
        <v>82</v>
      </c>
      <c r="AK55" t="s" s="0">
        <v>82</v>
      </c>
      <c r="AL55" t="s" s="0">
        <v>391</v>
      </c>
      <c r="AM55" t="s" s="0">
        <v>77</v>
      </c>
      <c r="AN55" t="s" s="0">
        <v>77</v>
      </c>
      <c r="AO55" t="s" s="0">
        <v>110</v>
      </c>
      <c r="AP55" t="s" s="0">
        <v>110</v>
      </c>
      <c r="AQ55" t="s" s="0">
        <v>296</v>
      </c>
      <c r="AR55" t="s" s="0">
        <v>297</v>
      </c>
      <c r="AS55" t="s" s="0">
        <v>298</v>
      </c>
      <c r="AT55" t="s" s="0">
        <v>82</v>
      </c>
      <c r="AU55" t="s" s="0">
        <v>1480</v>
      </c>
      <c r="AV55" t="s" s="0">
        <v>82</v>
      </c>
      <c r="AW55" t="s" s="0">
        <v>1481</v>
      </c>
      <c r="AX55" t="s" s="0">
        <v>1482</v>
      </c>
      <c r="AY55" t="s" s="0">
        <v>270</v>
      </c>
      <c r="AZ55" t="s" s="0">
        <v>179</v>
      </c>
      <c r="BA55" t="s" s="0">
        <v>109</v>
      </c>
      <c r="BB55" t="s" s="0">
        <v>82</v>
      </c>
      <c r="BC55" t="s" s="0">
        <v>82</v>
      </c>
      <c r="BD55" t="s" s="0">
        <v>82</v>
      </c>
      <c r="BE55" t="s" s="0">
        <v>82</v>
      </c>
      <c r="BF55" t="s" s="0">
        <v>82</v>
      </c>
      <c r="BG55" t="s" s="0">
        <v>82</v>
      </c>
      <c r="BH55" t="s" s="0">
        <v>82</v>
      </c>
      <c r="BI55" t="s" s="0">
        <v>1483</v>
      </c>
      <c r="BJ55" t="s" s="0">
        <v>1484</v>
      </c>
      <c r="BK55" t="s" s="107">
        <f>HYPERLINK("http://dx.doi.org/10.1016/j.atech.2026.102006","http://dx.doi.org/10.1016/j.atech.2026.102006")</f>
        <v>1485</v>
      </c>
      <c r="BL55" t="s" s="0">
        <v>82</v>
      </c>
      <c r="BM55" t="s" s="0">
        <v>82</v>
      </c>
      <c r="BN55" t="s" s="0">
        <v>277</v>
      </c>
      <c r="BO55" t="s" s="0">
        <v>1486</v>
      </c>
      <c r="BP55" t="s" s="0">
        <v>1487</v>
      </c>
      <c r="BQ55" t="s" s="0">
        <v>1488</v>
      </c>
      <c r="BR55" t="s" s="0">
        <v>82</v>
      </c>
      <c r="BS55" t="s" s="0">
        <v>1489</v>
      </c>
      <c r="BT55" t="s" s="108">
        <f>HYPERLINK("https://www.webofscience.com/wos/woscc/full-record/WOS:001722376500001","View Record in Web of Science")</f>
        <v>120</v>
      </c>
      <c r="BU55" t="s" s="0">
        <v>335</v>
      </c>
      <c r="BV55" t="s" s="0">
        <v>82</v>
      </c>
      <c r="BW55" t="s" s="0">
        <v>82</v>
      </c>
      <c r="BX55" t="s" s="0">
        <v>121</v>
      </c>
    </row>
    <row r="56">
      <c r="A56" t="s" s="0">
        <v>99</v>
      </c>
      <c r="B56" t="s" s="0">
        <v>77</v>
      </c>
      <c r="C56" t="s" s="0">
        <v>97</v>
      </c>
      <c r="D56" t="s" s="0">
        <v>77</v>
      </c>
      <c r="E56" t="s" s="0">
        <v>1490</v>
      </c>
      <c r="F56" t="s" s="0">
        <v>1491</v>
      </c>
      <c r="G56" t="s" s="0">
        <v>1492</v>
      </c>
      <c r="H56" t="s" s="0">
        <v>82</v>
      </c>
      <c r="I56" t="s" s="0">
        <v>83</v>
      </c>
      <c r="J56" t="s" s="0">
        <v>1493</v>
      </c>
      <c r="K56" t="s" s="0">
        <v>1494</v>
      </c>
      <c r="L56" t="s" s="0">
        <v>1495</v>
      </c>
      <c r="M56" t="s" s="0">
        <v>224</v>
      </c>
      <c r="N56" t="s" s="0">
        <v>1496</v>
      </c>
      <c r="O56" t="s" s="0">
        <v>1497</v>
      </c>
      <c r="P56" t="s" s="0">
        <v>1498</v>
      </c>
      <c r="Q56" t="s" s="0">
        <v>88</v>
      </c>
      <c r="R56" t="s" s="0">
        <v>82</v>
      </c>
      <c r="S56" t="s" s="0">
        <v>82</v>
      </c>
      <c r="T56" t="s" s="0">
        <v>82</v>
      </c>
      <c r="U56" t="s" s="0">
        <v>82</v>
      </c>
      <c r="V56" t="s" s="0">
        <v>1499</v>
      </c>
      <c r="W56" t="s" s="0">
        <v>1500</v>
      </c>
      <c r="X56" t="s" s="0">
        <v>82</v>
      </c>
      <c r="Y56" t="s" s="0">
        <v>82</v>
      </c>
      <c r="Z56" t="s" s="0">
        <v>91</v>
      </c>
      <c r="AA56" t="s" s="0">
        <v>92</v>
      </c>
      <c r="AB56" t="s" s="0">
        <v>82</v>
      </c>
      <c r="AC56" t="s" s="0">
        <v>82</v>
      </c>
      <c r="AD56" t="s" s="0">
        <v>82</v>
      </c>
      <c r="AE56" t="s" s="0">
        <v>82</v>
      </c>
      <c r="AF56" t="s" s="0">
        <v>82</v>
      </c>
      <c r="AG56" t="s" s="0">
        <v>1501</v>
      </c>
      <c r="AH56" t="s" s="0">
        <v>82</v>
      </c>
      <c r="AI56" t="s" s="0">
        <v>1502</v>
      </c>
      <c r="AJ56" t="s" s="0">
        <v>1503</v>
      </c>
      <c r="AK56" t="s" s="0">
        <v>82</v>
      </c>
      <c r="AL56" t="s" s="0">
        <v>1115</v>
      </c>
      <c r="AM56" t="s" s="0">
        <v>1504</v>
      </c>
      <c r="AN56" t="s" s="0">
        <v>1505</v>
      </c>
      <c r="AO56" t="s" s="0">
        <v>110</v>
      </c>
      <c r="AP56" t="s" s="0">
        <v>1506</v>
      </c>
      <c r="AQ56" t="s" s="0">
        <v>418</v>
      </c>
      <c r="AR56" t="s" s="0">
        <v>419</v>
      </c>
      <c r="AS56" t="s" s="0">
        <v>420</v>
      </c>
      <c r="AT56" t="s" s="0">
        <v>82</v>
      </c>
      <c r="AU56" t="s" s="0">
        <v>1507</v>
      </c>
      <c r="AV56" t="s" s="0">
        <v>82</v>
      </c>
      <c r="AW56" t="s" s="0">
        <v>1508</v>
      </c>
      <c r="AX56" t="s" s="0">
        <v>1509</v>
      </c>
      <c r="AY56" t="s" s="0">
        <v>770</v>
      </c>
      <c r="AZ56" t="s" s="0">
        <v>146</v>
      </c>
      <c r="BA56" t="s" s="0">
        <v>96</v>
      </c>
      <c r="BB56" t="s" s="0">
        <v>976</v>
      </c>
      <c r="BC56" t="s" s="0">
        <v>82</v>
      </c>
      <c r="BD56" t="s" s="0">
        <v>82</v>
      </c>
      <c r="BE56" t="s" s="0">
        <v>82</v>
      </c>
      <c r="BF56" t="s" s="0">
        <v>82</v>
      </c>
      <c r="BG56" t="s" s="0">
        <v>82</v>
      </c>
      <c r="BH56" t="s" s="0">
        <v>82</v>
      </c>
      <c r="BI56" t="s" s="0">
        <v>1510</v>
      </c>
      <c r="BJ56" t="s" s="0">
        <v>1511</v>
      </c>
      <c r="BK56" t="s" s="109">
        <f>HYPERLINK("http://dx.doi.org/10.3390/s24186109","http://dx.doi.org/10.3390/s24186109")</f>
        <v>1512</v>
      </c>
      <c r="BL56" t="s" s="0">
        <v>82</v>
      </c>
      <c r="BM56" t="s" s="0">
        <v>82</v>
      </c>
      <c r="BN56" t="s" s="0">
        <v>892</v>
      </c>
      <c r="BO56" t="s" s="0">
        <v>1513</v>
      </c>
      <c r="BP56" t="s" s="0">
        <v>1514</v>
      </c>
      <c r="BQ56" t="s" s="0">
        <v>1515</v>
      </c>
      <c r="BR56" t="s" s="0">
        <v>1516</v>
      </c>
      <c r="BS56" t="s" s="0">
        <v>1517</v>
      </c>
      <c r="BT56" t="s" s="110">
        <f>HYPERLINK("https://www.webofscience.com/wos/woscc/full-record/WOS:001323785900001","View Record in Web of Science")</f>
        <v>120</v>
      </c>
      <c r="BU56" t="s" s="0">
        <v>189</v>
      </c>
      <c r="BV56" t="s" s="0">
        <v>82</v>
      </c>
      <c r="BW56" t="s" s="0">
        <v>82</v>
      </c>
      <c r="BX56" t="s" s="0">
        <v>121</v>
      </c>
    </row>
    <row r="57">
      <c r="A57" t="s" s="0">
        <v>77</v>
      </c>
      <c r="B57" t="s" s="0">
        <v>77</v>
      </c>
      <c r="C57" t="s" s="0">
        <v>77</v>
      </c>
      <c r="D57" t="s" s="0">
        <v>77</v>
      </c>
      <c r="E57" t="s" s="0">
        <v>1518</v>
      </c>
      <c r="F57" t="s" s="0">
        <v>1519</v>
      </c>
      <c r="G57" t="s" s="0">
        <v>1520</v>
      </c>
      <c r="H57" t="s" s="0">
        <v>82</v>
      </c>
      <c r="I57" t="s" s="0">
        <v>83</v>
      </c>
      <c r="J57" t="s" s="0">
        <v>1521</v>
      </c>
      <c r="K57" t="s" s="0">
        <v>1522</v>
      </c>
      <c r="L57" t="s" s="0">
        <v>1523</v>
      </c>
      <c r="M57" t="s" s="0">
        <v>1524</v>
      </c>
      <c r="N57" t="s" s="0">
        <v>1525</v>
      </c>
      <c r="O57" t="s" s="0">
        <v>1526</v>
      </c>
      <c r="P57" t="s" s="0">
        <v>1527</v>
      </c>
      <c r="Q57" t="s" s="0">
        <v>88</v>
      </c>
      <c r="R57" t="s" s="0">
        <v>82</v>
      </c>
      <c r="S57" t="s" s="0">
        <v>82</v>
      </c>
      <c r="T57" t="s" s="0">
        <v>82</v>
      </c>
      <c r="U57" t="s" s="0">
        <v>82</v>
      </c>
      <c r="V57" t="s" s="0">
        <v>1528</v>
      </c>
      <c r="W57" t="s" s="0">
        <v>1529</v>
      </c>
      <c r="X57" t="s" s="0">
        <v>82</v>
      </c>
      <c r="Y57" t="s" s="0">
        <v>82</v>
      </c>
      <c r="Z57" t="s" s="0">
        <v>91</v>
      </c>
      <c r="AA57" t="s" s="0">
        <v>92</v>
      </c>
      <c r="AB57" t="s" s="0">
        <v>82</v>
      </c>
      <c r="AC57" t="s" s="0">
        <v>82</v>
      </c>
      <c r="AD57" t="s" s="0">
        <v>82</v>
      </c>
      <c r="AE57" t="s" s="0">
        <v>82</v>
      </c>
      <c r="AF57" t="s" s="0">
        <v>82</v>
      </c>
      <c r="AG57" t="s" s="0">
        <v>82</v>
      </c>
      <c r="AH57" t="s" s="0">
        <v>682</v>
      </c>
      <c r="AI57" t="s" s="0">
        <v>1530</v>
      </c>
      <c r="AJ57" t="s" s="0">
        <v>1531</v>
      </c>
      <c r="AK57" t="s" s="0">
        <v>82</v>
      </c>
      <c r="AL57" t="s" s="0">
        <v>415</v>
      </c>
      <c r="AM57" t="s" s="0">
        <v>110</v>
      </c>
      <c r="AN57" t="s" s="0">
        <v>110</v>
      </c>
      <c r="AO57" t="s" s="0">
        <v>96</v>
      </c>
      <c r="AP57" t="s" s="0">
        <v>1532</v>
      </c>
      <c r="AQ57" t="s" s="0">
        <v>172</v>
      </c>
      <c r="AR57" t="s" s="0">
        <v>173</v>
      </c>
      <c r="AS57" t="s" s="0">
        <v>174</v>
      </c>
      <c r="AT57" t="s" s="0">
        <v>1533</v>
      </c>
      <c r="AU57" t="s" s="0">
        <v>82</v>
      </c>
      <c r="AV57" t="s" s="0">
        <v>82</v>
      </c>
      <c r="AW57" t="s" s="0">
        <v>1534</v>
      </c>
      <c r="AX57" t="s" s="0">
        <v>1535</v>
      </c>
      <c r="AY57" t="s" s="0">
        <v>270</v>
      </c>
      <c r="AZ57" t="s" s="0">
        <v>179</v>
      </c>
      <c r="BA57" t="s" s="0">
        <v>363</v>
      </c>
      <c r="BB57" t="s" s="0">
        <v>272</v>
      </c>
      <c r="BC57" t="s" s="0">
        <v>82</v>
      </c>
      <c r="BD57" t="s" s="0">
        <v>82</v>
      </c>
      <c r="BE57" t="s" s="0">
        <v>82</v>
      </c>
      <c r="BF57" t="s" s="0">
        <v>82</v>
      </c>
      <c r="BG57" t="s" s="0">
        <v>82</v>
      </c>
      <c r="BH57" t="s" s="0">
        <v>82</v>
      </c>
      <c r="BI57" t="s" s="0">
        <v>82</v>
      </c>
      <c r="BJ57" t="s" s="0">
        <v>1536</v>
      </c>
      <c r="BK57" t="s" s="111">
        <f>HYPERLINK("http://dx.doi.org/10.1038/s41551-025-01574-7","http://dx.doi.org/10.1038/s41551-025-01574-7")</f>
        <v>1537</v>
      </c>
      <c r="BL57" t="s" s="0">
        <v>82</v>
      </c>
      <c r="BM57" t="s" s="0">
        <v>1360</v>
      </c>
      <c r="BN57" t="s" s="0">
        <v>138</v>
      </c>
      <c r="BO57" t="s" s="0">
        <v>516</v>
      </c>
      <c r="BP57" t="s" s="0">
        <v>247</v>
      </c>
      <c r="BQ57" t="s" s="0">
        <v>1538</v>
      </c>
      <c r="BR57" t="s" s="0">
        <v>1539</v>
      </c>
      <c r="BS57" t="s" s="0">
        <v>1540</v>
      </c>
      <c r="BT57" t="s" s="112">
        <f>HYPERLINK("https://www.webofscience.com/wos/woscc/full-record/WOS:001654887200001","View Record in Web of Science")</f>
        <v>120</v>
      </c>
      <c r="BU57" t="s" s="0">
        <v>82</v>
      </c>
      <c r="BV57" t="s" s="0">
        <v>82</v>
      </c>
      <c r="BW57" t="s" s="0">
        <v>82</v>
      </c>
      <c r="BX57" t="s" s="0">
        <v>121</v>
      </c>
    </row>
    <row r="58">
      <c r="A58" t="s" s="0">
        <v>78</v>
      </c>
      <c r="B58" t="s" s="0">
        <v>77</v>
      </c>
      <c r="C58" t="s" s="0">
        <v>204</v>
      </c>
      <c r="D58" t="s" s="0">
        <v>77</v>
      </c>
      <c r="E58" t="s" s="0">
        <v>1541</v>
      </c>
      <c r="F58" t="s" s="0">
        <v>1542</v>
      </c>
      <c r="G58" t="s" s="0">
        <v>1543</v>
      </c>
      <c r="H58" t="s" s="0">
        <v>82</v>
      </c>
      <c r="I58" t="s" s="0">
        <v>83</v>
      </c>
      <c r="J58" t="s" s="0">
        <v>1544</v>
      </c>
      <c r="K58" t="s" s="0">
        <v>1545</v>
      </c>
      <c r="L58" t="s" s="0">
        <v>82</v>
      </c>
      <c r="M58" t="s" s="0">
        <v>82</v>
      </c>
      <c r="N58" t="s" s="0">
        <v>82</v>
      </c>
      <c r="O58" t="s" s="0">
        <v>1546</v>
      </c>
      <c r="P58" t="s" s="0">
        <v>1547</v>
      </c>
      <c r="Q58" t="s" s="0">
        <v>88</v>
      </c>
      <c r="R58" t="s" s="0">
        <v>82</v>
      </c>
      <c r="S58" t="s" s="0">
        <v>82</v>
      </c>
      <c r="T58" t="s" s="0">
        <v>82</v>
      </c>
      <c r="U58" t="s" s="0">
        <v>82</v>
      </c>
      <c r="V58" t="s" s="0">
        <v>1548</v>
      </c>
      <c r="W58" t="s" s="0">
        <v>1549</v>
      </c>
      <c r="X58" t="s" s="0">
        <v>82</v>
      </c>
      <c r="Y58" t="s" s="0">
        <v>82</v>
      </c>
      <c r="Z58" t="s" s="0">
        <v>91</v>
      </c>
      <c r="AA58" t="s" s="0">
        <v>92</v>
      </c>
      <c r="AB58" t="s" s="0">
        <v>82</v>
      </c>
      <c r="AC58" t="s" s="0">
        <v>82</v>
      </c>
      <c r="AD58" t="s" s="0">
        <v>82</v>
      </c>
      <c r="AE58" t="s" s="0">
        <v>82</v>
      </c>
      <c r="AF58" t="s" s="0">
        <v>82</v>
      </c>
      <c r="AG58" t="s" s="0">
        <v>1550</v>
      </c>
      <c r="AH58" t="s" s="0">
        <v>82</v>
      </c>
      <c r="AI58" t="s" s="0">
        <v>1551</v>
      </c>
      <c r="AJ58" t="s" s="0">
        <v>1552</v>
      </c>
      <c r="AK58" t="s" s="0">
        <v>82</v>
      </c>
      <c r="AL58" t="s" s="0">
        <v>331</v>
      </c>
      <c r="AM58" t="s" s="0">
        <v>363</v>
      </c>
      <c r="AN58" t="s" s="0">
        <v>307</v>
      </c>
      <c r="AO58" t="s" s="0">
        <v>99</v>
      </c>
      <c r="AP58" t="s" s="0">
        <v>428</v>
      </c>
      <c r="AQ58" t="s" s="0">
        <v>296</v>
      </c>
      <c r="AR58" t="s" s="0">
        <v>297</v>
      </c>
      <c r="AS58" t="s" s="0">
        <v>298</v>
      </c>
      <c r="AT58" t="s" s="0">
        <v>1553</v>
      </c>
      <c r="AU58" t="s" s="0">
        <v>1554</v>
      </c>
      <c r="AV58" t="s" s="0">
        <v>82</v>
      </c>
      <c r="AW58" t="s" s="0">
        <v>1555</v>
      </c>
      <c r="AX58" t="s" s="0">
        <v>1556</v>
      </c>
      <c r="AY58" t="s" s="0">
        <v>539</v>
      </c>
      <c r="AZ58" t="s" s="0">
        <v>108</v>
      </c>
      <c r="BA58" t="s" s="0">
        <v>1557</v>
      </c>
      <c r="BB58" t="s" s="0">
        <v>82</v>
      </c>
      <c r="BC58" t="s" s="0">
        <v>82</v>
      </c>
      <c r="BD58" t="s" s="0">
        <v>82</v>
      </c>
      <c r="BE58" t="s" s="0">
        <v>82</v>
      </c>
      <c r="BF58" t="s" s="0">
        <v>82</v>
      </c>
      <c r="BG58" t="s" s="0">
        <v>272</v>
      </c>
      <c r="BH58" t="s" s="0">
        <v>209</v>
      </c>
      <c r="BI58" t="s" s="0">
        <v>82</v>
      </c>
      <c r="BJ58" t="s" s="0">
        <v>1558</v>
      </c>
      <c r="BK58" t="s" s="113">
        <f>HYPERLINK("http://dx.doi.org/10.1016/j.patrec.2025.01.001","http://dx.doi.org/10.1016/j.patrec.2025.01.001")</f>
        <v>1559</v>
      </c>
      <c r="BL58" t="s" s="0">
        <v>82</v>
      </c>
      <c r="BM58" t="s" s="0">
        <v>1124</v>
      </c>
      <c r="BN58" t="s" s="0">
        <v>115</v>
      </c>
      <c r="BO58" t="s" s="0">
        <v>308</v>
      </c>
      <c r="BP58" t="s" s="0">
        <v>309</v>
      </c>
      <c r="BQ58" t="s" s="0">
        <v>1560</v>
      </c>
      <c r="BR58" t="s" s="0">
        <v>82</v>
      </c>
      <c r="BS58" t="s" s="0">
        <v>1561</v>
      </c>
      <c r="BT58" t="s" s="114">
        <f>HYPERLINK("https://www.webofscience.com/wos/woscc/full-record/WOS:001419833100001","View Record in Web of Science")</f>
        <v>120</v>
      </c>
      <c r="BU58" t="s" s="0">
        <v>82</v>
      </c>
      <c r="BV58" t="s" s="0">
        <v>82</v>
      </c>
      <c r="BW58" t="s" s="0">
        <v>82</v>
      </c>
      <c r="BX58" t="s" s="0">
        <v>121</v>
      </c>
    </row>
    <row r="59">
      <c r="A59" t="s" s="0">
        <v>77</v>
      </c>
      <c r="B59" t="s" s="0">
        <v>77</v>
      </c>
      <c r="C59" t="s" s="0">
        <v>77</v>
      </c>
      <c r="D59" t="s" s="0">
        <v>77</v>
      </c>
      <c r="E59" t="s" s="0">
        <v>1562</v>
      </c>
      <c r="F59" t="s" s="0">
        <v>1563</v>
      </c>
      <c r="G59" t="s" s="0">
        <v>1564</v>
      </c>
      <c r="H59" t="s" s="0">
        <v>82</v>
      </c>
      <c r="I59" t="s" s="0">
        <v>83</v>
      </c>
      <c r="J59" t="s" s="0">
        <v>1565</v>
      </c>
      <c r="K59" t="s" s="0">
        <v>1566</v>
      </c>
      <c r="L59" t="s" s="0">
        <v>1567</v>
      </c>
      <c r="M59" t="s" s="0">
        <v>1568</v>
      </c>
      <c r="N59" t="s" s="0">
        <v>1569</v>
      </c>
      <c r="O59" t="s" s="0">
        <v>1570</v>
      </c>
      <c r="P59" t="s" s="0">
        <v>1571</v>
      </c>
      <c r="Q59" t="s" s="0">
        <v>88</v>
      </c>
      <c r="R59" t="s" s="0">
        <v>82</v>
      </c>
      <c r="S59" t="s" s="0">
        <v>82</v>
      </c>
      <c r="T59" t="s" s="0">
        <v>82</v>
      </c>
      <c r="U59" t="s" s="0">
        <v>82</v>
      </c>
      <c r="V59" t="s" s="0">
        <v>1572</v>
      </c>
      <c r="W59" t="s" s="0">
        <v>500</v>
      </c>
      <c r="X59" t="s" s="0">
        <v>82</v>
      </c>
      <c r="Y59" t="s" s="0">
        <v>82</v>
      </c>
      <c r="Z59" t="s" s="0">
        <v>91</v>
      </c>
      <c r="AA59" t="s" s="0">
        <v>92</v>
      </c>
      <c r="AB59" t="s" s="0">
        <v>82</v>
      </c>
      <c r="AC59" t="s" s="0">
        <v>82</v>
      </c>
      <c r="AD59" t="s" s="0">
        <v>82</v>
      </c>
      <c r="AE59" t="s" s="0">
        <v>82</v>
      </c>
      <c r="AF59" t="s" s="0">
        <v>82</v>
      </c>
      <c r="AG59" t="s" s="0">
        <v>1573</v>
      </c>
      <c r="AH59" t="s" s="0">
        <v>1574</v>
      </c>
      <c r="AI59" t="s" s="0">
        <v>82</v>
      </c>
      <c r="AJ59" t="s" s="0">
        <v>82</v>
      </c>
      <c r="AK59" t="s" s="0">
        <v>82</v>
      </c>
      <c r="AL59" t="s" s="0">
        <v>1575</v>
      </c>
      <c r="AM59" t="s" s="0">
        <v>77</v>
      </c>
      <c r="AN59" t="s" s="0">
        <v>77</v>
      </c>
      <c r="AO59" t="s" s="0">
        <v>77</v>
      </c>
      <c r="AP59" t="s" s="0">
        <v>77</v>
      </c>
      <c r="AQ59" t="s" s="0">
        <v>503</v>
      </c>
      <c r="AR59" t="s" s="0">
        <v>504</v>
      </c>
      <c r="AS59" t="s" s="0">
        <v>505</v>
      </c>
      <c r="AT59" t="s" s="0">
        <v>506</v>
      </c>
      <c r="AU59" t="s" s="0">
        <v>507</v>
      </c>
      <c r="AV59" t="s" s="0">
        <v>82</v>
      </c>
      <c r="AW59" t="s" s="0">
        <v>508</v>
      </c>
      <c r="AX59" t="s" s="0">
        <v>509</v>
      </c>
      <c r="AY59" t="s" s="0">
        <v>510</v>
      </c>
      <c r="AZ59" t="s" s="0">
        <v>179</v>
      </c>
      <c r="BA59" t="s" s="0">
        <v>511</v>
      </c>
      <c r="BB59" t="s" s="0">
        <v>82</v>
      </c>
      <c r="BC59" t="s" s="0">
        <v>82</v>
      </c>
      <c r="BD59" t="s" s="0">
        <v>512</v>
      </c>
      <c r="BE59" t="s" s="0">
        <v>82</v>
      </c>
      <c r="BF59" t="s" s="0">
        <v>82</v>
      </c>
      <c r="BG59" t="s" s="0">
        <v>82</v>
      </c>
      <c r="BH59" t="s" s="0">
        <v>82</v>
      </c>
      <c r="BI59" t="s" s="0">
        <v>1576</v>
      </c>
      <c r="BJ59" t="s" s="0">
        <v>1577</v>
      </c>
      <c r="BK59" t="s" s="115">
        <f>HYPERLINK("http://dx.doi.org/10.1016/j.bspc.2026.111142","http://dx.doi.org/10.1016/j.bspc.2026.111142")</f>
        <v>1578</v>
      </c>
      <c r="BL59" t="s" s="0">
        <v>82</v>
      </c>
      <c r="BM59" t="s" s="0">
        <v>82</v>
      </c>
      <c r="BN59" t="s" s="0">
        <v>277</v>
      </c>
      <c r="BO59" t="s" s="0">
        <v>516</v>
      </c>
      <c r="BP59" t="s" s="0">
        <v>247</v>
      </c>
      <c r="BQ59" t="s" s="0">
        <v>1579</v>
      </c>
      <c r="BR59" t="s" s="0">
        <v>82</v>
      </c>
      <c r="BS59" t="s" s="0">
        <v>1580</v>
      </c>
      <c r="BT59" t="s" s="116">
        <f>HYPERLINK("https://www.webofscience.com/wos/woscc/full-record/WOS:001838225000001","View Record in Web of Science")</f>
        <v>120</v>
      </c>
      <c r="BU59" t="s" s="0">
        <v>82</v>
      </c>
      <c r="BV59" t="s" s="0">
        <v>82</v>
      </c>
      <c r="BW59" t="s" s="0">
        <v>82</v>
      </c>
      <c r="BX59" t="s" s="0">
        <v>121</v>
      </c>
    </row>
    <row r="60">
      <c r="A60" t="s" s="0">
        <v>77</v>
      </c>
      <c r="B60" t="s" s="0">
        <v>77</v>
      </c>
      <c r="C60" t="s" s="0">
        <v>110</v>
      </c>
      <c r="D60" t="s" s="0">
        <v>77</v>
      </c>
      <c r="E60" t="s" s="0">
        <v>1581</v>
      </c>
      <c r="F60" t="s" s="0">
        <v>1582</v>
      </c>
      <c r="G60" t="s" s="0">
        <v>1583</v>
      </c>
      <c r="H60" t="s" s="0">
        <v>82</v>
      </c>
      <c r="I60" t="s" s="0">
        <v>83</v>
      </c>
      <c r="J60" t="s" s="0">
        <v>1584</v>
      </c>
      <c r="K60" t="s" s="0">
        <v>1585</v>
      </c>
      <c r="L60" t="s" s="0">
        <v>1586</v>
      </c>
      <c r="M60" t="s" s="0">
        <v>1587</v>
      </c>
      <c r="N60" t="s" s="0">
        <v>1588</v>
      </c>
      <c r="O60" t="s" s="0">
        <v>1589</v>
      </c>
      <c r="P60" t="s" s="0">
        <v>1590</v>
      </c>
      <c r="Q60" t="s" s="0">
        <v>88</v>
      </c>
      <c r="R60" t="s" s="0">
        <v>82</v>
      </c>
      <c r="S60" t="s" s="0">
        <v>82</v>
      </c>
      <c r="T60" t="s" s="0">
        <v>82</v>
      </c>
      <c r="U60" t="s" s="0">
        <v>82</v>
      </c>
      <c r="V60" t="s" s="0">
        <v>1591</v>
      </c>
      <c r="W60" t="s" s="0">
        <v>1592</v>
      </c>
      <c r="X60" t="s" s="0">
        <v>82</v>
      </c>
      <c r="Y60" t="s" s="0">
        <v>82</v>
      </c>
      <c r="Z60" t="s" s="0">
        <v>91</v>
      </c>
      <c r="AA60" t="s" s="0">
        <v>92</v>
      </c>
      <c r="AB60" t="s" s="0">
        <v>82</v>
      </c>
      <c r="AC60" t="s" s="0">
        <v>82</v>
      </c>
      <c r="AD60" t="s" s="0">
        <v>82</v>
      </c>
      <c r="AE60" t="s" s="0">
        <v>82</v>
      </c>
      <c r="AF60" t="s" s="0">
        <v>82</v>
      </c>
      <c r="AG60" t="s" s="0">
        <v>82</v>
      </c>
      <c r="AH60" t="s" s="0">
        <v>82</v>
      </c>
      <c r="AI60" t="s" s="0">
        <v>1593</v>
      </c>
      <c r="AJ60" t="s" s="0">
        <v>1594</v>
      </c>
      <c r="AK60" t="s" s="0">
        <v>82</v>
      </c>
      <c r="AL60" t="s" s="0">
        <v>794</v>
      </c>
      <c r="AM60" t="s" s="0">
        <v>1532</v>
      </c>
      <c r="AN60" t="s" s="0">
        <v>1273</v>
      </c>
      <c r="AO60" t="s" s="0">
        <v>109</v>
      </c>
      <c r="AP60" t="s" s="0">
        <v>391</v>
      </c>
      <c r="AQ60" t="s" s="0">
        <v>172</v>
      </c>
      <c r="AR60" t="s" s="0">
        <v>173</v>
      </c>
      <c r="AS60" t="s" s="0">
        <v>174</v>
      </c>
      <c r="AT60" t="s" s="0">
        <v>82</v>
      </c>
      <c r="AU60" t="s" s="0">
        <v>1595</v>
      </c>
      <c r="AV60" t="s" s="0">
        <v>82</v>
      </c>
      <c r="AW60" t="s" s="0">
        <v>1596</v>
      </c>
      <c r="AX60" t="s" s="0">
        <v>1597</v>
      </c>
      <c r="AY60" t="s" s="0">
        <v>1598</v>
      </c>
      <c r="AZ60" t="s" s="0">
        <v>108</v>
      </c>
      <c r="BA60" t="s" s="0">
        <v>209</v>
      </c>
      <c r="BB60" t="s" s="0">
        <v>78</v>
      </c>
      <c r="BC60" t="s" s="0">
        <v>82</v>
      </c>
      <c r="BD60" t="s" s="0">
        <v>82</v>
      </c>
      <c r="BE60" t="s" s="0">
        <v>82</v>
      </c>
      <c r="BF60" t="s" s="0">
        <v>82</v>
      </c>
      <c r="BG60" t="s" s="0">
        <v>82</v>
      </c>
      <c r="BH60" t="s" s="0">
        <v>82</v>
      </c>
      <c r="BI60" t="s" s="0">
        <v>1599</v>
      </c>
      <c r="BJ60" t="s" s="0">
        <v>1600</v>
      </c>
      <c r="BK60" t="s" s="117">
        <f>HYPERLINK("http://dx.doi.org/10.1038/s41467-024-55631-x","http://dx.doi.org/10.1038/s41467-024-55631-x")</f>
        <v>1601</v>
      </c>
      <c r="BL60" t="s" s="0">
        <v>82</v>
      </c>
      <c r="BM60" t="s" s="0">
        <v>82</v>
      </c>
      <c r="BN60" t="s" s="0">
        <v>115</v>
      </c>
      <c r="BO60" t="s" s="0">
        <v>213</v>
      </c>
      <c r="BP60" t="s" s="0">
        <v>214</v>
      </c>
      <c r="BQ60" t="s" s="0">
        <v>1602</v>
      </c>
      <c r="BR60" t="s" s="0">
        <v>1603</v>
      </c>
      <c r="BS60" t="s" s="0">
        <v>1604</v>
      </c>
      <c r="BT60" t="s" s="118">
        <f>HYPERLINK("https://www.webofscience.com/wos/woscc/full-record/WOS:001410505900006","View Record in Web of Science")</f>
        <v>120</v>
      </c>
      <c r="BU60" t="s" s="0">
        <v>189</v>
      </c>
      <c r="BV60" t="s" s="0">
        <v>82</v>
      </c>
      <c r="BW60" t="s" s="0">
        <v>82</v>
      </c>
      <c r="BX60" t="s" s="0">
        <v>121</v>
      </c>
    </row>
    <row r="61">
      <c r="A61" t="s" s="0">
        <v>77</v>
      </c>
      <c r="B61" t="s" s="0">
        <v>77</v>
      </c>
      <c r="C61" t="s" s="0">
        <v>77</v>
      </c>
      <c r="D61" t="s" s="0">
        <v>77</v>
      </c>
      <c r="E61" t="s" s="0">
        <v>1605</v>
      </c>
      <c r="F61" t="s" s="0">
        <v>1606</v>
      </c>
      <c r="G61" t="s" s="0">
        <v>1607</v>
      </c>
      <c r="H61" t="s" s="0">
        <v>82</v>
      </c>
      <c r="I61" t="s" s="0">
        <v>83</v>
      </c>
      <c r="J61" t="s" s="0">
        <v>1608</v>
      </c>
      <c r="K61" t="s" s="0">
        <v>1609</v>
      </c>
      <c r="L61" t="s" s="0">
        <v>1610</v>
      </c>
      <c r="M61" t="s" s="0">
        <v>1611</v>
      </c>
      <c r="N61" t="s" s="0">
        <v>1612</v>
      </c>
      <c r="O61" t="s" s="0">
        <v>1613</v>
      </c>
      <c r="P61" t="s" s="0">
        <v>1614</v>
      </c>
      <c r="Q61" t="s" s="0">
        <v>88</v>
      </c>
      <c r="R61" t="s" s="0">
        <v>82</v>
      </c>
      <c r="S61" t="s" s="0">
        <v>82</v>
      </c>
      <c r="T61" t="s" s="0">
        <v>82</v>
      </c>
      <c r="U61" t="s" s="0">
        <v>82</v>
      </c>
      <c r="V61" t="s" s="0">
        <v>1615</v>
      </c>
      <c r="W61" t="s" s="0">
        <v>1592</v>
      </c>
      <c r="X61" t="s" s="0">
        <v>82</v>
      </c>
      <c r="Y61" t="s" s="0">
        <v>82</v>
      </c>
      <c r="Z61" t="s" s="0">
        <v>91</v>
      </c>
      <c r="AA61" t="s" s="0">
        <v>92</v>
      </c>
      <c r="AB61" t="s" s="0">
        <v>82</v>
      </c>
      <c r="AC61" t="s" s="0">
        <v>82</v>
      </c>
      <c r="AD61" t="s" s="0">
        <v>82</v>
      </c>
      <c r="AE61" t="s" s="0">
        <v>82</v>
      </c>
      <c r="AF61" t="s" s="0">
        <v>82</v>
      </c>
      <c r="AG61" t="s" s="0">
        <v>82</v>
      </c>
      <c r="AH61" t="s" s="0">
        <v>82</v>
      </c>
      <c r="AI61" t="s" s="0">
        <v>1616</v>
      </c>
      <c r="AJ61" t="s" s="0">
        <v>1617</v>
      </c>
      <c r="AK61" t="s" s="0">
        <v>82</v>
      </c>
      <c r="AL61" t="s" s="0">
        <v>111</v>
      </c>
      <c r="AM61" t="s" s="0">
        <v>77</v>
      </c>
      <c r="AN61" t="s" s="0">
        <v>77</v>
      </c>
      <c r="AO61" t="s" s="0">
        <v>77</v>
      </c>
      <c r="AP61" t="s" s="0">
        <v>77</v>
      </c>
      <c r="AQ61" t="s" s="0">
        <v>172</v>
      </c>
      <c r="AR61" t="s" s="0">
        <v>173</v>
      </c>
      <c r="AS61" t="s" s="0">
        <v>174</v>
      </c>
      <c r="AT61" t="s" s="0">
        <v>82</v>
      </c>
      <c r="AU61" t="s" s="0">
        <v>1595</v>
      </c>
      <c r="AV61" t="s" s="0">
        <v>82</v>
      </c>
      <c r="AW61" t="s" s="0">
        <v>1596</v>
      </c>
      <c r="AX61" t="s" s="0">
        <v>1597</v>
      </c>
      <c r="AY61" t="s" s="0">
        <v>1618</v>
      </c>
      <c r="AZ61" t="s" s="0">
        <v>179</v>
      </c>
      <c r="BA61" t="s" s="0">
        <v>428</v>
      </c>
      <c r="BB61" t="s" s="0">
        <v>78</v>
      </c>
      <c r="BC61" t="s" s="0">
        <v>82</v>
      </c>
      <c r="BD61" t="s" s="0">
        <v>82</v>
      </c>
      <c r="BE61" t="s" s="0">
        <v>82</v>
      </c>
      <c r="BF61" t="s" s="0">
        <v>82</v>
      </c>
      <c r="BG61" t="s" s="0">
        <v>82</v>
      </c>
      <c r="BH61" t="s" s="0">
        <v>82</v>
      </c>
      <c r="BI61" t="s" s="0">
        <v>1619</v>
      </c>
      <c r="BJ61" t="s" s="0">
        <v>1620</v>
      </c>
      <c r="BK61" t="s" s="119">
        <f>HYPERLINK("http://dx.doi.org/10.1038/s41467-026-74120-x","http://dx.doi.org/10.1038/s41467-026-74120-x")</f>
        <v>1621</v>
      </c>
      <c r="BL61" t="s" s="0">
        <v>82</v>
      </c>
      <c r="BM61" t="s" s="0">
        <v>82</v>
      </c>
      <c r="BN61" t="s" s="0">
        <v>963</v>
      </c>
      <c r="BO61" t="s" s="0">
        <v>213</v>
      </c>
      <c r="BP61" t="s" s="0">
        <v>214</v>
      </c>
      <c r="BQ61" t="s" s="0">
        <v>1622</v>
      </c>
      <c r="BR61" t="s" s="0">
        <v>1623</v>
      </c>
      <c r="BS61" t="s" s="0">
        <v>1624</v>
      </c>
      <c r="BT61" t="s" s="120">
        <f>HYPERLINK("https://www.webofscience.com/wos/woscc/full-record/WOS:001831119100015","View Record in Web of Science")</f>
        <v>120</v>
      </c>
      <c r="BU61" t="s" s="0">
        <v>189</v>
      </c>
      <c r="BV61" t="s" s="0">
        <v>82</v>
      </c>
      <c r="BW61" t="s" s="0">
        <v>82</v>
      </c>
      <c r="BX61" t="s" s="0">
        <v>121</v>
      </c>
    </row>
    <row r="62">
      <c r="A62" t="s" s="0">
        <v>77</v>
      </c>
      <c r="B62" t="s" s="0">
        <v>77</v>
      </c>
      <c r="C62" t="s" s="0">
        <v>77</v>
      </c>
      <c r="D62" t="s" s="0">
        <v>77</v>
      </c>
      <c r="E62" t="s" s="0">
        <v>1625</v>
      </c>
      <c r="F62" t="s" s="0">
        <v>1626</v>
      </c>
      <c r="G62" t="s" s="0">
        <v>1627</v>
      </c>
      <c r="H62" t="s" s="0">
        <v>82</v>
      </c>
      <c r="I62" t="s" s="0">
        <v>83</v>
      </c>
      <c r="J62" t="s" s="0">
        <v>1628</v>
      </c>
      <c r="K62" t="s" s="0">
        <v>1629</v>
      </c>
      <c r="L62" t="s" s="0">
        <v>1630</v>
      </c>
      <c r="M62" t="s" s="0">
        <v>1631</v>
      </c>
      <c r="N62" t="s" s="0">
        <v>1632</v>
      </c>
      <c r="O62" t="s" s="0">
        <v>1633</v>
      </c>
      <c r="P62" t="s" s="0">
        <v>1634</v>
      </c>
      <c r="Q62" t="s" s="0">
        <v>88</v>
      </c>
      <c r="R62" t="s" s="0">
        <v>82</v>
      </c>
      <c r="S62" t="s" s="0">
        <v>82</v>
      </c>
      <c r="T62" t="s" s="0">
        <v>82</v>
      </c>
      <c r="U62" t="s" s="0">
        <v>82</v>
      </c>
      <c r="V62" t="s" s="0">
        <v>1635</v>
      </c>
      <c r="W62" t="s" s="0">
        <v>1636</v>
      </c>
      <c r="X62" t="s" s="0">
        <v>82</v>
      </c>
      <c r="Y62" t="s" s="0">
        <v>82</v>
      </c>
      <c r="Z62" t="s" s="0">
        <v>91</v>
      </c>
      <c r="AA62" t="s" s="0">
        <v>92</v>
      </c>
      <c r="AB62" t="s" s="0">
        <v>82</v>
      </c>
      <c r="AC62" t="s" s="0">
        <v>82</v>
      </c>
      <c r="AD62" t="s" s="0">
        <v>82</v>
      </c>
      <c r="AE62" t="s" s="0">
        <v>82</v>
      </c>
      <c r="AF62" t="s" s="0">
        <v>82</v>
      </c>
      <c r="AG62" t="s" s="0">
        <v>1637</v>
      </c>
      <c r="AH62" t="s" s="0">
        <v>82</v>
      </c>
      <c r="AI62" t="s" s="0">
        <v>82</v>
      </c>
      <c r="AJ62" t="s" s="0">
        <v>82</v>
      </c>
      <c r="AK62" t="s" s="0">
        <v>82</v>
      </c>
      <c r="AL62" t="s" s="0">
        <v>449</v>
      </c>
      <c r="AM62" t="s" s="0">
        <v>77</v>
      </c>
      <c r="AN62" t="s" s="0">
        <v>77</v>
      </c>
      <c r="AO62" t="s" s="0">
        <v>235</v>
      </c>
      <c r="AP62" t="s" s="0">
        <v>235</v>
      </c>
      <c r="AQ62" t="s" s="0">
        <v>964</v>
      </c>
      <c r="AR62" t="s" s="0">
        <v>965</v>
      </c>
      <c r="AS62" t="s" s="0">
        <v>966</v>
      </c>
      <c r="AT62" t="s" s="0">
        <v>1638</v>
      </c>
      <c r="AU62" t="s" s="0">
        <v>1639</v>
      </c>
      <c r="AV62" t="s" s="0">
        <v>82</v>
      </c>
      <c r="AW62" t="s" s="0">
        <v>1640</v>
      </c>
      <c r="AX62" t="s" s="0">
        <v>1641</v>
      </c>
      <c r="AY62" t="s" s="0">
        <v>358</v>
      </c>
      <c r="AZ62" t="s" s="0">
        <v>179</v>
      </c>
      <c r="BA62" t="s" s="0">
        <v>1642</v>
      </c>
      <c r="BB62" t="s" s="0">
        <v>82</v>
      </c>
      <c r="BC62" t="s" s="0">
        <v>82</v>
      </c>
      <c r="BD62" t="s" s="0">
        <v>82</v>
      </c>
      <c r="BE62" t="s" s="0">
        <v>82</v>
      </c>
      <c r="BF62" t="s" s="0">
        <v>82</v>
      </c>
      <c r="BG62" t="s" s="0">
        <v>82</v>
      </c>
      <c r="BH62" t="s" s="0">
        <v>82</v>
      </c>
      <c r="BI62" t="s" s="0">
        <v>1643</v>
      </c>
      <c r="BJ62" t="s" s="0">
        <v>1644</v>
      </c>
      <c r="BK62" t="s" s="121">
        <f>HYPERLINK("http://dx.doi.org/10.1016/j.compmedimag.2026.102765","http://dx.doi.org/10.1016/j.compmedimag.2026.102765")</f>
        <v>1645</v>
      </c>
      <c r="BL62" t="s" s="0">
        <v>82</v>
      </c>
      <c r="BM62" t="s" s="0">
        <v>183</v>
      </c>
      <c r="BN62" t="s" s="0">
        <v>209</v>
      </c>
      <c r="BO62" t="s" s="0">
        <v>1646</v>
      </c>
      <c r="BP62" t="s" s="0">
        <v>1647</v>
      </c>
      <c r="BQ62" t="s" s="0">
        <v>1648</v>
      </c>
      <c r="BR62" t="s" s="0">
        <v>1649</v>
      </c>
      <c r="BS62" t="s" s="0">
        <v>1650</v>
      </c>
      <c r="BT62" t="s" s="122">
        <f>HYPERLINK("https://www.webofscience.com/wos/woscc/full-record/WOS:001759940300001","View Record in Web of Science")</f>
        <v>120</v>
      </c>
      <c r="BU62" t="s" s="0">
        <v>82</v>
      </c>
      <c r="BV62" t="s" s="0">
        <v>82</v>
      </c>
      <c r="BW62" t="s" s="0">
        <v>82</v>
      </c>
      <c r="BX62" t="s" s="0">
        <v>121</v>
      </c>
    </row>
    <row r="63">
      <c r="A63" t="s" s="0">
        <v>77</v>
      </c>
      <c r="B63" t="s" s="0">
        <v>77</v>
      </c>
      <c r="C63" t="s" s="0">
        <v>204</v>
      </c>
      <c r="D63" t="s" s="0">
        <v>77</v>
      </c>
      <c r="E63" t="s" s="0">
        <v>1651</v>
      </c>
      <c r="F63" t="s" s="0">
        <v>1652</v>
      </c>
      <c r="G63" t="s" s="0">
        <v>1653</v>
      </c>
      <c r="H63" t="s" s="0">
        <v>82</v>
      </c>
      <c r="I63" t="s" s="0">
        <v>83</v>
      </c>
      <c r="J63" t="s" s="0">
        <v>1654</v>
      </c>
      <c r="K63" t="s" s="0">
        <v>1655</v>
      </c>
      <c r="L63" t="s" s="0">
        <v>1656</v>
      </c>
      <c r="M63" t="s" s="0">
        <v>1657</v>
      </c>
      <c r="N63" t="s" s="0">
        <v>1658</v>
      </c>
      <c r="O63" t="s" s="0">
        <v>1659</v>
      </c>
      <c r="P63" t="s" s="0">
        <v>1660</v>
      </c>
      <c r="Q63" t="s" s="0">
        <v>88</v>
      </c>
      <c r="R63" t="s" s="0">
        <v>82</v>
      </c>
      <c r="S63" t="s" s="0">
        <v>82</v>
      </c>
      <c r="T63" t="s" s="0">
        <v>82</v>
      </c>
      <c r="U63" t="s" s="0">
        <v>82</v>
      </c>
      <c r="V63" t="s" s="0">
        <v>1661</v>
      </c>
      <c r="W63" t="s" s="0">
        <v>169</v>
      </c>
      <c r="X63" t="s" s="0">
        <v>82</v>
      </c>
      <c r="Y63" t="s" s="0">
        <v>82</v>
      </c>
      <c r="Z63" t="s" s="0">
        <v>91</v>
      </c>
      <c r="AA63" t="s" s="0">
        <v>92</v>
      </c>
      <c r="AB63" t="s" s="0">
        <v>82</v>
      </c>
      <c r="AC63" t="s" s="0">
        <v>82</v>
      </c>
      <c r="AD63" t="s" s="0">
        <v>82</v>
      </c>
      <c r="AE63" t="s" s="0">
        <v>82</v>
      </c>
      <c r="AF63" t="s" s="0">
        <v>82</v>
      </c>
      <c r="AG63" t="s" s="0">
        <v>82</v>
      </c>
      <c r="AH63" t="s" s="0">
        <v>1662</v>
      </c>
      <c r="AI63" t="s" s="0">
        <v>1663</v>
      </c>
      <c r="AJ63" t="s" s="0">
        <v>1664</v>
      </c>
      <c r="AK63" t="s" s="0">
        <v>82</v>
      </c>
      <c r="AL63" t="s" s="0">
        <v>1665</v>
      </c>
      <c r="AM63" t="s" s="0">
        <v>235</v>
      </c>
      <c r="AN63" t="s" s="0">
        <v>235</v>
      </c>
      <c r="AO63" t="s" s="0">
        <v>77</v>
      </c>
      <c r="AP63" t="s" s="0">
        <v>204</v>
      </c>
      <c r="AQ63" t="s" s="0">
        <v>172</v>
      </c>
      <c r="AR63" t="s" s="0">
        <v>173</v>
      </c>
      <c r="AS63" t="s" s="0">
        <v>174</v>
      </c>
      <c r="AT63" t="s" s="0">
        <v>175</v>
      </c>
      <c r="AU63" t="s" s="0">
        <v>82</v>
      </c>
      <c r="AV63" t="s" s="0">
        <v>82</v>
      </c>
      <c r="AW63" t="s" s="0">
        <v>176</v>
      </c>
      <c r="AX63" t="s" s="0">
        <v>177</v>
      </c>
      <c r="AY63" t="s" s="0">
        <v>1666</v>
      </c>
      <c r="AZ63" t="s" s="0">
        <v>108</v>
      </c>
      <c r="BA63" t="s" s="0">
        <v>272</v>
      </c>
      <c r="BB63" t="s" s="0">
        <v>78</v>
      </c>
      <c r="BC63" t="s" s="0">
        <v>82</v>
      </c>
      <c r="BD63" t="s" s="0">
        <v>82</v>
      </c>
      <c r="BE63" t="s" s="0">
        <v>82</v>
      </c>
      <c r="BF63" t="s" s="0">
        <v>82</v>
      </c>
      <c r="BG63" t="s" s="0">
        <v>82</v>
      </c>
      <c r="BH63" t="s" s="0">
        <v>82</v>
      </c>
      <c r="BI63" t="s" s="0">
        <v>1667</v>
      </c>
      <c r="BJ63" t="s" s="0">
        <v>1668</v>
      </c>
      <c r="BK63" t="s" s="123">
        <f>HYPERLINK("http://dx.doi.org/10.1038/s41746-025-02108-w","http://dx.doi.org/10.1038/s41746-025-02108-w")</f>
        <v>1669</v>
      </c>
      <c r="BL63" t="s" s="0">
        <v>82</v>
      </c>
      <c r="BM63" t="s" s="0">
        <v>82</v>
      </c>
      <c r="BN63" t="s" s="0">
        <v>363</v>
      </c>
      <c r="BO63" t="s" s="0">
        <v>185</v>
      </c>
      <c r="BP63" t="s" s="0">
        <v>185</v>
      </c>
      <c r="BQ63" t="s" s="0">
        <v>1670</v>
      </c>
      <c r="BR63" t="s" s="0">
        <v>1671</v>
      </c>
      <c r="BS63" t="s" s="0">
        <v>1672</v>
      </c>
      <c r="BT63" t="s" s="124">
        <f>HYPERLINK("https://www.webofscience.com/wos/woscc/full-record/WOS:001627546500001","View Record in Web of Science")</f>
        <v>120</v>
      </c>
      <c r="BU63" t="s" s="0">
        <v>189</v>
      </c>
      <c r="BV63" t="s" s="0">
        <v>82</v>
      </c>
      <c r="BW63" t="s" s="0">
        <v>82</v>
      </c>
      <c r="BX63" t="s" s="0">
        <v>121</v>
      </c>
    </row>
    <row r="64">
      <c r="A64" t="s" s="0">
        <v>77</v>
      </c>
      <c r="B64" t="s" s="0">
        <v>77</v>
      </c>
      <c r="C64" t="s" s="0">
        <v>78</v>
      </c>
      <c r="D64" t="s" s="0">
        <v>77</v>
      </c>
      <c r="E64" t="s" s="0">
        <v>1673</v>
      </c>
      <c r="F64" t="s" s="0">
        <v>1674</v>
      </c>
      <c r="G64" t="s" s="0">
        <v>1675</v>
      </c>
      <c r="H64" t="s" s="0">
        <v>82</v>
      </c>
      <c r="I64" t="s" s="0">
        <v>83</v>
      </c>
      <c r="J64" t="s" s="0">
        <v>1676</v>
      </c>
      <c r="K64" t="s" s="0">
        <v>1677</v>
      </c>
      <c r="L64" t="s" s="0">
        <v>1678</v>
      </c>
      <c r="M64" t="s" s="0">
        <v>1679</v>
      </c>
      <c r="N64" t="s" s="0">
        <v>1680</v>
      </c>
      <c r="O64" t="s" s="0">
        <v>1681</v>
      </c>
      <c r="P64" t="s" s="0">
        <v>1682</v>
      </c>
      <c r="Q64" t="s" s="0">
        <v>88</v>
      </c>
      <c r="R64" t="s" s="0">
        <v>82</v>
      </c>
      <c r="S64" t="s" s="0">
        <v>82</v>
      </c>
      <c r="T64" t="s" s="0">
        <v>82</v>
      </c>
      <c r="U64" t="s" s="0">
        <v>82</v>
      </c>
      <c r="V64" t="s" s="0">
        <v>1683</v>
      </c>
      <c r="W64" t="s" s="0">
        <v>347</v>
      </c>
      <c r="X64" t="s" s="0">
        <v>82</v>
      </c>
      <c r="Y64" t="s" s="0">
        <v>82</v>
      </c>
      <c r="Z64" t="s" s="0">
        <v>91</v>
      </c>
      <c r="AA64" t="s" s="0">
        <v>92</v>
      </c>
      <c r="AB64" t="s" s="0">
        <v>82</v>
      </c>
      <c r="AC64" t="s" s="0">
        <v>82</v>
      </c>
      <c r="AD64" t="s" s="0">
        <v>82</v>
      </c>
      <c r="AE64" t="s" s="0">
        <v>82</v>
      </c>
      <c r="AF64" t="s" s="0">
        <v>82</v>
      </c>
      <c r="AG64" t="s" s="0">
        <v>1684</v>
      </c>
      <c r="AH64" t="s" s="0">
        <v>82</v>
      </c>
      <c r="AI64" t="s" s="0">
        <v>1685</v>
      </c>
      <c r="AJ64" t="s" s="0">
        <v>1686</v>
      </c>
      <c r="AK64" t="s" s="0">
        <v>82</v>
      </c>
      <c r="AL64" t="s" s="0">
        <v>1687</v>
      </c>
      <c r="AM64" t="s" s="0">
        <v>110</v>
      </c>
      <c r="AN64" t="s" s="0">
        <v>110</v>
      </c>
      <c r="AO64" t="s" s="0">
        <v>77</v>
      </c>
      <c r="AP64" t="s" s="0">
        <v>77</v>
      </c>
      <c r="AQ64" t="s" s="0">
        <v>351</v>
      </c>
      <c r="AR64" t="s" s="0">
        <v>352</v>
      </c>
      <c r="AS64" t="s" s="0">
        <v>353</v>
      </c>
      <c r="AT64" t="s" s="0">
        <v>354</v>
      </c>
      <c r="AU64" t="s" s="0">
        <v>355</v>
      </c>
      <c r="AV64" t="s" s="0">
        <v>82</v>
      </c>
      <c r="AW64" t="s" s="0">
        <v>356</v>
      </c>
      <c r="AX64" t="s" s="0">
        <v>357</v>
      </c>
      <c r="AY64" t="s" s="0">
        <v>1688</v>
      </c>
      <c r="AZ64" t="s" s="0">
        <v>108</v>
      </c>
      <c r="BA64" t="s" s="0">
        <v>1689</v>
      </c>
      <c r="BB64" t="s" s="0">
        <v>82</v>
      </c>
      <c r="BC64" t="s" s="0">
        <v>82</v>
      </c>
      <c r="BD64" t="s" s="0">
        <v>82</v>
      </c>
      <c r="BE64" t="s" s="0">
        <v>82</v>
      </c>
      <c r="BF64" t="s" s="0">
        <v>82</v>
      </c>
      <c r="BG64" t="s" s="0">
        <v>82</v>
      </c>
      <c r="BH64" t="s" s="0">
        <v>82</v>
      </c>
      <c r="BI64" t="s" s="0">
        <v>1690</v>
      </c>
      <c r="BJ64" t="s" s="0">
        <v>1691</v>
      </c>
      <c r="BK64" t="s" s="125">
        <f>HYPERLINK("http://dx.doi.org/10.1016/j.jbi.2025.104947","http://dx.doi.org/10.1016/j.jbi.2025.104947")</f>
        <v>1692</v>
      </c>
      <c r="BL64" t="s" s="0">
        <v>82</v>
      </c>
      <c r="BM64" t="s" s="0">
        <v>82</v>
      </c>
      <c r="BN64" t="s" s="0">
        <v>148</v>
      </c>
      <c r="BO64" t="s" s="0">
        <v>364</v>
      </c>
      <c r="BP64" t="s" s="0">
        <v>365</v>
      </c>
      <c r="BQ64" t="s" s="0">
        <v>1693</v>
      </c>
      <c r="BR64" t="s" s="0">
        <v>1694</v>
      </c>
      <c r="BS64" t="s" s="0">
        <v>1695</v>
      </c>
      <c r="BT64" t="s" s="126">
        <f>HYPERLINK("https://www.webofscience.com/wos/woscc/full-record/WOS:001723350100001","View Record in Web of Science")</f>
        <v>120</v>
      </c>
      <c r="BU64" t="s" s="0">
        <v>924</v>
      </c>
      <c r="BV64" t="s" s="0">
        <v>82</v>
      </c>
      <c r="BW64" t="s" s="0">
        <v>82</v>
      </c>
      <c r="BX64" t="s" s="0">
        <v>121</v>
      </c>
    </row>
    <row r="65">
      <c r="A65" t="s" s="0">
        <v>77</v>
      </c>
      <c r="B65" t="s" s="0">
        <v>77</v>
      </c>
      <c r="C65" t="s" s="0">
        <v>77</v>
      </c>
      <c r="D65" t="s" s="0">
        <v>77</v>
      </c>
      <c r="E65" t="s" s="0">
        <v>1696</v>
      </c>
      <c r="F65" t="s" s="0">
        <v>1697</v>
      </c>
      <c r="G65" t="s" s="0">
        <v>1698</v>
      </c>
      <c r="H65" t="s" s="0">
        <v>82</v>
      </c>
      <c r="I65" t="s" s="0">
        <v>83</v>
      </c>
      <c r="J65" t="s" s="0">
        <v>1699</v>
      </c>
      <c r="K65" t="s" s="0">
        <v>1700</v>
      </c>
      <c r="L65" t="s" s="0">
        <v>82</v>
      </c>
      <c r="M65" t="s" s="0">
        <v>82</v>
      </c>
      <c r="N65" t="s" s="0">
        <v>82</v>
      </c>
      <c r="O65" t="s" s="0">
        <v>1701</v>
      </c>
      <c r="P65" t="s" s="0">
        <v>1702</v>
      </c>
      <c r="Q65" t="s" s="0">
        <v>88</v>
      </c>
      <c r="R65" t="s" s="0">
        <v>82</v>
      </c>
      <c r="S65" t="s" s="0">
        <v>82</v>
      </c>
      <c r="T65" t="s" s="0">
        <v>82</v>
      </c>
      <c r="U65" t="s" s="0">
        <v>82</v>
      </c>
      <c r="V65" t="s" s="0">
        <v>1703</v>
      </c>
      <c r="W65" t="s" s="0">
        <v>1704</v>
      </c>
      <c r="X65" t="s" s="0">
        <v>82</v>
      </c>
      <c r="Y65" t="s" s="0">
        <v>82</v>
      </c>
      <c r="Z65" t="s" s="0">
        <v>91</v>
      </c>
      <c r="AA65" t="s" s="0">
        <v>92</v>
      </c>
      <c r="AB65" t="s" s="0">
        <v>82</v>
      </c>
      <c r="AC65" t="s" s="0">
        <v>82</v>
      </c>
      <c r="AD65" t="s" s="0">
        <v>82</v>
      </c>
      <c r="AE65" t="s" s="0">
        <v>82</v>
      </c>
      <c r="AF65" t="s" s="0">
        <v>82</v>
      </c>
      <c r="AG65" t="s" s="0">
        <v>1705</v>
      </c>
      <c r="AH65" t="s" s="0">
        <v>82</v>
      </c>
      <c r="AI65" t="s" s="0">
        <v>1706</v>
      </c>
      <c r="AJ65" t="s" s="0">
        <v>82</v>
      </c>
      <c r="AK65" t="s" s="0">
        <v>82</v>
      </c>
      <c r="AL65" t="s" s="0">
        <v>1707</v>
      </c>
      <c r="AM65" t="s" s="0">
        <v>77</v>
      </c>
      <c r="AN65" t="s" s="0">
        <v>77</v>
      </c>
      <c r="AO65" t="s" s="0">
        <v>204</v>
      </c>
      <c r="AP65" t="s" s="0">
        <v>99</v>
      </c>
      <c r="AQ65" t="s" s="0">
        <v>1708</v>
      </c>
      <c r="AR65" t="s" s="0">
        <v>796</v>
      </c>
      <c r="AS65" t="s" s="0">
        <v>1709</v>
      </c>
      <c r="AT65" t="s" s="0">
        <v>1710</v>
      </c>
      <c r="AU65" t="s" s="0">
        <v>1711</v>
      </c>
      <c r="AV65" t="s" s="0">
        <v>82</v>
      </c>
      <c r="AW65" t="s" s="0">
        <v>1712</v>
      </c>
      <c r="AX65" t="s" s="0">
        <v>1713</v>
      </c>
      <c r="AY65" t="s" s="0">
        <v>448</v>
      </c>
      <c r="AZ65" t="s" s="0">
        <v>108</v>
      </c>
      <c r="BA65" t="s" s="0">
        <v>138</v>
      </c>
      <c r="BB65" t="s" s="0">
        <v>363</v>
      </c>
      <c r="BC65" t="s" s="0">
        <v>82</v>
      </c>
      <c r="BD65" t="s" s="0">
        <v>82</v>
      </c>
      <c r="BE65" t="s" s="0">
        <v>82</v>
      </c>
      <c r="BF65" t="s" s="0">
        <v>82</v>
      </c>
      <c r="BG65" t="s" s="0">
        <v>82</v>
      </c>
      <c r="BH65" t="s" s="0">
        <v>82</v>
      </c>
      <c r="BI65" t="s" s="0">
        <v>1714</v>
      </c>
      <c r="BJ65" t="s" s="0">
        <v>1715</v>
      </c>
      <c r="BK65" t="s" s="127">
        <f>HYPERLINK("http://dx.doi.org/10.1145/3744910","http://dx.doi.org/10.1145/3744910")</f>
        <v>1716</v>
      </c>
      <c r="BL65" t="s" s="0">
        <v>82</v>
      </c>
      <c r="BM65" t="s" s="0">
        <v>82</v>
      </c>
      <c r="BN65" t="s" s="0">
        <v>139</v>
      </c>
      <c r="BO65" t="s" s="0">
        <v>1717</v>
      </c>
      <c r="BP65" t="s" s="0">
        <v>309</v>
      </c>
      <c r="BQ65" t="s" s="0">
        <v>1718</v>
      </c>
      <c r="BR65" t="s" s="0">
        <v>82</v>
      </c>
      <c r="BS65" t="s" s="0">
        <v>1719</v>
      </c>
      <c r="BT65" t="s" s="128">
        <f>HYPERLINK("https://www.webofscience.com/wos/woscc/full-record/WOS:001615467400001","View Record in Web of Science")</f>
        <v>120</v>
      </c>
      <c r="BU65" t="s" s="0">
        <v>1720</v>
      </c>
      <c r="BV65" t="s" s="0">
        <v>82</v>
      </c>
      <c r="BW65" t="s" s="0">
        <v>82</v>
      </c>
      <c r="BX65" t="s" s="0">
        <v>121</v>
      </c>
    </row>
    <row r="66">
      <c r="A66" t="s" s="0">
        <v>77</v>
      </c>
      <c r="B66" t="s" s="0">
        <v>77</v>
      </c>
      <c r="C66" t="s" s="0">
        <v>77</v>
      </c>
      <c r="D66" t="s" s="0">
        <v>77</v>
      </c>
      <c r="E66" t="s" s="0">
        <v>1721</v>
      </c>
      <c r="F66" t="s" s="0">
        <v>1722</v>
      </c>
      <c r="G66" t="s" s="0">
        <v>1723</v>
      </c>
      <c r="H66" t="s" s="0">
        <v>82</v>
      </c>
      <c r="I66" t="s" s="0">
        <v>83</v>
      </c>
      <c r="J66" t="s" s="0">
        <v>1724</v>
      </c>
      <c r="K66" t="s" s="0">
        <v>1725</v>
      </c>
      <c r="L66" t="s" s="0">
        <v>82</v>
      </c>
      <c r="M66" t="s" s="0">
        <v>82</v>
      </c>
      <c r="N66" t="s" s="0">
        <v>82</v>
      </c>
      <c r="O66" t="s" s="0">
        <v>1726</v>
      </c>
      <c r="P66" t="s" s="0">
        <v>1727</v>
      </c>
      <c r="Q66" t="s" s="0">
        <v>88</v>
      </c>
      <c r="R66" t="s" s="0">
        <v>82</v>
      </c>
      <c r="S66" t="s" s="0">
        <v>82</v>
      </c>
      <c r="T66" t="s" s="0">
        <v>82</v>
      </c>
      <c r="U66" t="s" s="0">
        <v>82</v>
      </c>
      <c r="V66" t="s" s="0">
        <v>1728</v>
      </c>
      <c r="W66" t="s" s="0">
        <v>201</v>
      </c>
      <c r="X66" t="s" s="0">
        <v>82</v>
      </c>
      <c r="Y66" t="s" s="0">
        <v>82</v>
      </c>
      <c r="Z66" t="s" s="0">
        <v>91</v>
      </c>
      <c r="AA66" t="s" s="0">
        <v>92</v>
      </c>
      <c r="AB66" t="s" s="0">
        <v>82</v>
      </c>
      <c r="AC66" t="s" s="0">
        <v>82</v>
      </c>
      <c r="AD66" t="s" s="0">
        <v>82</v>
      </c>
      <c r="AE66" t="s" s="0">
        <v>82</v>
      </c>
      <c r="AF66" t="s" s="0">
        <v>82</v>
      </c>
      <c r="AG66" t="s" s="0">
        <v>82</v>
      </c>
      <c r="AH66" t="s" s="0">
        <v>82</v>
      </c>
      <c r="AI66" t="s" s="0">
        <v>1729</v>
      </c>
      <c r="AJ66" t="s" s="0">
        <v>82</v>
      </c>
      <c r="AK66" t="s" s="0">
        <v>82</v>
      </c>
      <c r="AL66" t="s" s="0">
        <v>147</v>
      </c>
      <c r="AM66" t="s" s="0">
        <v>77</v>
      </c>
      <c r="AN66" t="s" s="0">
        <v>77</v>
      </c>
      <c r="AO66" t="s" s="0">
        <v>77</v>
      </c>
      <c r="AP66" t="s" s="0">
        <v>77</v>
      </c>
      <c r="AQ66" t="s" s="0">
        <v>172</v>
      </c>
      <c r="AR66" t="s" s="0">
        <v>173</v>
      </c>
      <c r="AS66" t="s" s="0">
        <v>174</v>
      </c>
      <c r="AT66" t="s" s="0">
        <v>205</v>
      </c>
      <c r="AU66" t="s" s="0">
        <v>82</v>
      </c>
      <c r="AV66" t="s" s="0">
        <v>82</v>
      </c>
      <c r="AW66" t="s" s="0">
        <v>206</v>
      </c>
      <c r="AX66" t="s" s="0">
        <v>207</v>
      </c>
      <c r="AY66" t="s" s="0">
        <v>1730</v>
      </c>
      <c r="AZ66" t="s" s="0">
        <v>179</v>
      </c>
      <c r="BA66" t="s" s="0">
        <v>209</v>
      </c>
      <c r="BB66" t="s" s="0">
        <v>78</v>
      </c>
      <c r="BC66" t="s" s="0">
        <v>82</v>
      </c>
      <c r="BD66" t="s" s="0">
        <v>82</v>
      </c>
      <c r="BE66" t="s" s="0">
        <v>82</v>
      </c>
      <c r="BF66" t="s" s="0">
        <v>82</v>
      </c>
      <c r="BG66" t="s" s="0">
        <v>82</v>
      </c>
      <c r="BH66" t="s" s="0">
        <v>82</v>
      </c>
      <c r="BI66" t="s" s="0">
        <v>1731</v>
      </c>
      <c r="BJ66" t="s" s="0">
        <v>1732</v>
      </c>
      <c r="BK66" t="s" s="129">
        <f>HYPERLINK("http://dx.doi.org/10.1038/s41598-026-48102-4","http://dx.doi.org/10.1038/s41598-026-48102-4")</f>
        <v>1733</v>
      </c>
      <c r="BL66" t="s" s="0">
        <v>82</v>
      </c>
      <c r="BM66" t="s" s="0">
        <v>183</v>
      </c>
      <c r="BN66" t="s" s="0">
        <v>277</v>
      </c>
      <c r="BO66" t="s" s="0">
        <v>213</v>
      </c>
      <c r="BP66" t="s" s="0">
        <v>214</v>
      </c>
      <c r="BQ66" t="s" s="0">
        <v>1734</v>
      </c>
      <c r="BR66" t="s" s="0">
        <v>1735</v>
      </c>
      <c r="BS66" t="s" s="0">
        <v>1736</v>
      </c>
      <c r="BT66" t="s" s="130">
        <f>HYPERLINK("https://www.webofscience.com/wos/woscc/full-record/WOS:001788060200020","View Record in Web of Science")</f>
        <v>120</v>
      </c>
      <c r="BU66" t="s" s="0">
        <v>189</v>
      </c>
      <c r="BV66" t="s" s="0">
        <v>82</v>
      </c>
      <c r="BW66" t="s" s="0">
        <v>82</v>
      </c>
      <c r="BX66" t="s" s="0">
        <v>121</v>
      </c>
    </row>
    <row r="67">
      <c r="A67" t="s" s="0">
        <v>77</v>
      </c>
      <c r="B67" t="s" s="0">
        <v>77</v>
      </c>
      <c r="C67" t="s" s="0">
        <v>77</v>
      </c>
      <c r="D67" t="s" s="0">
        <v>77</v>
      </c>
      <c r="E67" t="s" s="0">
        <v>1737</v>
      </c>
      <c r="F67" t="s" s="0">
        <v>1738</v>
      </c>
      <c r="G67" t="s" s="0">
        <v>1739</v>
      </c>
      <c r="H67" t="s" s="0">
        <v>82</v>
      </c>
      <c r="I67" t="s" s="0">
        <v>83</v>
      </c>
      <c r="J67" t="s" s="0">
        <v>1740</v>
      </c>
      <c r="K67" t="s" s="0">
        <v>1741</v>
      </c>
      <c r="L67" t="s" s="0">
        <v>1742</v>
      </c>
      <c r="M67" t="s" s="0">
        <v>1743</v>
      </c>
      <c r="N67" t="s" s="0">
        <v>1744</v>
      </c>
      <c r="O67" t="s" s="0">
        <v>1745</v>
      </c>
      <c r="P67" t="s" s="0">
        <v>788</v>
      </c>
      <c r="Q67" t="s" s="0">
        <v>88</v>
      </c>
      <c r="R67" t="s" s="0">
        <v>82</v>
      </c>
      <c r="S67" t="s" s="0">
        <v>82</v>
      </c>
      <c r="T67" t="s" s="0">
        <v>82</v>
      </c>
      <c r="U67" t="s" s="0">
        <v>82</v>
      </c>
      <c r="V67" t="s" s="0">
        <v>1746</v>
      </c>
      <c r="W67" t="s" s="0">
        <v>1747</v>
      </c>
      <c r="X67" t="s" s="0">
        <v>82</v>
      </c>
      <c r="Y67" t="s" s="0">
        <v>82</v>
      </c>
      <c r="Z67" t="s" s="0">
        <v>91</v>
      </c>
      <c r="AA67" t="s" s="0">
        <v>92</v>
      </c>
      <c r="AB67" t="s" s="0">
        <v>82</v>
      </c>
      <c r="AC67" t="s" s="0">
        <v>82</v>
      </c>
      <c r="AD67" t="s" s="0">
        <v>82</v>
      </c>
      <c r="AE67" t="s" s="0">
        <v>82</v>
      </c>
      <c r="AF67" t="s" s="0">
        <v>82</v>
      </c>
      <c r="AG67" t="s" s="0">
        <v>1748</v>
      </c>
      <c r="AH67" t="s" s="0">
        <v>82</v>
      </c>
      <c r="AI67" t="s" s="0">
        <v>1749</v>
      </c>
      <c r="AJ67" t="s" s="0">
        <v>1750</v>
      </c>
      <c r="AK67" t="s" s="0">
        <v>82</v>
      </c>
      <c r="AL67" t="s" s="0">
        <v>1751</v>
      </c>
      <c r="AM67" t="s" s="0">
        <v>110</v>
      </c>
      <c r="AN67" t="s" s="0">
        <v>97</v>
      </c>
      <c r="AO67" t="s" s="0">
        <v>99</v>
      </c>
      <c r="AP67" t="s" s="0">
        <v>472</v>
      </c>
      <c r="AQ67" t="s" s="0">
        <v>795</v>
      </c>
      <c r="AR67" t="s" s="0">
        <v>796</v>
      </c>
      <c r="AS67" t="s" s="0">
        <v>797</v>
      </c>
      <c r="AT67" t="s" s="0">
        <v>1752</v>
      </c>
      <c r="AU67" t="s" s="0">
        <v>1753</v>
      </c>
      <c r="AV67" t="s" s="0">
        <v>82</v>
      </c>
      <c r="AW67" t="s" s="0">
        <v>1754</v>
      </c>
      <c r="AX67" t="s" s="0">
        <v>1755</v>
      </c>
      <c r="AY67" t="s" s="0">
        <v>1756</v>
      </c>
      <c r="AZ67" t="s" s="0">
        <v>146</v>
      </c>
      <c r="BA67" t="s" s="0">
        <v>556</v>
      </c>
      <c r="BB67" t="s" s="0">
        <v>78</v>
      </c>
      <c r="BC67" t="s" s="0">
        <v>82</v>
      </c>
      <c r="BD67" t="s" s="0">
        <v>82</v>
      </c>
      <c r="BE67" t="s" s="0">
        <v>82</v>
      </c>
      <c r="BF67" t="s" s="0">
        <v>82</v>
      </c>
      <c r="BG67" t="s" s="0">
        <v>82</v>
      </c>
      <c r="BH67" t="s" s="0">
        <v>82</v>
      </c>
      <c r="BI67" t="s" s="0">
        <v>110</v>
      </c>
      <c r="BJ67" t="s" s="0">
        <v>1757</v>
      </c>
      <c r="BK67" t="s" s="131">
        <f>HYPERLINK("http://dx.doi.org/10.1007/s11280-024-01315-x","http://dx.doi.org/10.1007/s11280-024-01315-x")</f>
        <v>1758</v>
      </c>
      <c r="BL67" t="s" s="0">
        <v>82</v>
      </c>
      <c r="BM67" t="s" s="0">
        <v>82</v>
      </c>
      <c r="BN67" t="s" s="0">
        <v>138</v>
      </c>
      <c r="BO67" t="s" s="0">
        <v>1759</v>
      </c>
      <c r="BP67" t="s" s="0">
        <v>309</v>
      </c>
      <c r="BQ67" t="s" s="0">
        <v>1760</v>
      </c>
      <c r="BR67" t="s" s="0">
        <v>82</v>
      </c>
      <c r="BS67" t="s" s="0">
        <v>1761</v>
      </c>
      <c r="BT67" t="s" s="132">
        <f>HYPERLINK("https://www.webofscience.com/wos/woscc/full-record/WOS:001371555600001","View Record in Web of Science")</f>
        <v>120</v>
      </c>
      <c r="BU67" t="s" s="0">
        <v>82</v>
      </c>
      <c r="BV67" t="s" s="0">
        <v>82</v>
      </c>
      <c r="BW67" t="s" s="0">
        <v>82</v>
      </c>
      <c r="BX67" t="s" s="0">
        <v>121</v>
      </c>
    </row>
    <row r="68">
      <c r="A68" t="s" s="0">
        <v>77</v>
      </c>
      <c r="B68" t="s" s="0">
        <v>77</v>
      </c>
      <c r="C68" t="s" s="0">
        <v>77</v>
      </c>
      <c r="D68" t="s" s="0">
        <v>77</v>
      </c>
      <c r="E68" t="s" s="0">
        <v>1762</v>
      </c>
      <c r="F68" t="s" s="0">
        <v>1763</v>
      </c>
      <c r="G68" t="s" s="0">
        <v>1764</v>
      </c>
      <c r="H68" t="s" s="0">
        <v>82</v>
      </c>
      <c r="I68" t="s" s="0">
        <v>83</v>
      </c>
      <c r="J68" t="s" s="0">
        <v>1765</v>
      </c>
      <c r="K68" t="s" s="0">
        <v>1766</v>
      </c>
      <c r="L68" t="s" s="0">
        <v>82</v>
      </c>
      <c r="M68" t="s" s="0">
        <v>82</v>
      </c>
      <c r="N68" t="s" s="0">
        <v>82</v>
      </c>
      <c r="O68" t="s" s="0">
        <v>1767</v>
      </c>
      <c r="P68" t="s" s="0">
        <v>1768</v>
      </c>
      <c r="Q68" t="s" s="0">
        <v>88</v>
      </c>
      <c r="R68" t="s" s="0">
        <v>82</v>
      </c>
      <c r="S68" t="s" s="0">
        <v>82</v>
      </c>
      <c r="T68" t="s" s="0">
        <v>82</v>
      </c>
      <c r="U68" t="s" s="0">
        <v>82</v>
      </c>
      <c r="V68" t="s" s="0">
        <v>1769</v>
      </c>
      <c r="W68" t="s" s="0">
        <v>1770</v>
      </c>
      <c r="X68" t="s" s="0">
        <v>82</v>
      </c>
      <c r="Y68" t="s" s="0">
        <v>82</v>
      </c>
      <c r="Z68" t="s" s="0">
        <v>91</v>
      </c>
      <c r="AA68" t="s" s="0">
        <v>92</v>
      </c>
      <c r="AB68" t="s" s="0">
        <v>82</v>
      </c>
      <c r="AC68" t="s" s="0">
        <v>82</v>
      </c>
      <c r="AD68" t="s" s="0">
        <v>82</v>
      </c>
      <c r="AE68" t="s" s="0">
        <v>82</v>
      </c>
      <c r="AF68" t="s" s="0">
        <v>82</v>
      </c>
      <c r="AG68" t="s" s="0">
        <v>1771</v>
      </c>
      <c r="AH68" t="s" s="0">
        <v>1772</v>
      </c>
      <c r="AI68" t="s" s="0">
        <v>1773</v>
      </c>
      <c r="AJ68" t="s" s="0">
        <v>1774</v>
      </c>
      <c r="AK68" t="s" s="0">
        <v>82</v>
      </c>
      <c r="AL68" t="s" s="0">
        <v>578</v>
      </c>
      <c r="AM68" t="s" s="0">
        <v>78</v>
      </c>
      <c r="AN68" t="s" s="0">
        <v>78</v>
      </c>
      <c r="AO68" t="s" s="0">
        <v>99</v>
      </c>
      <c r="AP68" t="s" s="0">
        <v>110</v>
      </c>
      <c r="AQ68" t="s" s="0">
        <v>296</v>
      </c>
      <c r="AR68" t="s" s="0">
        <v>297</v>
      </c>
      <c r="AS68" t="s" s="0">
        <v>298</v>
      </c>
      <c r="AT68" t="s" s="0">
        <v>1775</v>
      </c>
      <c r="AU68" t="s" s="0">
        <v>1776</v>
      </c>
      <c r="AV68" t="s" s="0">
        <v>82</v>
      </c>
      <c r="AW68" t="s" s="0">
        <v>1770</v>
      </c>
      <c r="AX68" t="s" s="0">
        <v>1777</v>
      </c>
      <c r="AY68" t="s" s="0">
        <v>183</v>
      </c>
      <c r="AZ68" t="s" s="0">
        <v>179</v>
      </c>
      <c r="BA68" t="s" s="0">
        <v>1143</v>
      </c>
      <c r="BB68" t="s" s="0">
        <v>82</v>
      </c>
      <c r="BC68" t="s" s="0">
        <v>82</v>
      </c>
      <c r="BD68" t="s" s="0">
        <v>82</v>
      </c>
      <c r="BE68" t="s" s="0">
        <v>82</v>
      </c>
      <c r="BF68" t="s" s="0">
        <v>82</v>
      </c>
      <c r="BG68" t="s" s="0">
        <v>82</v>
      </c>
      <c r="BH68" t="s" s="0">
        <v>82</v>
      </c>
      <c r="BI68" t="s" s="0">
        <v>1778</v>
      </c>
      <c r="BJ68" t="s" s="0">
        <v>1779</v>
      </c>
      <c r="BK68" t="s" s="133">
        <f>HYPERLINK("http://dx.doi.org/10.1016/j.displa.2025.103282","http://dx.doi.org/10.1016/j.displa.2025.103282")</f>
        <v>1780</v>
      </c>
      <c r="BL68" t="s" s="0">
        <v>82</v>
      </c>
      <c r="BM68" t="s" s="0">
        <v>634</v>
      </c>
      <c r="BN68" t="s" s="0">
        <v>307</v>
      </c>
      <c r="BO68" t="s" s="0">
        <v>1781</v>
      </c>
      <c r="BP68" t="s" s="0">
        <v>1782</v>
      </c>
      <c r="BQ68" t="s" s="0">
        <v>1783</v>
      </c>
      <c r="BR68" t="s" s="0">
        <v>82</v>
      </c>
      <c r="BS68" t="s" s="0">
        <v>1784</v>
      </c>
      <c r="BT68" t="s" s="134">
        <f>HYPERLINK("https://www.webofscience.com/wos/woscc/full-record/WOS:001618646500001","View Record in Web of Science")</f>
        <v>120</v>
      </c>
      <c r="BU68" t="s" s="0">
        <v>82</v>
      </c>
      <c r="BV68" t="s" s="0">
        <v>82</v>
      </c>
      <c r="BW68" t="s" s="0">
        <v>82</v>
      </c>
      <c r="BX68" t="s" s="0">
        <v>121</v>
      </c>
    </row>
    <row r="69">
      <c r="A69" t="s" s="0">
        <v>77</v>
      </c>
      <c r="B69" t="s" s="0">
        <v>77</v>
      </c>
      <c r="C69" t="s" s="0">
        <v>77</v>
      </c>
      <c r="D69" t="s" s="0">
        <v>77</v>
      </c>
      <c r="E69" t="s" s="0">
        <v>1785</v>
      </c>
      <c r="F69" t="s" s="0">
        <v>1786</v>
      </c>
      <c r="G69" t="s" s="0">
        <v>1787</v>
      </c>
      <c r="H69" t="s" s="0">
        <v>82</v>
      </c>
      <c r="I69" t="s" s="0">
        <v>83</v>
      </c>
      <c r="J69" t="s" s="0">
        <v>1788</v>
      </c>
      <c r="K69" t="s" s="0">
        <v>1789</v>
      </c>
      <c r="L69" t="s" s="0">
        <v>82</v>
      </c>
      <c r="M69" t="s" s="0">
        <v>82</v>
      </c>
      <c r="N69" t="s" s="0">
        <v>82</v>
      </c>
      <c r="O69" t="s" s="0">
        <v>1790</v>
      </c>
      <c r="P69" t="s" s="0">
        <v>1791</v>
      </c>
      <c r="Q69" t="s" s="0">
        <v>88</v>
      </c>
      <c r="R69" t="s" s="0">
        <v>82</v>
      </c>
      <c r="S69" t="s" s="0">
        <v>82</v>
      </c>
      <c r="T69" t="s" s="0">
        <v>82</v>
      </c>
      <c r="U69" t="s" s="0">
        <v>82</v>
      </c>
      <c r="V69" t="s" s="0">
        <v>1792</v>
      </c>
      <c r="W69" t="s" s="0">
        <v>1793</v>
      </c>
      <c r="X69" t="s" s="0">
        <v>82</v>
      </c>
      <c r="Y69" t="s" s="0">
        <v>82</v>
      </c>
      <c r="Z69" t="s" s="0">
        <v>91</v>
      </c>
      <c r="AA69" t="s" s="0">
        <v>92</v>
      </c>
      <c r="AB69" t="s" s="0">
        <v>82</v>
      </c>
      <c r="AC69" t="s" s="0">
        <v>82</v>
      </c>
      <c r="AD69" t="s" s="0">
        <v>82</v>
      </c>
      <c r="AE69" t="s" s="0">
        <v>82</v>
      </c>
      <c r="AF69" t="s" s="0">
        <v>82</v>
      </c>
      <c r="AG69" t="s" s="0">
        <v>1794</v>
      </c>
      <c r="AH69" t="s" s="0">
        <v>1795</v>
      </c>
      <c r="AI69" t="s" s="0">
        <v>82</v>
      </c>
      <c r="AJ69" t="s" s="0">
        <v>1796</v>
      </c>
      <c r="AK69" t="s" s="0">
        <v>82</v>
      </c>
      <c r="AL69" t="s" s="0">
        <v>1506</v>
      </c>
      <c r="AM69" t="s" s="0">
        <v>98</v>
      </c>
      <c r="AN69" t="s" s="0">
        <v>272</v>
      </c>
      <c r="AO69" t="s" s="0">
        <v>78</v>
      </c>
      <c r="AP69" t="s" s="0">
        <v>963</v>
      </c>
      <c r="AQ69" t="s" s="0">
        <v>418</v>
      </c>
      <c r="AR69" t="s" s="0">
        <v>419</v>
      </c>
      <c r="AS69" t="s" s="0">
        <v>420</v>
      </c>
      <c r="AT69" t="s" s="0">
        <v>82</v>
      </c>
      <c r="AU69" t="s" s="0">
        <v>1797</v>
      </c>
      <c r="AV69" t="s" s="0">
        <v>82</v>
      </c>
      <c r="AW69" t="s" s="0">
        <v>1798</v>
      </c>
      <c r="AX69" t="s" s="0">
        <v>1799</v>
      </c>
      <c r="AY69" t="s" s="0">
        <v>145</v>
      </c>
      <c r="AZ69" t="s" s="0">
        <v>146</v>
      </c>
      <c r="BA69" t="s" s="0">
        <v>184</v>
      </c>
      <c r="BB69" t="s" s="0">
        <v>139</v>
      </c>
      <c r="BC69" t="s" s="0">
        <v>82</v>
      </c>
      <c r="BD69" t="s" s="0">
        <v>82</v>
      </c>
      <c r="BE69" t="s" s="0">
        <v>82</v>
      </c>
      <c r="BF69" t="s" s="0">
        <v>82</v>
      </c>
      <c r="BG69" t="s" s="0">
        <v>82</v>
      </c>
      <c r="BH69" t="s" s="0">
        <v>82</v>
      </c>
      <c r="BI69" t="s" s="0">
        <v>1800</v>
      </c>
      <c r="BJ69" t="s" s="0">
        <v>1801</v>
      </c>
      <c r="BK69" t="s" s="135">
        <f>HYPERLINK("http://dx.doi.org/10.3390/jcm13237092","http://dx.doi.org/10.3390/jcm13237092")</f>
        <v>1802</v>
      </c>
      <c r="BL69" t="s" s="0">
        <v>82</v>
      </c>
      <c r="BM69" t="s" s="0">
        <v>82</v>
      </c>
      <c r="BN69" t="s" s="0">
        <v>277</v>
      </c>
      <c r="BO69" t="s" s="0">
        <v>1803</v>
      </c>
      <c r="BP69" t="s" s="0">
        <v>1804</v>
      </c>
      <c r="BQ69" t="s" s="0">
        <v>1805</v>
      </c>
      <c r="BR69" t="s" s="0">
        <v>1806</v>
      </c>
      <c r="BS69" t="s" s="0">
        <v>1807</v>
      </c>
      <c r="BT69" t="s" s="136">
        <f>HYPERLINK("https://www.webofscience.com/wos/woscc/full-record/WOS:001376572000001","View Record in Web of Science")</f>
        <v>120</v>
      </c>
      <c r="BU69" t="s" s="0">
        <v>189</v>
      </c>
      <c r="BV69" t="s" s="0">
        <v>82</v>
      </c>
      <c r="BW69" t="s" s="0">
        <v>82</v>
      </c>
      <c r="BX69" t="s" s="0">
        <v>121</v>
      </c>
    </row>
    <row r="70">
      <c r="A70" t="s" s="0">
        <v>77</v>
      </c>
      <c r="B70" t="s" s="0">
        <v>77</v>
      </c>
      <c r="C70" t="s" s="0">
        <v>77</v>
      </c>
      <c r="D70" t="s" s="0">
        <v>77</v>
      </c>
      <c r="E70" t="s" s="0">
        <v>1808</v>
      </c>
      <c r="F70" t="s" s="0">
        <v>1809</v>
      </c>
      <c r="G70" t="s" s="0">
        <v>1810</v>
      </c>
      <c r="H70" t="s" s="0">
        <v>82</v>
      </c>
      <c r="I70" t="s" s="0">
        <v>460</v>
      </c>
      <c r="J70" t="s" s="0">
        <v>1811</v>
      </c>
      <c r="K70" t="s" s="0">
        <v>1812</v>
      </c>
      <c r="L70" t="s" s="0">
        <v>82</v>
      </c>
      <c r="M70" t="s" s="0">
        <v>82</v>
      </c>
      <c r="N70" t="s" s="0">
        <v>82</v>
      </c>
      <c r="O70" t="s" s="0">
        <v>1813</v>
      </c>
      <c r="P70" t="s" s="0">
        <v>1814</v>
      </c>
      <c r="Q70" t="s" s="0">
        <v>88</v>
      </c>
      <c r="R70" t="s" s="0">
        <v>82</v>
      </c>
      <c r="S70" t="s" s="0">
        <v>82</v>
      </c>
      <c r="T70" t="s" s="0">
        <v>82</v>
      </c>
      <c r="U70" t="s" s="0">
        <v>82</v>
      </c>
      <c r="V70" t="s" s="0">
        <v>1815</v>
      </c>
      <c r="W70" t="s" s="0">
        <v>1816</v>
      </c>
      <c r="X70" t="s" s="0">
        <v>82</v>
      </c>
      <c r="Y70" t="s" s="0">
        <v>82</v>
      </c>
      <c r="Z70" t="s" s="0">
        <v>91</v>
      </c>
      <c r="AA70" t="s" s="0">
        <v>92</v>
      </c>
      <c r="AB70" t="s" s="0">
        <v>82</v>
      </c>
      <c r="AC70" t="s" s="0">
        <v>82</v>
      </c>
      <c r="AD70" t="s" s="0">
        <v>82</v>
      </c>
      <c r="AE70" t="s" s="0">
        <v>82</v>
      </c>
      <c r="AF70" t="s" s="0">
        <v>82</v>
      </c>
      <c r="AG70" t="s" s="0">
        <v>1817</v>
      </c>
      <c r="AH70" t="s" s="0">
        <v>82</v>
      </c>
      <c r="AI70" t="s" s="0">
        <v>82</v>
      </c>
      <c r="AJ70" t="s" s="0">
        <v>82</v>
      </c>
      <c r="AK70" t="s" s="0">
        <v>82</v>
      </c>
      <c r="AL70" t="s" s="0">
        <v>763</v>
      </c>
      <c r="AM70" t="s" s="0">
        <v>77</v>
      </c>
      <c r="AN70" t="s" s="0">
        <v>77</v>
      </c>
      <c r="AO70" t="s" s="0">
        <v>77</v>
      </c>
      <c r="AP70" t="s" s="0">
        <v>77</v>
      </c>
      <c r="AQ70" t="s" s="0">
        <v>418</v>
      </c>
      <c r="AR70" t="s" s="0">
        <v>419</v>
      </c>
      <c r="AS70" t="s" s="0">
        <v>420</v>
      </c>
      <c r="AT70" t="s" s="0">
        <v>82</v>
      </c>
      <c r="AU70" t="s" s="0">
        <v>1818</v>
      </c>
      <c r="AV70" t="s" s="0">
        <v>82</v>
      </c>
      <c r="AW70" t="s" s="0">
        <v>1819</v>
      </c>
      <c r="AX70" t="s" s="0">
        <v>1820</v>
      </c>
      <c r="AY70" t="s" s="0">
        <v>1821</v>
      </c>
      <c r="AZ70" t="s" s="0">
        <v>179</v>
      </c>
      <c r="BA70" t="s" s="0">
        <v>363</v>
      </c>
      <c r="BB70" t="s" s="0">
        <v>204</v>
      </c>
      <c r="BC70" t="s" s="0">
        <v>82</v>
      </c>
      <c r="BD70" t="s" s="0">
        <v>82</v>
      </c>
      <c r="BE70" t="s" s="0">
        <v>82</v>
      </c>
      <c r="BF70" t="s" s="0">
        <v>82</v>
      </c>
      <c r="BG70" t="s" s="0">
        <v>82</v>
      </c>
      <c r="BH70" t="s" s="0">
        <v>82</v>
      </c>
      <c r="BI70" t="s" s="0">
        <v>209</v>
      </c>
      <c r="BJ70" t="s" s="0">
        <v>1822</v>
      </c>
      <c r="BK70" t="s" s="137">
        <f>HYPERLINK("http://dx.doi.org/10.3390/mti10020016","http://dx.doi.org/10.3390/mti10020016")</f>
        <v>1823</v>
      </c>
      <c r="BL70" t="s" s="0">
        <v>82</v>
      </c>
      <c r="BM70" t="s" s="0">
        <v>82</v>
      </c>
      <c r="BN70" t="s" s="0">
        <v>1532</v>
      </c>
      <c r="BO70" t="s" s="0">
        <v>1824</v>
      </c>
      <c r="BP70" t="s" s="0">
        <v>309</v>
      </c>
      <c r="BQ70" t="s" s="0">
        <v>1825</v>
      </c>
      <c r="BR70" t="s" s="0">
        <v>82</v>
      </c>
      <c r="BS70" t="s" s="0">
        <v>1826</v>
      </c>
      <c r="BT70" t="s" s="138">
        <f>HYPERLINK("https://www.webofscience.com/wos/woscc/full-record/WOS:001700723900001","View Record in Web of Science")</f>
        <v>120</v>
      </c>
      <c r="BU70" t="s" s="0">
        <v>335</v>
      </c>
      <c r="BV70" t="s" s="0">
        <v>82</v>
      </c>
      <c r="BW70" t="s" s="0">
        <v>82</v>
      </c>
      <c r="BX70" t="s" s="0">
        <v>121</v>
      </c>
    </row>
    <row r="71">
      <c r="A71" t="s" s="0">
        <v>77</v>
      </c>
      <c r="B71" t="s" s="0">
        <v>77</v>
      </c>
      <c r="C71" t="s" s="0">
        <v>77</v>
      </c>
      <c r="D71" t="s" s="0">
        <v>77</v>
      </c>
      <c r="E71" t="s" s="0">
        <v>1827</v>
      </c>
      <c r="F71" t="s" s="0">
        <v>1828</v>
      </c>
      <c r="G71" t="s" s="0">
        <v>1829</v>
      </c>
      <c r="H71" t="s" s="0">
        <v>82</v>
      </c>
      <c r="I71" t="s" s="0">
        <v>83</v>
      </c>
      <c r="J71" t="s" s="0">
        <v>1241</v>
      </c>
      <c r="K71" t="s" s="0">
        <v>1830</v>
      </c>
      <c r="L71" t="s" s="0">
        <v>1831</v>
      </c>
      <c r="M71" t="s" s="0">
        <v>1832</v>
      </c>
      <c r="N71" t="s" s="0">
        <v>1833</v>
      </c>
      <c r="O71" t="s" s="0">
        <v>1834</v>
      </c>
      <c r="P71" t="s" s="0">
        <v>1835</v>
      </c>
      <c r="Q71" t="s" s="0">
        <v>88</v>
      </c>
      <c r="R71" t="s" s="0">
        <v>82</v>
      </c>
      <c r="S71" t="s" s="0">
        <v>82</v>
      </c>
      <c r="T71" t="s" s="0">
        <v>82</v>
      </c>
      <c r="U71" t="s" s="0">
        <v>82</v>
      </c>
      <c r="V71" t="s" s="0">
        <v>1836</v>
      </c>
      <c r="W71" t="s" s="0">
        <v>133</v>
      </c>
      <c r="X71" t="s" s="0">
        <v>82</v>
      </c>
      <c r="Y71" t="s" s="0">
        <v>82</v>
      </c>
      <c r="Z71" t="s" s="0">
        <v>91</v>
      </c>
      <c r="AA71" t="s" s="0">
        <v>92</v>
      </c>
      <c r="AB71" t="s" s="0">
        <v>82</v>
      </c>
      <c r="AC71" t="s" s="0">
        <v>82</v>
      </c>
      <c r="AD71" t="s" s="0">
        <v>82</v>
      </c>
      <c r="AE71" t="s" s="0">
        <v>82</v>
      </c>
      <c r="AF71" t="s" s="0">
        <v>82</v>
      </c>
      <c r="AG71" t="s" s="0">
        <v>1837</v>
      </c>
      <c r="AH71" t="s" s="0">
        <v>82</v>
      </c>
      <c r="AI71" t="s" s="0">
        <v>82</v>
      </c>
      <c r="AJ71" t="s" s="0">
        <v>82</v>
      </c>
      <c r="AK71" t="s" s="0">
        <v>82</v>
      </c>
      <c r="AL71" t="s" s="0">
        <v>1665</v>
      </c>
      <c r="AM71" t="s" s="0">
        <v>99</v>
      </c>
      <c r="AN71" t="s" s="0">
        <v>99</v>
      </c>
      <c r="AO71" t="s" s="0">
        <v>148</v>
      </c>
      <c r="AP71" t="s" s="0">
        <v>184</v>
      </c>
      <c r="AQ71" t="s" s="0">
        <v>100</v>
      </c>
      <c r="AR71" t="s" s="0">
        <v>101</v>
      </c>
      <c r="AS71" t="s" s="0">
        <v>102</v>
      </c>
      <c r="AT71" t="s" s="0">
        <v>141</v>
      </c>
      <c r="AU71" t="s" s="0">
        <v>142</v>
      </c>
      <c r="AV71" t="s" s="0">
        <v>82</v>
      </c>
      <c r="AW71" t="s" s="0">
        <v>143</v>
      </c>
      <c r="AX71" t="s" s="0">
        <v>144</v>
      </c>
      <c r="AY71" t="s" s="0">
        <v>183</v>
      </c>
      <c r="AZ71" t="s" s="0">
        <v>179</v>
      </c>
      <c r="BA71" t="s" s="0">
        <v>140</v>
      </c>
      <c r="BB71" t="s" s="0">
        <v>235</v>
      </c>
      <c r="BC71" t="s" s="0">
        <v>82</v>
      </c>
      <c r="BD71" t="s" s="0">
        <v>82</v>
      </c>
      <c r="BE71" t="s" s="0">
        <v>82</v>
      </c>
      <c r="BF71" t="s" s="0">
        <v>82</v>
      </c>
      <c r="BG71" t="s" s="0">
        <v>1838</v>
      </c>
      <c r="BH71" t="s" s="0">
        <v>1839</v>
      </c>
      <c r="BI71" t="s" s="0">
        <v>82</v>
      </c>
      <c r="BJ71" t="s" s="0">
        <v>1840</v>
      </c>
      <c r="BK71" t="s" s="139">
        <f>HYPERLINK("http://dx.doi.org/10.1109/TMI.2025.3622492","http://dx.doi.org/10.1109/TMI.2025.3622492")</f>
        <v>1841</v>
      </c>
      <c r="BL71" t="s" s="0">
        <v>82</v>
      </c>
      <c r="BM71" t="s" s="0">
        <v>82</v>
      </c>
      <c r="BN71" t="s" s="0">
        <v>109</v>
      </c>
      <c r="BO71" t="s" s="0">
        <v>153</v>
      </c>
      <c r="BP71" t="s" s="0">
        <v>154</v>
      </c>
      <c r="BQ71" t="s" s="0">
        <v>1842</v>
      </c>
      <c r="BR71" t="s" s="0">
        <v>1843</v>
      </c>
      <c r="BS71" t="s" s="0">
        <v>1844</v>
      </c>
      <c r="BT71" t="s" s="140">
        <f>HYPERLINK("https://www.webofscience.com/wos/woscc/full-record/WOS:001733307400016","View Record in Web of Science")</f>
        <v>120</v>
      </c>
      <c r="BU71" t="s" s="0">
        <v>82</v>
      </c>
      <c r="BV71" t="s" s="0">
        <v>82</v>
      </c>
      <c r="BW71" t="s" s="0">
        <v>82</v>
      </c>
      <c r="BX71" t="s" s="0">
        <v>121</v>
      </c>
    </row>
    <row r="72">
      <c r="A72" t="s" s="0">
        <v>77</v>
      </c>
      <c r="B72" t="s" s="0">
        <v>77</v>
      </c>
      <c r="C72" t="s" s="0">
        <v>77</v>
      </c>
      <c r="D72" t="s" s="0">
        <v>77</v>
      </c>
      <c r="E72" t="s" s="0">
        <v>1845</v>
      </c>
      <c r="F72" t="s" s="0">
        <v>1846</v>
      </c>
      <c r="G72" t="s" s="0">
        <v>1847</v>
      </c>
      <c r="H72" t="s" s="0">
        <v>82</v>
      </c>
      <c r="I72" t="s" s="0">
        <v>83</v>
      </c>
      <c r="J72" t="s" s="0">
        <v>1848</v>
      </c>
      <c r="K72" t="s" s="0">
        <v>1849</v>
      </c>
      <c r="L72" t="s" s="0">
        <v>1850</v>
      </c>
      <c r="M72" t="s" s="0">
        <v>1850</v>
      </c>
      <c r="N72" t="s" s="0">
        <v>1851</v>
      </c>
      <c r="O72" t="s" s="0">
        <v>1852</v>
      </c>
      <c r="P72" t="s" s="0">
        <v>1853</v>
      </c>
      <c r="Q72" t="s" s="0">
        <v>88</v>
      </c>
      <c r="R72" t="s" s="0">
        <v>82</v>
      </c>
      <c r="S72" t="s" s="0">
        <v>82</v>
      </c>
      <c r="T72" t="s" s="0">
        <v>82</v>
      </c>
      <c r="U72" t="s" s="0">
        <v>82</v>
      </c>
      <c r="V72" t="s" s="0">
        <v>1854</v>
      </c>
      <c r="W72" t="s" s="0">
        <v>1855</v>
      </c>
      <c r="X72" t="s" s="0">
        <v>82</v>
      </c>
      <c r="Y72" t="s" s="0">
        <v>82</v>
      </c>
      <c r="Z72" t="s" s="0">
        <v>91</v>
      </c>
      <c r="AA72" t="s" s="0">
        <v>92</v>
      </c>
      <c r="AB72" t="s" s="0">
        <v>82</v>
      </c>
      <c r="AC72" t="s" s="0">
        <v>82</v>
      </c>
      <c r="AD72" t="s" s="0">
        <v>82</v>
      </c>
      <c r="AE72" t="s" s="0">
        <v>82</v>
      </c>
      <c r="AF72" t="s" s="0">
        <v>82</v>
      </c>
      <c r="AG72" t="s" s="0">
        <v>1856</v>
      </c>
      <c r="AH72" t="s" s="0">
        <v>82</v>
      </c>
      <c r="AI72" t="s" s="0">
        <v>1857</v>
      </c>
      <c r="AJ72" t="s" s="0">
        <v>1858</v>
      </c>
      <c r="AK72" t="s" s="0">
        <v>82</v>
      </c>
      <c r="AL72" t="s" s="0">
        <v>962</v>
      </c>
      <c r="AM72" t="s" s="0">
        <v>77</v>
      </c>
      <c r="AN72" t="s" s="0">
        <v>77</v>
      </c>
      <c r="AO72" t="s" s="0">
        <v>139</v>
      </c>
      <c r="AP72" t="s" s="0">
        <v>139</v>
      </c>
      <c r="AQ72" t="s" s="0">
        <v>1859</v>
      </c>
      <c r="AR72" t="s" s="0">
        <v>475</v>
      </c>
      <c r="AS72" t="s" s="0">
        <v>1860</v>
      </c>
      <c r="AT72" t="s" s="0">
        <v>1861</v>
      </c>
      <c r="AU72" t="s" s="0">
        <v>1862</v>
      </c>
      <c r="AV72" t="s" s="0">
        <v>82</v>
      </c>
      <c r="AW72" t="s" s="0">
        <v>1863</v>
      </c>
      <c r="AX72" t="s" s="0">
        <v>1864</v>
      </c>
      <c r="AY72" t="s" s="0">
        <v>1865</v>
      </c>
      <c r="AZ72" t="s" s="0">
        <v>1866</v>
      </c>
      <c r="BA72" t="s" s="0">
        <v>1867</v>
      </c>
      <c r="BB72" t="s" s="0">
        <v>82</v>
      </c>
      <c r="BC72" t="s" s="0">
        <v>82</v>
      </c>
      <c r="BD72" t="s" s="0">
        <v>82</v>
      </c>
      <c r="BE72" t="s" s="0">
        <v>82</v>
      </c>
      <c r="BF72" t="s" s="0">
        <v>82</v>
      </c>
      <c r="BG72" t="s" s="0">
        <v>82</v>
      </c>
      <c r="BH72" t="s" s="0">
        <v>82</v>
      </c>
      <c r="BI72" t="s" s="0">
        <v>1868</v>
      </c>
      <c r="BJ72" t="s" s="0">
        <v>1869</v>
      </c>
      <c r="BK72" t="s" s="141">
        <f>HYPERLINK("http://dx.doi.org/10.1016/j.csl.2026.101991","http://dx.doi.org/10.1016/j.csl.2026.101991")</f>
        <v>1870</v>
      </c>
      <c r="BL72" t="s" s="0">
        <v>82</v>
      </c>
      <c r="BM72" t="s" s="0">
        <v>82</v>
      </c>
      <c r="BN72" t="s" s="0">
        <v>586</v>
      </c>
      <c r="BO72" t="s" s="0">
        <v>308</v>
      </c>
      <c r="BP72" t="s" s="0">
        <v>309</v>
      </c>
      <c r="BQ72" t="s" s="0">
        <v>1871</v>
      </c>
      <c r="BR72" t="s" s="0">
        <v>82</v>
      </c>
      <c r="BS72" t="s" s="0">
        <v>1872</v>
      </c>
      <c r="BT72" t="s" s="142">
        <f>HYPERLINK("https://www.webofscience.com/wos/woscc/full-record/WOS:001750244600001","View Record in Web of Science")</f>
        <v>120</v>
      </c>
      <c r="BU72" t="s" s="0">
        <v>82</v>
      </c>
      <c r="BV72" t="s" s="0">
        <v>82</v>
      </c>
      <c r="BW72" t="s" s="0">
        <v>82</v>
      </c>
      <c r="BX72" t="s" s="0">
        <v>121</v>
      </c>
    </row>
    <row r="73">
      <c r="A73" t="s" s="0">
        <v>77</v>
      </c>
      <c r="B73" t="s" s="0">
        <v>77</v>
      </c>
      <c r="C73" t="s" s="0">
        <v>77</v>
      </c>
      <c r="D73" t="s" s="0">
        <v>77</v>
      </c>
      <c r="E73" t="s" s="0">
        <v>1873</v>
      </c>
      <c r="F73" t="s" s="0">
        <v>1874</v>
      </c>
      <c r="G73" t="s" s="0">
        <v>1875</v>
      </c>
      <c r="H73" t="s" s="0">
        <v>82</v>
      </c>
      <c r="I73" t="s" s="0">
        <v>83</v>
      </c>
      <c r="J73" t="s" s="0">
        <v>1876</v>
      </c>
      <c r="K73" t="s" s="0">
        <v>1877</v>
      </c>
      <c r="L73" t="s" s="0">
        <v>1878</v>
      </c>
      <c r="M73" t="s" s="0">
        <v>1879</v>
      </c>
      <c r="N73" t="s" s="0">
        <v>1880</v>
      </c>
      <c r="O73" t="s" s="0">
        <v>1881</v>
      </c>
      <c r="P73" t="s" s="0">
        <v>1882</v>
      </c>
      <c r="Q73" t="s" s="0">
        <v>88</v>
      </c>
      <c r="R73" t="s" s="0">
        <v>82</v>
      </c>
      <c r="S73" t="s" s="0">
        <v>82</v>
      </c>
      <c r="T73" t="s" s="0">
        <v>82</v>
      </c>
      <c r="U73" t="s" s="0">
        <v>82</v>
      </c>
      <c r="V73" t="s" s="0">
        <v>1883</v>
      </c>
      <c r="W73" t="s" s="0">
        <v>1884</v>
      </c>
      <c r="X73" t="s" s="0">
        <v>82</v>
      </c>
      <c r="Y73" t="s" s="0">
        <v>82</v>
      </c>
      <c r="Z73" t="s" s="0">
        <v>91</v>
      </c>
      <c r="AA73" t="s" s="0">
        <v>92</v>
      </c>
      <c r="AB73" t="s" s="0">
        <v>82</v>
      </c>
      <c r="AC73" t="s" s="0">
        <v>82</v>
      </c>
      <c r="AD73" t="s" s="0">
        <v>82</v>
      </c>
      <c r="AE73" t="s" s="0">
        <v>82</v>
      </c>
      <c r="AF73" t="s" s="0">
        <v>82</v>
      </c>
      <c r="AG73" t="s" s="0">
        <v>1885</v>
      </c>
      <c r="AH73" t="s" s="0">
        <v>82</v>
      </c>
      <c r="AI73" t="s" s="0">
        <v>82</v>
      </c>
      <c r="AJ73" t="s" s="0">
        <v>82</v>
      </c>
      <c r="AK73" t="s" s="0">
        <v>82</v>
      </c>
      <c r="AL73" t="s" s="0">
        <v>417</v>
      </c>
      <c r="AM73" t="s" s="0">
        <v>77</v>
      </c>
      <c r="AN73" t="s" s="0">
        <v>77</v>
      </c>
      <c r="AO73" t="s" s="0">
        <v>78</v>
      </c>
      <c r="AP73" t="s" s="0">
        <v>78</v>
      </c>
      <c r="AQ73" t="s" s="0">
        <v>100</v>
      </c>
      <c r="AR73" t="s" s="0">
        <v>101</v>
      </c>
      <c r="AS73" t="s" s="0">
        <v>102</v>
      </c>
      <c r="AT73" t="s" s="0">
        <v>1886</v>
      </c>
      <c r="AU73" t="s" s="0">
        <v>1887</v>
      </c>
      <c r="AV73" t="s" s="0">
        <v>82</v>
      </c>
      <c r="AW73" t="s" s="0">
        <v>1888</v>
      </c>
      <c r="AX73" t="s" s="0">
        <v>1889</v>
      </c>
      <c r="AY73" t="s" s="0">
        <v>179</v>
      </c>
      <c r="AZ73" t="s" s="0">
        <v>179</v>
      </c>
      <c r="BA73" t="s" s="0">
        <v>139</v>
      </c>
      <c r="BB73" t="s" s="0">
        <v>82</v>
      </c>
      <c r="BC73" t="s" s="0">
        <v>82</v>
      </c>
      <c r="BD73" t="s" s="0">
        <v>82</v>
      </c>
      <c r="BE73" t="s" s="0">
        <v>82</v>
      </c>
      <c r="BF73" t="s" s="0">
        <v>82</v>
      </c>
      <c r="BG73" t="s" s="0">
        <v>1890</v>
      </c>
      <c r="BH73" t="s" s="0">
        <v>1891</v>
      </c>
      <c r="BI73" t="s" s="0">
        <v>82</v>
      </c>
      <c r="BJ73" t="s" s="0">
        <v>1892</v>
      </c>
      <c r="BK73" t="s" s="143">
        <f>HYPERLINK("http://dx.doi.org/10.1109/TASE.2026.3671848","http://dx.doi.org/10.1109/TASE.2026.3671848")</f>
        <v>1893</v>
      </c>
      <c r="BL73" t="s" s="0">
        <v>82</v>
      </c>
      <c r="BM73" t="s" s="0">
        <v>82</v>
      </c>
      <c r="BN73" t="s" s="0">
        <v>148</v>
      </c>
      <c r="BO73" t="s" s="0">
        <v>1894</v>
      </c>
      <c r="BP73" t="s" s="0">
        <v>1894</v>
      </c>
      <c r="BQ73" t="s" s="0">
        <v>1895</v>
      </c>
      <c r="BR73" t="s" s="0">
        <v>82</v>
      </c>
      <c r="BS73" t="s" s="0">
        <v>1896</v>
      </c>
      <c r="BT73" t="s" s="144">
        <f>HYPERLINK("https://www.webofscience.com/wos/woscc/full-record/WOS:001717538400011","View Record in Web of Science")</f>
        <v>120</v>
      </c>
      <c r="BU73" t="s" s="0">
        <v>82</v>
      </c>
      <c r="BV73" t="s" s="0">
        <v>82</v>
      </c>
      <c r="BW73" t="s" s="0">
        <v>82</v>
      </c>
      <c r="BX73" t="s" s="0">
        <v>121</v>
      </c>
    </row>
    <row r="74">
      <c r="A74" t="s" s="0">
        <v>77</v>
      </c>
      <c r="B74" t="s" s="0">
        <v>77</v>
      </c>
      <c r="C74" t="s" s="0">
        <v>77</v>
      </c>
      <c r="D74" t="s" s="0">
        <v>77</v>
      </c>
      <c r="E74" t="s" s="0">
        <v>1897</v>
      </c>
      <c r="F74" t="s" s="0">
        <v>1898</v>
      </c>
      <c r="G74" t="s" s="0">
        <v>1899</v>
      </c>
      <c r="H74" t="s" s="0">
        <v>82</v>
      </c>
      <c r="I74" t="s" s="0">
        <v>83</v>
      </c>
      <c r="J74" t="s" s="0">
        <v>1900</v>
      </c>
      <c r="K74" t="s" s="0">
        <v>1901</v>
      </c>
      <c r="L74" t="s" s="0">
        <v>1902</v>
      </c>
      <c r="M74" t="s" s="0">
        <v>1903</v>
      </c>
      <c r="N74" t="s" s="0">
        <v>1904</v>
      </c>
      <c r="O74" t="s" s="0">
        <v>1905</v>
      </c>
      <c r="P74" t="s" s="0">
        <v>1906</v>
      </c>
      <c r="Q74" t="s" s="0">
        <v>88</v>
      </c>
      <c r="R74" t="s" s="0">
        <v>82</v>
      </c>
      <c r="S74" t="s" s="0">
        <v>82</v>
      </c>
      <c r="T74" t="s" s="0">
        <v>82</v>
      </c>
      <c r="U74" t="s" s="0">
        <v>82</v>
      </c>
      <c r="V74" t="s" s="0">
        <v>1907</v>
      </c>
      <c r="W74" t="s" s="0">
        <v>1908</v>
      </c>
      <c r="X74" t="s" s="0">
        <v>82</v>
      </c>
      <c r="Y74" t="s" s="0">
        <v>82</v>
      </c>
      <c r="Z74" t="s" s="0">
        <v>91</v>
      </c>
      <c r="AA74" t="s" s="0">
        <v>92</v>
      </c>
      <c r="AB74" t="s" s="0">
        <v>82</v>
      </c>
      <c r="AC74" t="s" s="0">
        <v>82</v>
      </c>
      <c r="AD74" t="s" s="0">
        <v>82</v>
      </c>
      <c r="AE74" t="s" s="0">
        <v>82</v>
      </c>
      <c r="AF74" t="s" s="0">
        <v>82</v>
      </c>
      <c r="AG74" t="s" s="0">
        <v>1909</v>
      </c>
      <c r="AH74" t="s" s="0">
        <v>82</v>
      </c>
      <c r="AI74" t="s" s="0">
        <v>1910</v>
      </c>
      <c r="AJ74" t="s" s="0">
        <v>1911</v>
      </c>
      <c r="AK74" t="s" s="0">
        <v>82</v>
      </c>
      <c r="AL74" t="s" s="0">
        <v>1505</v>
      </c>
      <c r="AM74" t="s" s="0">
        <v>77</v>
      </c>
      <c r="AN74" t="s" s="0">
        <v>77</v>
      </c>
      <c r="AO74" t="s" s="0">
        <v>99</v>
      </c>
      <c r="AP74" t="s" s="0">
        <v>99</v>
      </c>
      <c r="AQ74" t="s" s="0">
        <v>1912</v>
      </c>
      <c r="AR74" t="s" s="0">
        <v>475</v>
      </c>
      <c r="AS74" t="s" s="0">
        <v>1913</v>
      </c>
      <c r="AT74" t="s" s="0">
        <v>82</v>
      </c>
      <c r="AU74" t="s" s="0">
        <v>1914</v>
      </c>
      <c r="AV74" t="s" s="0">
        <v>82</v>
      </c>
      <c r="AW74" t="s" s="0">
        <v>1915</v>
      </c>
      <c r="AX74" t="s" s="0">
        <v>1916</v>
      </c>
      <c r="AY74" t="s" s="0">
        <v>1917</v>
      </c>
      <c r="AZ74" t="s" s="0">
        <v>179</v>
      </c>
      <c r="BA74" t="s" s="0">
        <v>331</v>
      </c>
      <c r="BB74" t="s" s="0">
        <v>78</v>
      </c>
      <c r="BC74" t="s" s="0">
        <v>82</v>
      </c>
      <c r="BD74" t="s" s="0">
        <v>82</v>
      </c>
      <c r="BE74" t="s" s="0">
        <v>82</v>
      </c>
      <c r="BF74" t="s" s="0">
        <v>82</v>
      </c>
      <c r="BG74" t="s" s="0">
        <v>82</v>
      </c>
      <c r="BH74" t="s" s="0">
        <v>82</v>
      </c>
      <c r="BI74" t="s" s="0">
        <v>1918</v>
      </c>
      <c r="BJ74" t="s" s="0">
        <v>1919</v>
      </c>
      <c r="BK74" t="s" s="145">
        <f>HYPERLINK("http://dx.doi.org/10.1186/s12884-026-09073-6","http://dx.doi.org/10.1186/s12884-026-09073-6")</f>
        <v>1920</v>
      </c>
      <c r="BL74" t="s" s="0">
        <v>82</v>
      </c>
      <c r="BM74" t="s" s="0">
        <v>183</v>
      </c>
      <c r="BN74" t="s" s="0">
        <v>184</v>
      </c>
      <c r="BO74" t="s" s="0">
        <v>1921</v>
      </c>
      <c r="BP74" t="s" s="0">
        <v>1921</v>
      </c>
      <c r="BQ74" t="s" s="0">
        <v>1922</v>
      </c>
      <c r="BR74" t="s" s="0">
        <v>1923</v>
      </c>
      <c r="BS74" t="s" s="0">
        <v>1924</v>
      </c>
      <c r="BT74" t="s" s="146">
        <f>HYPERLINK("https://www.webofscience.com/wos/woscc/full-record/WOS:001784543800005","View Record in Web of Science")</f>
        <v>120</v>
      </c>
      <c r="BU74" t="s" s="0">
        <v>189</v>
      </c>
      <c r="BV74" t="s" s="0">
        <v>82</v>
      </c>
      <c r="BW74" t="s" s="0">
        <v>82</v>
      </c>
      <c r="BX74" t="s" s="0">
        <v>121</v>
      </c>
    </row>
    <row r="75">
      <c r="A75" t="s" s="0">
        <v>77</v>
      </c>
      <c r="B75" t="s" s="0">
        <v>77</v>
      </c>
      <c r="C75" t="s" s="0">
        <v>78</v>
      </c>
      <c r="D75" t="s" s="0">
        <v>77</v>
      </c>
      <c r="E75" t="s" s="0">
        <v>1925</v>
      </c>
      <c r="F75" t="s" s="0">
        <v>1926</v>
      </c>
      <c r="G75" t="s" s="0">
        <v>1927</v>
      </c>
      <c r="H75" t="s" s="0">
        <v>82</v>
      </c>
      <c r="I75" t="s" s="0">
        <v>83</v>
      </c>
      <c r="J75" t="s" s="0">
        <v>1928</v>
      </c>
      <c r="K75" t="s" s="0">
        <v>1929</v>
      </c>
      <c r="L75" t="s" s="0">
        <v>1930</v>
      </c>
      <c r="M75" t="s" s="0">
        <v>1930</v>
      </c>
      <c r="N75" t="s" s="0">
        <v>1931</v>
      </c>
      <c r="O75" t="s" s="0">
        <v>1932</v>
      </c>
      <c r="P75" t="s" s="0">
        <v>1933</v>
      </c>
      <c r="Q75" t="s" s="0">
        <v>88</v>
      </c>
      <c r="R75" t="s" s="0">
        <v>82</v>
      </c>
      <c r="S75" t="s" s="0">
        <v>82</v>
      </c>
      <c r="T75" t="s" s="0">
        <v>82</v>
      </c>
      <c r="U75" t="s" s="0">
        <v>82</v>
      </c>
      <c r="V75" t="s" s="0">
        <v>1934</v>
      </c>
      <c r="W75" t="s" s="0">
        <v>1935</v>
      </c>
      <c r="X75" t="s" s="0">
        <v>82</v>
      </c>
      <c r="Y75" t="s" s="0">
        <v>82</v>
      </c>
      <c r="Z75" t="s" s="0">
        <v>91</v>
      </c>
      <c r="AA75" t="s" s="0">
        <v>92</v>
      </c>
      <c r="AB75" t="s" s="0">
        <v>82</v>
      </c>
      <c r="AC75" t="s" s="0">
        <v>82</v>
      </c>
      <c r="AD75" t="s" s="0">
        <v>82</v>
      </c>
      <c r="AE75" t="s" s="0">
        <v>82</v>
      </c>
      <c r="AF75" t="s" s="0">
        <v>82</v>
      </c>
      <c r="AG75" t="s" s="0">
        <v>1936</v>
      </c>
      <c r="AH75" t="s" s="0">
        <v>82</v>
      </c>
      <c r="AI75" t="s" s="0">
        <v>82</v>
      </c>
      <c r="AJ75" t="s" s="0">
        <v>1937</v>
      </c>
      <c r="AK75" t="s" s="0">
        <v>82</v>
      </c>
      <c r="AL75" t="s" s="0">
        <v>586</v>
      </c>
      <c r="AM75" t="s" s="0">
        <v>99</v>
      </c>
      <c r="AN75" t="s" s="0">
        <v>99</v>
      </c>
      <c r="AO75" t="s" s="0">
        <v>235</v>
      </c>
      <c r="AP75" t="s" s="0">
        <v>363</v>
      </c>
      <c r="AQ75" t="s" s="0">
        <v>1912</v>
      </c>
      <c r="AR75" t="s" s="0">
        <v>475</v>
      </c>
      <c r="AS75" t="s" s="0">
        <v>1913</v>
      </c>
      <c r="AT75" t="s" s="0">
        <v>1938</v>
      </c>
      <c r="AU75" t="s" s="0">
        <v>82</v>
      </c>
      <c r="AV75" t="s" s="0">
        <v>82</v>
      </c>
      <c r="AW75" t="s" s="0">
        <v>1939</v>
      </c>
      <c r="AX75" t="s" s="0">
        <v>1940</v>
      </c>
      <c r="AY75" t="s" s="0">
        <v>1941</v>
      </c>
      <c r="AZ75" t="s" s="0">
        <v>108</v>
      </c>
      <c r="BA75" t="s" s="0">
        <v>661</v>
      </c>
      <c r="BB75" t="s" s="0">
        <v>78</v>
      </c>
      <c r="BC75" t="s" s="0">
        <v>82</v>
      </c>
      <c r="BD75" t="s" s="0">
        <v>82</v>
      </c>
      <c r="BE75" t="s" s="0">
        <v>82</v>
      </c>
      <c r="BF75" t="s" s="0">
        <v>82</v>
      </c>
      <c r="BG75" t="s" s="0">
        <v>82</v>
      </c>
      <c r="BH75" t="s" s="0">
        <v>82</v>
      </c>
      <c r="BI75" t="s" s="0">
        <v>1942</v>
      </c>
      <c r="BJ75" t="s" s="0">
        <v>1943</v>
      </c>
      <c r="BK75" t="s" s="147">
        <f>HYPERLINK("http://dx.doi.org/10.1186/s12880-025-01885-w","http://dx.doi.org/10.1186/s12880-025-01885-w")</f>
        <v>1944</v>
      </c>
      <c r="BL75" t="s" s="0">
        <v>82</v>
      </c>
      <c r="BM75" t="s" s="0">
        <v>82</v>
      </c>
      <c r="BN75" t="s" s="0">
        <v>184</v>
      </c>
      <c r="BO75" t="s" s="0">
        <v>717</v>
      </c>
      <c r="BP75" t="s" s="0">
        <v>717</v>
      </c>
      <c r="BQ75" t="s" s="0">
        <v>1945</v>
      </c>
      <c r="BR75" t="s" s="0">
        <v>1946</v>
      </c>
      <c r="BS75" t="s" s="0">
        <v>1947</v>
      </c>
      <c r="BT75" t="s" s="148">
        <f>HYPERLINK("https://www.webofscience.com/wos/woscc/full-record/WOS:001558507000001","View Record in Web of Science")</f>
        <v>120</v>
      </c>
      <c r="BU75" t="s" s="0">
        <v>189</v>
      </c>
      <c r="BV75" t="s" s="0">
        <v>82</v>
      </c>
      <c r="BW75" t="s" s="0">
        <v>82</v>
      </c>
      <c r="BX75" t="s" s="0">
        <v>121</v>
      </c>
    </row>
    <row r="76">
      <c r="A76" t="s" s="0">
        <v>77</v>
      </c>
      <c r="B76" t="s" s="0">
        <v>77</v>
      </c>
      <c r="C76" t="s" s="0">
        <v>77</v>
      </c>
      <c r="D76" t="s" s="0">
        <v>77</v>
      </c>
      <c r="E76" t="s" s="0">
        <v>1948</v>
      </c>
      <c r="F76" t="s" s="0">
        <v>1949</v>
      </c>
      <c r="G76" t="s" s="0">
        <v>1950</v>
      </c>
      <c r="H76" t="s" s="0">
        <v>82</v>
      </c>
      <c r="I76" t="s" s="0">
        <v>460</v>
      </c>
      <c r="J76" t="s" s="0">
        <v>1951</v>
      </c>
      <c r="K76" t="s" s="0">
        <v>1952</v>
      </c>
      <c r="L76" t="s" s="0">
        <v>1953</v>
      </c>
      <c r="M76" t="s" s="0">
        <v>1954</v>
      </c>
      <c r="N76" t="s" s="0">
        <v>1955</v>
      </c>
      <c r="O76" t="s" s="0">
        <v>1956</v>
      </c>
      <c r="P76" t="s" s="0">
        <v>1957</v>
      </c>
      <c r="Q76" t="s" s="0">
        <v>88</v>
      </c>
      <c r="R76" t="s" s="0">
        <v>82</v>
      </c>
      <c r="S76" t="s" s="0">
        <v>82</v>
      </c>
      <c r="T76" t="s" s="0">
        <v>82</v>
      </c>
      <c r="U76" t="s" s="0">
        <v>82</v>
      </c>
      <c r="V76" t="s" s="0">
        <v>1958</v>
      </c>
      <c r="W76" t="s" s="0">
        <v>1959</v>
      </c>
      <c r="X76" t="s" s="0">
        <v>82</v>
      </c>
      <c r="Y76" t="s" s="0">
        <v>82</v>
      </c>
      <c r="Z76" t="s" s="0">
        <v>91</v>
      </c>
      <c r="AA76" t="s" s="0">
        <v>92</v>
      </c>
      <c r="AB76" t="s" s="0">
        <v>82</v>
      </c>
      <c r="AC76" t="s" s="0">
        <v>82</v>
      </c>
      <c r="AD76" t="s" s="0">
        <v>82</v>
      </c>
      <c r="AE76" t="s" s="0">
        <v>82</v>
      </c>
      <c r="AF76" t="s" s="0">
        <v>82</v>
      </c>
      <c r="AG76" t="s" s="0">
        <v>1960</v>
      </c>
      <c r="AH76" t="s" s="0">
        <v>1961</v>
      </c>
      <c r="AI76" t="s" s="0">
        <v>1962</v>
      </c>
      <c r="AJ76" t="s" s="0">
        <v>1963</v>
      </c>
      <c r="AK76" t="s" s="0">
        <v>82</v>
      </c>
      <c r="AL76" t="s" s="0">
        <v>415</v>
      </c>
      <c r="AM76" t="s" s="0">
        <v>77</v>
      </c>
      <c r="AN76" t="s" s="0">
        <v>78</v>
      </c>
      <c r="AO76" t="s" s="0">
        <v>77</v>
      </c>
      <c r="AP76" t="s" s="0">
        <v>77</v>
      </c>
      <c r="AQ76" t="s" s="0">
        <v>1708</v>
      </c>
      <c r="AR76" t="s" s="0">
        <v>796</v>
      </c>
      <c r="AS76" t="s" s="0">
        <v>1709</v>
      </c>
      <c r="AT76" t="s" s="0">
        <v>82</v>
      </c>
      <c r="AU76" t="s" s="0">
        <v>1964</v>
      </c>
      <c r="AV76" t="s" s="0">
        <v>82</v>
      </c>
      <c r="AW76" t="s" s="0">
        <v>1965</v>
      </c>
      <c r="AX76" t="s" s="0">
        <v>1966</v>
      </c>
      <c r="AY76" t="s" s="0">
        <v>1688</v>
      </c>
      <c r="AZ76" t="s" s="0">
        <v>108</v>
      </c>
      <c r="BA76" t="s" s="0">
        <v>115</v>
      </c>
      <c r="BB76" t="s" s="0">
        <v>235</v>
      </c>
      <c r="BC76" t="s" s="0">
        <v>82</v>
      </c>
      <c r="BD76" t="s" s="0">
        <v>82</v>
      </c>
      <c r="BE76" t="s" s="0">
        <v>82</v>
      </c>
      <c r="BF76" t="s" s="0">
        <v>82</v>
      </c>
      <c r="BG76" t="s" s="0">
        <v>82</v>
      </c>
      <c r="BH76" t="s" s="0">
        <v>82</v>
      </c>
      <c r="BI76" t="s" s="0">
        <v>1967</v>
      </c>
      <c r="BJ76" t="s" s="0">
        <v>1968</v>
      </c>
      <c r="BK76" t="s" s="149">
        <f>HYPERLINK("http://dx.doi.org/10.1145/3770714","http://dx.doi.org/10.1145/3770714")</f>
        <v>1969</v>
      </c>
      <c r="BL76" t="s" s="0">
        <v>82</v>
      </c>
      <c r="BM76" t="s" s="0">
        <v>82</v>
      </c>
      <c r="BN76" t="s" s="0">
        <v>391</v>
      </c>
      <c r="BO76" t="s" s="0">
        <v>332</v>
      </c>
      <c r="BP76" t="s" s="0">
        <v>117</v>
      </c>
      <c r="BQ76" t="s" s="0">
        <v>1970</v>
      </c>
      <c r="BR76" t="s" s="0">
        <v>82</v>
      </c>
      <c r="BS76" t="s" s="0">
        <v>1971</v>
      </c>
      <c r="BT76" t="s" s="150">
        <f>HYPERLINK("https://www.webofscience.com/wos/woscc/full-record/WOS:001650435600001","View Record in Web of Science")</f>
        <v>120</v>
      </c>
      <c r="BU76" t="s" s="0">
        <v>1972</v>
      </c>
      <c r="BV76" t="s" s="0">
        <v>82</v>
      </c>
      <c r="BW76" t="s" s="0">
        <v>82</v>
      </c>
      <c r="BX76" t="s" s="0">
        <v>121</v>
      </c>
    </row>
    <row r="77">
      <c r="A77" t="s" s="0">
        <v>77</v>
      </c>
      <c r="B77" t="s" s="0">
        <v>77</v>
      </c>
      <c r="C77" t="s" s="0">
        <v>77</v>
      </c>
      <c r="D77" t="s" s="0">
        <v>77</v>
      </c>
      <c r="E77" t="s" s="0">
        <v>1973</v>
      </c>
      <c r="F77" t="s" s="0">
        <v>1974</v>
      </c>
      <c r="G77" t="s" s="0">
        <v>1975</v>
      </c>
      <c r="H77" t="s" s="0">
        <v>82</v>
      </c>
      <c r="I77" t="s" s="0">
        <v>83</v>
      </c>
      <c r="J77" t="s" s="0">
        <v>1976</v>
      </c>
      <c r="K77" t="s" s="0">
        <v>1977</v>
      </c>
      <c r="L77" t="s" s="0">
        <v>82</v>
      </c>
      <c r="M77" t="s" s="0">
        <v>82</v>
      </c>
      <c r="N77" t="s" s="0">
        <v>82</v>
      </c>
      <c r="O77" t="s" s="0">
        <v>1978</v>
      </c>
      <c r="P77" t="s" s="0">
        <v>1979</v>
      </c>
      <c r="Q77" t="s" s="0">
        <v>88</v>
      </c>
      <c r="R77" t="s" s="0">
        <v>82</v>
      </c>
      <c r="S77" t="s" s="0">
        <v>82</v>
      </c>
      <c r="T77" t="s" s="0">
        <v>82</v>
      </c>
      <c r="U77" t="s" s="0">
        <v>82</v>
      </c>
      <c r="V77" t="s" s="0">
        <v>1980</v>
      </c>
      <c r="W77" t="s" s="0">
        <v>1981</v>
      </c>
      <c r="X77" t="s" s="0">
        <v>82</v>
      </c>
      <c r="Y77" t="s" s="0">
        <v>82</v>
      </c>
      <c r="Z77" t="s" s="0">
        <v>91</v>
      </c>
      <c r="AA77" t="s" s="0">
        <v>92</v>
      </c>
      <c r="AB77" t="s" s="0">
        <v>82</v>
      </c>
      <c r="AC77" t="s" s="0">
        <v>82</v>
      </c>
      <c r="AD77" t="s" s="0">
        <v>82</v>
      </c>
      <c r="AE77" t="s" s="0">
        <v>82</v>
      </c>
      <c r="AF77" t="s" s="0">
        <v>82</v>
      </c>
      <c r="AG77" t="s" s="0">
        <v>1982</v>
      </c>
      <c r="AH77" t="s" s="0">
        <v>82</v>
      </c>
      <c r="AI77" t="s" s="0">
        <v>1983</v>
      </c>
      <c r="AJ77" t="s" s="0">
        <v>82</v>
      </c>
      <c r="AK77" t="s" s="0">
        <v>82</v>
      </c>
      <c r="AL77" t="s" s="0">
        <v>1505</v>
      </c>
      <c r="AM77" t="s" s="0">
        <v>77</v>
      </c>
      <c r="AN77" t="s" s="0">
        <v>77</v>
      </c>
      <c r="AO77" t="s" s="0">
        <v>77</v>
      </c>
      <c r="AP77" t="s" s="0">
        <v>77</v>
      </c>
      <c r="AQ77" t="s" s="0">
        <v>503</v>
      </c>
      <c r="AR77" t="s" s="0">
        <v>504</v>
      </c>
      <c r="AS77" t="s" s="0">
        <v>505</v>
      </c>
      <c r="AT77" t="s" s="0">
        <v>1984</v>
      </c>
      <c r="AU77" t="s" s="0">
        <v>1985</v>
      </c>
      <c r="AV77" t="s" s="0">
        <v>82</v>
      </c>
      <c r="AW77" t="s" s="0">
        <v>1986</v>
      </c>
      <c r="AX77" t="s" s="0">
        <v>1987</v>
      </c>
      <c r="AY77" t="s" s="0">
        <v>1988</v>
      </c>
      <c r="AZ77" t="s" s="0">
        <v>179</v>
      </c>
      <c r="BA77" t="s" s="0">
        <v>1989</v>
      </c>
      <c r="BB77" t="s" s="0">
        <v>82</v>
      </c>
      <c r="BC77" t="s" s="0">
        <v>82</v>
      </c>
      <c r="BD77" t="s" s="0">
        <v>1990</v>
      </c>
      <c r="BE77" t="s" s="0">
        <v>82</v>
      </c>
      <c r="BF77" t="s" s="0">
        <v>82</v>
      </c>
      <c r="BG77" t="s" s="0">
        <v>82</v>
      </c>
      <c r="BH77" t="s" s="0">
        <v>82</v>
      </c>
      <c r="BI77" t="s" s="0">
        <v>1991</v>
      </c>
      <c r="BJ77" t="s" s="0">
        <v>1992</v>
      </c>
      <c r="BK77" t="s" s="151">
        <f>HYPERLINK("http://dx.doi.org/10.1016/j.patcog.2026.114283","http://dx.doi.org/10.1016/j.patcog.2026.114283")</f>
        <v>1993</v>
      </c>
      <c r="BL77" t="s" s="0">
        <v>82</v>
      </c>
      <c r="BM77" t="s" s="0">
        <v>358</v>
      </c>
      <c r="BN77" t="s" s="0">
        <v>307</v>
      </c>
      <c r="BO77" t="s" s="0">
        <v>278</v>
      </c>
      <c r="BP77" t="s" s="0">
        <v>279</v>
      </c>
      <c r="BQ77" t="s" s="0">
        <v>1994</v>
      </c>
      <c r="BR77" t="s" s="0">
        <v>82</v>
      </c>
      <c r="BS77" t="s" s="0">
        <v>1995</v>
      </c>
      <c r="BT77" t="s" s="152">
        <f>HYPERLINK("https://www.webofscience.com/wos/woscc/full-record/WOS:001810218800001","View Record in Web of Science")</f>
        <v>120</v>
      </c>
      <c r="BU77" t="s" s="0">
        <v>1972</v>
      </c>
      <c r="BV77" t="s" s="0">
        <v>82</v>
      </c>
      <c r="BW77" t="s" s="0">
        <v>82</v>
      </c>
      <c r="BX77" t="s" s="0">
        <v>121</v>
      </c>
    </row>
    <row r="78">
      <c r="A78" t="s" s="0">
        <v>77</v>
      </c>
      <c r="B78" t="s" s="0">
        <v>77</v>
      </c>
      <c r="C78" t="s" s="0">
        <v>77</v>
      </c>
      <c r="D78" t="s" s="0">
        <v>77</v>
      </c>
      <c r="E78" t="s" s="0">
        <v>1996</v>
      </c>
      <c r="F78" t="s" s="0">
        <v>1997</v>
      </c>
      <c r="G78" t="s" s="0">
        <v>1998</v>
      </c>
      <c r="H78" t="s" s="0">
        <v>82</v>
      </c>
      <c r="I78" t="s" s="0">
        <v>83</v>
      </c>
      <c r="J78" t="s" s="0">
        <v>1999</v>
      </c>
      <c r="K78" t="s" s="0">
        <v>2000</v>
      </c>
      <c r="L78" t="s" s="0">
        <v>2001</v>
      </c>
      <c r="M78" t="s" s="0">
        <v>2002</v>
      </c>
      <c r="N78" t="s" s="0">
        <v>2003</v>
      </c>
      <c r="O78" t="s" s="0">
        <v>2004</v>
      </c>
      <c r="P78" t="s" s="0">
        <v>2005</v>
      </c>
      <c r="Q78" t="s" s="0">
        <v>88</v>
      </c>
      <c r="R78" t="s" s="0">
        <v>82</v>
      </c>
      <c r="S78" t="s" s="0">
        <v>82</v>
      </c>
      <c r="T78" t="s" s="0">
        <v>82</v>
      </c>
      <c r="U78" t="s" s="0">
        <v>82</v>
      </c>
      <c r="V78" t="s" s="0">
        <v>2006</v>
      </c>
      <c r="W78" t="s" s="0">
        <v>2007</v>
      </c>
      <c r="X78" t="s" s="0">
        <v>82</v>
      </c>
      <c r="Y78" t="s" s="0">
        <v>82</v>
      </c>
      <c r="Z78" t="s" s="0">
        <v>91</v>
      </c>
      <c r="AA78" t="s" s="0">
        <v>92</v>
      </c>
      <c r="AB78" t="s" s="0">
        <v>82</v>
      </c>
      <c r="AC78" t="s" s="0">
        <v>82</v>
      </c>
      <c r="AD78" t="s" s="0">
        <v>82</v>
      </c>
      <c r="AE78" t="s" s="0">
        <v>82</v>
      </c>
      <c r="AF78" t="s" s="0">
        <v>82</v>
      </c>
      <c r="AG78" t="s" s="0">
        <v>2008</v>
      </c>
      <c r="AH78" t="s" s="0">
        <v>2009</v>
      </c>
      <c r="AI78" t="s" s="0">
        <v>2010</v>
      </c>
      <c r="AJ78" t="s" s="0">
        <v>2011</v>
      </c>
      <c r="AK78" t="s" s="0">
        <v>82</v>
      </c>
      <c r="AL78" t="s" s="0">
        <v>2012</v>
      </c>
      <c r="AM78" t="s" s="0">
        <v>148</v>
      </c>
      <c r="AN78" t="s" s="0">
        <v>148</v>
      </c>
      <c r="AO78" t="s" s="0">
        <v>209</v>
      </c>
      <c r="AP78" t="s" s="0">
        <v>763</v>
      </c>
      <c r="AQ78" t="s" s="0">
        <v>296</v>
      </c>
      <c r="AR78" t="s" s="0">
        <v>297</v>
      </c>
      <c r="AS78" t="s" s="0">
        <v>298</v>
      </c>
      <c r="AT78" t="s" s="0">
        <v>2013</v>
      </c>
      <c r="AU78" t="s" s="0">
        <v>2014</v>
      </c>
      <c r="AV78" t="s" s="0">
        <v>82</v>
      </c>
      <c r="AW78" t="s" s="0">
        <v>2015</v>
      </c>
      <c r="AX78" t="s" s="0">
        <v>2016</v>
      </c>
      <c r="AY78" t="s" s="0">
        <v>448</v>
      </c>
      <c r="AZ78" t="s" s="0">
        <v>108</v>
      </c>
      <c r="BA78" t="s" s="0">
        <v>2017</v>
      </c>
      <c r="BB78" t="s" s="0">
        <v>82</v>
      </c>
      <c r="BC78" t="s" s="0">
        <v>82</v>
      </c>
      <c r="BD78" t="s" s="0">
        <v>82</v>
      </c>
      <c r="BE78" t="s" s="0">
        <v>82</v>
      </c>
      <c r="BF78" t="s" s="0">
        <v>82</v>
      </c>
      <c r="BG78" t="s" s="0">
        <v>2018</v>
      </c>
      <c r="BH78" t="s" s="0">
        <v>2019</v>
      </c>
      <c r="BI78" t="s" s="0">
        <v>82</v>
      </c>
      <c r="BJ78" t="s" s="0">
        <v>2020</v>
      </c>
      <c r="BK78" t="s" s="153">
        <f>HYPERLINK("http://dx.doi.org/10.1016/j.isprsjprs.2025.06.019","http://dx.doi.org/10.1016/j.isprsjprs.2025.06.019")</f>
        <v>2021</v>
      </c>
      <c r="BL78" t="s" s="0">
        <v>82</v>
      </c>
      <c r="BM78" t="s" s="0">
        <v>2022</v>
      </c>
      <c r="BN78" t="s" s="0">
        <v>976</v>
      </c>
      <c r="BO78" t="s" s="0">
        <v>2023</v>
      </c>
      <c r="BP78" t="s" s="0">
        <v>2024</v>
      </c>
      <c r="BQ78" t="s" s="0">
        <v>2025</v>
      </c>
      <c r="BR78" t="s" s="0">
        <v>82</v>
      </c>
      <c r="BS78" t="s" s="0">
        <v>2026</v>
      </c>
      <c r="BT78" t="s" s="154">
        <f>HYPERLINK("https://www.webofscience.com/wos/woscc/full-record/WOS:001541052000002","View Record in Web of Science")</f>
        <v>120</v>
      </c>
      <c r="BU78" t="s" s="0">
        <v>1972</v>
      </c>
      <c r="BV78" t="s" s="0">
        <v>82</v>
      </c>
      <c r="BW78" t="s" s="0">
        <v>82</v>
      </c>
      <c r="BX78" t="s" s="0">
        <v>121</v>
      </c>
    </row>
    <row r="79">
      <c r="A79" t="s" s="0">
        <v>77</v>
      </c>
      <c r="B79" t="s" s="0">
        <v>77</v>
      </c>
      <c r="C79" t="s" s="0">
        <v>77</v>
      </c>
      <c r="D79" t="s" s="0">
        <v>77</v>
      </c>
      <c r="E79" t="s" s="0">
        <v>2027</v>
      </c>
      <c r="F79" t="s" s="0">
        <v>2028</v>
      </c>
      <c r="G79" t="s" s="0">
        <v>2029</v>
      </c>
      <c r="H79" t="s" s="0">
        <v>82</v>
      </c>
      <c r="I79" t="s" s="0">
        <v>83</v>
      </c>
      <c r="J79" t="s" s="0">
        <v>2030</v>
      </c>
      <c r="K79" t="s" s="0">
        <v>2031</v>
      </c>
      <c r="L79" t="s" s="0">
        <v>2032</v>
      </c>
      <c r="M79" t="s" s="0">
        <v>2033</v>
      </c>
      <c r="N79" t="s" s="0">
        <v>2034</v>
      </c>
      <c r="O79" t="s" s="0">
        <v>2035</v>
      </c>
      <c r="P79" t="s" s="0">
        <v>2036</v>
      </c>
      <c r="Q79" t="s" s="0">
        <v>88</v>
      </c>
      <c r="R79" t="s" s="0">
        <v>82</v>
      </c>
      <c r="S79" t="s" s="0">
        <v>82</v>
      </c>
      <c r="T79" t="s" s="0">
        <v>82</v>
      </c>
      <c r="U79" t="s" s="0">
        <v>82</v>
      </c>
      <c r="V79" t="s" s="0">
        <v>2037</v>
      </c>
      <c r="W79" t="s" s="0">
        <v>411</v>
      </c>
      <c r="X79" t="s" s="0">
        <v>82</v>
      </c>
      <c r="Y79" t="s" s="0">
        <v>82</v>
      </c>
      <c r="Z79" t="s" s="0">
        <v>91</v>
      </c>
      <c r="AA79" t="s" s="0">
        <v>92</v>
      </c>
      <c r="AB79" t="s" s="0">
        <v>82</v>
      </c>
      <c r="AC79" t="s" s="0">
        <v>82</v>
      </c>
      <c r="AD79" t="s" s="0">
        <v>82</v>
      </c>
      <c r="AE79" t="s" s="0">
        <v>82</v>
      </c>
      <c r="AF79" t="s" s="0">
        <v>82</v>
      </c>
      <c r="AG79" t="s" s="0">
        <v>2038</v>
      </c>
      <c r="AH79" t="s" s="0">
        <v>82</v>
      </c>
      <c r="AI79" t="s" s="0">
        <v>2039</v>
      </c>
      <c r="AJ79" t="s" s="0">
        <v>2040</v>
      </c>
      <c r="AK79" t="s" s="0">
        <v>82</v>
      </c>
      <c r="AL79" t="s" s="0">
        <v>415</v>
      </c>
      <c r="AM79" t="s" s="0">
        <v>204</v>
      </c>
      <c r="AN79" t="s" s="0">
        <v>99</v>
      </c>
      <c r="AO79" t="s" s="0">
        <v>204</v>
      </c>
      <c r="AP79" t="s" s="0">
        <v>99</v>
      </c>
      <c r="AQ79" t="s" s="0">
        <v>418</v>
      </c>
      <c r="AR79" t="s" s="0">
        <v>419</v>
      </c>
      <c r="AS79" t="s" s="0">
        <v>420</v>
      </c>
      <c r="AT79" t="s" s="0">
        <v>82</v>
      </c>
      <c r="AU79" t="s" s="0">
        <v>421</v>
      </c>
      <c r="AV79" t="s" s="0">
        <v>82</v>
      </c>
      <c r="AW79" t="s" s="0">
        <v>411</v>
      </c>
      <c r="AX79" t="s" s="0">
        <v>422</v>
      </c>
      <c r="AY79" t="s" s="0">
        <v>2041</v>
      </c>
      <c r="AZ79" t="s" s="0">
        <v>108</v>
      </c>
      <c r="BA79" t="s" s="0">
        <v>148</v>
      </c>
      <c r="BB79" t="s" s="0">
        <v>148</v>
      </c>
      <c r="BC79" t="s" s="0">
        <v>82</v>
      </c>
      <c r="BD79" t="s" s="0">
        <v>82</v>
      </c>
      <c r="BE79" t="s" s="0">
        <v>82</v>
      </c>
      <c r="BF79" t="s" s="0">
        <v>82</v>
      </c>
      <c r="BG79" t="s" s="0">
        <v>82</v>
      </c>
      <c r="BH79" t="s" s="0">
        <v>82</v>
      </c>
      <c r="BI79" t="s" s="0">
        <v>2042</v>
      </c>
      <c r="BJ79" t="s" s="0">
        <v>2043</v>
      </c>
      <c r="BK79" t="s" s="155">
        <f>HYPERLINK("http://dx.doi.org/10.3390/bioengineering12121330","http://dx.doi.org/10.3390/bioengineering12121330")</f>
        <v>2044</v>
      </c>
      <c r="BL79" t="s" s="0">
        <v>82</v>
      </c>
      <c r="BM79" t="s" s="0">
        <v>82</v>
      </c>
      <c r="BN79" t="s" s="0">
        <v>1504</v>
      </c>
      <c r="BO79" t="s" s="0">
        <v>429</v>
      </c>
      <c r="BP79" t="s" s="0">
        <v>430</v>
      </c>
      <c r="BQ79" t="s" s="0">
        <v>2045</v>
      </c>
      <c r="BR79" t="s" s="0">
        <v>2046</v>
      </c>
      <c r="BS79" t="s" s="0">
        <v>2047</v>
      </c>
      <c r="BT79" t="s" s="156">
        <f>HYPERLINK("https://www.webofscience.com/wos/woscc/full-record/WOS:001646886000001","View Record in Web of Science")</f>
        <v>120</v>
      </c>
      <c r="BU79" t="s" s="0">
        <v>189</v>
      </c>
      <c r="BV79" t="s" s="0">
        <v>82</v>
      </c>
      <c r="BW79" t="s" s="0">
        <v>82</v>
      </c>
      <c r="BX79" t="s" s="0">
        <v>121</v>
      </c>
    </row>
    <row r="80">
      <c r="A80" t="s" s="0">
        <v>77</v>
      </c>
      <c r="B80" t="s" s="0">
        <v>77</v>
      </c>
      <c r="C80" t="s" s="0">
        <v>77</v>
      </c>
      <c r="D80" t="s" s="0">
        <v>77</v>
      </c>
      <c r="E80" t="s" s="0">
        <v>2048</v>
      </c>
      <c r="F80" t="s" s="0">
        <v>2049</v>
      </c>
      <c r="G80" t="s" s="0">
        <v>2050</v>
      </c>
      <c r="H80" t="s" s="0">
        <v>82</v>
      </c>
      <c r="I80" t="s" s="0">
        <v>83</v>
      </c>
      <c r="J80" t="s" s="0">
        <v>2051</v>
      </c>
      <c r="K80" t="s" s="0">
        <v>2052</v>
      </c>
      <c r="L80" t="s" s="0">
        <v>82</v>
      </c>
      <c r="M80" t="s" s="0">
        <v>82</v>
      </c>
      <c r="N80" t="s" s="0">
        <v>82</v>
      </c>
      <c r="O80" t="s" s="0">
        <v>2053</v>
      </c>
      <c r="P80" t="s" s="0">
        <v>2054</v>
      </c>
      <c r="Q80" t="s" s="0">
        <v>88</v>
      </c>
      <c r="R80" t="s" s="0">
        <v>82</v>
      </c>
      <c r="S80" t="s" s="0">
        <v>82</v>
      </c>
      <c r="T80" t="s" s="0">
        <v>82</v>
      </c>
      <c r="U80" t="s" s="0">
        <v>82</v>
      </c>
      <c r="V80" t="s" s="0">
        <v>2055</v>
      </c>
      <c r="W80" t="s" s="0">
        <v>2056</v>
      </c>
      <c r="X80" t="s" s="0">
        <v>82</v>
      </c>
      <c r="Y80" t="s" s="0">
        <v>82</v>
      </c>
      <c r="Z80" t="s" s="0">
        <v>91</v>
      </c>
      <c r="AA80" t="s" s="0">
        <v>92</v>
      </c>
      <c r="AB80" t="s" s="0">
        <v>82</v>
      </c>
      <c r="AC80" t="s" s="0">
        <v>82</v>
      </c>
      <c r="AD80" t="s" s="0">
        <v>82</v>
      </c>
      <c r="AE80" t="s" s="0">
        <v>82</v>
      </c>
      <c r="AF80" t="s" s="0">
        <v>82</v>
      </c>
      <c r="AG80" t="s" s="0">
        <v>2057</v>
      </c>
      <c r="AH80" t="s" s="0">
        <v>82</v>
      </c>
      <c r="AI80" t="s" s="0">
        <v>82</v>
      </c>
      <c r="AJ80" t="s" s="0">
        <v>2058</v>
      </c>
      <c r="AK80" t="s" s="0">
        <v>82</v>
      </c>
      <c r="AL80" t="s" s="0">
        <v>203</v>
      </c>
      <c r="AM80" t="s" s="0">
        <v>77</v>
      </c>
      <c r="AN80" t="s" s="0">
        <v>77</v>
      </c>
      <c r="AO80" t="s" s="0">
        <v>77</v>
      </c>
      <c r="AP80" t="s" s="0">
        <v>99</v>
      </c>
      <c r="AQ80" t="s" s="0">
        <v>474</v>
      </c>
      <c r="AR80" t="s" s="0">
        <v>475</v>
      </c>
      <c r="AS80" t="s" s="0">
        <v>2059</v>
      </c>
      <c r="AT80" t="s" s="0">
        <v>2060</v>
      </c>
      <c r="AU80" t="s" s="0">
        <v>2061</v>
      </c>
      <c r="AV80" t="s" s="0">
        <v>82</v>
      </c>
      <c r="AW80" t="s" s="0">
        <v>2062</v>
      </c>
      <c r="AX80" t="s" s="0">
        <v>2063</v>
      </c>
      <c r="AY80" t="s" s="0">
        <v>829</v>
      </c>
      <c r="AZ80" t="s" s="0">
        <v>179</v>
      </c>
      <c r="BA80" t="s" s="0">
        <v>209</v>
      </c>
      <c r="BB80" t="s" s="0">
        <v>204</v>
      </c>
      <c r="BC80" t="s" s="0">
        <v>2064</v>
      </c>
      <c r="BD80" t="s" s="0">
        <v>82</v>
      </c>
      <c r="BE80" t="s" s="0">
        <v>82</v>
      </c>
      <c r="BF80" t="s" s="0">
        <v>82</v>
      </c>
      <c r="BG80" t="s" s="0">
        <v>2065</v>
      </c>
      <c r="BH80" t="s" s="0">
        <v>2066</v>
      </c>
      <c r="BI80" t="s" s="0">
        <v>82</v>
      </c>
      <c r="BJ80" t="s" s="0">
        <v>2067</v>
      </c>
      <c r="BK80" t="s" s="157">
        <f>HYPERLINK("http://dx.doi.org/10.1007/s13534-025-00535-y","http://dx.doi.org/10.1007/s13534-025-00535-y")</f>
        <v>2068</v>
      </c>
      <c r="BL80" t="s" s="0">
        <v>82</v>
      </c>
      <c r="BM80" t="s" s="0">
        <v>634</v>
      </c>
      <c r="BN80" t="s" s="0">
        <v>138</v>
      </c>
      <c r="BO80" t="s" s="0">
        <v>516</v>
      </c>
      <c r="BP80" t="s" s="0">
        <v>247</v>
      </c>
      <c r="BQ80" t="s" s="0">
        <v>2069</v>
      </c>
      <c r="BR80" t="s" s="0">
        <v>2070</v>
      </c>
      <c r="BS80" t="s" s="0">
        <v>2071</v>
      </c>
      <c r="BT80" t="s" s="158">
        <f>HYPERLINK("https://www.webofscience.com/wos/woscc/full-record/WOS:001622418000001","View Record in Web of Science")</f>
        <v>120</v>
      </c>
      <c r="BU80" t="s" s="0">
        <v>809</v>
      </c>
      <c r="BV80" t="s" s="0">
        <v>82</v>
      </c>
      <c r="BW80" t="s" s="0">
        <v>82</v>
      </c>
      <c r="BX80" t="s" s="0">
        <v>121</v>
      </c>
    </row>
    <row r="81">
      <c r="A81" t="s" s="0">
        <v>77</v>
      </c>
      <c r="B81" t="s" s="0">
        <v>77</v>
      </c>
      <c r="C81" t="s" s="0">
        <v>77</v>
      </c>
      <c r="D81" t="s" s="0">
        <v>77</v>
      </c>
      <c r="E81" t="s" s="0">
        <v>2072</v>
      </c>
      <c r="F81" t="s" s="0">
        <v>2073</v>
      </c>
      <c r="G81" t="s" s="0">
        <v>2074</v>
      </c>
      <c r="H81" t="s" s="0">
        <v>82</v>
      </c>
      <c r="I81" t="s" s="0">
        <v>83</v>
      </c>
      <c r="J81" t="s" s="0">
        <v>2075</v>
      </c>
      <c r="K81" t="s" s="0">
        <v>2076</v>
      </c>
      <c r="L81" t="s" s="0">
        <v>2077</v>
      </c>
      <c r="M81" t="s" s="0">
        <v>2078</v>
      </c>
      <c r="N81" t="s" s="0">
        <v>2079</v>
      </c>
      <c r="O81" t="s" s="0">
        <v>2080</v>
      </c>
      <c r="P81" t="s" s="0">
        <v>2081</v>
      </c>
      <c r="Q81" t="s" s="0">
        <v>88</v>
      </c>
      <c r="R81" t="s" s="0">
        <v>82</v>
      </c>
      <c r="S81" t="s" s="0">
        <v>82</v>
      </c>
      <c r="T81" t="s" s="0">
        <v>82</v>
      </c>
      <c r="U81" t="s" s="0">
        <v>82</v>
      </c>
      <c r="V81" t="s" s="0">
        <v>2082</v>
      </c>
      <c r="W81" t="s" s="0">
        <v>2083</v>
      </c>
      <c r="X81" t="s" s="0">
        <v>82</v>
      </c>
      <c r="Y81" t="s" s="0">
        <v>82</v>
      </c>
      <c r="Z81" t="s" s="0">
        <v>91</v>
      </c>
      <c r="AA81" t="s" s="0">
        <v>92</v>
      </c>
      <c r="AB81" t="s" s="0">
        <v>82</v>
      </c>
      <c r="AC81" t="s" s="0">
        <v>82</v>
      </c>
      <c r="AD81" t="s" s="0">
        <v>82</v>
      </c>
      <c r="AE81" t="s" s="0">
        <v>82</v>
      </c>
      <c r="AF81" t="s" s="0">
        <v>82</v>
      </c>
      <c r="AG81" t="s" s="0">
        <v>2084</v>
      </c>
      <c r="AH81" t="s" s="0">
        <v>82</v>
      </c>
      <c r="AI81" t="s" s="0">
        <v>82</v>
      </c>
      <c r="AJ81" t="s" s="0">
        <v>82</v>
      </c>
      <c r="AK81" t="s" s="0">
        <v>82</v>
      </c>
      <c r="AL81" t="s" s="0">
        <v>736</v>
      </c>
      <c r="AM81" t="s" s="0">
        <v>78</v>
      </c>
      <c r="AN81" t="s" s="0">
        <v>78</v>
      </c>
      <c r="AO81" t="s" s="0">
        <v>78</v>
      </c>
      <c r="AP81" t="s" s="0">
        <v>78</v>
      </c>
      <c r="AQ81" t="s" s="0">
        <v>296</v>
      </c>
      <c r="AR81" t="s" s="0">
        <v>297</v>
      </c>
      <c r="AS81" t="s" s="0">
        <v>298</v>
      </c>
      <c r="AT81" t="s" s="0">
        <v>2085</v>
      </c>
      <c r="AU81" t="s" s="0">
        <v>2086</v>
      </c>
      <c r="AV81" t="s" s="0">
        <v>82</v>
      </c>
      <c r="AW81" t="s" s="0">
        <v>2087</v>
      </c>
      <c r="AX81" t="s" s="0">
        <v>2088</v>
      </c>
      <c r="AY81" t="s" s="0">
        <v>358</v>
      </c>
      <c r="AZ81" t="s" s="0">
        <v>179</v>
      </c>
      <c r="BA81" t="s" s="0">
        <v>2089</v>
      </c>
      <c r="BB81" t="s" s="0">
        <v>82</v>
      </c>
      <c r="BC81" t="s" s="0">
        <v>82</v>
      </c>
      <c r="BD81" t="s" s="0">
        <v>82</v>
      </c>
      <c r="BE81" t="s" s="0">
        <v>82</v>
      </c>
      <c r="BF81" t="s" s="0">
        <v>82</v>
      </c>
      <c r="BG81" t="s" s="0">
        <v>82</v>
      </c>
      <c r="BH81" t="s" s="0">
        <v>82</v>
      </c>
      <c r="BI81" t="s" s="0">
        <v>2090</v>
      </c>
      <c r="BJ81" t="s" s="0">
        <v>2091</v>
      </c>
      <c r="BK81" t="s" s="159">
        <f>HYPERLINK("http://dx.doi.org/10.1016/j.applanim.2026.106969","http://dx.doi.org/10.1016/j.applanim.2026.106969")</f>
        <v>2092</v>
      </c>
      <c r="BL81" t="s" s="0">
        <v>82</v>
      </c>
      <c r="BM81" t="s" s="0">
        <v>82</v>
      </c>
      <c r="BN81" t="s" s="0">
        <v>272</v>
      </c>
      <c r="BO81" t="s" s="0">
        <v>2093</v>
      </c>
      <c r="BP81" t="s" s="0">
        <v>2094</v>
      </c>
      <c r="BQ81" t="s" s="0">
        <v>2095</v>
      </c>
      <c r="BR81" t="s" s="0">
        <v>82</v>
      </c>
      <c r="BS81" t="s" s="0">
        <v>2096</v>
      </c>
      <c r="BT81" t="s" s="160">
        <f>HYPERLINK("https://www.webofscience.com/wos/woscc/full-record/WOS:001718251200001","View Record in Web of Science")</f>
        <v>120</v>
      </c>
      <c r="BU81" t="s" s="0">
        <v>82</v>
      </c>
      <c r="BV81" t="s" s="0">
        <v>82</v>
      </c>
      <c r="BW81" t="s" s="0">
        <v>82</v>
      </c>
      <c r="BX81" t="s" s="0">
        <v>121</v>
      </c>
    </row>
    <row r="82">
      <c r="A82" t="s" s="0">
        <v>77</v>
      </c>
      <c r="B82" t="s" s="0">
        <v>77</v>
      </c>
      <c r="C82" t="s" s="0">
        <v>78</v>
      </c>
      <c r="D82" t="s" s="0">
        <v>77</v>
      </c>
      <c r="E82" t="s" s="0">
        <v>2097</v>
      </c>
      <c r="F82" t="s" s="0">
        <v>2098</v>
      </c>
      <c r="G82" t="s" s="0">
        <v>2099</v>
      </c>
      <c r="H82" t="s" s="0">
        <v>82</v>
      </c>
      <c r="I82" t="s" s="0">
        <v>83</v>
      </c>
      <c r="J82" t="s" s="0">
        <v>2100</v>
      </c>
      <c r="K82" t="s" s="0">
        <v>2101</v>
      </c>
      <c r="L82" t="s" s="0">
        <v>82</v>
      </c>
      <c r="M82" t="s" s="0">
        <v>82</v>
      </c>
      <c r="N82" t="s" s="0">
        <v>82</v>
      </c>
      <c r="O82" t="s" s="0">
        <v>2102</v>
      </c>
      <c r="P82" t="s" s="0">
        <v>2103</v>
      </c>
      <c r="Q82" t="s" s="0">
        <v>88</v>
      </c>
      <c r="R82" t="s" s="0">
        <v>82</v>
      </c>
      <c r="S82" t="s" s="0">
        <v>82</v>
      </c>
      <c r="T82" t="s" s="0">
        <v>82</v>
      </c>
      <c r="U82" t="s" s="0">
        <v>82</v>
      </c>
      <c r="V82" t="s" s="0">
        <v>2104</v>
      </c>
      <c r="W82" t="s" s="0">
        <v>323</v>
      </c>
      <c r="X82" t="s" s="0">
        <v>82</v>
      </c>
      <c r="Y82" t="s" s="0">
        <v>82</v>
      </c>
      <c r="Z82" t="s" s="0">
        <v>91</v>
      </c>
      <c r="AA82" t="s" s="0">
        <v>92</v>
      </c>
      <c r="AB82" t="s" s="0">
        <v>82</v>
      </c>
      <c r="AC82" t="s" s="0">
        <v>82</v>
      </c>
      <c r="AD82" t="s" s="0">
        <v>82</v>
      </c>
      <c r="AE82" t="s" s="0">
        <v>82</v>
      </c>
      <c r="AF82" t="s" s="0">
        <v>82</v>
      </c>
      <c r="AG82" t="s" s="0">
        <v>2105</v>
      </c>
      <c r="AH82" t="s" s="0">
        <v>82</v>
      </c>
      <c r="AI82" t="s" s="0">
        <v>2106</v>
      </c>
      <c r="AJ82" t="s" s="0">
        <v>2107</v>
      </c>
      <c r="AK82" t="s" s="0">
        <v>82</v>
      </c>
      <c r="AL82" t="s" s="0">
        <v>850</v>
      </c>
      <c r="AM82" t="s" s="0">
        <v>363</v>
      </c>
      <c r="AN82" t="s" s="0">
        <v>307</v>
      </c>
      <c r="AO82" t="s" s="0">
        <v>204</v>
      </c>
      <c r="AP82" t="s" s="0">
        <v>115</v>
      </c>
      <c r="AQ82" t="s" s="0">
        <v>100</v>
      </c>
      <c r="AR82" t="s" s="0">
        <v>101</v>
      </c>
      <c r="AS82" t="s" s="0">
        <v>102</v>
      </c>
      <c r="AT82" t="s" s="0">
        <v>325</v>
      </c>
      <c r="AU82" t="s" s="0">
        <v>82</v>
      </c>
      <c r="AV82" t="s" s="0">
        <v>82</v>
      </c>
      <c r="AW82" t="s" s="0">
        <v>323</v>
      </c>
      <c r="AX82" t="s" s="0">
        <v>326</v>
      </c>
      <c r="AY82" t="s" s="0">
        <v>108</v>
      </c>
      <c r="AZ82" t="s" s="0">
        <v>108</v>
      </c>
      <c r="BA82" t="s" s="0">
        <v>184</v>
      </c>
      <c r="BB82" t="s" s="0">
        <v>82</v>
      </c>
      <c r="BC82" t="s" s="0">
        <v>82</v>
      </c>
      <c r="BD82" t="s" s="0">
        <v>82</v>
      </c>
      <c r="BE82" t="s" s="0">
        <v>82</v>
      </c>
      <c r="BF82" t="s" s="0">
        <v>82</v>
      </c>
      <c r="BG82" t="s" s="0">
        <v>2108</v>
      </c>
      <c r="BH82" t="s" s="0">
        <v>2109</v>
      </c>
      <c r="BI82" t="s" s="0">
        <v>82</v>
      </c>
      <c r="BJ82" t="s" s="0">
        <v>2110</v>
      </c>
      <c r="BK82" t="s" s="161">
        <f>HYPERLINK("http://dx.doi.org/10.1109/ACCESS.2025.3552613","http://dx.doi.org/10.1109/ACCESS.2025.3552613")</f>
        <v>2111</v>
      </c>
      <c r="BL82" t="s" s="0">
        <v>82</v>
      </c>
      <c r="BM82" t="s" s="0">
        <v>82</v>
      </c>
      <c r="BN82" t="s" s="0">
        <v>109</v>
      </c>
      <c r="BO82" t="s" s="0">
        <v>332</v>
      </c>
      <c r="BP82" t="s" s="0">
        <v>117</v>
      </c>
      <c r="BQ82" t="s" s="0">
        <v>2112</v>
      </c>
      <c r="BR82" t="s" s="0">
        <v>82</v>
      </c>
      <c r="BS82" t="s" s="0">
        <v>2113</v>
      </c>
      <c r="BT82" t="s" s="162">
        <f>HYPERLINK("https://www.webofscience.com/wos/woscc/full-record/WOS:001453644600044","View Record in Web of Science")</f>
        <v>120</v>
      </c>
      <c r="BU82" t="s" s="0">
        <v>189</v>
      </c>
      <c r="BV82" t="s" s="0">
        <v>82</v>
      </c>
      <c r="BW82" t="s" s="0">
        <v>82</v>
      </c>
      <c r="BX82" t="s" s="0">
        <v>121</v>
      </c>
    </row>
    <row r="83">
      <c r="A83" t="s" s="0">
        <v>77</v>
      </c>
      <c r="B83" t="s" s="0">
        <v>77</v>
      </c>
      <c r="C83" t="s" s="0">
        <v>77</v>
      </c>
      <c r="D83" t="s" s="0">
        <v>77</v>
      </c>
      <c r="E83" t="s" s="0">
        <v>2114</v>
      </c>
      <c r="F83" t="s" s="0">
        <v>2115</v>
      </c>
      <c r="G83" t="s" s="0">
        <v>2116</v>
      </c>
      <c r="H83" t="s" s="0">
        <v>82</v>
      </c>
      <c r="I83" t="s" s="0">
        <v>83</v>
      </c>
      <c r="J83" t="s" s="0">
        <v>2117</v>
      </c>
      <c r="K83" t="s" s="0">
        <v>2118</v>
      </c>
      <c r="L83" t="s" s="0">
        <v>2119</v>
      </c>
      <c r="M83" t="s" s="0">
        <v>2120</v>
      </c>
      <c r="N83" t="s" s="0">
        <v>2121</v>
      </c>
      <c r="O83" t="s" s="0">
        <v>2122</v>
      </c>
      <c r="P83" t="s" s="0">
        <v>2123</v>
      </c>
      <c r="Q83" t="s" s="0">
        <v>88</v>
      </c>
      <c r="R83" t="s" s="0">
        <v>82</v>
      </c>
      <c r="S83" t="s" s="0">
        <v>82</v>
      </c>
      <c r="T83" t="s" s="0">
        <v>82</v>
      </c>
      <c r="U83" t="s" s="0">
        <v>82</v>
      </c>
      <c r="V83" t="s" s="0">
        <v>2124</v>
      </c>
      <c r="W83" t="s" s="0">
        <v>2125</v>
      </c>
      <c r="X83" t="s" s="0">
        <v>82</v>
      </c>
      <c r="Y83" t="s" s="0">
        <v>82</v>
      </c>
      <c r="Z83" t="s" s="0">
        <v>91</v>
      </c>
      <c r="AA83" t="s" s="0">
        <v>92</v>
      </c>
      <c r="AB83" t="s" s="0">
        <v>82</v>
      </c>
      <c r="AC83" t="s" s="0">
        <v>82</v>
      </c>
      <c r="AD83" t="s" s="0">
        <v>82</v>
      </c>
      <c r="AE83" t="s" s="0">
        <v>82</v>
      </c>
      <c r="AF83" t="s" s="0">
        <v>82</v>
      </c>
      <c r="AG83" t="s" s="0">
        <v>2126</v>
      </c>
      <c r="AH83" t="s" s="0">
        <v>2127</v>
      </c>
      <c r="AI83" t="s" s="0">
        <v>2128</v>
      </c>
      <c r="AJ83" t="s" s="0">
        <v>2129</v>
      </c>
      <c r="AK83" t="s" s="0">
        <v>82</v>
      </c>
      <c r="AL83" t="s" s="0">
        <v>417</v>
      </c>
      <c r="AM83" t="s" s="0">
        <v>77</v>
      </c>
      <c r="AN83" t="s" s="0">
        <v>77</v>
      </c>
      <c r="AO83" t="s" s="0">
        <v>110</v>
      </c>
      <c r="AP83" t="s" s="0">
        <v>363</v>
      </c>
      <c r="AQ83" t="s" s="0">
        <v>296</v>
      </c>
      <c r="AR83" t="s" s="0">
        <v>297</v>
      </c>
      <c r="AS83" t="s" s="0">
        <v>298</v>
      </c>
      <c r="AT83" t="s" s="0">
        <v>2130</v>
      </c>
      <c r="AU83" t="s" s="0">
        <v>82</v>
      </c>
      <c r="AV83" t="s" s="0">
        <v>82</v>
      </c>
      <c r="AW83" t="s" s="0">
        <v>2125</v>
      </c>
      <c r="AX83" t="s" s="0">
        <v>2131</v>
      </c>
      <c r="AY83" t="s" s="0">
        <v>1688</v>
      </c>
      <c r="AZ83" t="s" s="0">
        <v>108</v>
      </c>
      <c r="BA83" t="s" s="0">
        <v>2132</v>
      </c>
      <c r="BB83" t="s" s="0">
        <v>82</v>
      </c>
      <c r="BC83" t="s" s="0">
        <v>82</v>
      </c>
      <c r="BD83" t="s" s="0">
        <v>82</v>
      </c>
      <c r="BE83" t="s" s="0">
        <v>82</v>
      </c>
      <c r="BF83" t="s" s="0">
        <v>82</v>
      </c>
      <c r="BG83" t="s" s="0">
        <v>82</v>
      </c>
      <c r="BH83" t="s" s="0">
        <v>82</v>
      </c>
      <c r="BI83" t="s" s="0">
        <v>2133</v>
      </c>
      <c r="BJ83" t="s" s="0">
        <v>2134</v>
      </c>
      <c r="BK83" t="s" s="163">
        <f>HYPERLINK("http://dx.doi.org/10.1016/j.ebiom.2025.106060","http://dx.doi.org/10.1016/j.ebiom.2025.106060")</f>
        <v>2135</v>
      </c>
      <c r="BL83" t="s" s="0">
        <v>82</v>
      </c>
      <c r="BM83" t="s" s="0">
        <v>1688</v>
      </c>
      <c r="BN83" t="s" s="0">
        <v>277</v>
      </c>
      <c r="BO83" t="s" s="0">
        <v>2136</v>
      </c>
      <c r="BP83" t="s" s="0">
        <v>2137</v>
      </c>
      <c r="BQ83" t="s" s="0">
        <v>2138</v>
      </c>
      <c r="BR83" t="s" s="0">
        <v>2139</v>
      </c>
      <c r="BS83" t="s" s="0">
        <v>2140</v>
      </c>
      <c r="BT83" t="s" s="164">
        <f>HYPERLINK("https://www.webofscience.com/wos/woscc/full-record/WOS:001636287700001","View Record in Web of Science")</f>
        <v>120</v>
      </c>
      <c r="BU83" t="s" s="0">
        <v>2141</v>
      </c>
      <c r="BV83" t="s" s="0">
        <v>82</v>
      </c>
      <c r="BW83" t="s" s="0">
        <v>82</v>
      </c>
      <c r="BX83" t="s" s="0">
        <v>121</v>
      </c>
    </row>
    <row r="84">
      <c r="A84" t="s" s="0">
        <v>77</v>
      </c>
      <c r="B84" t="s" s="0">
        <v>77</v>
      </c>
      <c r="C84" t="s" s="0">
        <v>77</v>
      </c>
      <c r="D84" t="s" s="0">
        <v>77</v>
      </c>
      <c r="E84" t="s" s="0">
        <v>2142</v>
      </c>
      <c r="F84" t="s" s="0">
        <v>2143</v>
      </c>
      <c r="G84" t="s" s="0">
        <v>2144</v>
      </c>
      <c r="H84" t="s" s="0">
        <v>82</v>
      </c>
      <c r="I84" t="s" s="0">
        <v>83</v>
      </c>
      <c r="J84" t="s" s="0">
        <v>2145</v>
      </c>
      <c r="K84" t="s" s="0">
        <v>2146</v>
      </c>
      <c r="L84" t="s" s="0">
        <v>2147</v>
      </c>
      <c r="M84" t="s" s="0">
        <v>2148</v>
      </c>
      <c r="N84" t="s" s="0">
        <v>2149</v>
      </c>
      <c r="O84" t="s" s="0">
        <v>2150</v>
      </c>
      <c r="P84" t="s" s="0">
        <v>2151</v>
      </c>
      <c r="Q84" t="s" s="0">
        <v>88</v>
      </c>
      <c r="R84" t="s" s="0">
        <v>82</v>
      </c>
      <c r="S84" t="s" s="0">
        <v>82</v>
      </c>
      <c r="T84" t="s" s="0">
        <v>82</v>
      </c>
      <c r="U84" t="s" s="0">
        <v>82</v>
      </c>
      <c r="V84" t="s" s="0">
        <v>2152</v>
      </c>
      <c r="W84" t="s" s="0">
        <v>2153</v>
      </c>
      <c r="X84" t="s" s="0">
        <v>82</v>
      </c>
      <c r="Y84" t="s" s="0">
        <v>82</v>
      </c>
      <c r="Z84" t="s" s="0">
        <v>91</v>
      </c>
      <c r="AA84" t="s" s="0">
        <v>92</v>
      </c>
      <c r="AB84" t="s" s="0">
        <v>82</v>
      </c>
      <c r="AC84" t="s" s="0">
        <v>82</v>
      </c>
      <c r="AD84" t="s" s="0">
        <v>82</v>
      </c>
      <c r="AE84" t="s" s="0">
        <v>82</v>
      </c>
      <c r="AF84" t="s" s="0">
        <v>82</v>
      </c>
      <c r="AG84" t="s" s="0">
        <v>2154</v>
      </c>
      <c r="AH84" t="s" s="0">
        <v>82</v>
      </c>
      <c r="AI84" t="s" s="0">
        <v>2155</v>
      </c>
      <c r="AJ84" t="s" s="0">
        <v>82</v>
      </c>
      <c r="AK84" t="s" s="0">
        <v>82</v>
      </c>
      <c r="AL84" t="s" s="0">
        <v>140</v>
      </c>
      <c r="AM84" t="s" s="0">
        <v>307</v>
      </c>
      <c r="AN84" t="s" s="0">
        <v>184</v>
      </c>
      <c r="AO84" t="s" s="0">
        <v>97</v>
      </c>
      <c r="AP84" t="s" s="0">
        <v>763</v>
      </c>
      <c r="AQ84" t="s" s="0">
        <v>795</v>
      </c>
      <c r="AR84" t="s" s="0">
        <v>2156</v>
      </c>
      <c r="AS84" t="s" s="0">
        <v>2157</v>
      </c>
      <c r="AT84" t="s" s="0">
        <v>2158</v>
      </c>
      <c r="AU84" t="s" s="0">
        <v>2159</v>
      </c>
      <c r="AV84" t="s" s="0">
        <v>82</v>
      </c>
      <c r="AW84" t="s" s="0">
        <v>2160</v>
      </c>
      <c r="AX84" t="s" s="0">
        <v>2161</v>
      </c>
      <c r="AY84" t="s" s="0">
        <v>2162</v>
      </c>
      <c r="AZ84" t="s" s="0">
        <v>108</v>
      </c>
      <c r="BA84" t="s" s="0">
        <v>578</v>
      </c>
      <c r="BB84" t="s" s="0">
        <v>97</v>
      </c>
      <c r="BC84" t="s" s="0">
        <v>82</v>
      </c>
      <c r="BD84" t="s" s="0">
        <v>82</v>
      </c>
      <c r="BE84" t="s" s="0">
        <v>82</v>
      </c>
      <c r="BF84" t="s" s="0">
        <v>82</v>
      </c>
      <c r="BG84" t="s" s="0">
        <v>82</v>
      </c>
      <c r="BH84" t="s" s="0">
        <v>82</v>
      </c>
      <c r="BI84" t="s" s="0">
        <v>2163</v>
      </c>
      <c r="BJ84" t="s" s="0">
        <v>2164</v>
      </c>
      <c r="BK84" t="s" s="165">
        <f>HYPERLINK("http://dx.doi.org/10.1007/s10462-025-11190-1","http://dx.doi.org/10.1007/s10462-025-11190-1")</f>
        <v>2165</v>
      </c>
      <c r="BL84" t="s" s="0">
        <v>82</v>
      </c>
      <c r="BM84" t="s" s="0">
        <v>82</v>
      </c>
      <c r="BN84" t="s" s="0">
        <v>1004</v>
      </c>
      <c r="BO84" t="s" s="0">
        <v>308</v>
      </c>
      <c r="BP84" t="s" s="0">
        <v>309</v>
      </c>
      <c r="BQ84" t="s" s="0">
        <v>2166</v>
      </c>
      <c r="BR84" t="s" s="0">
        <v>82</v>
      </c>
      <c r="BS84" t="s" s="0">
        <v>2167</v>
      </c>
      <c r="BT84" t="s" s="166">
        <f>HYPERLINK("https://www.webofscience.com/wos/woscc/full-record/WOS:001455847800001","View Record in Web of Science")</f>
        <v>120</v>
      </c>
      <c r="BU84" t="s" s="0">
        <v>1972</v>
      </c>
      <c r="BV84" t="s" s="0">
        <v>82</v>
      </c>
      <c r="BW84" t="s" s="0">
        <v>82</v>
      </c>
      <c r="BX84" t="s" s="0">
        <v>121</v>
      </c>
    </row>
    <row r="85">
      <c r="A85" t="s" s="0">
        <v>77</v>
      </c>
      <c r="B85" t="s" s="0">
        <v>77</v>
      </c>
      <c r="C85" t="s" s="0">
        <v>77</v>
      </c>
      <c r="D85" t="s" s="0">
        <v>77</v>
      </c>
      <c r="E85" t="s" s="0">
        <v>2168</v>
      </c>
      <c r="F85" t="s" s="0">
        <v>2169</v>
      </c>
      <c r="G85" t="s" s="0">
        <v>2170</v>
      </c>
      <c r="H85" t="s" s="0">
        <v>82</v>
      </c>
      <c r="I85" t="s" s="0">
        <v>83</v>
      </c>
      <c r="J85" t="s" s="0">
        <v>2171</v>
      </c>
      <c r="K85" t="s" s="0">
        <v>2172</v>
      </c>
      <c r="L85" t="s" s="0">
        <v>2173</v>
      </c>
      <c r="M85" t="s" s="0">
        <v>2174</v>
      </c>
      <c r="N85" t="s" s="0">
        <v>2175</v>
      </c>
      <c r="O85" t="s" s="0">
        <v>2176</v>
      </c>
      <c r="P85" t="s" s="0">
        <v>2177</v>
      </c>
      <c r="Q85" t="s" s="0">
        <v>88</v>
      </c>
      <c r="R85" t="s" s="0">
        <v>82</v>
      </c>
      <c r="S85" t="s" s="0">
        <v>82</v>
      </c>
      <c r="T85" t="s" s="0">
        <v>82</v>
      </c>
      <c r="U85" t="s" s="0">
        <v>82</v>
      </c>
      <c r="V85" t="s" s="0">
        <v>2178</v>
      </c>
      <c r="W85" t="s" s="0">
        <v>1529</v>
      </c>
      <c r="X85" t="s" s="0">
        <v>82</v>
      </c>
      <c r="Y85" t="s" s="0">
        <v>82</v>
      </c>
      <c r="Z85" t="s" s="0">
        <v>91</v>
      </c>
      <c r="AA85" t="s" s="0">
        <v>908</v>
      </c>
      <c r="AB85" t="s" s="0">
        <v>82</v>
      </c>
      <c r="AC85" t="s" s="0">
        <v>82</v>
      </c>
      <c r="AD85" t="s" s="0">
        <v>82</v>
      </c>
      <c r="AE85" t="s" s="0">
        <v>82</v>
      </c>
      <c r="AF85" t="s" s="0">
        <v>82</v>
      </c>
      <c r="AG85" t="s" s="0">
        <v>82</v>
      </c>
      <c r="AH85" t="s" s="0">
        <v>82</v>
      </c>
      <c r="AI85" t="s" s="0">
        <v>2179</v>
      </c>
      <c r="AJ85" t="s" s="0">
        <v>2180</v>
      </c>
      <c r="AK85" t="s" s="0">
        <v>82</v>
      </c>
      <c r="AL85" t="s" s="0">
        <v>449</v>
      </c>
      <c r="AM85" t="s" s="0">
        <v>204</v>
      </c>
      <c r="AN85" t="s" s="0">
        <v>204</v>
      </c>
      <c r="AO85" t="s" s="0">
        <v>98</v>
      </c>
      <c r="AP85" t="s" s="0">
        <v>98</v>
      </c>
      <c r="AQ85" t="s" s="0">
        <v>172</v>
      </c>
      <c r="AR85" t="s" s="0">
        <v>173</v>
      </c>
      <c r="AS85" t="s" s="0">
        <v>174</v>
      </c>
      <c r="AT85" t="s" s="0">
        <v>1533</v>
      </c>
      <c r="AU85" t="s" s="0">
        <v>82</v>
      </c>
      <c r="AV85" t="s" s="0">
        <v>82</v>
      </c>
      <c r="AW85" t="s" s="0">
        <v>1534</v>
      </c>
      <c r="AX85" t="s" s="0">
        <v>1535</v>
      </c>
      <c r="AY85" t="s" s="0">
        <v>82</v>
      </c>
      <c r="AZ85" t="s" s="0">
        <v>179</v>
      </c>
      <c r="BA85" t="s" s="0">
        <v>82</v>
      </c>
      <c r="BB85" t="s" s="0">
        <v>82</v>
      </c>
      <c r="BC85" t="s" s="0">
        <v>82</v>
      </c>
      <c r="BD85" t="s" s="0">
        <v>82</v>
      </c>
      <c r="BE85" t="s" s="0">
        <v>82</v>
      </c>
      <c r="BF85" t="s" s="0">
        <v>82</v>
      </c>
      <c r="BG85" t="s" s="0">
        <v>82</v>
      </c>
      <c r="BH85" t="s" s="0">
        <v>82</v>
      </c>
      <c r="BI85" t="s" s="0">
        <v>82</v>
      </c>
      <c r="BJ85" t="s" s="0">
        <v>2181</v>
      </c>
      <c r="BK85" t="s" s="167">
        <f>HYPERLINK("http://dx.doi.org/10.1038/s41551-026-01713-8","http://dx.doi.org/10.1038/s41551-026-01713-8")</f>
        <v>2182</v>
      </c>
      <c r="BL85" t="s" s="0">
        <v>82</v>
      </c>
      <c r="BM85" t="s" s="0">
        <v>358</v>
      </c>
      <c r="BN85" t="s" s="0">
        <v>1504</v>
      </c>
      <c r="BO85" t="s" s="0">
        <v>516</v>
      </c>
      <c r="BP85" t="s" s="0">
        <v>247</v>
      </c>
      <c r="BQ85" t="s" s="0">
        <v>2183</v>
      </c>
      <c r="BR85" t="s" s="0">
        <v>2184</v>
      </c>
      <c r="BS85" t="s" s="0">
        <v>2185</v>
      </c>
      <c r="BT85" t="s" s="168">
        <f>HYPERLINK("https://www.webofscience.com/wos/woscc/full-record/WOS:001804123300001","View Record in Web of Science")</f>
        <v>120</v>
      </c>
      <c r="BU85" t="s" s="0">
        <v>82</v>
      </c>
      <c r="BV85" t="s" s="0">
        <v>82</v>
      </c>
      <c r="BW85" t="s" s="0">
        <v>82</v>
      </c>
      <c r="BX85" t="s" s="0">
        <v>121</v>
      </c>
    </row>
    <row r="86">
      <c r="A86" t="s" s="0">
        <v>77</v>
      </c>
      <c r="B86" t="s" s="0">
        <v>77</v>
      </c>
      <c r="C86" t="s" s="0">
        <v>77</v>
      </c>
      <c r="D86" t="s" s="0">
        <v>77</v>
      </c>
      <c r="E86" t="s" s="0">
        <v>2186</v>
      </c>
      <c r="F86" t="s" s="0">
        <v>2187</v>
      </c>
      <c r="G86" t="s" s="0">
        <v>2188</v>
      </c>
      <c r="H86" t="s" s="0">
        <v>82</v>
      </c>
      <c r="I86" t="s" s="0">
        <v>83</v>
      </c>
      <c r="J86" t="s" s="0">
        <v>2189</v>
      </c>
      <c r="K86" t="s" s="0">
        <v>2190</v>
      </c>
      <c r="L86" t="s" s="0">
        <v>2191</v>
      </c>
      <c r="M86" t="s" s="0">
        <v>2192</v>
      </c>
      <c r="N86" t="s" s="0">
        <v>2193</v>
      </c>
      <c r="O86" t="s" s="0">
        <v>2194</v>
      </c>
      <c r="P86" t="s" s="0">
        <v>2195</v>
      </c>
      <c r="Q86" t="s" s="0">
        <v>88</v>
      </c>
      <c r="R86" t="s" s="0">
        <v>82</v>
      </c>
      <c r="S86" t="s" s="0">
        <v>82</v>
      </c>
      <c r="T86" t="s" s="0">
        <v>82</v>
      </c>
      <c r="U86" t="s" s="0">
        <v>82</v>
      </c>
      <c r="V86" t="s" s="0">
        <v>2196</v>
      </c>
      <c r="W86" t="s" s="0">
        <v>2197</v>
      </c>
      <c r="X86" t="s" s="0">
        <v>82</v>
      </c>
      <c r="Y86" t="s" s="0">
        <v>82</v>
      </c>
      <c r="Z86" t="s" s="0">
        <v>91</v>
      </c>
      <c r="AA86" t="s" s="0">
        <v>92</v>
      </c>
      <c r="AB86" t="s" s="0">
        <v>82</v>
      </c>
      <c r="AC86" t="s" s="0">
        <v>82</v>
      </c>
      <c r="AD86" t="s" s="0">
        <v>82</v>
      </c>
      <c r="AE86" t="s" s="0">
        <v>82</v>
      </c>
      <c r="AF86" t="s" s="0">
        <v>82</v>
      </c>
      <c r="AG86" t="s" s="0">
        <v>2198</v>
      </c>
      <c r="AH86" t="s" s="0">
        <v>2199</v>
      </c>
      <c r="AI86" t="s" s="0">
        <v>82</v>
      </c>
      <c r="AJ86" t="s" s="0">
        <v>82</v>
      </c>
      <c r="AK86" t="s" s="0">
        <v>82</v>
      </c>
      <c r="AL86" t="s" s="0">
        <v>502</v>
      </c>
      <c r="AM86" t="s" s="0">
        <v>77</v>
      </c>
      <c r="AN86" t="s" s="0">
        <v>77</v>
      </c>
      <c r="AO86" t="s" s="0">
        <v>235</v>
      </c>
      <c r="AP86" t="s" s="0">
        <v>235</v>
      </c>
      <c r="AQ86" t="s" s="0">
        <v>474</v>
      </c>
      <c r="AR86" t="s" s="0">
        <v>475</v>
      </c>
      <c r="AS86" t="s" s="0">
        <v>476</v>
      </c>
      <c r="AT86" t="s" s="0">
        <v>2200</v>
      </c>
      <c r="AU86" t="s" s="0">
        <v>2201</v>
      </c>
      <c r="AV86" t="s" s="0">
        <v>82</v>
      </c>
      <c r="AW86" t="s" s="0">
        <v>2202</v>
      </c>
      <c r="AX86" t="s" s="0">
        <v>2203</v>
      </c>
      <c r="AY86" t="s" s="0">
        <v>2204</v>
      </c>
      <c r="AZ86" t="s" s="0">
        <v>179</v>
      </c>
      <c r="BA86" t="s" s="0">
        <v>1273</v>
      </c>
      <c r="BB86" t="s" s="0">
        <v>99</v>
      </c>
      <c r="BC86" t="s" s="0">
        <v>82</v>
      </c>
      <c r="BD86" t="s" s="0">
        <v>82</v>
      </c>
      <c r="BE86" t="s" s="0">
        <v>82</v>
      </c>
      <c r="BF86" t="s" s="0">
        <v>82</v>
      </c>
      <c r="BG86" t="s" s="0">
        <v>82</v>
      </c>
      <c r="BH86" t="s" s="0">
        <v>82</v>
      </c>
      <c r="BI86" t="s" s="0">
        <v>2205</v>
      </c>
      <c r="BJ86" t="s" s="0">
        <v>2206</v>
      </c>
      <c r="BK86" t="s" s="169">
        <f>HYPERLINK("http://dx.doi.org/10.1007/s44443-026-00507-x","http://dx.doi.org/10.1007/s44443-026-00507-x")</f>
        <v>2207</v>
      </c>
      <c r="BL86" t="s" s="0">
        <v>82</v>
      </c>
      <c r="BM86" t="s" s="0">
        <v>240</v>
      </c>
      <c r="BN86" t="s" s="0">
        <v>794</v>
      </c>
      <c r="BO86" t="s" s="0">
        <v>2208</v>
      </c>
      <c r="BP86" t="s" s="0">
        <v>309</v>
      </c>
      <c r="BQ86" t="s" s="0">
        <v>2209</v>
      </c>
      <c r="BR86" t="s" s="0">
        <v>82</v>
      </c>
      <c r="BS86" t="s" s="0">
        <v>2210</v>
      </c>
      <c r="BT86" t="s" s="170">
        <f>HYPERLINK("https://www.webofscience.com/wos/woscc/full-record/WOS:001735579500001","View Record in Web of Science")</f>
        <v>120</v>
      </c>
      <c r="BU86" t="s" s="0">
        <v>189</v>
      </c>
      <c r="BV86" t="s" s="0">
        <v>82</v>
      </c>
      <c r="BW86" t="s" s="0">
        <v>82</v>
      </c>
      <c r="BX86" t="s" s="0">
        <v>121</v>
      </c>
    </row>
    <row r="87">
      <c r="A87" t="s" s="0">
        <v>78</v>
      </c>
      <c r="B87" t="s" s="0">
        <v>77</v>
      </c>
      <c r="C87" t="s" s="0">
        <v>99</v>
      </c>
      <c r="D87" t="s" s="0">
        <v>77</v>
      </c>
      <c r="E87" t="s" s="0">
        <v>2211</v>
      </c>
      <c r="F87" t="s" s="0">
        <v>2212</v>
      </c>
      <c r="G87" t="s" s="0">
        <v>2213</v>
      </c>
      <c r="H87" t="s" s="0">
        <v>82</v>
      </c>
      <c r="I87" t="s" s="0">
        <v>83</v>
      </c>
      <c r="J87" t="s" s="0">
        <v>2214</v>
      </c>
      <c r="K87" t="s" s="0">
        <v>2215</v>
      </c>
      <c r="L87" t="s" s="0">
        <v>2216</v>
      </c>
      <c r="M87" t="s" s="0">
        <v>224</v>
      </c>
      <c r="N87" t="s" s="0">
        <v>2217</v>
      </c>
      <c r="O87" t="s" s="0">
        <v>2218</v>
      </c>
      <c r="P87" t="s" s="0">
        <v>2219</v>
      </c>
      <c r="Q87" t="s" s="0">
        <v>88</v>
      </c>
      <c r="R87" t="s" s="0">
        <v>82</v>
      </c>
      <c r="S87" t="s" s="0">
        <v>82</v>
      </c>
      <c r="T87" t="s" s="0">
        <v>82</v>
      </c>
      <c r="U87" t="s" s="0">
        <v>82</v>
      </c>
      <c r="V87" t="s" s="0">
        <v>2220</v>
      </c>
      <c r="W87" t="s" s="0">
        <v>2221</v>
      </c>
      <c r="X87" t="s" s="0">
        <v>82</v>
      </c>
      <c r="Y87" t="s" s="0">
        <v>82</v>
      </c>
      <c r="Z87" t="s" s="0">
        <v>91</v>
      </c>
      <c r="AA87" t="s" s="0">
        <v>92</v>
      </c>
      <c r="AB87" t="s" s="0">
        <v>82</v>
      </c>
      <c r="AC87" t="s" s="0">
        <v>82</v>
      </c>
      <c r="AD87" t="s" s="0">
        <v>82</v>
      </c>
      <c r="AE87" t="s" s="0">
        <v>82</v>
      </c>
      <c r="AF87" t="s" s="0">
        <v>82</v>
      </c>
      <c r="AG87" t="s" s="0">
        <v>2222</v>
      </c>
      <c r="AH87" t="s" s="0">
        <v>82</v>
      </c>
      <c r="AI87" t="s" s="0">
        <v>2223</v>
      </c>
      <c r="AJ87" t="s" s="0">
        <v>2224</v>
      </c>
      <c r="AK87" t="s" s="0">
        <v>82</v>
      </c>
      <c r="AL87" t="s" s="0">
        <v>2225</v>
      </c>
      <c r="AM87" t="s" s="0">
        <v>97</v>
      </c>
      <c r="AN87" t="s" s="0">
        <v>98</v>
      </c>
      <c r="AO87" t="s" s="0">
        <v>110</v>
      </c>
      <c r="AP87" t="s" s="0">
        <v>661</v>
      </c>
      <c r="AQ87" t="s" s="0">
        <v>964</v>
      </c>
      <c r="AR87" t="s" s="0">
        <v>965</v>
      </c>
      <c r="AS87" t="s" s="0">
        <v>966</v>
      </c>
      <c r="AT87" t="s" s="0">
        <v>2226</v>
      </c>
      <c r="AU87" t="s" s="0">
        <v>2227</v>
      </c>
      <c r="AV87" t="s" s="0">
        <v>82</v>
      </c>
      <c r="AW87" t="s" s="0">
        <v>2228</v>
      </c>
      <c r="AX87" t="s" s="0">
        <v>2229</v>
      </c>
      <c r="AY87" t="s" s="0">
        <v>2230</v>
      </c>
      <c r="AZ87" t="s" s="0">
        <v>108</v>
      </c>
      <c r="BA87" t="s" s="0">
        <v>2231</v>
      </c>
      <c r="BB87" t="s" s="0">
        <v>82</v>
      </c>
      <c r="BC87" t="s" s="0">
        <v>82</v>
      </c>
      <c r="BD87" t="s" s="0">
        <v>512</v>
      </c>
      <c r="BE87" t="s" s="0">
        <v>82</v>
      </c>
      <c r="BF87" t="s" s="0">
        <v>82</v>
      </c>
      <c r="BG87" t="s" s="0">
        <v>82</v>
      </c>
      <c r="BH87" t="s" s="0">
        <v>82</v>
      </c>
      <c r="BI87" t="s" s="0">
        <v>2232</v>
      </c>
      <c r="BJ87" t="s" s="0">
        <v>2233</v>
      </c>
      <c r="BK87" t="s" s="171">
        <f>HYPERLINK("http://dx.doi.org/10.1016/j.engappai.2025.112181","http://dx.doi.org/10.1016/j.engappai.2025.112181")</f>
        <v>2234</v>
      </c>
      <c r="BL87" t="s" s="0">
        <v>82</v>
      </c>
      <c r="BM87" t="s" s="0">
        <v>107</v>
      </c>
      <c r="BN87" t="s" s="0">
        <v>277</v>
      </c>
      <c r="BO87" t="s" s="0">
        <v>2235</v>
      </c>
      <c r="BP87" t="s" s="0">
        <v>2236</v>
      </c>
      <c r="BQ87" t="s" s="0">
        <v>2237</v>
      </c>
      <c r="BR87" t="s" s="0">
        <v>82</v>
      </c>
      <c r="BS87" t="s" s="0">
        <v>2238</v>
      </c>
      <c r="BT87" t="s" s="172">
        <f>HYPERLINK("https://www.webofscience.com/wos/woscc/full-record/WOS:001569067600001","View Record in Web of Science")</f>
        <v>120</v>
      </c>
      <c r="BU87" t="s" s="0">
        <v>1972</v>
      </c>
      <c r="BV87" t="s" s="0">
        <v>82</v>
      </c>
      <c r="BW87" t="s" s="0">
        <v>82</v>
      </c>
      <c r="BX87" t="s" s="0">
        <v>121</v>
      </c>
    </row>
    <row r="88">
      <c r="A88" t="s" s="0">
        <v>77</v>
      </c>
      <c r="B88" t="s" s="0">
        <v>77</v>
      </c>
      <c r="C88" t="s" s="0">
        <v>204</v>
      </c>
      <c r="D88" t="s" s="0">
        <v>77</v>
      </c>
      <c r="E88" t="s" s="0">
        <v>2239</v>
      </c>
      <c r="F88" t="s" s="0">
        <v>2240</v>
      </c>
      <c r="G88" t="s" s="0">
        <v>2241</v>
      </c>
      <c r="H88" t="s" s="0">
        <v>82</v>
      </c>
      <c r="I88" t="s" s="0">
        <v>83</v>
      </c>
      <c r="J88" t="s" s="0">
        <v>2242</v>
      </c>
      <c r="K88" t="s" s="0">
        <v>2243</v>
      </c>
      <c r="L88" t="s" s="0">
        <v>2244</v>
      </c>
      <c r="M88" t="s" s="0">
        <v>2245</v>
      </c>
      <c r="N88" t="s" s="0">
        <v>2246</v>
      </c>
      <c r="O88" t="s" s="0">
        <v>2247</v>
      </c>
      <c r="P88" t="s" s="0">
        <v>2248</v>
      </c>
      <c r="Q88" t="s" s="0">
        <v>88</v>
      </c>
      <c r="R88" t="s" s="0">
        <v>82</v>
      </c>
      <c r="S88" t="s" s="0">
        <v>82</v>
      </c>
      <c r="T88" t="s" s="0">
        <v>82</v>
      </c>
      <c r="U88" t="s" s="0">
        <v>82</v>
      </c>
      <c r="V88" t="s" s="0">
        <v>2249</v>
      </c>
      <c r="W88" t="s" s="0">
        <v>2250</v>
      </c>
      <c r="X88" t="s" s="0">
        <v>82</v>
      </c>
      <c r="Y88" t="s" s="0">
        <v>82</v>
      </c>
      <c r="Z88" t="s" s="0">
        <v>91</v>
      </c>
      <c r="AA88" t="s" s="0">
        <v>92</v>
      </c>
      <c r="AB88" t="s" s="0">
        <v>82</v>
      </c>
      <c r="AC88" t="s" s="0">
        <v>82</v>
      </c>
      <c r="AD88" t="s" s="0">
        <v>82</v>
      </c>
      <c r="AE88" t="s" s="0">
        <v>82</v>
      </c>
      <c r="AF88" t="s" s="0">
        <v>82</v>
      </c>
      <c r="AG88" t="s" s="0">
        <v>2251</v>
      </c>
      <c r="AH88" t="s" s="0">
        <v>2252</v>
      </c>
      <c r="AI88" t="s" s="0">
        <v>2253</v>
      </c>
      <c r="AJ88" t="s" s="0">
        <v>2254</v>
      </c>
      <c r="AK88" t="s" s="0">
        <v>82</v>
      </c>
      <c r="AL88" t="s" s="0">
        <v>962</v>
      </c>
      <c r="AM88" t="s" s="0">
        <v>1115</v>
      </c>
      <c r="AN88" t="s" s="0">
        <v>1115</v>
      </c>
      <c r="AO88" t="s" s="0">
        <v>307</v>
      </c>
      <c r="AP88" t="s" s="0">
        <v>962</v>
      </c>
      <c r="AQ88" t="s" s="0">
        <v>795</v>
      </c>
      <c r="AR88" t="s" s="0">
        <v>2156</v>
      </c>
      <c r="AS88" t="s" s="0">
        <v>2157</v>
      </c>
      <c r="AT88" t="s" s="0">
        <v>2255</v>
      </c>
      <c r="AU88" t="s" s="0">
        <v>2256</v>
      </c>
      <c r="AV88" t="s" s="0">
        <v>82</v>
      </c>
      <c r="AW88" t="s" s="0">
        <v>2257</v>
      </c>
      <c r="AX88" t="s" s="0">
        <v>2258</v>
      </c>
      <c r="AY88" t="s" s="0">
        <v>2022</v>
      </c>
      <c r="AZ88" t="s" s="0">
        <v>108</v>
      </c>
      <c r="BA88" t="s" s="0">
        <v>2259</v>
      </c>
      <c r="BB88" t="s" s="0">
        <v>98</v>
      </c>
      <c r="BC88" t="s" s="0">
        <v>82</v>
      </c>
      <c r="BD88" t="s" s="0">
        <v>82</v>
      </c>
      <c r="BE88" t="s" s="0">
        <v>82</v>
      </c>
      <c r="BF88" t="s" s="0">
        <v>82</v>
      </c>
      <c r="BG88" t="s" s="0">
        <v>2260</v>
      </c>
      <c r="BH88" t="s" s="0">
        <v>2261</v>
      </c>
      <c r="BI88" t="s" s="0">
        <v>82</v>
      </c>
      <c r="BJ88" t="s" s="0">
        <v>2262</v>
      </c>
      <c r="BK88" t="s" s="173">
        <f>HYPERLINK("http://dx.doi.org/10.1007/s11263-025-02409-3","http://dx.doi.org/10.1007/s11263-025-02409-3")</f>
        <v>2263</v>
      </c>
      <c r="BL88" t="s" s="0">
        <v>82</v>
      </c>
      <c r="BM88" t="s" s="0">
        <v>539</v>
      </c>
      <c r="BN88" t="s" s="0">
        <v>139</v>
      </c>
      <c r="BO88" t="s" s="0">
        <v>308</v>
      </c>
      <c r="BP88" t="s" s="0">
        <v>309</v>
      </c>
      <c r="BQ88" t="s" s="0">
        <v>2264</v>
      </c>
      <c r="BR88" t="s" s="0">
        <v>82</v>
      </c>
      <c r="BS88" t="s" s="0">
        <v>2265</v>
      </c>
      <c r="BT88" t="s" s="174">
        <f>HYPERLINK("https://www.webofscience.com/wos/woscc/full-record/WOS:001446152100001","View Record in Web of Science")</f>
        <v>120</v>
      </c>
      <c r="BU88" t="s" s="0">
        <v>82</v>
      </c>
      <c r="BV88" t="s" s="0">
        <v>82</v>
      </c>
      <c r="BW88" t="s" s="0">
        <v>82</v>
      </c>
      <c r="BX88" t="s" s="0">
        <v>121</v>
      </c>
    </row>
    <row r="89">
      <c r="A89" t="s" s="0">
        <v>77</v>
      </c>
      <c r="B89" t="s" s="0">
        <v>77</v>
      </c>
      <c r="C89" t="s" s="0">
        <v>77</v>
      </c>
      <c r="D89" t="s" s="0">
        <v>77</v>
      </c>
      <c r="E89" t="s" s="0">
        <v>2266</v>
      </c>
      <c r="F89" t="s" s="0">
        <v>2267</v>
      </c>
      <c r="G89" t="s" s="0">
        <v>2268</v>
      </c>
      <c r="H89" t="s" s="0">
        <v>82</v>
      </c>
      <c r="I89" t="s" s="0">
        <v>460</v>
      </c>
      <c r="J89" t="s" s="0">
        <v>2269</v>
      </c>
      <c r="K89" t="s" s="0">
        <v>2270</v>
      </c>
      <c r="L89" t="s" s="0">
        <v>2271</v>
      </c>
      <c r="M89" t="s" s="0">
        <v>2271</v>
      </c>
      <c r="N89" t="s" s="0">
        <v>2272</v>
      </c>
      <c r="O89" t="s" s="0">
        <v>2273</v>
      </c>
      <c r="P89" t="s" s="0">
        <v>2274</v>
      </c>
      <c r="Q89" t="s" s="0">
        <v>88</v>
      </c>
      <c r="R89" t="s" s="0">
        <v>82</v>
      </c>
      <c r="S89" t="s" s="0">
        <v>82</v>
      </c>
      <c r="T89" t="s" s="0">
        <v>82</v>
      </c>
      <c r="U89" t="s" s="0">
        <v>82</v>
      </c>
      <c r="V89" t="s" s="0">
        <v>2275</v>
      </c>
      <c r="W89" t="s" s="0">
        <v>2276</v>
      </c>
      <c r="X89" t="s" s="0">
        <v>82</v>
      </c>
      <c r="Y89" t="s" s="0">
        <v>82</v>
      </c>
      <c r="Z89" t="s" s="0">
        <v>91</v>
      </c>
      <c r="AA89" t="s" s="0">
        <v>92</v>
      </c>
      <c r="AB89" t="s" s="0">
        <v>82</v>
      </c>
      <c r="AC89" t="s" s="0">
        <v>82</v>
      </c>
      <c r="AD89" t="s" s="0">
        <v>82</v>
      </c>
      <c r="AE89" t="s" s="0">
        <v>82</v>
      </c>
      <c r="AF89" t="s" s="0">
        <v>82</v>
      </c>
      <c r="AG89" t="s" s="0">
        <v>2277</v>
      </c>
      <c r="AH89" t="s" s="0">
        <v>82</v>
      </c>
      <c r="AI89" t="s" s="0">
        <v>2278</v>
      </c>
      <c r="AJ89" t="s" s="0">
        <v>2279</v>
      </c>
      <c r="AK89" t="s" s="0">
        <v>82</v>
      </c>
      <c r="AL89" t="s" s="0">
        <v>502</v>
      </c>
      <c r="AM89" t="s" s="0">
        <v>78</v>
      </c>
      <c r="AN89" t="s" s="0">
        <v>78</v>
      </c>
      <c r="AO89" t="s" s="0">
        <v>99</v>
      </c>
      <c r="AP89" t="s" s="0">
        <v>99</v>
      </c>
      <c r="AQ89" t="s" s="0">
        <v>418</v>
      </c>
      <c r="AR89" t="s" s="0">
        <v>419</v>
      </c>
      <c r="AS89" t="s" s="0">
        <v>420</v>
      </c>
      <c r="AT89" t="s" s="0">
        <v>82</v>
      </c>
      <c r="AU89" t="s" s="0">
        <v>2280</v>
      </c>
      <c r="AV89" t="s" s="0">
        <v>82</v>
      </c>
      <c r="AW89" t="s" s="0">
        <v>2281</v>
      </c>
      <c r="AX89" t="s" s="0">
        <v>2276</v>
      </c>
      <c r="AY89" t="s" s="0">
        <v>2282</v>
      </c>
      <c r="AZ89" t="s" s="0">
        <v>108</v>
      </c>
      <c r="BA89" t="s" s="0">
        <v>97</v>
      </c>
      <c r="BB89" t="s" s="0">
        <v>148</v>
      </c>
      <c r="BC89" t="s" s="0">
        <v>82</v>
      </c>
      <c r="BD89" t="s" s="0">
        <v>82</v>
      </c>
      <c r="BE89" t="s" s="0">
        <v>82</v>
      </c>
      <c r="BF89" t="s" s="0">
        <v>82</v>
      </c>
      <c r="BG89" t="s" s="0">
        <v>82</v>
      </c>
      <c r="BH89" t="s" s="0">
        <v>82</v>
      </c>
      <c r="BI89" t="s" s="0">
        <v>2283</v>
      </c>
      <c r="BJ89" t="s" s="0">
        <v>2284</v>
      </c>
      <c r="BK89" t="s" s="175">
        <f>HYPERLINK("http://dx.doi.org/10.3390/ai6120327","http://dx.doi.org/10.3390/ai6120327")</f>
        <v>2285</v>
      </c>
      <c r="BL89" t="s" s="0">
        <v>82</v>
      </c>
      <c r="BM89" t="s" s="0">
        <v>82</v>
      </c>
      <c r="BN89" t="s" s="0">
        <v>277</v>
      </c>
      <c r="BO89" t="s" s="0">
        <v>2286</v>
      </c>
      <c r="BP89" t="s" s="0">
        <v>309</v>
      </c>
      <c r="BQ89" t="s" s="0">
        <v>2287</v>
      </c>
      <c r="BR89" t="s" s="0">
        <v>82</v>
      </c>
      <c r="BS89" t="s" s="0">
        <v>2288</v>
      </c>
      <c r="BT89" t="s" s="176">
        <f>HYPERLINK("https://www.webofscience.com/wos/woscc/full-record/WOS:001648069600001","View Record in Web of Science")</f>
        <v>120</v>
      </c>
      <c r="BU89" t="s" s="0">
        <v>189</v>
      </c>
      <c r="BV89" t="s" s="0">
        <v>82</v>
      </c>
      <c r="BW89" t="s" s="0">
        <v>82</v>
      </c>
      <c r="BX89" t="s" s="0">
        <v>121</v>
      </c>
    </row>
    <row r="90">
      <c r="A90" t="s" s="0">
        <v>77</v>
      </c>
      <c r="B90" t="s" s="0">
        <v>77</v>
      </c>
      <c r="C90" t="s" s="0">
        <v>77</v>
      </c>
      <c r="D90" t="s" s="0">
        <v>77</v>
      </c>
      <c r="E90" t="s" s="0">
        <v>2289</v>
      </c>
      <c r="F90" t="s" s="0">
        <v>2290</v>
      </c>
      <c r="G90" t="s" s="0">
        <v>2291</v>
      </c>
      <c r="H90" t="s" s="0">
        <v>82</v>
      </c>
      <c r="I90" t="s" s="0">
        <v>83</v>
      </c>
      <c r="J90" t="s" s="0">
        <v>2292</v>
      </c>
      <c r="K90" t="s" s="0">
        <v>2293</v>
      </c>
      <c r="L90" t="s" s="0">
        <v>82</v>
      </c>
      <c r="M90" t="s" s="0">
        <v>82</v>
      </c>
      <c r="N90" t="s" s="0">
        <v>82</v>
      </c>
      <c r="O90" t="s" s="0">
        <v>2294</v>
      </c>
      <c r="P90" t="s" s="0">
        <v>2295</v>
      </c>
      <c r="Q90" t="s" s="0">
        <v>88</v>
      </c>
      <c r="R90" t="s" s="0">
        <v>82</v>
      </c>
      <c r="S90" t="s" s="0">
        <v>82</v>
      </c>
      <c r="T90" t="s" s="0">
        <v>82</v>
      </c>
      <c r="U90" t="s" s="0">
        <v>82</v>
      </c>
      <c r="V90" t="s" s="0">
        <v>2296</v>
      </c>
      <c r="W90" t="s" s="0">
        <v>1226</v>
      </c>
      <c r="X90" t="s" s="0">
        <v>82</v>
      </c>
      <c r="Y90" t="s" s="0">
        <v>82</v>
      </c>
      <c r="Z90" t="s" s="0">
        <v>91</v>
      </c>
      <c r="AA90" t="s" s="0">
        <v>908</v>
      </c>
      <c r="AB90" t="s" s="0">
        <v>82</v>
      </c>
      <c r="AC90" t="s" s="0">
        <v>82</v>
      </c>
      <c r="AD90" t="s" s="0">
        <v>82</v>
      </c>
      <c r="AE90" t="s" s="0">
        <v>82</v>
      </c>
      <c r="AF90" t="s" s="0">
        <v>82</v>
      </c>
      <c r="AG90" t="s" s="0">
        <v>2297</v>
      </c>
      <c r="AH90" t="s" s="0">
        <v>82</v>
      </c>
      <c r="AI90" t="s" s="0">
        <v>2298</v>
      </c>
      <c r="AJ90" t="s" s="0">
        <v>2299</v>
      </c>
      <c r="AK90" t="s" s="0">
        <v>82</v>
      </c>
      <c r="AL90" t="s" s="0">
        <v>1532</v>
      </c>
      <c r="AM90" t="s" s="0">
        <v>77</v>
      </c>
      <c r="AN90" t="s" s="0">
        <v>77</v>
      </c>
      <c r="AO90" t="s" s="0">
        <v>204</v>
      </c>
      <c r="AP90" t="s" s="0">
        <v>204</v>
      </c>
      <c r="AQ90" t="s" s="0">
        <v>795</v>
      </c>
      <c r="AR90" t="s" s="0">
        <v>796</v>
      </c>
      <c r="AS90" t="s" s="0">
        <v>797</v>
      </c>
      <c r="AT90" t="s" s="0">
        <v>1229</v>
      </c>
      <c r="AU90" t="s" s="0">
        <v>1230</v>
      </c>
      <c r="AV90" t="s" s="0">
        <v>82</v>
      </c>
      <c r="AW90" t="s" s="0">
        <v>1231</v>
      </c>
      <c r="AX90" t="s" s="0">
        <v>1232</v>
      </c>
      <c r="AY90" t="s" s="0">
        <v>82</v>
      </c>
      <c r="AZ90" t="s" s="0">
        <v>179</v>
      </c>
      <c r="BA90" t="s" s="0">
        <v>82</v>
      </c>
      <c r="BB90" t="s" s="0">
        <v>82</v>
      </c>
      <c r="BC90" t="s" s="0">
        <v>82</v>
      </c>
      <c r="BD90" t="s" s="0">
        <v>82</v>
      </c>
      <c r="BE90" t="s" s="0">
        <v>82</v>
      </c>
      <c r="BF90" t="s" s="0">
        <v>82</v>
      </c>
      <c r="BG90" t="s" s="0">
        <v>82</v>
      </c>
      <c r="BH90" t="s" s="0">
        <v>82</v>
      </c>
      <c r="BI90" t="s" s="0">
        <v>82</v>
      </c>
      <c r="BJ90" t="s" s="0">
        <v>2300</v>
      </c>
      <c r="BK90" t="s" s="177">
        <f>HYPERLINK("http://dx.doi.org/10.1007/s10278-025-01820-z","http://dx.doi.org/10.1007/s10278-025-01820-z")</f>
        <v>2301</v>
      </c>
      <c r="BL90" t="s" s="0">
        <v>82</v>
      </c>
      <c r="BM90" t="s" s="0">
        <v>1360</v>
      </c>
      <c r="BN90" t="s" s="0">
        <v>96</v>
      </c>
      <c r="BO90" t="s" s="0">
        <v>717</v>
      </c>
      <c r="BP90" t="s" s="0">
        <v>717</v>
      </c>
      <c r="BQ90" t="s" s="0">
        <v>2302</v>
      </c>
      <c r="BR90" t="s" s="0">
        <v>2303</v>
      </c>
      <c r="BS90" t="s" s="0">
        <v>2304</v>
      </c>
      <c r="BT90" t="s" s="178">
        <f>HYPERLINK("https://www.webofscience.com/wos/woscc/full-record/WOS:001667909100001","View Record in Web of Science")</f>
        <v>120</v>
      </c>
      <c r="BU90" t="s" s="0">
        <v>82</v>
      </c>
      <c r="BV90" t="s" s="0">
        <v>82</v>
      </c>
      <c r="BW90" t="s" s="0">
        <v>82</v>
      </c>
      <c r="BX90" t="s" s="0">
        <v>121</v>
      </c>
    </row>
    <row r="91">
      <c r="A91" t="s" s="0">
        <v>77</v>
      </c>
      <c r="B91" t="s" s="0">
        <v>77</v>
      </c>
      <c r="C91" t="s" s="0">
        <v>77</v>
      </c>
      <c r="D91" t="s" s="0">
        <v>77</v>
      </c>
      <c r="E91" t="s" s="0">
        <v>2305</v>
      </c>
      <c r="F91" t="s" s="0">
        <v>2306</v>
      </c>
      <c r="G91" t="s" s="0">
        <v>2307</v>
      </c>
      <c r="H91" t="s" s="0">
        <v>82</v>
      </c>
      <c r="I91" t="s" s="0">
        <v>83</v>
      </c>
      <c r="J91" t="s" s="0">
        <v>2308</v>
      </c>
      <c r="K91" t="s" s="0">
        <v>2309</v>
      </c>
      <c r="L91" t="s" s="0">
        <v>82</v>
      </c>
      <c r="M91" t="s" s="0">
        <v>82</v>
      </c>
      <c r="N91" t="s" s="0">
        <v>82</v>
      </c>
      <c r="O91" t="s" s="0">
        <v>2310</v>
      </c>
      <c r="P91" t="s" s="0">
        <v>2311</v>
      </c>
      <c r="Q91" t="s" s="0">
        <v>88</v>
      </c>
      <c r="R91" t="s" s="0">
        <v>82</v>
      </c>
      <c r="S91" t="s" s="0">
        <v>82</v>
      </c>
      <c r="T91" t="s" s="0">
        <v>82</v>
      </c>
      <c r="U91" t="s" s="0">
        <v>82</v>
      </c>
      <c r="V91" t="s" s="0">
        <v>2312</v>
      </c>
      <c r="W91" t="s" s="0">
        <v>2313</v>
      </c>
      <c r="X91" t="s" s="0">
        <v>82</v>
      </c>
      <c r="Y91" t="s" s="0">
        <v>82</v>
      </c>
      <c r="Z91" t="s" s="0">
        <v>91</v>
      </c>
      <c r="AA91" t="s" s="0">
        <v>92</v>
      </c>
      <c r="AB91" t="s" s="0">
        <v>82</v>
      </c>
      <c r="AC91" t="s" s="0">
        <v>82</v>
      </c>
      <c r="AD91" t="s" s="0">
        <v>82</v>
      </c>
      <c r="AE91" t="s" s="0">
        <v>82</v>
      </c>
      <c r="AF91" t="s" s="0">
        <v>82</v>
      </c>
      <c r="AG91" t="s" s="0">
        <v>2314</v>
      </c>
      <c r="AH91" t="s" s="0">
        <v>82</v>
      </c>
      <c r="AI91" t="s" s="0">
        <v>2315</v>
      </c>
      <c r="AJ91" t="s" s="0">
        <v>82</v>
      </c>
      <c r="AK91" t="s" s="0">
        <v>82</v>
      </c>
      <c r="AL91" t="s" s="0">
        <v>331</v>
      </c>
      <c r="AM91" t="s" s="0">
        <v>77</v>
      </c>
      <c r="AN91" t="s" s="0">
        <v>77</v>
      </c>
      <c r="AO91" t="s" s="0">
        <v>78</v>
      </c>
      <c r="AP91" t="s" s="0">
        <v>363</v>
      </c>
      <c r="AQ91" t="s" s="0">
        <v>605</v>
      </c>
      <c r="AR91" t="s" s="0">
        <v>606</v>
      </c>
      <c r="AS91" t="s" s="0">
        <v>607</v>
      </c>
      <c r="AT91" t="s" s="0">
        <v>2316</v>
      </c>
      <c r="AU91" t="s" s="0">
        <v>2317</v>
      </c>
      <c r="AV91" t="s" s="0">
        <v>82</v>
      </c>
      <c r="AW91" t="s" s="0">
        <v>2318</v>
      </c>
      <c r="AX91" t="s" s="0">
        <v>2319</v>
      </c>
      <c r="AY91" t="s" s="0">
        <v>2320</v>
      </c>
      <c r="AZ91" t="s" s="0">
        <v>108</v>
      </c>
      <c r="BA91" t="s" s="0">
        <v>2321</v>
      </c>
      <c r="BB91" t="s" s="0">
        <v>110</v>
      </c>
      <c r="BC91" t="s" s="0">
        <v>82</v>
      </c>
      <c r="BD91" t="s" s="0">
        <v>82</v>
      </c>
      <c r="BE91" t="s" s="0">
        <v>82</v>
      </c>
      <c r="BF91" t="s" s="0">
        <v>82</v>
      </c>
      <c r="BG91" t="s" s="0">
        <v>82</v>
      </c>
      <c r="BH91" t="s" s="0">
        <v>82</v>
      </c>
      <c r="BI91" t="s" s="0">
        <v>2322</v>
      </c>
      <c r="BJ91" t="s" s="0">
        <v>2323</v>
      </c>
      <c r="BK91" t="s" s="179">
        <f>HYPERLINK("http://dx.doi.org/10.1111/exsy.70039","http://dx.doi.org/10.1111/exsy.70039")</f>
        <v>2324</v>
      </c>
      <c r="BL91" t="s" s="0">
        <v>82</v>
      </c>
      <c r="BM91" t="s" s="0">
        <v>82</v>
      </c>
      <c r="BN91" t="s" s="0">
        <v>115</v>
      </c>
      <c r="BO91" t="s" s="0">
        <v>1125</v>
      </c>
      <c r="BP91" t="s" s="0">
        <v>309</v>
      </c>
      <c r="BQ91" t="s" s="0">
        <v>2325</v>
      </c>
      <c r="BR91" t="s" s="0">
        <v>82</v>
      </c>
      <c r="BS91" t="s" s="0">
        <v>2326</v>
      </c>
      <c r="BT91" t="s" s="180">
        <f>HYPERLINK("https://www.webofscience.com/wos/woscc/full-record/WOS:001449699200001","View Record in Web of Science")</f>
        <v>120</v>
      </c>
      <c r="BU91" t="s" s="0">
        <v>82</v>
      </c>
      <c r="BV91" t="s" s="0">
        <v>82</v>
      </c>
      <c r="BW91" t="s" s="0">
        <v>82</v>
      </c>
      <c r="BX91" t="s" s="0">
        <v>121</v>
      </c>
    </row>
    <row r="92">
      <c r="A92" t="s" s="0">
        <v>77</v>
      </c>
      <c r="B92" t="s" s="0">
        <v>77</v>
      </c>
      <c r="C92" t="s" s="0">
        <v>78</v>
      </c>
      <c r="D92" t="s" s="0">
        <v>77</v>
      </c>
      <c r="E92" t="s" s="0">
        <v>2327</v>
      </c>
      <c r="F92" t="s" s="0">
        <v>2328</v>
      </c>
      <c r="G92" t="s" s="0">
        <v>2329</v>
      </c>
      <c r="H92" t="s" s="0">
        <v>82</v>
      </c>
      <c r="I92" t="s" s="0">
        <v>83</v>
      </c>
      <c r="J92" t="s" s="0">
        <v>2330</v>
      </c>
      <c r="K92" t="s" s="0">
        <v>2331</v>
      </c>
      <c r="L92" t="s" s="0">
        <v>2332</v>
      </c>
      <c r="M92" t="s" s="0">
        <v>2333</v>
      </c>
      <c r="N92" t="s" s="0">
        <v>2334</v>
      </c>
      <c r="O92" t="s" s="0">
        <v>2335</v>
      </c>
      <c r="P92" t="s" s="0">
        <v>2336</v>
      </c>
      <c r="Q92" t="s" s="0">
        <v>88</v>
      </c>
      <c r="R92" t="s" s="0">
        <v>82</v>
      </c>
      <c r="S92" t="s" s="0">
        <v>82</v>
      </c>
      <c r="T92" t="s" s="0">
        <v>82</v>
      </c>
      <c r="U92" t="s" s="0">
        <v>82</v>
      </c>
      <c r="V92" t="s" s="0">
        <v>2337</v>
      </c>
      <c r="W92" t="s" s="0">
        <v>2338</v>
      </c>
      <c r="X92" t="s" s="0">
        <v>82</v>
      </c>
      <c r="Y92" t="s" s="0">
        <v>82</v>
      </c>
      <c r="Z92" t="s" s="0">
        <v>91</v>
      </c>
      <c r="AA92" t="s" s="0">
        <v>92</v>
      </c>
      <c r="AB92" t="s" s="0">
        <v>82</v>
      </c>
      <c r="AC92" t="s" s="0">
        <v>82</v>
      </c>
      <c r="AD92" t="s" s="0">
        <v>82</v>
      </c>
      <c r="AE92" t="s" s="0">
        <v>82</v>
      </c>
      <c r="AF92" t="s" s="0">
        <v>82</v>
      </c>
      <c r="AG92" t="s" s="0">
        <v>2339</v>
      </c>
      <c r="AH92" t="s" s="0">
        <v>82</v>
      </c>
      <c r="AI92" t="s" s="0">
        <v>2340</v>
      </c>
      <c r="AJ92" t="s" s="0">
        <v>2341</v>
      </c>
      <c r="AK92" t="s" s="0">
        <v>82</v>
      </c>
      <c r="AL92" t="s" s="0">
        <v>763</v>
      </c>
      <c r="AM92" t="s" s="0">
        <v>98</v>
      </c>
      <c r="AN92" t="s" s="0">
        <v>272</v>
      </c>
      <c r="AO92" t="s" s="0">
        <v>272</v>
      </c>
      <c r="AP92" t="s" s="0">
        <v>892</v>
      </c>
      <c r="AQ92" t="s" s="0">
        <v>764</v>
      </c>
      <c r="AR92" t="s" s="0">
        <v>765</v>
      </c>
      <c r="AS92" t="s" s="0">
        <v>766</v>
      </c>
      <c r="AT92" t="s" s="0">
        <v>82</v>
      </c>
      <c r="AU92" t="s" s="0">
        <v>2342</v>
      </c>
      <c r="AV92" t="s" s="0">
        <v>82</v>
      </c>
      <c r="AW92" t="s" s="0">
        <v>2343</v>
      </c>
      <c r="AX92" t="s" s="0">
        <v>2344</v>
      </c>
      <c r="AY92" t="s" s="0">
        <v>1360</v>
      </c>
      <c r="AZ92" t="s" s="0">
        <v>179</v>
      </c>
      <c r="BA92" t="s" s="0">
        <v>272</v>
      </c>
      <c r="BB92" t="s" s="0">
        <v>78</v>
      </c>
      <c r="BC92" t="s" s="0">
        <v>82</v>
      </c>
      <c r="BD92" t="s" s="0">
        <v>82</v>
      </c>
      <c r="BE92" t="s" s="0">
        <v>82</v>
      </c>
      <c r="BF92" t="s" s="0">
        <v>82</v>
      </c>
      <c r="BG92" t="s" s="0">
        <v>82</v>
      </c>
      <c r="BH92" t="s" s="0">
        <v>82</v>
      </c>
      <c r="BI92" t="s" s="0">
        <v>2345</v>
      </c>
      <c r="BJ92" t="s" s="0">
        <v>2346</v>
      </c>
      <c r="BK92" t="s" s="181">
        <f>HYPERLINK("http://dx.doi.org/10.1002/aisy.202500255","http://dx.doi.org/10.1002/aisy.202500255")</f>
        <v>2347</v>
      </c>
      <c r="BL92" t="s" s="0">
        <v>82</v>
      </c>
      <c r="BM92" t="s" s="0">
        <v>2022</v>
      </c>
      <c r="BN92" t="s" s="0">
        <v>115</v>
      </c>
      <c r="BO92" t="s" s="0">
        <v>2348</v>
      </c>
      <c r="BP92" t="s" s="0">
        <v>2349</v>
      </c>
      <c r="BQ92" t="s" s="0">
        <v>2350</v>
      </c>
      <c r="BR92" t="s" s="0">
        <v>2351</v>
      </c>
      <c r="BS92" t="s" s="0">
        <v>2352</v>
      </c>
      <c r="BT92" t="s" s="182">
        <f>HYPERLINK("https://www.webofscience.com/wos/woscc/full-record/WOS:001531939500001","View Record in Web of Science")</f>
        <v>120</v>
      </c>
      <c r="BU92" t="s" s="0">
        <v>189</v>
      </c>
      <c r="BV92" t="s" s="0">
        <v>82</v>
      </c>
      <c r="BW92" t="s" s="0">
        <v>82</v>
      </c>
      <c r="BX92" t="s" s="0">
        <v>121</v>
      </c>
    </row>
    <row r="93">
      <c r="A93" t="s" s="0">
        <v>77</v>
      </c>
      <c r="B93" t="s" s="0">
        <v>77</v>
      </c>
      <c r="C93" t="s" s="0">
        <v>77</v>
      </c>
      <c r="D93" t="s" s="0">
        <v>77</v>
      </c>
      <c r="E93" t="s" s="0">
        <v>2353</v>
      </c>
      <c r="F93" t="s" s="0">
        <v>2354</v>
      </c>
      <c r="G93" t="s" s="0">
        <v>2355</v>
      </c>
      <c r="H93" t="s" s="0">
        <v>82</v>
      </c>
      <c r="I93" t="s" s="0">
        <v>83</v>
      </c>
      <c r="J93" t="s" s="0">
        <v>2356</v>
      </c>
      <c r="K93" t="s" s="0">
        <v>2357</v>
      </c>
      <c r="L93" t="s" s="0">
        <v>2358</v>
      </c>
      <c r="M93" t="s" s="0">
        <v>2359</v>
      </c>
      <c r="N93" t="s" s="0">
        <v>2360</v>
      </c>
      <c r="O93" t="s" s="0">
        <v>2361</v>
      </c>
      <c r="P93" t="s" s="0">
        <v>2362</v>
      </c>
      <c r="Q93" t="s" s="0">
        <v>88</v>
      </c>
      <c r="R93" t="s" s="0">
        <v>82</v>
      </c>
      <c r="S93" t="s" s="0">
        <v>82</v>
      </c>
      <c r="T93" t="s" s="0">
        <v>82</v>
      </c>
      <c r="U93" t="s" s="0">
        <v>82</v>
      </c>
      <c r="V93" t="s" s="0">
        <v>2363</v>
      </c>
      <c r="W93" t="s" s="0">
        <v>2364</v>
      </c>
      <c r="X93" t="s" s="0">
        <v>82</v>
      </c>
      <c r="Y93" t="s" s="0">
        <v>82</v>
      </c>
      <c r="Z93" t="s" s="0">
        <v>91</v>
      </c>
      <c r="AA93" t="s" s="0">
        <v>92</v>
      </c>
      <c r="AB93" t="s" s="0">
        <v>82</v>
      </c>
      <c r="AC93" t="s" s="0">
        <v>82</v>
      </c>
      <c r="AD93" t="s" s="0">
        <v>82</v>
      </c>
      <c r="AE93" t="s" s="0">
        <v>82</v>
      </c>
      <c r="AF93" t="s" s="0">
        <v>82</v>
      </c>
      <c r="AG93" t="s" s="0">
        <v>2365</v>
      </c>
      <c r="AH93" t="s" s="0">
        <v>82</v>
      </c>
      <c r="AI93" t="s" s="0">
        <v>2366</v>
      </c>
      <c r="AJ93" t="s" s="0">
        <v>82</v>
      </c>
      <c r="AK93" t="s" s="0">
        <v>82</v>
      </c>
      <c r="AL93" t="s" s="0">
        <v>472</v>
      </c>
      <c r="AM93" t="s" s="0">
        <v>77</v>
      </c>
      <c r="AN93" t="s" s="0">
        <v>77</v>
      </c>
      <c r="AO93" t="s" s="0">
        <v>97</v>
      </c>
      <c r="AP93" t="s" s="0">
        <v>97</v>
      </c>
      <c r="AQ93" t="s" s="0">
        <v>2367</v>
      </c>
      <c r="AR93" t="s" s="0">
        <v>2368</v>
      </c>
      <c r="AS93" t="s" s="0">
        <v>2369</v>
      </c>
      <c r="AT93" t="s" s="0">
        <v>2370</v>
      </c>
      <c r="AU93" t="s" s="0">
        <v>2371</v>
      </c>
      <c r="AV93" t="s" s="0">
        <v>82</v>
      </c>
      <c r="AW93" t="s" s="0">
        <v>2372</v>
      </c>
      <c r="AX93" t="s" s="0">
        <v>2373</v>
      </c>
      <c r="AY93" t="s" s="0">
        <v>183</v>
      </c>
      <c r="AZ93" t="s" s="0">
        <v>179</v>
      </c>
      <c r="BA93" t="s" s="0">
        <v>277</v>
      </c>
      <c r="BB93" t="s" s="0">
        <v>235</v>
      </c>
      <c r="BC93" t="s" s="0">
        <v>82</v>
      </c>
      <c r="BD93" t="s" s="0">
        <v>82</v>
      </c>
      <c r="BE93" t="s" s="0">
        <v>82</v>
      </c>
      <c r="BF93" t="s" s="0">
        <v>82</v>
      </c>
      <c r="BG93" t="s" s="0">
        <v>2374</v>
      </c>
      <c r="BH93" t="s" s="0">
        <v>2375</v>
      </c>
      <c r="BI93" t="s" s="0">
        <v>82</v>
      </c>
      <c r="BJ93" t="s" s="0">
        <v>2376</v>
      </c>
      <c r="BK93" t="s" s="183">
        <f>HYPERLINK("http://dx.doi.org/10.1007/s40123-026-01352-x","http://dx.doi.org/10.1007/s40123-026-01352-x")</f>
        <v>2377</v>
      </c>
      <c r="BL93" t="s" s="0">
        <v>82</v>
      </c>
      <c r="BM93" t="s" s="0">
        <v>829</v>
      </c>
      <c r="BN93" t="s" s="0">
        <v>109</v>
      </c>
      <c r="BO93" t="s" s="0">
        <v>396</v>
      </c>
      <c r="BP93" t="s" s="0">
        <v>396</v>
      </c>
      <c r="BQ93" t="s" s="0">
        <v>2378</v>
      </c>
      <c r="BR93" t="s" s="0">
        <v>2379</v>
      </c>
      <c r="BS93" t="s" s="0">
        <v>2380</v>
      </c>
      <c r="BT93" t="s" s="184">
        <f>HYPERLINK("https://www.webofscience.com/wos/woscc/full-record/WOS:001714211400001","View Record in Web of Science")</f>
        <v>120</v>
      </c>
      <c r="BU93" t="s" s="0">
        <v>189</v>
      </c>
      <c r="BV93" t="s" s="0">
        <v>82</v>
      </c>
      <c r="BW93" t="s" s="0">
        <v>82</v>
      </c>
      <c r="BX93" t="s" s="0">
        <v>121</v>
      </c>
    </row>
    <row r="94">
      <c r="A94" t="s" s="0">
        <v>77</v>
      </c>
      <c r="B94" t="s" s="0">
        <v>77</v>
      </c>
      <c r="C94" t="s" s="0">
        <v>77</v>
      </c>
      <c r="D94" t="s" s="0">
        <v>77</v>
      </c>
      <c r="E94" t="s" s="0">
        <v>2381</v>
      </c>
      <c r="F94" t="s" s="0">
        <v>2382</v>
      </c>
      <c r="G94" t="s" s="0">
        <v>2383</v>
      </c>
      <c r="H94" t="s" s="0">
        <v>82</v>
      </c>
      <c r="I94" t="s" s="0">
        <v>460</v>
      </c>
      <c r="J94" t="s" s="0">
        <v>2384</v>
      </c>
      <c r="K94" t="s" s="0">
        <v>2385</v>
      </c>
      <c r="L94" t="s" s="0">
        <v>82</v>
      </c>
      <c r="M94" t="s" s="0">
        <v>82</v>
      </c>
      <c r="N94" t="s" s="0">
        <v>82</v>
      </c>
      <c r="O94" t="s" s="0">
        <v>2386</v>
      </c>
      <c r="P94" t="s" s="0">
        <v>2387</v>
      </c>
      <c r="Q94" t="s" s="0">
        <v>88</v>
      </c>
      <c r="R94" t="s" s="0">
        <v>82</v>
      </c>
      <c r="S94" t="s" s="0">
        <v>82</v>
      </c>
      <c r="T94" t="s" s="0">
        <v>82</v>
      </c>
      <c r="U94" t="s" s="0">
        <v>82</v>
      </c>
      <c r="V94" t="s" s="0">
        <v>2388</v>
      </c>
      <c r="W94" t="s" s="0">
        <v>2389</v>
      </c>
      <c r="X94" t="s" s="0">
        <v>82</v>
      </c>
      <c r="Y94" t="s" s="0">
        <v>82</v>
      </c>
      <c r="Z94" t="s" s="0">
        <v>91</v>
      </c>
      <c r="AA94" t="s" s="0">
        <v>908</v>
      </c>
      <c r="AB94" t="s" s="0">
        <v>82</v>
      </c>
      <c r="AC94" t="s" s="0">
        <v>82</v>
      </c>
      <c r="AD94" t="s" s="0">
        <v>82</v>
      </c>
      <c r="AE94" t="s" s="0">
        <v>82</v>
      </c>
      <c r="AF94" t="s" s="0">
        <v>82</v>
      </c>
      <c r="AG94" t="s" s="0">
        <v>2390</v>
      </c>
      <c r="AH94" t="s" s="0">
        <v>82</v>
      </c>
      <c r="AI94" t="s" s="0">
        <v>2391</v>
      </c>
      <c r="AJ94" t="s" s="0">
        <v>82</v>
      </c>
      <c r="AK94" t="s" s="0">
        <v>82</v>
      </c>
      <c r="AL94" t="s" s="0">
        <v>147</v>
      </c>
      <c r="AM94" t="s" s="0">
        <v>77</v>
      </c>
      <c r="AN94" t="s" s="0">
        <v>77</v>
      </c>
      <c r="AO94" t="s" s="0">
        <v>77</v>
      </c>
      <c r="AP94" t="s" s="0">
        <v>77</v>
      </c>
      <c r="AQ94" t="s" s="0">
        <v>2392</v>
      </c>
      <c r="AR94" t="s" s="0">
        <v>2393</v>
      </c>
      <c r="AS94" t="s" s="0">
        <v>2394</v>
      </c>
      <c r="AT94" t="s" s="0">
        <v>2395</v>
      </c>
      <c r="AU94" t="s" s="0">
        <v>2396</v>
      </c>
      <c r="AV94" t="s" s="0">
        <v>82</v>
      </c>
      <c r="AW94" t="s" s="0">
        <v>2397</v>
      </c>
      <c r="AX94" t="s" s="0">
        <v>2398</v>
      </c>
      <c r="AY94" t="s" s="0">
        <v>82</v>
      </c>
      <c r="AZ94" t="s" s="0">
        <v>179</v>
      </c>
      <c r="BA94" t="s" s="0">
        <v>82</v>
      </c>
      <c r="BB94" t="s" s="0">
        <v>82</v>
      </c>
      <c r="BC94" t="s" s="0">
        <v>82</v>
      </c>
      <c r="BD94" t="s" s="0">
        <v>82</v>
      </c>
      <c r="BE94" t="s" s="0">
        <v>82</v>
      </c>
      <c r="BF94" t="s" s="0">
        <v>82</v>
      </c>
      <c r="BG94" t="s" s="0">
        <v>82</v>
      </c>
      <c r="BH94" t="s" s="0">
        <v>82</v>
      </c>
      <c r="BI94" t="s" s="0">
        <v>82</v>
      </c>
      <c r="BJ94" t="s" s="0">
        <v>2399</v>
      </c>
      <c r="BK94" t="s" s="185">
        <f>HYPERLINK("http://dx.doi.org/10.1080/24725579.2026.2703103","http://dx.doi.org/10.1080/24725579.2026.2703103")</f>
        <v>2400</v>
      </c>
      <c r="BL94" t="s" s="0">
        <v>82</v>
      </c>
      <c r="BM94" t="s" s="0">
        <v>716</v>
      </c>
      <c r="BN94" t="s" s="0">
        <v>209</v>
      </c>
      <c r="BO94" t="s" s="0">
        <v>2401</v>
      </c>
      <c r="BP94" t="s" s="0">
        <v>2402</v>
      </c>
      <c r="BQ94" t="s" s="0">
        <v>2403</v>
      </c>
      <c r="BR94" t="s" s="0">
        <v>82</v>
      </c>
      <c r="BS94" t="s" s="0">
        <v>2404</v>
      </c>
      <c r="BT94" t="s" s="186">
        <f>HYPERLINK("https://www.webofscience.com/wos/woscc/full-record/WOS:001822940400001","View Record in Web of Science")</f>
        <v>120</v>
      </c>
      <c r="BU94" t="s" s="0">
        <v>82</v>
      </c>
      <c r="BV94" t="s" s="0">
        <v>82</v>
      </c>
      <c r="BW94" t="s" s="0">
        <v>82</v>
      </c>
      <c r="BX94" t="s" s="0">
        <v>121</v>
      </c>
    </row>
    <row r="95">
      <c r="A95" t="s" s="0">
        <v>77</v>
      </c>
      <c r="B95" t="s" s="0">
        <v>77</v>
      </c>
      <c r="C95" t="s" s="0">
        <v>77</v>
      </c>
      <c r="D95" t="s" s="0">
        <v>77</v>
      </c>
      <c r="E95" t="s" s="0">
        <v>2405</v>
      </c>
      <c r="F95" t="s" s="0">
        <v>2406</v>
      </c>
      <c r="G95" t="s" s="0">
        <v>2407</v>
      </c>
      <c r="H95" t="s" s="0">
        <v>82</v>
      </c>
      <c r="I95" t="s" s="0">
        <v>83</v>
      </c>
      <c r="J95" t="s" s="0">
        <v>2408</v>
      </c>
      <c r="K95" t="s" s="0">
        <v>2409</v>
      </c>
      <c r="L95" t="s" s="0">
        <v>2410</v>
      </c>
      <c r="M95" t="s" s="0">
        <v>2411</v>
      </c>
      <c r="N95" t="s" s="0">
        <v>2412</v>
      </c>
      <c r="O95" t="s" s="0">
        <v>2413</v>
      </c>
      <c r="P95" t="s" s="0">
        <v>2414</v>
      </c>
      <c r="Q95" t="s" s="0">
        <v>88</v>
      </c>
      <c r="R95" t="s" s="0">
        <v>82</v>
      </c>
      <c r="S95" t="s" s="0">
        <v>82</v>
      </c>
      <c r="T95" t="s" s="0">
        <v>82</v>
      </c>
      <c r="U95" t="s" s="0">
        <v>82</v>
      </c>
      <c r="V95" t="s" s="0">
        <v>2415</v>
      </c>
      <c r="W95" t="s" s="0">
        <v>1226</v>
      </c>
      <c r="X95" t="s" s="0">
        <v>82</v>
      </c>
      <c r="Y95" t="s" s="0">
        <v>82</v>
      </c>
      <c r="Z95" t="s" s="0">
        <v>91</v>
      </c>
      <c r="AA95" t="s" s="0">
        <v>908</v>
      </c>
      <c r="AB95" t="s" s="0">
        <v>82</v>
      </c>
      <c r="AC95" t="s" s="0">
        <v>82</v>
      </c>
      <c r="AD95" t="s" s="0">
        <v>82</v>
      </c>
      <c r="AE95" t="s" s="0">
        <v>82</v>
      </c>
      <c r="AF95" t="s" s="0">
        <v>82</v>
      </c>
      <c r="AG95" t="s" s="0">
        <v>2416</v>
      </c>
      <c r="AH95" t="s" s="0">
        <v>82</v>
      </c>
      <c r="AI95" t="s" s="0">
        <v>2417</v>
      </c>
      <c r="AJ95" t="s" s="0">
        <v>82</v>
      </c>
      <c r="AK95" t="s" s="0">
        <v>82</v>
      </c>
      <c r="AL95" t="s" s="0">
        <v>661</v>
      </c>
      <c r="AM95" t="s" s="0">
        <v>77</v>
      </c>
      <c r="AN95" t="s" s="0">
        <v>77</v>
      </c>
      <c r="AO95" t="s" s="0">
        <v>78</v>
      </c>
      <c r="AP95" t="s" s="0">
        <v>78</v>
      </c>
      <c r="AQ95" t="s" s="0">
        <v>795</v>
      </c>
      <c r="AR95" t="s" s="0">
        <v>796</v>
      </c>
      <c r="AS95" t="s" s="0">
        <v>797</v>
      </c>
      <c r="AT95" t="s" s="0">
        <v>1229</v>
      </c>
      <c r="AU95" t="s" s="0">
        <v>1230</v>
      </c>
      <c r="AV95" t="s" s="0">
        <v>82</v>
      </c>
      <c r="AW95" t="s" s="0">
        <v>1231</v>
      </c>
      <c r="AX95" t="s" s="0">
        <v>1232</v>
      </c>
      <c r="AY95" t="s" s="0">
        <v>82</v>
      </c>
      <c r="AZ95" t="s" s="0">
        <v>179</v>
      </c>
      <c r="BA95" t="s" s="0">
        <v>82</v>
      </c>
      <c r="BB95" t="s" s="0">
        <v>82</v>
      </c>
      <c r="BC95" t="s" s="0">
        <v>82</v>
      </c>
      <c r="BD95" t="s" s="0">
        <v>82</v>
      </c>
      <c r="BE95" t="s" s="0">
        <v>82</v>
      </c>
      <c r="BF95" t="s" s="0">
        <v>82</v>
      </c>
      <c r="BG95" t="s" s="0">
        <v>82</v>
      </c>
      <c r="BH95" t="s" s="0">
        <v>82</v>
      </c>
      <c r="BI95" t="s" s="0">
        <v>82</v>
      </c>
      <c r="BJ95" t="s" s="0">
        <v>2418</v>
      </c>
      <c r="BK95" t="s" s="187">
        <f>HYPERLINK("http://dx.doi.org/10.1007/s10278-026-01879-2","http://dx.doi.org/10.1007/s10278-026-01879-2")</f>
        <v>2419</v>
      </c>
      <c r="BL95" t="s" s="0">
        <v>82</v>
      </c>
      <c r="BM95" t="s" s="0">
        <v>183</v>
      </c>
      <c r="BN95" t="s" s="0">
        <v>363</v>
      </c>
      <c r="BO95" t="s" s="0">
        <v>717</v>
      </c>
      <c r="BP95" t="s" s="0">
        <v>717</v>
      </c>
      <c r="BQ95" t="s" s="0">
        <v>2420</v>
      </c>
      <c r="BR95" t="s" s="0">
        <v>2421</v>
      </c>
      <c r="BS95" t="s" s="0">
        <v>2422</v>
      </c>
      <c r="BT95" t="s" s="188">
        <f>HYPERLINK("https://www.webofscience.com/wos/woscc/full-record/WOS:001739847400001","View Record in Web of Science")</f>
        <v>120</v>
      </c>
      <c r="BU95" t="s" s="0">
        <v>1972</v>
      </c>
      <c r="BV95" t="s" s="0">
        <v>82</v>
      </c>
      <c r="BW95" t="s" s="0">
        <v>82</v>
      </c>
      <c r="BX95" t="s" s="0">
        <v>121</v>
      </c>
    </row>
    <row r="96">
      <c r="A96" t="s" s="0">
        <v>77</v>
      </c>
      <c r="B96" t="s" s="0">
        <v>77</v>
      </c>
      <c r="C96" t="s" s="0">
        <v>77</v>
      </c>
      <c r="D96" t="s" s="0">
        <v>77</v>
      </c>
      <c r="E96" t="s" s="0">
        <v>2423</v>
      </c>
      <c r="F96" t="s" s="0">
        <v>2424</v>
      </c>
      <c r="G96" t="s" s="0">
        <v>2425</v>
      </c>
      <c r="H96" t="s" s="0">
        <v>82</v>
      </c>
      <c r="I96" t="s" s="0">
        <v>83</v>
      </c>
      <c r="J96" t="s" s="0">
        <v>2426</v>
      </c>
      <c r="K96" t="s" s="0">
        <v>2427</v>
      </c>
      <c r="L96" t="s" s="0">
        <v>82</v>
      </c>
      <c r="M96" t="s" s="0">
        <v>82</v>
      </c>
      <c r="N96" t="s" s="0">
        <v>82</v>
      </c>
      <c r="O96" t="s" s="0">
        <v>2428</v>
      </c>
      <c r="P96" t="s" s="0">
        <v>2429</v>
      </c>
      <c r="Q96" t="s" s="0">
        <v>88</v>
      </c>
      <c r="R96" t="s" s="0">
        <v>82</v>
      </c>
      <c r="S96" t="s" s="0">
        <v>82</v>
      </c>
      <c r="T96" t="s" s="0">
        <v>82</v>
      </c>
      <c r="U96" t="s" s="0">
        <v>82</v>
      </c>
      <c r="V96" t="s" s="0">
        <v>2430</v>
      </c>
      <c r="W96" t="s" s="0">
        <v>2431</v>
      </c>
      <c r="X96" t="s" s="0">
        <v>82</v>
      </c>
      <c r="Y96" t="s" s="0">
        <v>82</v>
      </c>
      <c r="Z96" t="s" s="0">
        <v>91</v>
      </c>
      <c r="AA96" t="s" s="0">
        <v>908</v>
      </c>
      <c r="AB96" t="s" s="0">
        <v>82</v>
      </c>
      <c r="AC96" t="s" s="0">
        <v>82</v>
      </c>
      <c r="AD96" t="s" s="0">
        <v>82</v>
      </c>
      <c r="AE96" t="s" s="0">
        <v>82</v>
      </c>
      <c r="AF96" t="s" s="0">
        <v>82</v>
      </c>
      <c r="AG96" t="s" s="0">
        <v>2432</v>
      </c>
      <c r="AH96" t="s" s="0">
        <v>2433</v>
      </c>
      <c r="AI96" t="s" s="0">
        <v>2434</v>
      </c>
      <c r="AJ96" t="s" s="0">
        <v>82</v>
      </c>
      <c r="AK96" t="s" s="0">
        <v>82</v>
      </c>
      <c r="AL96" t="s" s="0">
        <v>556</v>
      </c>
      <c r="AM96" t="s" s="0">
        <v>204</v>
      </c>
      <c r="AN96" t="s" s="0">
        <v>204</v>
      </c>
      <c r="AO96" t="s" s="0">
        <v>77</v>
      </c>
      <c r="AP96" t="s" s="0">
        <v>77</v>
      </c>
      <c r="AQ96" t="s" s="0">
        <v>795</v>
      </c>
      <c r="AR96" t="s" s="0">
        <v>796</v>
      </c>
      <c r="AS96" t="s" s="0">
        <v>797</v>
      </c>
      <c r="AT96" t="s" s="0">
        <v>2435</v>
      </c>
      <c r="AU96" t="s" s="0">
        <v>2436</v>
      </c>
      <c r="AV96" t="s" s="0">
        <v>82</v>
      </c>
      <c r="AW96" t="s" s="0">
        <v>2437</v>
      </c>
      <c r="AX96" t="s" s="0">
        <v>2438</v>
      </c>
      <c r="AY96" t="s" s="0">
        <v>82</v>
      </c>
      <c r="AZ96" t="s" s="0">
        <v>179</v>
      </c>
      <c r="BA96" t="s" s="0">
        <v>82</v>
      </c>
      <c r="BB96" t="s" s="0">
        <v>82</v>
      </c>
      <c r="BC96" t="s" s="0">
        <v>82</v>
      </c>
      <c r="BD96" t="s" s="0">
        <v>82</v>
      </c>
      <c r="BE96" t="s" s="0">
        <v>82</v>
      </c>
      <c r="BF96" t="s" s="0">
        <v>82</v>
      </c>
      <c r="BG96" t="s" s="0">
        <v>82</v>
      </c>
      <c r="BH96" t="s" s="0">
        <v>82</v>
      </c>
      <c r="BI96" t="s" s="0">
        <v>82</v>
      </c>
      <c r="BJ96" t="s" s="0">
        <v>2439</v>
      </c>
      <c r="BK96" t="s" s="189">
        <f>HYPERLINK("http://dx.doi.org/10.1007/s00247-026-06687-y","http://dx.doi.org/10.1007/s00247-026-06687-y")</f>
        <v>2440</v>
      </c>
      <c r="BL96" t="s" s="0">
        <v>82</v>
      </c>
      <c r="BM96" t="s" s="0">
        <v>358</v>
      </c>
      <c r="BN96" t="s" s="0">
        <v>363</v>
      </c>
      <c r="BO96" t="s" s="0">
        <v>2441</v>
      </c>
      <c r="BP96" t="s" s="0">
        <v>2441</v>
      </c>
      <c r="BQ96" t="s" s="0">
        <v>2442</v>
      </c>
      <c r="BR96" t="s" s="0">
        <v>2443</v>
      </c>
      <c r="BS96" t="s" s="0">
        <v>2444</v>
      </c>
      <c r="BT96" t="s" s="190">
        <f>HYPERLINK("https://www.webofscience.com/wos/woscc/full-record/WOS:001786880600001","View Record in Web of Science")</f>
        <v>120</v>
      </c>
      <c r="BU96" t="s" s="0">
        <v>82</v>
      </c>
      <c r="BV96" t="s" s="0">
        <v>82</v>
      </c>
      <c r="BW96" t="s" s="0">
        <v>82</v>
      </c>
      <c r="BX96" t="s" s="0">
        <v>121</v>
      </c>
    </row>
    <row r="97">
      <c r="A97" t="s" s="0">
        <v>78</v>
      </c>
      <c r="B97" t="s" s="0">
        <v>77</v>
      </c>
      <c r="C97" t="s" s="0">
        <v>97</v>
      </c>
      <c r="D97" t="s" s="0">
        <v>77</v>
      </c>
      <c r="E97" t="s" s="0">
        <v>2445</v>
      </c>
      <c r="F97" t="s" s="0">
        <v>2446</v>
      </c>
      <c r="G97" t="s" s="0">
        <v>2447</v>
      </c>
      <c r="H97" t="s" s="0">
        <v>82</v>
      </c>
      <c r="I97" t="s" s="0">
        <v>460</v>
      </c>
      <c r="J97" t="s" s="0">
        <v>2448</v>
      </c>
      <c r="K97" t="s" s="0">
        <v>2449</v>
      </c>
      <c r="L97" t="s" s="0">
        <v>2450</v>
      </c>
      <c r="M97" t="s" s="0">
        <v>2451</v>
      </c>
      <c r="N97" t="s" s="0">
        <v>2452</v>
      </c>
      <c r="O97" t="s" s="0">
        <v>2453</v>
      </c>
      <c r="P97" t="s" s="0">
        <v>2454</v>
      </c>
      <c r="Q97" t="s" s="0">
        <v>88</v>
      </c>
      <c r="R97" t="s" s="0">
        <v>82</v>
      </c>
      <c r="S97" t="s" s="0">
        <v>82</v>
      </c>
      <c r="T97" t="s" s="0">
        <v>82</v>
      </c>
      <c r="U97" t="s" s="0">
        <v>82</v>
      </c>
      <c r="V97" t="s" s="0">
        <v>2455</v>
      </c>
      <c r="W97" t="s" s="0">
        <v>2456</v>
      </c>
      <c r="X97" t="s" s="0">
        <v>82</v>
      </c>
      <c r="Y97" t="s" s="0">
        <v>82</v>
      </c>
      <c r="Z97" t="s" s="0">
        <v>91</v>
      </c>
      <c r="AA97" t="s" s="0">
        <v>92</v>
      </c>
      <c r="AB97" t="s" s="0">
        <v>82</v>
      </c>
      <c r="AC97" t="s" s="0">
        <v>82</v>
      </c>
      <c r="AD97" t="s" s="0">
        <v>82</v>
      </c>
      <c r="AE97" t="s" s="0">
        <v>82</v>
      </c>
      <c r="AF97" t="s" s="0">
        <v>82</v>
      </c>
      <c r="AG97" t="s" s="0">
        <v>2457</v>
      </c>
      <c r="AH97" t="s" s="0">
        <v>82</v>
      </c>
      <c r="AI97" t="s" s="0">
        <v>2458</v>
      </c>
      <c r="AJ97" t="s" s="0">
        <v>2459</v>
      </c>
      <c r="AK97" t="s" s="0">
        <v>82</v>
      </c>
      <c r="AL97" t="s" s="0">
        <v>502</v>
      </c>
      <c r="AM97" t="s" s="0">
        <v>1505</v>
      </c>
      <c r="AN97" t="s" s="0">
        <v>391</v>
      </c>
      <c r="AO97" t="s" s="0">
        <v>77</v>
      </c>
      <c r="AP97" t="s" s="0">
        <v>1004</v>
      </c>
      <c r="AQ97" t="s" s="0">
        <v>2460</v>
      </c>
      <c r="AR97" t="s" s="0">
        <v>2461</v>
      </c>
      <c r="AS97" t="s" s="0">
        <v>2462</v>
      </c>
      <c r="AT97" t="s" s="0">
        <v>82</v>
      </c>
      <c r="AU97" t="s" s="0">
        <v>2463</v>
      </c>
      <c r="AV97" t="s" s="0">
        <v>82</v>
      </c>
      <c r="AW97" t="s" s="0">
        <v>2464</v>
      </c>
      <c r="AX97" t="s" s="0">
        <v>2465</v>
      </c>
      <c r="AY97" t="s" s="0">
        <v>146</v>
      </c>
      <c r="AZ97" t="s" s="0">
        <v>146</v>
      </c>
      <c r="BA97" t="s" s="0">
        <v>272</v>
      </c>
      <c r="BB97" t="s" s="0">
        <v>82</v>
      </c>
      <c r="BC97" t="s" s="0">
        <v>82</v>
      </c>
      <c r="BD97" t="s" s="0">
        <v>82</v>
      </c>
      <c r="BE97" t="s" s="0">
        <v>82</v>
      </c>
      <c r="BF97" t="s" s="0">
        <v>82</v>
      </c>
      <c r="BG97" t="s" s="0">
        <v>82</v>
      </c>
      <c r="BH97" t="s" s="0">
        <v>82</v>
      </c>
      <c r="BI97" t="s" s="0">
        <v>2466</v>
      </c>
      <c r="BJ97" t="s" s="0">
        <v>2467</v>
      </c>
      <c r="BK97" t="s" s="191">
        <f>HYPERLINK("http://dx.doi.org/10.2196/32690","http://dx.doi.org/10.2196/32690")</f>
        <v>2468</v>
      </c>
      <c r="BL97" t="s" s="0">
        <v>82</v>
      </c>
      <c r="BM97" t="s" s="0">
        <v>82</v>
      </c>
      <c r="BN97" t="s" s="0">
        <v>184</v>
      </c>
      <c r="BO97" t="s" s="0">
        <v>185</v>
      </c>
      <c r="BP97" t="s" s="0">
        <v>185</v>
      </c>
      <c r="BQ97" t="s" s="0">
        <v>2469</v>
      </c>
      <c r="BR97" t="s" s="0">
        <v>2470</v>
      </c>
      <c r="BS97" t="s" s="0">
        <v>2471</v>
      </c>
      <c r="BT97" t="s" s="192">
        <f>HYPERLINK("https://www.webofscience.com/wos/woscc/full-record/WOS:001165148700001","View Record in Web of Science")</f>
        <v>120</v>
      </c>
      <c r="BU97" t="s" s="0">
        <v>189</v>
      </c>
      <c r="BV97" t="s" s="0">
        <v>82</v>
      </c>
      <c r="BW97" t="s" s="0">
        <v>82</v>
      </c>
      <c r="BX97" t="s" s="0">
        <v>121</v>
      </c>
    </row>
    <row r="98">
      <c r="A98" t="s" s="0">
        <v>77</v>
      </c>
      <c r="B98" t="s" s="0">
        <v>77</v>
      </c>
      <c r="C98" t="s" s="0">
        <v>77</v>
      </c>
      <c r="D98" t="s" s="0">
        <v>77</v>
      </c>
      <c r="E98" t="s" s="0">
        <v>2472</v>
      </c>
      <c r="F98" t="s" s="0">
        <v>2473</v>
      </c>
      <c r="G98" t="s" s="0">
        <v>2474</v>
      </c>
      <c r="H98" t="s" s="0">
        <v>82</v>
      </c>
      <c r="I98" t="s" s="0">
        <v>83</v>
      </c>
      <c r="J98" t="s" s="0">
        <v>2475</v>
      </c>
      <c r="K98" t="s" s="0">
        <v>2476</v>
      </c>
      <c r="L98" t="s" s="0">
        <v>2477</v>
      </c>
      <c r="M98" t="s" s="0">
        <v>2478</v>
      </c>
      <c r="N98" t="s" s="0">
        <v>2479</v>
      </c>
      <c r="O98" t="s" s="0">
        <v>2480</v>
      </c>
      <c r="P98" t="s" s="0">
        <v>2481</v>
      </c>
      <c r="Q98" t="s" s="0">
        <v>88</v>
      </c>
      <c r="R98" t="s" s="0">
        <v>82</v>
      </c>
      <c r="S98" t="s" s="0">
        <v>82</v>
      </c>
      <c r="T98" t="s" s="0">
        <v>82</v>
      </c>
      <c r="U98" t="s" s="0">
        <v>82</v>
      </c>
      <c r="V98" t="s" s="0">
        <v>2482</v>
      </c>
      <c r="W98" t="s" s="0">
        <v>1592</v>
      </c>
      <c r="X98" t="s" s="0">
        <v>82</v>
      </c>
      <c r="Y98" t="s" s="0">
        <v>82</v>
      </c>
      <c r="Z98" t="s" s="0">
        <v>91</v>
      </c>
      <c r="AA98" t="s" s="0">
        <v>92</v>
      </c>
      <c r="AB98" t="s" s="0">
        <v>82</v>
      </c>
      <c r="AC98" t="s" s="0">
        <v>82</v>
      </c>
      <c r="AD98" t="s" s="0">
        <v>82</v>
      </c>
      <c r="AE98" t="s" s="0">
        <v>82</v>
      </c>
      <c r="AF98" t="s" s="0">
        <v>82</v>
      </c>
      <c r="AG98" t="s" s="0">
        <v>82</v>
      </c>
      <c r="AH98" t="s" s="0">
        <v>2483</v>
      </c>
      <c r="AI98" t="s" s="0">
        <v>82</v>
      </c>
      <c r="AJ98" t="s" s="0">
        <v>2484</v>
      </c>
      <c r="AK98" t="s" s="0">
        <v>82</v>
      </c>
      <c r="AL98" t="s" s="0">
        <v>684</v>
      </c>
      <c r="AM98" t="s" s="0">
        <v>77</v>
      </c>
      <c r="AN98" t="s" s="0">
        <v>77</v>
      </c>
      <c r="AO98" t="s" s="0">
        <v>77</v>
      </c>
      <c r="AP98" t="s" s="0">
        <v>77</v>
      </c>
      <c r="AQ98" t="s" s="0">
        <v>172</v>
      </c>
      <c r="AR98" t="s" s="0">
        <v>173</v>
      </c>
      <c r="AS98" t="s" s="0">
        <v>174</v>
      </c>
      <c r="AT98" t="s" s="0">
        <v>82</v>
      </c>
      <c r="AU98" t="s" s="0">
        <v>1595</v>
      </c>
      <c r="AV98" t="s" s="0">
        <v>82</v>
      </c>
      <c r="AW98" t="s" s="0">
        <v>1596</v>
      </c>
      <c r="AX98" t="s" s="0">
        <v>1597</v>
      </c>
      <c r="AY98" t="s" s="0">
        <v>2485</v>
      </c>
      <c r="AZ98" t="s" s="0">
        <v>179</v>
      </c>
      <c r="BA98" t="s" s="0">
        <v>428</v>
      </c>
      <c r="BB98" t="s" s="0">
        <v>78</v>
      </c>
      <c r="BC98" t="s" s="0">
        <v>82</v>
      </c>
      <c r="BD98" t="s" s="0">
        <v>82</v>
      </c>
      <c r="BE98" t="s" s="0">
        <v>82</v>
      </c>
      <c r="BF98" t="s" s="0">
        <v>82</v>
      </c>
      <c r="BG98" t="s" s="0">
        <v>82</v>
      </c>
      <c r="BH98" t="s" s="0">
        <v>82</v>
      </c>
      <c r="BI98" t="s" s="0">
        <v>2486</v>
      </c>
      <c r="BJ98" t="s" s="0">
        <v>2487</v>
      </c>
      <c r="BK98" t="s" s="193">
        <f>HYPERLINK("http://dx.doi.org/10.1038/s41467-026-74865-5","http://dx.doi.org/10.1038/s41467-026-74865-5")</f>
        <v>2488</v>
      </c>
      <c r="BL98" t="s" s="0">
        <v>82</v>
      </c>
      <c r="BM98" t="s" s="0">
        <v>82</v>
      </c>
      <c r="BN98" t="s" s="0">
        <v>277</v>
      </c>
      <c r="BO98" t="s" s="0">
        <v>213</v>
      </c>
      <c r="BP98" t="s" s="0">
        <v>214</v>
      </c>
      <c r="BQ98" t="s" s="0">
        <v>2489</v>
      </c>
      <c r="BR98" t="s" s="0">
        <v>2490</v>
      </c>
      <c r="BS98" t="s" s="0">
        <v>2491</v>
      </c>
      <c r="BT98" t="s" s="194">
        <f>HYPERLINK("https://www.webofscience.com/wos/woscc/full-record/WOS:001850159700001","View Record in Web of Science")</f>
        <v>120</v>
      </c>
      <c r="BU98" t="s" s="0">
        <v>335</v>
      </c>
      <c r="BV98" t="s" s="0">
        <v>82</v>
      </c>
      <c r="BW98" t="s" s="0">
        <v>82</v>
      </c>
      <c r="BX98" t="s" s="0">
        <v>121</v>
      </c>
    </row>
    <row r="99">
      <c r="A99" t="s" s="0">
        <v>77</v>
      </c>
      <c r="B99" t="s" s="0">
        <v>77</v>
      </c>
      <c r="C99" t="s" s="0">
        <v>77</v>
      </c>
      <c r="D99" t="s" s="0">
        <v>77</v>
      </c>
      <c r="E99" t="s" s="0">
        <v>2492</v>
      </c>
      <c r="F99" t="s" s="0">
        <v>2493</v>
      </c>
      <c r="G99" t="s" s="0">
        <v>2494</v>
      </c>
      <c r="H99" t="s" s="0">
        <v>82</v>
      </c>
      <c r="I99" t="s" s="0">
        <v>83</v>
      </c>
      <c r="J99" t="s" s="0">
        <v>2495</v>
      </c>
      <c r="K99" t="s" s="0">
        <v>2496</v>
      </c>
      <c r="L99" t="s" s="0">
        <v>2497</v>
      </c>
      <c r="M99" t="s" s="0">
        <v>2498</v>
      </c>
      <c r="N99" t="s" s="0">
        <v>2499</v>
      </c>
      <c r="O99" t="s" s="0">
        <v>2500</v>
      </c>
      <c r="P99" t="s" s="0">
        <v>2501</v>
      </c>
      <c r="Q99" t="s" s="0">
        <v>88</v>
      </c>
      <c r="R99" t="s" s="0">
        <v>82</v>
      </c>
      <c r="S99" t="s" s="0">
        <v>82</v>
      </c>
      <c r="T99" t="s" s="0">
        <v>82</v>
      </c>
      <c r="U99" t="s" s="0">
        <v>82</v>
      </c>
      <c r="V99" t="s" s="0">
        <v>2502</v>
      </c>
      <c r="W99" t="s" s="0">
        <v>2503</v>
      </c>
      <c r="X99" t="s" s="0">
        <v>82</v>
      </c>
      <c r="Y99" t="s" s="0">
        <v>82</v>
      </c>
      <c r="Z99" t="s" s="0">
        <v>91</v>
      </c>
      <c r="AA99" t="s" s="0">
        <v>92</v>
      </c>
      <c r="AB99" t="s" s="0">
        <v>82</v>
      </c>
      <c r="AC99" t="s" s="0">
        <v>82</v>
      </c>
      <c r="AD99" t="s" s="0">
        <v>82</v>
      </c>
      <c r="AE99" t="s" s="0">
        <v>82</v>
      </c>
      <c r="AF99" t="s" s="0">
        <v>82</v>
      </c>
      <c r="AG99" t="s" s="0">
        <v>82</v>
      </c>
      <c r="AH99" t="s" s="0">
        <v>552</v>
      </c>
      <c r="AI99" t="s" s="0">
        <v>82</v>
      </c>
      <c r="AJ99" t="s" s="0">
        <v>82</v>
      </c>
      <c r="AK99" t="s" s="0">
        <v>82</v>
      </c>
      <c r="AL99" t="s" s="0">
        <v>1575</v>
      </c>
      <c r="AM99" t="s" s="0">
        <v>77</v>
      </c>
      <c r="AN99" t="s" s="0">
        <v>77</v>
      </c>
      <c r="AO99" t="s" s="0">
        <v>77</v>
      </c>
      <c r="AP99" t="s" s="0">
        <v>77</v>
      </c>
      <c r="AQ99" t="s" s="0">
        <v>172</v>
      </c>
      <c r="AR99" t="s" s="0">
        <v>173</v>
      </c>
      <c r="AS99" t="s" s="0">
        <v>174</v>
      </c>
      <c r="AT99" t="s" s="0">
        <v>82</v>
      </c>
      <c r="AU99" t="s" s="0">
        <v>2504</v>
      </c>
      <c r="AV99" t="s" s="0">
        <v>82</v>
      </c>
      <c r="AW99" t="s" s="0">
        <v>2505</v>
      </c>
      <c r="AX99" t="s" s="0">
        <v>2506</v>
      </c>
      <c r="AY99" t="s" s="0">
        <v>2507</v>
      </c>
      <c r="AZ99" t="s" s="0">
        <v>179</v>
      </c>
      <c r="BA99" t="s" s="0">
        <v>148</v>
      </c>
      <c r="BB99" t="s" s="0">
        <v>78</v>
      </c>
      <c r="BC99" t="s" s="0">
        <v>82</v>
      </c>
      <c r="BD99" t="s" s="0">
        <v>82</v>
      </c>
      <c r="BE99" t="s" s="0">
        <v>82</v>
      </c>
      <c r="BF99" t="s" s="0">
        <v>82</v>
      </c>
      <c r="BG99" t="s" s="0">
        <v>82</v>
      </c>
      <c r="BH99" t="s" s="0">
        <v>82</v>
      </c>
      <c r="BI99" t="s" s="0">
        <v>2508</v>
      </c>
      <c r="BJ99" t="s" s="0">
        <v>2509</v>
      </c>
      <c r="BK99" t="s" s="195">
        <f>HYPERLINK("http://dx.doi.org/10.1038/s41524-026-02069-y","http://dx.doi.org/10.1038/s41524-026-02069-y")</f>
        <v>2510</v>
      </c>
      <c r="BL99" t="s" s="0">
        <v>82</v>
      </c>
      <c r="BM99" t="s" s="0">
        <v>183</v>
      </c>
      <c r="BN99" t="s" s="0">
        <v>109</v>
      </c>
      <c r="BO99" t="s" s="0">
        <v>2511</v>
      </c>
      <c r="BP99" t="s" s="0">
        <v>2512</v>
      </c>
      <c r="BQ99" t="s" s="0">
        <v>2513</v>
      </c>
      <c r="BR99" t="s" s="0">
        <v>2514</v>
      </c>
      <c r="BS99" t="s" s="0">
        <v>2515</v>
      </c>
      <c r="BT99" t="s" s="196">
        <f>HYPERLINK("https://www.webofscience.com/wos/woscc/full-record/WOS:001799472700002","View Record in Web of Science")</f>
        <v>120</v>
      </c>
      <c r="BU99" t="s" s="0">
        <v>189</v>
      </c>
      <c r="BV99" t="s" s="0">
        <v>82</v>
      </c>
      <c r="BW99" t="s" s="0">
        <v>82</v>
      </c>
      <c r="BX99" t="s" s="0">
        <v>121</v>
      </c>
    </row>
    <row r="100">
      <c r="A100" t="s" s="0">
        <v>77</v>
      </c>
      <c r="B100" t="s" s="0">
        <v>77</v>
      </c>
      <c r="C100" t="s" s="0">
        <v>77</v>
      </c>
      <c r="D100" t="s" s="0">
        <v>77</v>
      </c>
      <c r="E100" t="s" s="0">
        <v>2516</v>
      </c>
      <c r="F100" t="s" s="0">
        <v>2517</v>
      </c>
      <c r="G100" t="s" s="0">
        <v>2518</v>
      </c>
      <c r="H100" t="s" s="0">
        <v>82</v>
      </c>
      <c r="I100" t="s" s="0">
        <v>83</v>
      </c>
      <c r="J100" t="s" s="0">
        <v>2519</v>
      </c>
      <c r="K100" t="s" s="0">
        <v>2520</v>
      </c>
      <c r="L100" t="s" s="0">
        <v>82</v>
      </c>
      <c r="M100" t="s" s="0">
        <v>82</v>
      </c>
      <c r="N100" t="s" s="0">
        <v>82</v>
      </c>
      <c r="O100" t="s" s="0">
        <v>2521</v>
      </c>
      <c r="P100" t="s" s="0">
        <v>2522</v>
      </c>
      <c r="Q100" t="s" s="0">
        <v>88</v>
      </c>
      <c r="R100" t="s" s="0">
        <v>82</v>
      </c>
      <c r="S100" t="s" s="0">
        <v>82</v>
      </c>
      <c r="T100" t="s" s="0">
        <v>82</v>
      </c>
      <c r="U100" t="s" s="0">
        <v>82</v>
      </c>
      <c r="V100" t="s" s="0">
        <v>2523</v>
      </c>
      <c r="W100" t="s" s="0">
        <v>323</v>
      </c>
      <c r="X100" t="s" s="0">
        <v>82</v>
      </c>
      <c r="Y100" t="s" s="0">
        <v>82</v>
      </c>
      <c r="Z100" t="s" s="0">
        <v>91</v>
      </c>
      <c r="AA100" t="s" s="0">
        <v>92</v>
      </c>
      <c r="AB100" t="s" s="0">
        <v>82</v>
      </c>
      <c r="AC100" t="s" s="0">
        <v>82</v>
      </c>
      <c r="AD100" t="s" s="0">
        <v>82</v>
      </c>
      <c r="AE100" t="s" s="0">
        <v>82</v>
      </c>
      <c r="AF100" t="s" s="0">
        <v>82</v>
      </c>
      <c r="AG100" t="s" s="0">
        <v>2524</v>
      </c>
      <c r="AH100" t="s" s="0">
        <v>82</v>
      </c>
      <c r="AI100" t="s" s="0">
        <v>2525</v>
      </c>
      <c r="AJ100" t="s" s="0">
        <v>82</v>
      </c>
      <c r="AK100" t="s" s="0">
        <v>82</v>
      </c>
      <c r="AL100" t="s" s="0">
        <v>2321</v>
      </c>
      <c r="AM100" t="s" s="0">
        <v>77</v>
      </c>
      <c r="AN100" t="s" s="0">
        <v>77</v>
      </c>
      <c r="AO100" t="s" s="0">
        <v>77</v>
      </c>
      <c r="AP100" t="s" s="0">
        <v>77</v>
      </c>
      <c r="AQ100" t="s" s="0">
        <v>100</v>
      </c>
      <c r="AR100" t="s" s="0">
        <v>101</v>
      </c>
      <c r="AS100" t="s" s="0">
        <v>102</v>
      </c>
      <c r="AT100" t="s" s="0">
        <v>325</v>
      </c>
      <c r="AU100" t="s" s="0">
        <v>82</v>
      </c>
      <c r="AV100" t="s" s="0">
        <v>82</v>
      </c>
      <c r="AW100" t="s" s="0">
        <v>323</v>
      </c>
      <c r="AX100" t="s" s="0">
        <v>326</v>
      </c>
      <c r="AY100" t="s" s="0">
        <v>179</v>
      </c>
      <c r="AZ100" t="s" s="0">
        <v>179</v>
      </c>
      <c r="BA100" t="s" s="0">
        <v>109</v>
      </c>
      <c r="BB100" t="s" s="0">
        <v>82</v>
      </c>
      <c r="BC100" t="s" s="0">
        <v>82</v>
      </c>
      <c r="BD100" t="s" s="0">
        <v>82</v>
      </c>
      <c r="BE100" t="s" s="0">
        <v>82</v>
      </c>
      <c r="BF100" t="s" s="0">
        <v>82</v>
      </c>
      <c r="BG100" t="s" s="0">
        <v>2526</v>
      </c>
      <c r="BH100" t="s" s="0">
        <v>2527</v>
      </c>
      <c r="BI100" t="s" s="0">
        <v>82</v>
      </c>
      <c r="BJ100" t="s" s="0">
        <v>2528</v>
      </c>
      <c r="BK100" t="s" s="197">
        <f>HYPERLINK("http://dx.doi.org/10.1109/ACCESS.2026.3687477","http://dx.doi.org/10.1109/ACCESS.2026.3687477")</f>
        <v>2529</v>
      </c>
      <c r="BL100" t="s" s="0">
        <v>82</v>
      </c>
      <c r="BM100" t="s" s="0">
        <v>82</v>
      </c>
      <c r="BN100" t="s" s="0">
        <v>184</v>
      </c>
      <c r="BO100" t="s" s="0">
        <v>332</v>
      </c>
      <c r="BP100" t="s" s="0">
        <v>117</v>
      </c>
      <c r="BQ100" t="s" s="0">
        <v>2530</v>
      </c>
      <c r="BR100" t="s" s="0">
        <v>82</v>
      </c>
      <c r="BS100" t="s" s="0">
        <v>2531</v>
      </c>
      <c r="BT100" t="s" s="198">
        <f>HYPERLINK("https://www.webofscience.com/wos/woscc/full-record/WOS:001767284900027","View Record in Web of Science")</f>
        <v>120</v>
      </c>
      <c r="BU100" t="s" s="0">
        <v>189</v>
      </c>
      <c r="BV100" t="s" s="0">
        <v>82</v>
      </c>
      <c r="BW100" t="s" s="0">
        <v>82</v>
      </c>
      <c r="BX100" t="s" s="0">
        <v>121</v>
      </c>
    </row>
    <row r="101">
      <c r="A101" t="s" s="0">
        <v>77</v>
      </c>
      <c r="B101" t="s" s="0">
        <v>77</v>
      </c>
      <c r="C101" t="s" s="0">
        <v>77</v>
      </c>
      <c r="D101" t="s" s="0">
        <v>77</v>
      </c>
      <c r="E101" t="s" s="0">
        <v>2532</v>
      </c>
      <c r="F101" t="s" s="0">
        <v>2533</v>
      </c>
      <c r="G101" t="s" s="0">
        <v>2534</v>
      </c>
      <c r="H101" t="s" s="0">
        <v>82</v>
      </c>
      <c r="I101" t="s" s="0">
        <v>83</v>
      </c>
      <c r="J101" t="s" s="0">
        <v>2535</v>
      </c>
      <c r="K101" t="s" s="0">
        <v>2536</v>
      </c>
      <c r="L101" t="s" s="0">
        <v>2537</v>
      </c>
      <c r="M101" t="s" s="0">
        <v>2538</v>
      </c>
      <c r="N101" t="s" s="0">
        <v>2539</v>
      </c>
      <c r="O101" t="s" s="0">
        <v>2540</v>
      </c>
      <c r="P101" t="s" s="0">
        <v>2541</v>
      </c>
      <c r="Q101" t="s" s="0">
        <v>88</v>
      </c>
      <c r="R101" t="s" s="0">
        <v>82</v>
      </c>
      <c r="S101" t="s" s="0">
        <v>82</v>
      </c>
      <c r="T101" t="s" s="0">
        <v>82</v>
      </c>
      <c r="U101" t="s" s="0">
        <v>82</v>
      </c>
      <c r="V101" t="s" s="0">
        <v>2542</v>
      </c>
      <c r="W101" t="s" s="0">
        <v>2543</v>
      </c>
      <c r="X101" t="s" s="0">
        <v>82</v>
      </c>
      <c r="Y101" t="s" s="0">
        <v>82</v>
      </c>
      <c r="Z101" t="s" s="0">
        <v>91</v>
      </c>
      <c r="AA101" t="s" s="0">
        <v>92</v>
      </c>
      <c r="AB101" t="s" s="0">
        <v>82</v>
      </c>
      <c r="AC101" t="s" s="0">
        <v>82</v>
      </c>
      <c r="AD101" t="s" s="0">
        <v>82</v>
      </c>
      <c r="AE101" t="s" s="0">
        <v>82</v>
      </c>
      <c r="AF101" t="s" s="0">
        <v>82</v>
      </c>
      <c r="AG101" t="s" s="0">
        <v>2544</v>
      </c>
      <c r="AH101" t="s" s="0">
        <v>82</v>
      </c>
      <c r="AI101" t="s" s="0">
        <v>2545</v>
      </c>
      <c r="AJ101" t="s" s="0">
        <v>2546</v>
      </c>
      <c r="AK101" t="s" s="0">
        <v>82</v>
      </c>
      <c r="AL101" t="s" s="0">
        <v>2547</v>
      </c>
      <c r="AM101" t="s" s="0">
        <v>99</v>
      </c>
      <c r="AN101" t="s" s="0">
        <v>99</v>
      </c>
      <c r="AO101" t="s" s="0">
        <v>204</v>
      </c>
      <c r="AP101" t="s" s="0">
        <v>97</v>
      </c>
      <c r="AQ101" t="s" s="0">
        <v>100</v>
      </c>
      <c r="AR101" t="s" s="0">
        <v>101</v>
      </c>
      <c r="AS101" t="s" s="0">
        <v>102</v>
      </c>
      <c r="AT101" t="s" s="0">
        <v>2548</v>
      </c>
      <c r="AU101" t="s" s="0">
        <v>2549</v>
      </c>
      <c r="AV101" t="s" s="0">
        <v>82</v>
      </c>
      <c r="AW101" t="s" s="0">
        <v>2550</v>
      </c>
      <c r="AX101" t="s" s="0">
        <v>2551</v>
      </c>
      <c r="AY101" t="s" s="0">
        <v>108</v>
      </c>
      <c r="AZ101" t="s" s="0">
        <v>108</v>
      </c>
      <c r="BA101" t="s" s="0">
        <v>472</v>
      </c>
      <c r="BB101" t="s" s="0">
        <v>82</v>
      </c>
      <c r="BC101" t="s" s="0">
        <v>82</v>
      </c>
      <c r="BD101" t="s" s="0">
        <v>82</v>
      </c>
      <c r="BE101" t="s" s="0">
        <v>82</v>
      </c>
      <c r="BF101" t="s" s="0">
        <v>82</v>
      </c>
      <c r="BG101" t="s" s="0">
        <v>2552</v>
      </c>
      <c r="BH101" t="s" s="0">
        <v>2553</v>
      </c>
      <c r="BI101" t="s" s="0">
        <v>82</v>
      </c>
      <c r="BJ101" t="s" s="0">
        <v>2554</v>
      </c>
      <c r="BK101" t="s" s="199">
        <f>HYPERLINK("http://dx.doi.org/10.1109/TMM.2025.3543109","http://dx.doi.org/10.1109/TMM.2025.3543109")</f>
        <v>2555</v>
      </c>
      <c r="BL101" t="s" s="0">
        <v>82</v>
      </c>
      <c r="BM101" t="s" s="0">
        <v>82</v>
      </c>
      <c r="BN101" t="s" s="0">
        <v>184</v>
      </c>
      <c r="BO101" t="s" s="0">
        <v>2556</v>
      </c>
      <c r="BP101" t="s" s="0">
        <v>2557</v>
      </c>
      <c r="BQ101" t="s" s="0">
        <v>2558</v>
      </c>
      <c r="BR101" t="s" s="0">
        <v>82</v>
      </c>
      <c r="BS101" t="s" s="0">
        <v>2559</v>
      </c>
      <c r="BT101" t="s" s="200">
        <f>HYPERLINK("https://www.webofscience.com/wos/woscc/full-record/WOS:001560412200011","View Record in Web of Science")</f>
        <v>120</v>
      </c>
      <c r="BU101" t="s" s="0">
        <v>82</v>
      </c>
      <c r="BV101" t="s" s="0">
        <v>82</v>
      </c>
      <c r="BW101" t="s" s="0">
        <v>82</v>
      </c>
      <c r="BX101" t="s" s="0">
        <v>121</v>
      </c>
    </row>
    <row r="102">
      <c r="A102" t="s" s="0">
        <v>77</v>
      </c>
      <c r="B102" t="s" s="0">
        <v>77</v>
      </c>
      <c r="C102" t="s" s="0">
        <v>78</v>
      </c>
      <c r="D102" t="s" s="0">
        <v>77</v>
      </c>
      <c r="E102" t="s" s="0">
        <v>2560</v>
      </c>
      <c r="F102" t="s" s="0">
        <v>2561</v>
      </c>
      <c r="G102" t="s" s="0">
        <v>2562</v>
      </c>
      <c r="H102" t="s" s="0">
        <v>82</v>
      </c>
      <c r="I102" t="s" s="0">
        <v>83</v>
      </c>
      <c r="J102" t="s" s="0">
        <v>2563</v>
      </c>
      <c r="K102" t="s" s="0">
        <v>2564</v>
      </c>
      <c r="L102" t="s" s="0">
        <v>2565</v>
      </c>
      <c r="M102" t="s" s="0">
        <v>2566</v>
      </c>
      <c r="N102" t="s" s="0">
        <v>2567</v>
      </c>
      <c r="O102" t="s" s="0">
        <v>2568</v>
      </c>
      <c r="P102" t="s" s="0">
        <v>2569</v>
      </c>
      <c r="Q102" t="s" s="0">
        <v>88</v>
      </c>
      <c r="R102" t="s" s="0">
        <v>82</v>
      </c>
      <c r="S102" t="s" s="0">
        <v>82</v>
      </c>
      <c r="T102" t="s" s="0">
        <v>82</v>
      </c>
      <c r="U102" t="s" s="0">
        <v>82</v>
      </c>
      <c r="V102" t="s" s="0">
        <v>2570</v>
      </c>
      <c r="W102" t="s" s="0">
        <v>169</v>
      </c>
      <c r="X102" t="s" s="0">
        <v>82</v>
      </c>
      <c r="Y102" t="s" s="0">
        <v>82</v>
      </c>
      <c r="Z102" t="s" s="0">
        <v>91</v>
      </c>
      <c r="AA102" t="s" s="0">
        <v>92</v>
      </c>
      <c r="AB102" t="s" s="0">
        <v>82</v>
      </c>
      <c r="AC102" t="s" s="0">
        <v>82</v>
      </c>
      <c r="AD102" t="s" s="0">
        <v>82</v>
      </c>
      <c r="AE102" t="s" s="0">
        <v>82</v>
      </c>
      <c r="AF102" t="s" s="0">
        <v>82</v>
      </c>
      <c r="AG102" t="s" s="0">
        <v>82</v>
      </c>
      <c r="AH102" t="s" s="0">
        <v>82</v>
      </c>
      <c r="AI102" t="s" s="0">
        <v>2571</v>
      </c>
      <c r="AJ102" t="s" s="0">
        <v>2572</v>
      </c>
      <c r="AK102" t="s" s="0">
        <v>82</v>
      </c>
      <c r="AL102" t="s" s="0">
        <v>1687</v>
      </c>
      <c r="AM102" t="s" s="0">
        <v>110</v>
      </c>
      <c r="AN102" t="s" s="0">
        <v>272</v>
      </c>
      <c r="AO102" t="s" s="0">
        <v>77</v>
      </c>
      <c r="AP102" t="s" s="0">
        <v>204</v>
      </c>
      <c r="AQ102" t="s" s="0">
        <v>172</v>
      </c>
      <c r="AR102" t="s" s="0">
        <v>173</v>
      </c>
      <c r="AS102" t="s" s="0">
        <v>174</v>
      </c>
      <c r="AT102" t="s" s="0">
        <v>175</v>
      </c>
      <c r="AU102" t="s" s="0">
        <v>82</v>
      </c>
      <c r="AV102" t="s" s="0">
        <v>82</v>
      </c>
      <c r="AW102" t="s" s="0">
        <v>176</v>
      </c>
      <c r="AX102" t="s" s="0">
        <v>177</v>
      </c>
      <c r="AY102" t="s" s="0">
        <v>1666</v>
      </c>
      <c r="AZ102" t="s" s="0">
        <v>108</v>
      </c>
      <c r="BA102" t="s" s="0">
        <v>272</v>
      </c>
      <c r="BB102" t="s" s="0">
        <v>78</v>
      </c>
      <c r="BC102" t="s" s="0">
        <v>82</v>
      </c>
      <c r="BD102" t="s" s="0">
        <v>82</v>
      </c>
      <c r="BE102" t="s" s="0">
        <v>82</v>
      </c>
      <c r="BF102" t="s" s="0">
        <v>82</v>
      </c>
      <c r="BG102" t="s" s="0">
        <v>82</v>
      </c>
      <c r="BH102" t="s" s="0">
        <v>82</v>
      </c>
      <c r="BI102" t="s" s="0">
        <v>2573</v>
      </c>
      <c r="BJ102" t="s" s="0">
        <v>2574</v>
      </c>
      <c r="BK102" t="s" s="201">
        <f>HYPERLINK("http://dx.doi.org/10.1038/s41746-025-02174-0","http://dx.doi.org/10.1038/s41746-025-02174-0")</f>
        <v>2575</v>
      </c>
      <c r="BL102" t="s" s="0">
        <v>82</v>
      </c>
      <c r="BM102" t="s" s="0">
        <v>82</v>
      </c>
      <c r="BN102" t="s" s="0">
        <v>1004</v>
      </c>
      <c r="BO102" t="s" s="0">
        <v>185</v>
      </c>
      <c r="BP102" t="s" s="0">
        <v>185</v>
      </c>
      <c r="BQ102" t="s" s="0">
        <v>2576</v>
      </c>
      <c r="BR102" t="s" s="0">
        <v>2577</v>
      </c>
      <c r="BS102" t="s" s="0">
        <v>2578</v>
      </c>
      <c r="BT102" t="s" s="202">
        <f>HYPERLINK("https://www.webofscience.com/wos/woscc/full-record/WOS:001651144600001","View Record in Web of Science")</f>
        <v>120</v>
      </c>
      <c r="BU102" t="s" s="0">
        <v>189</v>
      </c>
      <c r="BV102" t="s" s="0">
        <v>82</v>
      </c>
      <c r="BW102" t="s" s="0">
        <v>82</v>
      </c>
      <c r="BX102" t="s" s="0">
        <v>121</v>
      </c>
    </row>
    <row r="103">
      <c r="A103" t="s" s="0">
        <v>77</v>
      </c>
      <c r="B103" t="s" s="0">
        <v>77</v>
      </c>
      <c r="C103" t="s" s="0">
        <v>77</v>
      </c>
      <c r="D103" t="s" s="0">
        <v>77</v>
      </c>
      <c r="E103" t="s" s="0">
        <v>2579</v>
      </c>
      <c r="F103" t="s" s="0">
        <v>2580</v>
      </c>
      <c r="G103" t="s" s="0">
        <v>2581</v>
      </c>
      <c r="H103" t="s" s="0">
        <v>82</v>
      </c>
      <c r="I103" t="s" s="0">
        <v>83</v>
      </c>
      <c r="J103" t="s" s="0">
        <v>2582</v>
      </c>
      <c r="K103" t="s" s="0">
        <v>2583</v>
      </c>
      <c r="L103" t="s" s="0">
        <v>82</v>
      </c>
      <c r="M103" t="s" s="0">
        <v>82</v>
      </c>
      <c r="N103" t="s" s="0">
        <v>82</v>
      </c>
      <c r="O103" t="s" s="0">
        <v>2584</v>
      </c>
      <c r="P103" t="s" s="0">
        <v>2585</v>
      </c>
      <c r="Q103" t="s" s="0">
        <v>88</v>
      </c>
      <c r="R103" t="s" s="0">
        <v>82</v>
      </c>
      <c r="S103" t="s" s="0">
        <v>82</v>
      </c>
      <c r="T103" t="s" s="0">
        <v>82</v>
      </c>
      <c r="U103" t="s" s="0">
        <v>82</v>
      </c>
      <c r="V103" t="s" s="0">
        <v>2586</v>
      </c>
      <c r="W103" t="s" s="0">
        <v>201</v>
      </c>
      <c r="X103" t="s" s="0">
        <v>82</v>
      </c>
      <c r="Y103" t="s" s="0">
        <v>82</v>
      </c>
      <c r="Z103" t="s" s="0">
        <v>91</v>
      </c>
      <c r="AA103" t="s" s="0">
        <v>92</v>
      </c>
      <c r="AB103" t="s" s="0">
        <v>82</v>
      </c>
      <c r="AC103" t="s" s="0">
        <v>82</v>
      </c>
      <c r="AD103" t="s" s="0">
        <v>82</v>
      </c>
      <c r="AE103" t="s" s="0">
        <v>82</v>
      </c>
      <c r="AF103" t="s" s="0">
        <v>82</v>
      </c>
      <c r="AG103" t="s" s="0">
        <v>2587</v>
      </c>
      <c r="AH103" t="s" s="0">
        <v>2588</v>
      </c>
      <c r="AI103" t="s" s="0">
        <v>2589</v>
      </c>
      <c r="AJ103" t="s" s="0">
        <v>2590</v>
      </c>
      <c r="AK103" t="s" s="0">
        <v>82</v>
      </c>
      <c r="AL103" t="s" s="0">
        <v>417</v>
      </c>
      <c r="AM103" t="s" s="0">
        <v>99</v>
      </c>
      <c r="AN103" t="s" s="0">
        <v>99</v>
      </c>
      <c r="AO103" t="s" s="0">
        <v>77</v>
      </c>
      <c r="AP103" t="s" s="0">
        <v>78</v>
      </c>
      <c r="AQ103" t="s" s="0">
        <v>172</v>
      </c>
      <c r="AR103" t="s" s="0">
        <v>173</v>
      </c>
      <c r="AS103" t="s" s="0">
        <v>174</v>
      </c>
      <c r="AT103" t="s" s="0">
        <v>205</v>
      </c>
      <c r="AU103" t="s" s="0">
        <v>82</v>
      </c>
      <c r="AV103" t="s" s="0">
        <v>82</v>
      </c>
      <c r="AW103" t="s" s="0">
        <v>206</v>
      </c>
      <c r="AX103" t="s" s="0">
        <v>207</v>
      </c>
      <c r="AY103" t="s" s="0">
        <v>1666</v>
      </c>
      <c r="AZ103" t="s" s="0">
        <v>108</v>
      </c>
      <c r="BA103" t="s" s="0">
        <v>277</v>
      </c>
      <c r="BB103" t="s" s="0">
        <v>78</v>
      </c>
      <c r="BC103" t="s" s="0">
        <v>82</v>
      </c>
      <c r="BD103" t="s" s="0">
        <v>82</v>
      </c>
      <c r="BE103" t="s" s="0">
        <v>82</v>
      </c>
      <c r="BF103" t="s" s="0">
        <v>82</v>
      </c>
      <c r="BG103" t="s" s="0">
        <v>82</v>
      </c>
      <c r="BH103" t="s" s="0">
        <v>82</v>
      </c>
      <c r="BI103" t="s" s="0">
        <v>2591</v>
      </c>
      <c r="BJ103" t="s" s="0">
        <v>2592</v>
      </c>
      <c r="BK103" t="s" s="203">
        <f>HYPERLINK("http://dx.doi.org/10.1038/s41598-025-29566-2","http://dx.doi.org/10.1038/s41598-025-29566-2")</f>
        <v>2593</v>
      </c>
      <c r="BL103" t="s" s="0">
        <v>82</v>
      </c>
      <c r="BM103" t="s" s="0">
        <v>82</v>
      </c>
      <c r="BN103" t="s" s="0">
        <v>428</v>
      </c>
      <c r="BO103" t="s" s="0">
        <v>213</v>
      </c>
      <c r="BP103" t="s" s="0">
        <v>214</v>
      </c>
      <c r="BQ103" t="s" s="0">
        <v>2594</v>
      </c>
      <c r="BR103" t="s" s="0">
        <v>2595</v>
      </c>
      <c r="BS103" t="s" s="0">
        <v>2596</v>
      </c>
      <c r="BT103" t="s" s="204">
        <f>HYPERLINK("https://www.webofscience.com/wos/woscc/full-record/WOS:001651226700010","View Record in Web of Science")</f>
        <v>120</v>
      </c>
      <c r="BU103" t="s" s="0">
        <v>189</v>
      </c>
      <c r="BV103" t="s" s="0">
        <v>82</v>
      </c>
      <c r="BW103" t="s" s="0">
        <v>82</v>
      </c>
      <c r="BX103" t="s" s="0">
        <v>121</v>
      </c>
    </row>
    <row r="104">
      <c r="A104" t="s" s="0">
        <v>77</v>
      </c>
      <c r="B104" t="s" s="0">
        <v>77</v>
      </c>
      <c r="C104" t="s" s="0">
        <v>77</v>
      </c>
      <c r="D104" t="s" s="0">
        <v>77</v>
      </c>
      <c r="E104" t="s" s="0">
        <v>2597</v>
      </c>
      <c r="F104" t="s" s="0">
        <v>2598</v>
      </c>
      <c r="G104" t="s" s="0">
        <v>2599</v>
      </c>
      <c r="H104" t="s" s="0">
        <v>82</v>
      </c>
      <c r="I104" t="s" s="0">
        <v>83</v>
      </c>
      <c r="J104" t="s" s="0">
        <v>2600</v>
      </c>
      <c r="K104" t="s" s="0">
        <v>2601</v>
      </c>
      <c r="L104" t="s" s="0">
        <v>2602</v>
      </c>
      <c r="M104" t="s" s="0">
        <v>2603</v>
      </c>
      <c r="N104" t="s" s="0">
        <v>2604</v>
      </c>
      <c r="O104" t="s" s="0">
        <v>2605</v>
      </c>
      <c r="P104" t="s" s="0">
        <v>2606</v>
      </c>
      <c r="Q104" t="s" s="0">
        <v>88</v>
      </c>
      <c r="R104" t="s" s="0">
        <v>82</v>
      </c>
      <c r="S104" t="s" s="0">
        <v>82</v>
      </c>
      <c r="T104" t="s" s="0">
        <v>82</v>
      </c>
      <c r="U104" t="s" s="0">
        <v>82</v>
      </c>
      <c r="V104" t="s" s="0">
        <v>2607</v>
      </c>
      <c r="W104" t="s" s="0">
        <v>2608</v>
      </c>
      <c r="X104" t="s" s="0">
        <v>82</v>
      </c>
      <c r="Y104" t="s" s="0">
        <v>82</v>
      </c>
      <c r="Z104" t="s" s="0">
        <v>91</v>
      </c>
      <c r="AA104" t="s" s="0">
        <v>92</v>
      </c>
      <c r="AB104" t="s" s="0">
        <v>82</v>
      </c>
      <c r="AC104" t="s" s="0">
        <v>82</v>
      </c>
      <c r="AD104" t="s" s="0">
        <v>82</v>
      </c>
      <c r="AE104" t="s" s="0">
        <v>82</v>
      </c>
      <c r="AF104" t="s" s="0">
        <v>82</v>
      </c>
      <c r="AG104" t="s" s="0">
        <v>2609</v>
      </c>
      <c r="AH104" t="s" s="0">
        <v>82</v>
      </c>
      <c r="AI104" t="s" s="0">
        <v>82</v>
      </c>
      <c r="AJ104" t="s" s="0">
        <v>82</v>
      </c>
      <c r="AK104" t="s" s="0">
        <v>82</v>
      </c>
      <c r="AL104" t="s" s="0">
        <v>171</v>
      </c>
      <c r="AM104" t="s" s="0">
        <v>77</v>
      </c>
      <c r="AN104" t="s" s="0">
        <v>77</v>
      </c>
      <c r="AO104" t="s" s="0">
        <v>77</v>
      </c>
      <c r="AP104" t="s" s="0">
        <v>77</v>
      </c>
      <c r="AQ104" t="s" s="0">
        <v>964</v>
      </c>
      <c r="AR104" t="s" s="0">
        <v>965</v>
      </c>
      <c r="AS104" t="s" s="0">
        <v>966</v>
      </c>
      <c r="AT104" t="s" s="0">
        <v>2610</v>
      </c>
      <c r="AU104" t="s" s="0">
        <v>2611</v>
      </c>
      <c r="AV104" t="s" s="0">
        <v>82</v>
      </c>
      <c r="AW104" t="s" s="0">
        <v>2608</v>
      </c>
      <c r="AX104" t="s" s="0">
        <v>2612</v>
      </c>
      <c r="AY104" t="s" s="0">
        <v>1865</v>
      </c>
      <c r="AZ104" t="s" s="0">
        <v>1866</v>
      </c>
      <c r="BA104" t="s" s="0">
        <v>2613</v>
      </c>
      <c r="BB104" t="s" s="0">
        <v>82</v>
      </c>
      <c r="BC104" t="s" s="0">
        <v>82</v>
      </c>
      <c r="BD104" t="s" s="0">
        <v>512</v>
      </c>
      <c r="BE104" t="s" s="0">
        <v>82</v>
      </c>
      <c r="BF104" t="s" s="0">
        <v>82</v>
      </c>
      <c r="BG104" t="s" s="0">
        <v>82</v>
      </c>
      <c r="BH104" t="s" s="0">
        <v>82</v>
      </c>
      <c r="BI104" t="s" s="0">
        <v>2614</v>
      </c>
      <c r="BJ104" t="s" s="0">
        <v>2615</v>
      </c>
      <c r="BK104" t="s" s="205">
        <f>HYPERLINK("http://dx.doi.org/10.1016/j.neunet.2026.109438","http://dx.doi.org/10.1016/j.neunet.2026.109438")</f>
        <v>2616</v>
      </c>
      <c r="BL104" t="s" s="0">
        <v>82</v>
      </c>
      <c r="BM104" t="s" s="0">
        <v>82</v>
      </c>
      <c r="BN104" t="s" s="0">
        <v>428</v>
      </c>
      <c r="BO104" t="s" s="0">
        <v>2617</v>
      </c>
      <c r="BP104" t="s" s="0">
        <v>2618</v>
      </c>
      <c r="BQ104" t="s" s="0">
        <v>2619</v>
      </c>
      <c r="BR104" t="s" s="0">
        <v>2620</v>
      </c>
      <c r="BS104" t="s" s="0">
        <v>2621</v>
      </c>
      <c r="BT104" t="s" s="206">
        <f>HYPERLINK("https://www.webofscience.com/wos/woscc/full-record/WOS:001847452200001","View Record in Web of Science")</f>
        <v>120</v>
      </c>
      <c r="BU104" t="s" s="0">
        <v>809</v>
      </c>
      <c r="BV104" t="s" s="0">
        <v>82</v>
      </c>
      <c r="BW104" t="s" s="0">
        <v>82</v>
      </c>
      <c r="BX104" t="s" s="0">
        <v>121</v>
      </c>
    </row>
    <row r="105">
      <c r="A105" t="s" s="0">
        <v>77</v>
      </c>
      <c r="B105" t="s" s="0">
        <v>77</v>
      </c>
      <c r="C105" t="s" s="0">
        <v>77</v>
      </c>
      <c r="D105" t="s" s="0">
        <v>77</v>
      </c>
      <c r="E105" t="s" s="0">
        <v>2622</v>
      </c>
      <c r="F105" t="s" s="0">
        <v>2623</v>
      </c>
      <c r="G105" t="s" s="0">
        <v>2624</v>
      </c>
      <c r="H105" t="s" s="0">
        <v>82</v>
      </c>
      <c r="I105" t="s" s="0">
        <v>83</v>
      </c>
      <c r="J105" t="s" s="0">
        <v>2625</v>
      </c>
      <c r="K105" t="s" s="0">
        <v>2626</v>
      </c>
      <c r="L105" t="s" s="0">
        <v>2627</v>
      </c>
      <c r="M105" t="s" s="0">
        <v>2628</v>
      </c>
      <c r="N105" t="s" s="0">
        <v>2629</v>
      </c>
      <c r="O105" t="s" s="0">
        <v>2630</v>
      </c>
      <c r="P105" t="s" s="0">
        <v>2631</v>
      </c>
      <c r="Q105" t="s" s="0">
        <v>88</v>
      </c>
      <c r="R105" t="s" s="0">
        <v>82</v>
      </c>
      <c r="S105" t="s" s="0">
        <v>82</v>
      </c>
      <c r="T105" t="s" s="0">
        <v>82</v>
      </c>
      <c r="U105" t="s" s="0">
        <v>82</v>
      </c>
      <c r="V105" t="s" s="0">
        <v>2632</v>
      </c>
      <c r="W105" t="s" s="0">
        <v>169</v>
      </c>
      <c r="X105" t="s" s="0">
        <v>82</v>
      </c>
      <c r="Y105" t="s" s="0">
        <v>82</v>
      </c>
      <c r="Z105" t="s" s="0">
        <v>91</v>
      </c>
      <c r="AA105" t="s" s="0">
        <v>92</v>
      </c>
      <c r="AB105" t="s" s="0">
        <v>82</v>
      </c>
      <c r="AC105" t="s" s="0">
        <v>82</v>
      </c>
      <c r="AD105" t="s" s="0">
        <v>82</v>
      </c>
      <c r="AE105" t="s" s="0">
        <v>82</v>
      </c>
      <c r="AF105" t="s" s="0">
        <v>82</v>
      </c>
      <c r="AG105" t="s" s="0">
        <v>82</v>
      </c>
      <c r="AH105" t="s" s="0">
        <v>2633</v>
      </c>
      <c r="AI105" t="s" s="0">
        <v>2634</v>
      </c>
      <c r="AJ105" t="s" s="0">
        <v>2635</v>
      </c>
      <c r="AK105" t="s" s="0">
        <v>82</v>
      </c>
      <c r="AL105" t="s" s="0">
        <v>850</v>
      </c>
      <c r="AM105" t="s" s="0">
        <v>78</v>
      </c>
      <c r="AN105" t="s" s="0">
        <v>204</v>
      </c>
      <c r="AO105" t="s" s="0">
        <v>110</v>
      </c>
      <c r="AP105" t="s" s="0">
        <v>307</v>
      </c>
      <c r="AQ105" t="s" s="0">
        <v>172</v>
      </c>
      <c r="AR105" t="s" s="0">
        <v>173</v>
      </c>
      <c r="AS105" t="s" s="0">
        <v>174</v>
      </c>
      <c r="AT105" t="s" s="0">
        <v>175</v>
      </c>
      <c r="AU105" t="s" s="0">
        <v>82</v>
      </c>
      <c r="AV105" t="s" s="0">
        <v>82</v>
      </c>
      <c r="AW105" t="s" s="0">
        <v>176</v>
      </c>
      <c r="AX105" t="s" s="0">
        <v>177</v>
      </c>
      <c r="AY105" t="s" s="0">
        <v>2636</v>
      </c>
      <c r="AZ105" t="s" s="0">
        <v>108</v>
      </c>
      <c r="BA105" t="s" s="0">
        <v>272</v>
      </c>
      <c r="BB105" t="s" s="0">
        <v>78</v>
      </c>
      <c r="BC105" t="s" s="0">
        <v>82</v>
      </c>
      <c r="BD105" t="s" s="0">
        <v>82</v>
      </c>
      <c r="BE105" t="s" s="0">
        <v>82</v>
      </c>
      <c r="BF105" t="s" s="0">
        <v>82</v>
      </c>
      <c r="BG105" t="s" s="0">
        <v>82</v>
      </c>
      <c r="BH105" t="s" s="0">
        <v>82</v>
      </c>
      <c r="BI105" t="s" s="0">
        <v>2637</v>
      </c>
      <c r="BJ105" t="s" s="0">
        <v>2638</v>
      </c>
      <c r="BK105" t="s" s="207">
        <f>HYPERLINK("http://dx.doi.org/10.1038/s41746-025-02044-9","http://dx.doi.org/10.1038/s41746-025-02044-9")</f>
        <v>2639</v>
      </c>
      <c r="BL105" t="s" s="0">
        <v>82</v>
      </c>
      <c r="BM105" t="s" s="0">
        <v>82</v>
      </c>
      <c r="BN105" t="s" s="0">
        <v>307</v>
      </c>
      <c r="BO105" t="s" s="0">
        <v>185</v>
      </c>
      <c r="BP105" t="s" s="0">
        <v>185</v>
      </c>
      <c r="BQ105" t="s" s="0">
        <v>2640</v>
      </c>
      <c r="BR105" t="s" s="0">
        <v>2641</v>
      </c>
      <c r="BS105" t="s" s="0">
        <v>2642</v>
      </c>
      <c r="BT105" t="s" s="208">
        <f>HYPERLINK("https://www.webofscience.com/wos/woscc/full-record/WOS:001620479800004","View Record in Web of Science")</f>
        <v>120</v>
      </c>
      <c r="BU105" t="s" s="0">
        <v>189</v>
      </c>
      <c r="BV105" t="s" s="0">
        <v>82</v>
      </c>
      <c r="BW105" t="s" s="0">
        <v>82</v>
      </c>
      <c r="BX105" t="s" s="0">
        <v>121</v>
      </c>
    </row>
    <row r="106">
      <c r="A106" t="s" s="0">
        <v>77</v>
      </c>
      <c r="B106" t="s" s="0">
        <v>77</v>
      </c>
      <c r="C106" t="s" s="0">
        <v>77</v>
      </c>
      <c r="D106" t="s" s="0">
        <v>77</v>
      </c>
      <c r="E106" t="s" s="0">
        <v>2643</v>
      </c>
      <c r="F106" t="s" s="0">
        <v>2644</v>
      </c>
      <c r="G106" t="s" s="0">
        <v>2645</v>
      </c>
      <c r="H106" t="s" s="0">
        <v>82</v>
      </c>
      <c r="I106" t="s" s="0">
        <v>83</v>
      </c>
      <c r="J106" t="s" s="0">
        <v>2646</v>
      </c>
      <c r="K106" t="s" s="0">
        <v>2647</v>
      </c>
      <c r="L106" t="s" s="0">
        <v>2648</v>
      </c>
      <c r="M106" t="s" s="0">
        <v>224</v>
      </c>
      <c r="N106" t="s" s="0">
        <v>2649</v>
      </c>
      <c r="O106" t="s" s="0">
        <v>2650</v>
      </c>
      <c r="P106" t="s" s="0">
        <v>2651</v>
      </c>
      <c r="Q106" t="s" s="0">
        <v>88</v>
      </c>
      <c r="R106" t="s" s="0">
        <v>82</v>
      </c>
      <c r="S106" t="s" s="0">
        <v>82</v>
      </c>
      <c r="T106" t="s" s="0">
        <v>82</v>
      </c>
      <c r="U106" t="s" s="0">
        <v>82</v>
      </c>
      <c r="V106" t="s" s="0">
        <v>2652</v>
      </c>
      <c r="W106" t="s" s="0">
        <v>133</v>
      </c>
      <c r="X106" t="s" s="0">
        <v>82</v>
      </c>
      <c r="Y106" t="s" s="0">
        <v>82</v>
      </c>
      <c r="Z106" t="s" s="0">
        <v>91</v>
      </c>
      <c r="AA106" t="s" s="0">
        <v>92</v>
      </c>
      <c r="AB106" t="s" s="0">
        <v>82</v>
      </c>
      <c r="AC106" t="s" s="0">
        <v>82</v>
      </c>
      <c r="AD106" t="s" s="0">
        <v>82</v>
      </c>
      <c r="AE106" t="s" s="0">
        <v>82</v>
      </c>
      <c r="AF106" t="s" s="0">
        <v>82</v>
      </c>
      <c r="AG106" t="s" s="0">
        <v>2653</v>
      </c>
      <c r="AH106" t="s" s="0">
        <v>2654</v>
      </c>
      <c r="AI106" t="s" s="0">
        <v>2655</v>
      </c>
      <c r="AJ106" t="s" s="0">
        <v>82</v>
      </c>
      <c r="AK106" t="s" s="0">
        <v>82</v>
      </c>
      <c r="AL106" t="s" s="0">
        <v>850</v>
      </c>
      <c r="AM106" t="s" s="0">
        <v>204</v>
      </c>
      <c r="AN106" t="s" s="0">
        <v>204</v>
      </c>
      <c r="AO106" t="s" s="0">
        <v>78</v>
      </c>
      <c r="AP106" t="s" s="0">
        <v>307</v>
      </c>
      <c r="AQ106" t="s" s="0">
        <v>100</v>
      </c>
      <c r="AR106" t="s" s="0">
        <v>101</v>
      </c>
      <c r="AS106" t="s" s="0">
        <v>102</v>
      </c>
      <c r="AT106" t="s" s="0">
        <v>141</v>
      </c>
      <c r="AU106" t="s" s="0">
        <v>142</v>
      </c>
      <c r="AV106" t="s" s="0">
        <v>82</v>
      </c>
      <c r="AW106" t="s" s="0">
        <v>143</v>
      </c>
      <c r="AX106" t="s" s="0">
        <v>144</v>
      </c>
      <c r="AY106" t="s" s="0">
        <v>448</v>
      </c>
      <c r="AZ106" t="s" s="0">
        <v>108</v>
      </c>
      <c r="BA106" t="s" s="0">
        <v>449</v>
      </c>
      <c r="BB106" t="s" s="0">
        <v>363</v>
      </c>
      <c r="BC106" t="s" s="0">
        <v>82</v>
      </c>
      <c r="BD106" t="s" s="0">
        <v>82</v>
      </c>
      <c r="BE106" t="s" s="0">
        <v>82</v>
      </c>
      <c r="BF106" t="s" s="0">
        <v>82</v>
      </c>
      <c r="BG106" t="s" s="0">
        <v>2656</v>
      </c>
      <c r="BH106" t="s" s="0">
        <v>2657</v>
      </c>
      <c r="BI106" t="s" s="0">
        <v>82</v>
      </c>
      <c r="BJ106" t="s" s="0">
        <v>2658</v>
      </c>
      <c r="BK106" t="s" s="209">
        <f>HYPERLINK("http://dx.doi.org/10.1109/TMI.2025.3595111","http://dx.doi.org/10.1109/TMI.2025.3595111")</f>
        <v>2659</v>
      </c>
      <c r="BL106" t="s" s="0">
        <v>82</v>
      </c>
      <c r="BM106" t="s" s="0">
        <v>82</v>
      </c>
      <c r="BN106" t="s" s="0">
        <v>109</v>
      </c>
      <c r="BO106" t="s" s="0">
        <v>153</v>
      </c>
      <c r="BP106" t="s" s="0">
        <v>154</v>
      </c>
      <c r="BQ106" t="s" s="0">
        <v>454</v>
      </c>
      <c r="BR106" t="s" s="0">
        <v>2660</v>
      </c>
      <c r="BS106" t="s" s="0">
        <v>2661</v>
      </c>
      <c r="BT106" t="s" s="210">
        <f>HYPERLINK("https://www.webofscience.com/wos/woscc/full-record/WOS:001606201000012","View Record in Web of Science")</f>
        <v>120</v>
      </c>
      <c r="BU106" t="s" s="0">
        <v>82</v>
      </c>
      <c r="BV106" t="s" s="0">
        <v>82</v>
      </c>
      <c r="BW106" t="s" s="0">
        <v>82</v>
      </c>
      <c r="BX106" t="s" s="0">
        <v>121</v>
      </c>
    </row>
    <row r="107">
      <c r="A107" t="s" s="0">
        <v>77</v>
      </c>
      <c r="B107" t="s" s="0">
        <v>77</v>
      </c>
      <c r="C107" t="s" s="0">
        <v>110</v>
      </c>
      <c r="D107" t="s" s="0">
        <v>77</v>
      </c>
      <c r="E107" t="s" s="0">
        <v>2662</v>
      </c>
      <c r="F107" t="s" s="0">
        <v>2663</v>
      </c>
      <c r="G107" t="s" s="0">
        <v>2664</v>
      </c>
      <c r="H107" t="s" s="0">
        <v>82</v>
      </c>
      <c r="I107" t="s" s="0">
        <v>83</v>
      </c>
      <c r="J107" t="s" s="0">
        <v>2665</v>
      </c>
      <c r="K107" t="s" s="0">
        <v>2666</v>
      </c>
      <c r="L107" t="s" s="0">
        <v>2667</v>
      </c>
      <c r="M107" t="s" s="0">
        <v>2668</v>
      </c>
      <c r="N107" t="s" s="0">
        <v>2669</v>
      </c>
      <c r="O107" t="s" s="0">
        <v>2670</v>
      </c>
      <c r="P107" t="s" s="0">
        <v>2671</v>
      </c>
      <c r="Q107" t="s" s="0">
        <v>88</v>
      </c>
      <c r="R107" t="s" s="0">
        <v>82</v>
      </c>
      <c r="S107" t="s" s="0">
        <v>82</v>
      </c>
      <c r="T107" t="s" s="0">
        <v>82</v>
      </c>
      <c r="U107" t="s" s="0">
        <v>82</v>
      </c>
      <c r="V107" t="s" s="0">
        <v>2672</v>
      </c>
      <c r="W107" t="s" s="0">
        <v>1592</v>
      </c>
      <c r="X107" t="s" s="0">
        <v>82</v>
      </c>
      <c r="Y107" t="s" s="0">
        <v>82</v>
      </c>
      <c r="Z107" t="s" s="0">
        <v>91</v>
      </c>
      <c r="AA107" t="s" s="0">
        <v>92</v>
      </c>
      <c r="AB107" t="s" s="0">
        <v>82</v>
      </c>
      <c r="AC107" t="s" s="0">
        <v>82</v>
      </c>
      <c r="AD107" t="s" s="0">
        <v>82</v>
      </c>
      <c r="AE107" t="s" s="0">
        <v>82</v>
      </c>
      <c r="AF107" t="s" s="0">
        <v>82</v>
      </c>
      <c r="AG107" t="s" s="0">
        <v>82</v>
      </c>
      <c r="AH107" t="s" s="0">
        <v>2673</v>
      </c>
      <c r="AI107" t="s" s="0">
        <v>2674</v>
      </c>
      <c r="AJ107" t="s" s="0">
        <v>2675</v>
      </c>
      <c r="AK107" t="s" s="0">
        <v>82</v>
      </c>
      <c r="AL107" t="s" s="0">
        <v>1665</v>
      </c>
      <c r="AM107" t="s" s="0">
        <v>963</v>
      </c>
      <c r="AN107" t="s" s="0">
        <v>892</v>
      </c>
      <c r="AO107" t="s" s="0">
        <v>235</v>
      </c>
      <c r="AP107" t="s" s="0">
        <v>1505</v>
      </c>
      <c r="AQ107" t="s" s="0">
        <v>172</v>
      </c>
      <c r="AR107" t="s" s="0">
        <v>173</v>
      </c>
      <c r="AS107" t="s" s="0">
        <v>174</v>
      </c>
      <c r="AT107" t="s" s="0">
        <v>82</v>
      </c>
      <c r="AU107" t="s" s="0">
        <v>1595</v>
      </c>
      <c r="AV107" t="s" s="0">
        <v>82</v>
      </c>
      <c r="AW107" t="s" s="0">
        <v>1596</v>
      </c>
      <c r="AX107" t="s" s="0">
        <v>1597</v>
      </c>
      <c r="AY107" t="s" s="0">
        <v>534</v>
      </c>
      <c r="AZ107" t="s" s="0">
        <v>108</v>
      </c>
      <c r="BA107" t="s" s="0">
        <v>209</v>
      </c>
      <c r="BB107" t="s" s="0">
        <v>78</v>
      </c>
      <c r="BC107" t="s" s="0">
        <v>82</v>
      </c>
      <c r="BD107" t="s" s="0">
        <v>82</v>
      </c>
      <c r="BE107" t="s" s="0">
        <v>82</v>
      </c>
      <c r="BF107" t="s" s="0">
        <v>82</v>
      </c>
      <c r="BG107" t="s" s="0">
        <v>82</v>
      </c>
      <c r="BH107" t="s" s="0">
        <v>82</v>
      </c>
      <c r="BI107" t="s" s="0">
        <v>2676</v>
      </c>
      <c r="BJ107" t="s" s="0">
        <v>2677</v>
      </c>
      <c r="BK107" t="s" s="211">
        <f>HYPERLINK("http://dx.doi.org/10.1038/s41467-025-60577-9","http://dx.doi.org/10.1038/s41467-025-60577-9")</f>
        <v>2678</v>
      </c>
      <c r="BL107" t="s" s="0">
        <v>82</v>
      </c>
      <c r="BM107" t="s" s="0">
        <v>82</v>
      </c>
      <c r="BN107" t="s" s="0">
        <v>428</v>
      </c>
      <c r="BO107" t="s" s="0">
        <v>213</v>
      </c>
      <c r="BP107" t="s" s="0">
        <v>214</v>
      </c>
      <c r="BQ107" t="s" s="0">
        <v>2679</v>
      </c>
      <c r="BR107" t="s" s="0">
        <v>2680</v>
      </c>
      <c r="BS107" t="s" s="0">
        <v>2681</v>
      </c>
      <c r="BT107" t="s" s="212">
        <f>HYPERLINK("https://www.webofscience.com/wos/woscc/full-record/WOS:001523450300007","View Record in Web of Science")</f>
        <v>120</v>
      </c>
      <c r="BU107" t="s" s="0">
        <v>189</v>
      </c>
      <c r="BV107" t="s" s="0">
        <v>82</v>
      </c>
      <c r="BW107" t="s" s="0">
        <v>82</v>
      </c>
      <c r="BX107" t="s" s="0">
        <v>121</v>
      </c>
    </row>
    <row r="108">
      <c r="A108" t="s" s="0">
        <v>77</v>
      </c>
      <c r="B108" t="s" s="0">
        <v>77</v>
      </c>
      <c r="C108" t="s" s="0">
        <v>77</v>
      </c>
      <c r="D108" t="s" s="0">
        <v>77</v>
      </c>
      <c r="E108" t="s" s="0">
        <v>2682</v>
      </c>
      <c r="F108" t="s" s="0">
        <v>2683</v>
      </c>
      <c r="G108" t="s" s="0">
        <v>2684</v>
      </c>
      <c r="H108" t="s" s="0">
        <v>82</v>
      </c>
      <c r="I108" t="s" s="0">
        <v>83</v>
      </c>
      <c r="J108" t="s" s="0">
        <v>2685</v>
      </c>
      <c r="K108" t="s" s="0">
        <v>2686</v>
      </c>
      <c r="L108" t="s" s="0">
        <v>2687</v>
      </c>
      <c r="M108" t="s" s="0">
        <v>2687</v>
      </c>
      <c r="N108" t="s" s="0">
        <v>2688</v>
      </c>
      <c r="O108" t="s" s="0">
        <v>2689</v>
      </c>
      <c r="P108" t="s" s="0">
        <v>2690</v>
      </c>
      <c r="Q108" t="s" s="0">
        <v>88</v>
      </c>
      <c r="R108" t="s" s="0">
        <v>82</v>
      </c>
      <c r="S108" t="s" s="0">
        <v>82</v>
      </c>
      <c r="T108" t="s" s="0">
        <v>82</v>
      </c>
      <c r="U108" t="s" s="0">
        <v>82</v>
      </c>
      <c r="V108" t="s" s="0">
        <v>2691</v>
      </c>
      <c r="W108" t="s" s="0">
        <v>960</v>
      </c>
      <c r="X108" t="s" s="0">
        <v>82</v>
      </c>
      <c r="Y108" t="s" s="0">
        <v>82</v>
      </c>
      <c r="Z108" t="s" s="0">
        <v>91</v>
      </c>
      <c r="AA108" t="s" s="0">
        <v>92</v>
      </c>
      <c r="AB108" t="s" s="0">
        <v>82</v>
      </c>
      <c r="AC108" t="s" s="0">
        <v>82</v>
      </c>
      <c r="AD108" t="s" s="0">
        <v>82</v>
      </c>
      <c r="AE108" t="s" s="0">
        <v>82</v>
      </c>
      <c r="AF108" t="s" s="0">
        <v>82</v>
      </c>
      <c r="AG108" t="s" s="0">
        <v>2692</v>
      </c>
      <c r="AH108" t="s" s="0">
        <v>2693</v>
      </c>
      <c r="AI108" t="s" s="0">
        <v>2694</v>
      </c>
      <c r="AJ108" t="s" s="0">
        <v>2695</v>
      </c>
      <c r="AK108" t="s" s="0">
        <v>82</v>
      </c>
      <c r="AL108" t="s" s="0">
        <v>140</v>
      </c>
      <c r="AM108" t="s" s="0">
        <v>78</v>
      </c>
      <c r="AN108" t="s" s="0">
        <v>78</v>
      </c>
      <c r="AO108" t="s" s="0">
        <v>235</v>
      </c>
      <c r="AP108" t="s" s="0">
        <v>110</v>
      </c>
      <c r="AQ108" t="s" s="0">
        <v>964</v>
      </c>
      <c r="AR108" t="s" s="0">
        <v>965</v>
      </c>
      <c r="AS108" t="s" s="0">
        <v>966</v>
      </c>
      <c r="AT108" t="s" s="0">
        <v>967</v>
      </c>
      <c r="AU108" t="s" s="0">
        <v>968</v>
      </c>
      <c r="AV108" t="s" s="0">
        <v>82</v>
      </c>
      <c r="AW108" t="s" s="0">
        <v>969</v>
      </c>
      <c r="AX108" t="s" s="0">
        <v>970</v>
      </c>
      <c r="AY108" t="s" s="0">
        <v>2696</v>
      </c>
      <c r="AZ108" t="s" s="0">
        <v>179</v>
      </c>
      <c r="BA108" t="s" s="0">
        <v>2089</v>
      </c>
      <c r="BB108" t="s" s="0">
        <v>82</v>
      </c>
      <c r="BC108" t="s" s="0">
        <v>82</v>
      </c>
      <c r="BD108" t="s" s="0">
        <v>2697</v>
      </c>
      <c r="BE108" t="s" s="0">
        <v>82</v>
      </c>
      <c r="BF108" t="s" s="0">
        <v>82</v>
      </c>
      <c r="BG108" t="s" s="0">
        <v>82</v>
      </c>
      <c r="BH108" t="s" s="0">
        <v>82</v>
      </c>
      <c r="BI108" t="s" s="0">
        <v>2698</v>
      </c>
      <c r="BJ108" t="s" s="0">
        <v>2699</v>
      </c>
      <c r="BK108" t="s" s="213">
        <f>HYPERLINK("http://dx.doi.org/10.1016/j.eswa.2025.130196","http://dx.doi.org/10.1016/j.eswa.2025.130196")</f>
        <v>2700</v>
      </c>
      <c r="BL108" t="s" s="0">
        <v>82</v>
      </c>
      <c r="BM108" t="s" s="0">
        <v>634</v>
      </c>
      <c r="BN108" t="s" s="0">
        <v>277</v>
      </c>
      <c r="BO108" t="s" s="0">
        <v>977</v>
      </c>
      <c r="BP108" t="s" s="0">
        <v>978</v>
      </c>
      <c r="BQ108" t="s" s="0">
        <v>2701</v>
      </c>
      <c r="BR108" t="s" s="0">
        <v>82</v>
      </c>
      <c r="BS108" t="s" s="0">
        <v>2702</v>
      </c>
      <c r="BT108" t="s" s="214">
        <f>HYPERLINK("https://www.webofscience.com/wos/woscc/full-record/WOS:001619158900006","View Record in Web of Science")</f>
        <v>120</v>
      </c>
      <c r="BU108" t="s" s="0">
        <v>1972</v>
      </c>
      <c r="BV108" t="s" s="0">
        <v>82</v>
      </c>
      <c r="BW108" t="s" s="0">
        <v>82</v>
      </c>
      <c r="BX108" t="s" s="0">
        <v>121</v>
      </c>
    </row>
    <row r="109">
      <c r="A109" t="s" s="0">
        <v>77</v>
      </c>
      <c r="B109" t="s" s="0">
        <v>77</v>
      </c>
      <c r="C109" t="s" s="0">
        <v>77</v>
      </c>
      <c r="D109" t="s" s="0">
        <v>77</v>
      </c>
      <c r="E109" t="s" s="0">
        <v>2703</v>
      </c>
      <c r="F109" t="s" s="0">
        <v>2704</v>
      </c>
      <c r="G109" t="s" s="0">
        <v>2705</v>
      </c>
      <c r="H109" t="s" s="0">
        <v>82</v>
      </c>
      <c r="I109" t="s" s="0">
        <v>83</v>
      </c>
      <c r="J109" t="s" s="0">
        <v>2706</v>
      </c>
      <c r="K109" t="s" s="0">
        <v>2707</v>
      </c>
      <c r="L109" t="s" s="0">
        <v>2708</v>
      </c>
      <c r="M109" t="s" s="0">
        <v>2709</v>
      </c>
      <c r="N109" t="s" s="0">
        <v>2710</v>
      </c>
      <c r="O109" t="s" s="0">
        <v>2711</v>
      </c>
      <c r="P109" t="s" s="0">
        <v>2712</v>
      </c>
      <c r="Q109" t="s" s="0">
        <v>88</v>
      </c>
      <c r="R109" t="s" s="0">
        <v>82</v>
      </c>
      <c r="S109" t="s" s="0">
        <v>82</v>
      </c>
      <c r="T109" t="s" s="0">
        <v>82</v>
      </c>
      <c r="U109" t="s" s="0">
        <v>82</v>
      </c>
      <c r="V109" t="s" s="0">
        <v>2713</v>
      </c>
      <c r="W109" t="s" s="0">
        <v>2714</v>
      </c>
      <c r="X109" t="s" s="0">
        <v>82</v>
      </c>
      <c r="Y109" t="s" s="0">
        <v>82</v>
      </c>
      <c r="Z109" t="s" s="0">
        <v>91</v>
      </c>
      <c r="AA109" t="s" s="0">
        <v>92</v>
      </c>
      <c r="AB109" t="s" s="0">
        <v>82</v>
      </c>
      <c r="AC109" t="s" s="0">
        <v>82</v>
      </c>
      <c r="AD109" t="s" s="0">
        <v>82</v>
      </c>
      <c r="AE109" t="s" s="0">
        <v>82</v>
      </c>
      <c r="AF109" t="s" s="0">
        <v>82</v>
      </c>
      <c r="AG109" t="s" s="0">
        <v>2715</v>
      </c>
      <c r="AH109" t="s" s="0">
        <v>2716</v>
      </c>
      <c r="AI109" t="s" s="0">
        <v>82</v>
      </c>
      <c r="AJ109" t="s" s="0">
        <v>2717</v>
      </c>
      <c r="AK109" t="s" s="0">
        <v>82</v>
      </c>
      <c r="AL109" t="s" s="0">
        <v>331</v>
      </c>
      <c r="AM109" t="s" s="0">
        <v>78</v>
      </c>
      <c r="AN109" t="s" s="0">
        <v>78</v>
      </c>
      <c r="AO109" t="s" s="0">
        <v>110</v>
      </c>
      <c r="AP109" t="s" s="0">
        <v>148</v>
      </c>
      <c r="AQ109" t="s" s="0">
        <v>2718</v>
      </c>
      <c r="AR109" t="s" s="0">
        <v>2719</v>
      </c>
      <c r="AS109" t="s" s="0">
        <v>2720</v>
      </c>
      <c r="AT109" t="s" s="0">
        <v>2721</v>
      </c>
      <c r="AU109" t="s" s="0">
        <v>2722</v>
      </c>
      <c r="AV109" t="s" s="0">
        <v>82</v>
      </c>
      <c r="AW109" t="s" s="0">
        <v>2723</v>
      </c>
      <c r="AX109" t="s" s="0">
        <v>2724</v>
      </c>
      <c r="AY109" t="s" s="0">
        <v>2725</v>
      </c>
      <c r="AZ109" t="s" s="0">
        <v>108</v>
      </c>
      <c r="BA109" t="s" s="0">
        <v>416</v>
      </c>
      <c r="BB109" t="s" s="0">
        <v>99</v>
      </c>
      <c r="BC109" t="s" s="0">
        <v>82</v>
      </c>
      <c r="BD109" t="s" s="0">
        <v>82</v>
      </c>
      <c r="BE109" t="s" s="0">
        <v>82</v>
      </c>
      <c r="BF109" t="s" s="0">
        <v>82</v>
      </c>
      <c r="BG109" t="s" s="0">
        <v>82</v>
      </c>
      <c r="BH109" t="s" s="0">
        <v>82</v>
      </c>
      <c r="BI109" t="s" s="0">
        <v>2726</v>
      </c>
      <c r="BJ109" t="s" s="0">
        <v>2727</v>
      </c>
      <c r="BK109" t="s" s="215">
        <f>HYPERLINK("http://dx.doi.org/10.24425/bpasts.2025.153838","http://dx.doi.org/10.24425/bpasts.2025.153838")</f>
        <v>2728</v>
      </c>
      <c r="BL109" t="s" s="0">
        <v>82</v>
      </c>
      <c r="BM109" t="s" s="0">
        <v>82</v>
      </c>
      <c r="BN109" t="s" s="0">
        <v>272</v>
      </c>
      <c r="BO109" t="s" s="0">
        <v>590</v>
      </c>
      <c r="BP109" t="s" s="0">
        <v>247</v>
      </c>
      <c r="BQ109" t="s" s="0">
        <v>2729</v>
      </c>
      <c r="BR109" t="s" s="0">
        <v>82</v>
      </c>
      <c r="BS109" t="s" s="0">
        <v>2730</v>
      </c>
      <c r="BT109" t="s" s="216">
        <f>HYPERLINK("https://www.webofscience.com/wos/woscc/full-record/WOS:001515607500020","View Record in Web of Science")</f>
        <v>120</v>
      </c>
      <c r="BU109" t="s" s="0">
        <v>335</v>
      </c>
      <c r="BV109" t="s" s="0">
        <v>82</v>
      </c>
      <c r="BW109" t="s" s="0">
        <v>82</v>
      </c>
      <c r="BX109" t="s" s="0">
        <v>121</v>
      </c>
    </row>
    <row r="110">
      <c r="A110" t="s" s="0">
        <v>77</v>
      </c>
      <c r="B110" t="s" s="0">
        <v>77</v>
      </c>
      <c r="C110" t="s" s="0">
        <v>77</v>
      </c>
      <c r="D110" t="s" s="0">
        <v>77</v>
      </c>
      <c r="E110" t="s" s="0">
        <v>2731</v>
      </c>
      <c r="F110" t="s" s="0">
        <v>2732</v>
      </c>
      <c r="G110" t="s" s="0">
        <v>2733</v>
      </c>
      <c r="H110" t="s" s="0">
        <v>82</v>
      </c>
      <c r="I110" t="s" s="0">
        <v>83</v>
      </c>
      <c r="J110" t="s" s="0">
        <v>2734</v>
      </c>
      <c r="K110" t="s" s="0">
        <v>2735</v>
      </c>
      <c r="L110" t="s" s="0">
        <v>2736</v>
      </c>
      <c r="M110" t="s" s="0">
        <v>2736</v>
      </c>
      <c r="N110" t="s" s="0">
        <v>2737</v>
      </c>
      <c r="O110" t="s" s="0">
        <v>2738</v>
      </c>
      <c r="P110" t="s" s="0">
        <v>2739</v>
      </c>
      <c r="Q110" t="s" s="0">
        <v>88</v>
      </c>
      <c r="R110" t="s" s="0">
        <v>82</v>
      </c>
      <c r="S110" t="s" s="0">
        <v>82</v>
      </c>
      <c r="T110" t="s" s="0">
        <v>82</v>
      </c>
      <c r="U110" t="s" s="0">
        <v>82</v>
      </c>
      <c r="V110" t="s" s="0">
        <v>2740</v>
      </c>
      <c r="W110" t="s" s="0">
        <v>653</v>
      </c>
      <c r="X110" t="s" s="0">
        <v>82</v>
      </c>
      <c r="Y110" t="s" s="0">
        <v>82</v>
      </c>
      <c r="Z110" t="s" s="0">
        <v>91</v>
      </c>
      <c r="AA110" t="s" s="0">
        <v>92</v>
      </c>
      <c r="AB110" t="s" s="0">
        <v>82</v>
      </c>
      <c r="AC110" t="s" s="0">
        <v>82</v>
      </c>
      <c r="AD110" t="s" s="0">
        <v>82</v>
      </c>
      <c r="AE110" t="s" s="0">
        <v>82</v>
      </c>
      <c r="AF110" t="s" s="0">
        <v>82</v>
      </c>
      <c r="AG110" t="s" s="0">
        <v>2741</v>
      </c>
      <c r="AH110" t="s" s="0">
        <v>82</v>
      </c>
      <c r="AI110" t="s" s="0">
        <v>2742</v>
      </c>
      <c r="AJ110" t="s" s="0">
        <v>2743</v>
      </c>
      <c r="AK110" t="s" s="0">
        <v>82</v>
      </c>
      <c r="AL110" t="s" s="0">
        <v>139</v>
      </c>
      <c r="AM110" t="s" s="0">
        <v>77</v>
      </c>
      <c r="AN110" t="s" s="0">
        <v>77</v>
      </c>
      <c r="AO110" t="s" s="0">
        <v>77</v>
      </c>
      <c r="AP110" t="s" s="0">
        <v>204</v>
      </c>
      <c r="AQ110" t="s" s="0">
        <v>100</v>
      </c>
      <c r="AR110" t="s" s="0">
        <v>101</v>
      </c>
      <c r="AS110" t="s" s="0">
        <v>102</v>
      </c>
      <c r="AT110" t="s" s="0">
        <v>656</v>
      </c>
      <c r="AU110" t="s" s="0">
        <v>657</v>
      </c>
      <c r="AV110" t="s" s="0">
        <v>82</v>
      </c>
      <c r="AW110" t="s" s="0">
        <v>658</v>
      </c>
      <c r="AX110" t="s" s="0">
        <v>659</v>
      </c>
      <c r="AY110" t="s" s="0">
        <v>2744</v>
      </c>
      <c r="AZ110" t="s" s="0">
        <v>108</v>
      </c>
      <c r="BA110" t="s" s="0">
        <v>661</v>
      </c>
      <c r="BB110" t="s" s="0">
        <v>139</v>
      </c>
      <c r="BC110" t="s" s="0">
        <v>82</v>
      </c>
      <c r="BD110" t="s" s="0">
        <v>82</v>
      </c>
      <c r="BE110" t="s" s="0">
        <v>82</v>
      </c>
      <c r="BF110" t="s" s="0">
        <v>82</v>
      </c>
      <c r="BG110" t="s" s="0">
        <v>2745</v>
      </c>
      <c r="BH110" t="s" s="0">
        <v>2746</v>
      </c>
      <c r="BI110" t="s" s="0">
        <v>82</v>
      </c>
      <c r="BJ110" t="s" s="0">
        <v>2747</v>
      </c>
      <c r="BK110" t="s" s="217">
        <f>HYPERLINK("http://dx.doi.org/10.1109/JSEN.2025.3617772","http://dx.doi.org/10.1109/JSEN.2025.3617772")</f>
        <v>2748</v>
      </c>
      <c r="BL110" t="s" s="0">
        <v>82</v>
      </c>
      <c r="BM110" t="s" s="0">
        <v>82</v>
      </c>
      <c r="BN110" t="s" s="0">
        <v>115</v>
      </c>
      <c r="BO110" t="s" s="0">
        <v>666</v>
      </c>
      <c r="BP110" t="s" s="0">
        <v>667</v>
      </c>
      <c r="BQ110" t="s" s="0">
        <v>2749</v>
      </c>
      <c r="BR110" t="s" s="0">
        <v>82</v>
      </c>
      <c r="BS110" t="s" s="0">
        <v>2750</v>
      </c>
      <c r="BT110" t="s" s="218">
        <f>HYPERLINK("https://www.webofscience.com/wos/woscc/full-record/WOS:001631273800019","View Record in Web of Science")</f>
        <v>120</v>
      </c>
      <c r="BU110" t="s" s="0">
        <v>82</v>
      </c>
      <c r="BV110" t="s" s="0">
        <v>82</v>
      </c>
      <c r="BW110" t="s" s="0">
        <v>82</v>
      </c>
      <c r="BX110" t="s" s="0">
        <v>121</v>
      </c>
    </row>
    <row r="111">
      <c r="A111" t="s" s="0">
        <v>77</v>
      </c>
      <c r="B111" t="s" s="0">
        <v>77</v>
      </c>
      <c r="C111" t="s" s="0">
        <v>77</v>
      </c>
      <c r="D111" t="s" s="0">
        <v>77</v>
      </c>
      <c r="E111" t="s" s="0">
        <v>2751</v>
      </c>
      <c r="F111" t="s" s="0">
        <v>2752</v>
      </c>
      <c r="G111" t="s" s="0">
        <v>2753</v>
      </c>
      <c r="H111" t="s" s="0">
        <v>82</v>
      </c>
      <c r="I111" t="s" s="0">
        <v>83</v>
      </c>
      <c r="J111" t="s" s="0">
        <v>2754</v>
      </c>
      <c r="K111" t="s" s="0">
        <v>2755</v>
      </c>
      <c r="L111" t="s" s="0">
        <v>82</v>
      </c>
      <c r="M111" t="s" s="0">
        <v>82</v>
      </c>
      <c r="N111" t="s" s="0">
        <v>2756</v>
      </c>
      <c r="O111" t="s" s="0">
        <v>2757</v>
      </c>
      <c r="P111" t="s" s="0">
        <v>2758</v>
      </c>
      <c r="Q111" t="s" s="0">
        <v>88</v>
      </c>
      <c r="R111" t="s" s="0">
        <v>82</v>
      </c>
      <c r="S111" t="s" s="0">
        <v>82</v>
      </c>
      <c r="T111" t="s" s="0">
        <v>82</v>
      </c>
      <c r="U111" t="s" s="0">
        <v>82</v>
      </c>
      <c r="V111" t="s" s="0">
        <v>2759</v>
      </c>
      <c r="W111" t="s" s="0">
        <v>1162</v>
      </c>
      <c r="X111" t="s" s="0">
        <v>82</v>
      </c>
      <c r="Y111" t="s" s="0">
        <v>82</v>
      </c>
      <c r="Z111" t="s" s="0">
        <v>91</v>
      </c>
      <c r="AA111" t="s" s="0">
        <v>92</v>
      </c>
      <c r="AB111" t="s" s="0">
        <v>82</v>
      </c>
      <c r="AC111" t="s" s="0">
        <v>82</v>
      </c>
      <c r="AD111" t="s" s="0">
        <v>82</v>
      </c>
      <c r="AE111" t="s" s="0">
        <v>82</v>
      </c>
      <c r="AF111" t="s" s="0">
        <v>82</v>
      </c>
      <c r="AG111" t="s" s="0">
        <v>2760</v>
      </c>
      <c r="AH111" t="s" s="0">
        <v>82</v>
      </c>
      <c r="AI111" t="s" s="0">
        <v>2761</v>
      </c>
      <c r="AJ111" t="s" s="0">
        <v>82</v>
      </c>
      <c r="AK111" t="s" s="0">
        <v>82</v>
      </c>
      <c r="AL111" t="s" s="0">
        <v>147</v>
      </c>
      <c r="AM111" t="s" s="0">
        <v>77</v>
      </c>
      <c r="AN111" t="s" s="0">
        <v>77</v>
      </c>
      <c r="AO111" t="s" s="0">
        <v>77</v>
      </c>
      <c r="AP111" t="s" s="0">
        <v>77</v>
      </c>
      <c r="AQ111" t="s" s="0">
        <v>418</v>
      </c>
      <c r="AR111" t="s" s="0">
        <v>419</v>
      </c>
      <c r="AS111" t="s" s="0">
        <v>420</v>
      </c>
      <c r="AT111" t="s" s="0">
        <v>82</v>
      </c>
      <c r="AU111" t="s" s="0">
        <v>1164</v>
      </c>
      <c r="AV111" t="s" s="0">
        <v>82</v>
      </c>
      <c r="AW111" t="s" s="0">
        <v>1165</v>
      </c>
      <c r="AX111" t="s" s="0">
        <v>1166</v>
      </c>
      <c r="AY111" t="s" s="0">
        <v>716</v>
      </c>
      <c r="AZ111" t="s" s="0">
        <v>179</v>
      </c>
      <c r="BA111" t="s" s="0">
        <v>209</v>
      </c>
      <c r="BB111" t="s" s="0">
        <v>184</v>
      </c>
      <c r="BC111" t="s" s="0">
        <v>82</v>
      </c>
      <c r="BD111" t="s" s="0">
        <v>82</v>
      </c>
      <c r="BE111" t="s" s="0">
        <v>82</v>
      </c>
      <c r="BF111" t="s" s="0">
        <v>82</v>
      </c>
      <c r="BG111" t="s" s="0">
        <v>82</v>
      </c>
      <c r="BH111" t="s" s="0">
        <v>82</v>
      </c>
      <c r="BI111" t="s" s="0">
        <v>2762</v>
      </c>
      <c r="BJ111" t="s" s="0">
        <v>2763</v>
      </c>
      <c r="BK111" t="s" s="219">
        <f>HYPERLINK("http://dx.doi.org/10.3390/app16136425","http://dx.doi.org/10.3390/app16136425")</f>
        <v>2764</v>
      </c>
      <c r="BL111" t="s" s="0">
        <v>82</v>
      </c>
      <c r="BM111" t="s" s="0">
        <v>82</v>
      </c>
      <c r="BN111" t="s" s="0">
        <v>391</v>
      </c>
      <c r="BO111" t="s" s="0">
        <v>1171</v>
      </c>
      <c r="BP111" t="s" s="0">
        <v>1172</v>
      </c>
      <c r="BQ111" t="s" s="0">
        <v>2765</v>
      </c>
      <c r="BR111" t="s" s="0">
        <v>82</v>
      </c>
      <c r="BS111" t="s" s="0">
        <v>2766</v>
      </c>
      <c r="BT111" t="s" s="220">
        <f>HYPERLINK("https://www.webofscience.com/wos/woscc/full-record/WOS:001818860300001","View Record in Web of Science")</f>
        <v>120</v>
      </c>
      <c r="BU111" t="s" s="0">
        <v>335</v>
      </c>
      <c r="BV111" t="s" s="0">
        <v>82</v>
      </c>
      <c r="BW111" t="s" s="0">
        <v>82</v>
      </c>
      <c r="BX111" t="s" s="0">
        <v>121</v>
      </c>
    </row>
    <row r="112">
      <c r="A112" t="s" s="0">
        <v>77</v>
      </c>
      <c r="B112" t="s" s="0">
        <v>77</v>
      </c>
      <c r="C112" t="s" s="0">
        <v>78</v>
      </c>
      <c r="D112" t="s" s="0">
        <v>77</v>
      </c>
      <c r="E112" t="s" s="0">
        <v>2767</v>
      </c>
      <c r="F112" t="s" s="0">
        <v>2768</v>
      </c>
      <c r="G112" t="s" s="0">
        <v>2769</v>
      </c>
      <c r="H112" t="s" s="0">
        <v>82</v>
      </c>
      <c r="I112" t="s" s="0">
        <v>83</v>
      </c>
      <c r="J112" t="s" s="0">
        <v>2770</v>
      </c>
      <c r="K112" t="s" s="0">
        <v>2771</v>
      </c>
      <c r="L112" t="s" s="0">
        <v>2772</v>
      </c>
      <c r="M112" t="s" s="0">
        <v>2773</v>
      </c>
      <c r="N112" t="s" s="0">
        <v>2774</v>
      </c>
      <c r="O112" t="s" s="0">
        <v>2775</v>
      </c>
      <c r="P112" t="s" s="0">
        <v>2776</v>
      </c>
      <c r="Q112" t="s" s="0">
        <v>88</v>
      </c>
      <c r="R112" t="s" s="0">
        <v>82</v>
      </c>
      <c r="S112" t="s" s="0">
        <v>82</v>
      </c>
      <c r="T112" t="s" s="0">
        <v>82</v>
      </c>
      <c r="U112" t="s" s="0">
        <v>82</v>
      </c>
      <c r="V112" t="s" s="0">
        <v>2777</v>
      </c>
      <c r="W112" t="s" s="0">
        <v>820</v>
      </c>
      <c r="X112" t="s" s="0">
        <v>82</v>
      </c>
      <c r="Y112" t="s" s="0">
        <v>82</v>
      </c>
      <c r="Z112" t="s" s="0">
        <v>91</v>
      </c>
      <c r="AA112" t="s" s="0">
        <v>92</v>
      </c>
      <c r="AB112" t="s" s="0">
        <v>82</v>
      </c>
      <c r="AC112" t="s" s="0">
        <v>82</v>
      </c>
      <c r="AD112" t="s" s="0">
        <v>82</v>
      </c>
      <c r="AE112" t="s" s="0">
        <v>82</v>
      </c>
      <c r="AF112" t="s" s="0">
        <v>82</v>
      </c>
      <c r="AG112" t="s" s="0">
        <v>2778</v>
      </c>
      <c r="AH112" t="s" s="0">
        <v>2779</v>
      </c>
      <c r="AI112" t="s" s="0">
        <v>2780</v>
      </c>
      <c r="AJ112" t="s" s="0">
        <v>2781</v>
      </c>
      <c r="AK112" t="s" s="0">
        <v>82</v>
      </c>
      <c r="AL112" t="s" s="0">
        <v>2782</v>
      </c>
      <c r="AM112" t="s" s="0">
        <v>184</v>
      </c>
      <c r="AN112" t="s" s="0">
        <v>184</v>
      </c>
      <c r="AO112" t="s" s="0">
        <v>99</v>
      </c>
      <c r="AP112" t="s" s="0">
        <v>363</v>
      </c>
      <c r="AQ112" t="s" s="0">
        <v>100</v>
      </c>
      <c r="AR112" t="s" s="0">
        <v>101</v>
      </c>
      <c r="AS112" t="s" s="0">
        <v>102</v>
      </c>
      <c r="AT112" t="s" s="0">
        <v>825</v>
      </c>
      <c r="AU112" t="s" s="0">
        <v>826</v>
      </c>
      <c r="AV112" t="s" s="0">
        <v>82</v>
      </c>
      <c r="AW112" t="s" s="0">
        <v>827</v>
      </c>
      <c r="AX112" t="s" s="0">
        <v>828</v>
      </c>
      <c r="AY112" t="s" s="0">
        <v>2725</v>
      </c>
      <c r="AZ112" t="s" s="0">
        <v>108</v>
      </c>
      <c r="BA112" t="s" s="0">
        <v>1504</v>
      </c>
      <c r="BB112" t="s" s="0">
        <v>110</v>
      </c>
      <c r="BC112" t="s" s="0">
        <v>82</v>
      </c>
      <c r="BD112" t="s" s="0">
        <v>82</v>
      </c>
      <c r="BE112" t="s" s="0">
        <v>82</v>
      </c>
      <c r="BF112" t="s" s="0">
        <v>82</v>
      </c>
      <c r="BG112" t="s" s="0">
        <v>2783</v>
      </c>
      <c r="BH112" t="s" s="0">
        <v>2784</v>
      </c>
      <c r="BI112" t="s" s="0">
        <v>82</v>
      </c>
      <c r="BJ112" t="s" s="0">
        <v>2785</v>
      </c>
      <c r="BK112" t="s" s="221">
        <f>HYPERLINK("http://dx.doi.org/10.1109/JBHI.2024.3507638","http://dx.doi.org/10.1109/JBHI.2024.3507638")</f>
        <v>2786</v>
      </c>
      <c r="BL112" t="s" s="0">
        <v>82</v>
      </c>
      <c r="BM112" t="s" s="0">
        <v>82</v>
      </c>
      <c r="BN112" t="s" s="0">
        <v>184</v>
      </c>
      <c r="BO112" t="s" s="0">
        <v>834</v>
      </c>
      <c r="BP112" t="s" s="0">
        <v>835</v>
      </c>
      <c r="BQ112" t="s" s="0">
        <v>2787</v>
      </c>
      <c r="BR112" t="s" s="0">
        <v>2788</v>
      </c>
      <c r="BS112" t="s" s="0">
        <v>2789</v>
      </c>
      <c r="BT112" t="s" s="222">
        <f>HYPERLINK("https://www.webofscience.com/wos/woscc/full-record/WOS:001483871500043","View Record in Web of Science")</f>
        <v>120</v>
      </c>
      <c r="BU112" t="s" s="0">
        <v>519</v>
      </c>
      <c r="BV112" t="s" s="0">
        <v>82</v>
      </c>
      <c r="BW112" t="s" s="0">
        <v>82</v>
      </c>
      <c r="BX112" t="s" s="0">
        <v>121</v>
      </c>
    </row>
    <row r="113">
      <c r="A113" t="s" s="0">
        <v>77</v>
      </c>
      <c r="B113" t="s" s="0">
        <v>77</v>
      </c>
      <c r="C113" t="s" s="0">
        <v>204</v>
      </c>
      <c r="D113" t="s" s="0">
        <v>77</v>
      </c>
      <c r="E113" t="s" s="0">
        <v>2790</v>
      </c>
      <c r="F113" t="s" s="0">
        <v>2791</v>
      </c>
      <c r="G113" t="s" s="0">
        <v>2792</v>
      </c>
      <c r="H113" t="s" s="0">
        <v>82</v>
      </c>
      <c r="I113" t="s" s="0">
        <v>83</v>
      </c>
      <c r="J113" t="s" s="0">
        <v>2793</v>
      </c>
      <c r="K113" t="s" s="0">
        <v>2794</v>
      </c>
      <c r="L113" t="s" s="0">
        <v>2795</v>
      </c>
      <c r="M113" t="s" s="0">
        <v>2796</v>
      </c>
      <c r="N113" t="s" s="0">
        <v>2797</v>
      </c>
      <c r="O113" t="s" s="0">
        <v>2798</v>
      </c>
      <c r="P113" t="s" s="0">
        <v>2799</v>
      </c>
      <c r="Q113" t="s" s="0">
        <v>88</v>
      </c>
      <c r="R113" t="s" s="0">
        <v>82</v>
      </c>
      <c r="S113" t="s" s="0">
        <v>82</v>
      </c>
      <c r="T113" t="s" s="0">
        <v>82</v>
      </c>
      <c r="U113" t="s" s="0">
        <v>82</v>
      </c>
      <c r="V113" t="s" s="0">
        <v>2800</v>
      </c>
      <c r="W113" t="s" s="0">
        <v>133</v>
      </c>
      <c r="X113" t="s" s="0">
        <v>82</v>
      </c>
      <c r="Y113" t="s" s="0">
        <v>82</v>
      </c>
      <c r="Z113" t="s" s="0">
        <v>91</v>
      </c>
      <c r="AA113" t="s" s="0">
        <v>92</v>
      </c>
      <c r="AB113" t="s" s="0">
        <v>82</v>
      </c>
      <c r="AC113" t="s" s="0">
        <v>82</v>
      </c>
      <c r="AD113" t="s" s="0">
        <v>82</v>
      </c>
      <c r="AE113" t="s" s="0">
        <v>82</v>
      </c>
      <c r="AF113" t="s" s="0">
        <v>82</v>
      </c>
      <c r="AG113" t="s" s="0">
        <v>2801</v>
      </c>
      <c r="AH113" t="s" s="0">
        <v>82</v>
      </c>
      <c r="AI113" t="s" s="0">
        <v>2802</v>
      </c>
      <c r="AJ113" t="s" s="0">
        <v>82</v>
      </c>
      <c r="AK113" t="s" s="0">
        <v>82</v>
      </c>
      <c r="AL113" t="s" s="0">
        <v>1273</v>
      </c>
      <c r="AM113" t="s" s="0">
        <v>363</v>
      </c>
      <c r="AN113" t="s" s="0">
        <v>363</v>
      </c>
      <c r="AO113" t="s" s="0">
        <v>204</v>
      </c>
      <c r="AP113" t="s" s="0">
        <v>204</v>
      </c>
      <c r="AQ113" t="s" s="0">
        <v>100</v>
      </c>
      <c r="AR113" t="s" s="0">
        <v>101</v>
      </c>
      <c r="AS113" t="s" s="0">
        <v>102</v>
      </c>
      <c r="AT113" t="s" s="0">
        <v>141</v>
      </c>
      <c r="AU113" t="s" s="0">
        <v>142</v>
      </c>
      <c r="AV113" t="s" s="0">
        <v>82</v>
      </c>
      <c r="AW113" t="s" s="0">
        <v>143</v>
      </c>
      <c r="AX113" t="s" s="0">
        <v>144</v>
      </c>
      <c r="AY113" t="s" s="0">
        <v>358</v>
      </c>
      <c r="AZ113" t="s" s="0">
        <v>179</v>
      </c>
      <c r="BA113" t="s" s="0">
        <v>140</v>
      </c>
      <c r="BB113" t="s" s="0">
        <v>97</v>
      </c>
      <c r="BC113" t="s" s="0">
        <v>82</v>
      </c>
      <c r="BD113" t="s" s="0">
        <v>82</v>
      </c>
      <c r="BE113" t="s" s="0">
        <v>82</v>
      </c>
      <c r="BF113" t="s" s="0">
        <v>82</v>
      </c>
      <c r="BG113" t="s" s="0">
        <v>2803</v>
      </c>
      <c r="BH113" t="s" s="0">
        <v>2804</v>
      </c>
      <c r="BI113" t="s" s="0">
        <v>82</v>
      </c>
      <c r="BJ113" t="s" s="0">
        <v>2805</v>
      </c>
      <c r="BK113" t="s" s="223">
        <f>HYPERLINK("http://dx.doi.org/10.1109/TMI.2026.3661001","http://dx.doi.org/10.1109/TMI.2026.3661001")</f>
        <v>2806</v>
      </c>
      <c r="BL113" t="s" s="0">
        <v>82</v>
      </c>
      <c r="BM113" t="s" s="0">
        <v>82</v>
      </c>
      <c r="BN113" t="s" s="0">
        <v>307</v>
      </c>
      <c r="BO113" t="s" s="0">
        <v>153</v>
      </c>
      <c r="BP113" t="s" s="0">
        <v>154</v>
      </c>
      <c r="BQ113" t="s" s="0">
        <v>2807</v>
      </c>
      <c r="BR113" t="s" s="0">
        <v>2808</v>
      </c>
      <c r="BS113" t="s" s="0">
        <v>2809</v>
      </c>
      <c r="BT113" t="s" s="224">
        <f>HYPERLINK("https://www.webofscience.com/wos/woscc/full-record/WOS:001783694800001","View Record in Web of Science")</f>
        <v>120</v>
      </c>
      <c r="BU113" t="s" s="0">
        <v>82</v>
      </c>
      <c r="BV113" t="s" s="0">
        <v>82</v>
      </c>
      <c r="BW113" t="s" s="0">
        <v>82</v>
      </c>
      <c r="BX113" t="s" s="0">
        <v>121</v>
      </c>
    </row>
    <row r="114">
      <c r="A114" t="s" s="0">
        <v>77</v>
      </c>
      <c r="B114" t="s" s="0">
        <v>77</v>
      </c>
      <c r="C114" t="s" s="0">
        <v>77</v>
      </c>
      <c r="D114" t="s" s="0">
        <v>77</v>
      </c>
      <c r="E114" t="s" s="0">
        <v>2810</v>
      </c>
      <c r="F114" t="s" s="0">
        <v>2811</v>
      </c>
      <c r="G114" t="s" s="0">
        <v>2812</v>
      </c>
      <c r="H114" t="s" s="0">
        <v>82</v>
      </c>
      <c r="I114" t="s" s="0">
        <v>83</v>
      </c>
      <c r="J114" t="s" s="0">
        <v>2813</v>
      </c>
      <c r="K114" t="s" s="0">
        <v>2814</v>
      </c>
      <c r="L114" t="s" s="0">
        <v>2815</v>
      </c>
      <c r="M114" t="s" s="0">
        <v>2816</v>
      </c>
      <c r="N114" t="s" s="0">
        <v>2817</v>
      </c>
      <c r="O114" t="s" s="0">
        <v>2818</v>
      </c>
      <c r="P114" t="s" s="0">
        <v>2819</v>
      </c>
      <c r="Q114" t="s" s="0">
        <v>88</v>
      </c>
      <c r="R114" t="s" s="0">
        <v>82</v>
      </c>
      <c r="S114" t="s" s="0">
        <v>82</v>
      </c>
      <c r="T114" t="s" s="0">
        <v>82</v>
      </c>
      <c r="U114" t="s" s="0">
        <v>82</v>
      </c>
      <c r="V114" t="s" s="0">
        <v>2820</v>
      </c>
      <c r="W114" t="s" s="0">
        <v>1162</v>
      </c>
      <c r="X114" t="s" s="0">
        <v>82</v>
      </c>
      <c r="Y114" t="s" s="0">
        <v>82</v>
      </c>
      <c r="Z114" t="s" s="0">
        <v>91</v>
      </c>
      <c r="AA114" t="s" s="0">
        <v>92</v>
      </c>
      <c r="AB114" t="s" s="0">
        <v>82</v>
      </c>
      <c r="AC114" t="s" s="0">
        <v>82</v>
      </c>
      <c r="AD114" t="s" s="0">
        <v>82</v>
      </c>
      <c r="AE114" t="s" s="0">
        <v>82</v>
      </c>
      <c r="AF114" t="s" s="0">
        <v>82</v>
      </c>
      <c r="AG114" t="s" s="0">
        <v>2821</v>
      </c>
      <c r="AH114" t="s" s="0">
        <v>2822</v>
      </c>
      <c r="AI114" t="s" s="0">
        <v>2823</v>
      </c>
      <c r="AJ114" t="s" s="0">
        <v>82</v>
      </c>
      <c r="AK114" t="s" s="0">
        <v>82</v>
      </c>
      <c r="AL114" t="s" s="0">
        <v>447</v>
      </c>
      <c r="AM114" t="s" s="0">
        <v>77</v>
      </c>
      <c r="AN114" t="s" s="0">
        <v>77</v>
      </c>
      <c r="AO114" t="s" s="0">
        <v>204</v>
      </c>
      <c r="AP114" t="s" s="0">
        <v>204</v>
      </c>
      <c r="AQ114" t="s" s="0">
        <v>418</v>
      </c>
      <c r="AR114" t="s" s="0">
        <v>419</v>
      </c>
      <c r="AS114" t="s" s="0">
        <v>420</v>
      </c>
      <c r="AT114" t="s" s="0">
        <v>82</v>
      </c>
      <c r="AU114" t="s" s="0">
        <v>1164</v>
      </c>
      <c r="AV114" t="s" s="0">
        <v>82</v>
      </c>
      <c r="AW114" t="s" s="0">
        <v>1165</v>
      </c>
      <c r="AX114" t="s" s="0">
        <v>1166</v>
      </c>
      <c r="AY114" t="s" s="0">
        <v>2824</v>
      </c>
      <c r="AZ114" t="s" s="0">
        <v>179</v>
      </c>
      <c r="BA114" t="s" s="0">
        <v>209</v>
      </c>
      <c r="BB114" t="s" s="0">
        <v>148</v>
      </c>
      <c r="BC114" t="s" s="0">
        <v>82</v>
      </c>
      <c r="BD114" t="s" s="0">
        <v>82</v>
      </c>
      <c r="BE114" t="s" s="0">
        <v>82</v>
      </c>
      <c r="BF114" t="s" s="0">
        <v>82</v>
      </c>
      <c r="BG114" t="s" s="0">
        <v>82</v>
      </c>
      <c r="BH114" t="s" s="0">
        <v>82</v>
      </c>
      <c r="BI114" t="s" s="0">
        <v>2825</v>
      </c>
      <c r="BJ114" t="s" s="0">
        <v>2826</v>
      </c>
      <c r="BK114" t="s" s="225">
        <f>HYPERLINK("http://dx.doi.org/10.3390/app16126064","http://dx.doi.org/10.3390/app16126064")</f>
        <v>2827</v>
      </c>
      <c r="BL114" t="s" s="0">
        <v>82</v>
      </c>
      <c r="BM114" t="s" s="0">
        <v>358</v>
      </c>
      <c r="BN114" t="s" s="0">
        <v>963</v>
      </c>
      <c r="BO114" t="s" s="0">
        <v>1171</v>
      </c>
      <c r="BP114" t="s" s="0">
        <v>1172</v>
      </c>
      <c r="BQ114" t="s" s="0">
        <v>2828</v>
      </c>
      <c r="BR114" t="s" s="0">
        <v>82</v>
      </c>
      <c r="BS114" t="s" s="0">
        <v>2829</v>
      </c>
      <c r="BT114" t="s" s="226">
        <f>HYPERLINK("https://www.webofscience.com/wos/woscc/full-record/WOS:001801930600001","View Record in Web of Science")</f>
        <v>120</v>
      </c>
      <c r="BU114" t="s" s="0">
        <v>335</v>
      </c>
      <c r="BV114" t="s" s="0">
        <v>82</v>
      </c>
      <c r="BW114" t="s" s="0">
        <v>82</v>
      </c>
      <c r="BX114" t="s" s="0">
        <v>121</v>
      </c>
    </row>
    <row r="115">
      <c r="A115" t="s" s="0">
        <v>77</v>
      </c>
      <c r="B115" t="s" s="0">
        <v>77</v>
      </c>
      <c r="C115" t="s" s="0">
        <v>77</v>
      </c>
      <c r="D115" t="s" s="0">
        <v>77</v>
      </c>
      <c r="E115" t="s" s="0">
        <v>2830</v>
      </c>
      <c r="F115" t="s" s="0">
        <v>2831</v>
      </c>
      <c r="G115" t="s" s="0">
        <v>2832</v>
      </c>
      <c r="H115" t="s" s="0">
        <v>82</v>
      </c>
      <c r="I115" t="s" s="0">
        <v>83</v>
      </c>
      <c r="J115" t="s" s="0">
        <v>2833</v>
      </c>
      <c r="K115" t="s" s="0">
        <v>2834</v>
      </c>
      <c r="L115" t="s" s="0">
        <v>2835</v>
      </c>
      <c r="M115" t="s" s="0">
        <v>2836</v>
      </c>
      <c r="N115" t="s" s="0">
        <v>2837</v>
      </c>
      <c r="O115" t="s" s="0">
        <v>2838</v>
      </c>
      <c r="P115" t="s" s="0">
        <v>2839</v>
      </c>
      <c r="Q115" t="s" s="0">
        <v>88</v>
      </c>
      <c r="R115" t="s" s="0">
        <v>82</v>
      </c>
      <c r="S115" t="s" s="0">
        <v>82</v>
      </c>
      <c r="T115" t="s" s="0">
        <v>82</v>
      </c>
      <c r="U115" t="s" s="0">
        <v>82</v>
      </c>
      <c r="V115" t="s" s="0">
        <v>2840</v>
      </c>
      <c r="W115" t="s" s="0">
        <v>2841</v>
      </c>
      <c r="X115" t="s" s="0">
        <v>82</v>
      </c>
      <c r="Y115" t="s" s="0">
        <v>82</v>
      </c>
      <c r="Z115" t="s" s="0">
        <v>91</v>
      </c>
      <c r="AA115" t="s" s="0">
        <v>92</v>
      </c>
      <c r="AB115" t="s" s="0">
        <v>82</v>
      </c>
      <c r="AC115" t="s" s="0">
        <v>82</v>
      </c>
      <c r="AD115" t="s" s="0">
        <v>82</v>
      </c>
      <c r="AE115" t="s" s="0">
        <v>82</v>
      </c>
      <c r="AF115" t="s" s="0">
        <v>82</v>
      </c>
      <c r="AG115" t="s" s="0">
        <v>2842</v>
      </c>
      <c r="AH115" t="s" s="0">
        <v>82</v>
      </c>
      <c r="AI115" t="s" s="0">
        <v>82</v>
      </c>
      <c r="AJ115" t="s" s="0">
        <v>2843</v>
      </c>
      <c r="AK115" t="s" s="0">
        <v>82</v>
      </c>
      <c r="AL115" t="s" s="0">
        <v>1273</v>
      </c>
      <c r="AM115" t="s" s="0">
        <v>77</v>
      </c>
      <c r="AN115" t="s" s="0">
        <v>77</v>
      </c>
      <c r="AO115" t="s" s="0">
        <v>78</v>
      </c>
      <c r="AP115" t="s" s="0">
        <v>78</v>
      </c>
      <c r="AQ115" t="s" s="0">
        <v>795</v>
      </c>
      <c r="AR115" t="s" s="0">
        <v>796</v>
      </c>
      <c r="AS115" t="s" s="0">
        <v>797</v>
      </c>
      <c r="AT115" t="s" s="0">
        <v>2844</v>
      </c>
      <c r="AU115" t="s" s="0">
        <v>2845</v>
      </c>
      <c r="AV115" t="s" s="0">
        <v>82</v>
      </c>
      <c r="AW115" t="s" s="0">
        <v>2846</v>
      </c>
      <c r="AX115" t="s" s="0">
        <v>2847</v>
      </c>
      <c r="AY115" t="s" s="0">
        <v>2848</v>
      </c>
      <c r="AZ115" t="s" s="0">
        <v>179</v>
      </c>
      <c r="BA115" t="s" s="0">
        <v>2321</v>
      </c>
      <c r="BB115" t="s" s="0">
        <v>115</v>
      </c>
      <c r="BC115" t="s" s="0">
        <v>82</v>
      </c>
      <c r="BD115" t="s" s="0">
        <v>82</v>
      </c>
      <c r="BE115" t="s" s="0">
        <v>82</v>
      </c>
      <c r="BF115" t="s" s="0">
        <v>82</v>
      </c>
      <c r="BG115" t="s" s="0">
        <v>82</v>
      </c>
      <c r="BH115" t="s" s="0">
        <v>82</v>
      </c>
      <c r="BI115" t="s" s="0">
        <v>2849</v>
      </c>
      <c r="BJ115" t="s" s="0">
        <v>2850</v>
      </c>
      <c r="BK115" t="s" s="227">
        <f>HYPERLINK("http://dx.doi.org/10.1007/s00371-026-04622-8","http://dx.doi.org/10.1007/s00371-026-04622-8")</f>
        <v>2851</v>
      </c>
      <c r="BL115" t="s" s="0">
        <v>82</v>
      </c>
      <c r="BM115" t="s" s="0">
        <v>716</v>
      </c>
      <c r="BN115" t="s" s="0">
        <v>109</v>
      </c>
      <c r="BO115" t="s" s="0">
        <v>2852</v>
      </c>
      <c r="BP115" t="s" s="0">
        <v>309</v>
      </c>
      <c r="BQ115" t="s" s="0">
        <v>2853</v>
      </c>
      <c r="BR115" t="s" s="0">
        <v>82</v>
      </c>
      <c r="BS115" t="s" s="0">
        <v>2854</v>
      </c>
      <c r="BT115" t="s" s="228">
        <f>HYPERLINK("https://www.webofscience.com/wos/woscc/full-record/WOS:001821210100002","View Record in Web of Science")</f>
        <v>120</v>
      </c>
      <c r="BU115" t="s" s="0">
        <v>82</v>
      </c>
      <c r="BV115" t="s" s="0">
        <v>82</v>
      </c>
      <c r="BW115" t="s" s="0">
        <v>82</v>
      </c>
      <c r="BX115" t="s" s="0">
        <v>121</v>
      </c>
    </row>
    <row r="116">
      <c r="A116" t="s" s="0">
        <v>77</v>
      </c>
      <c r="B116" t="s" s="0">
        <v>77</v>
      </c>
      <c r="C116" t="s" s="0">
        <v>77</v>
      </c>
      <c r="D116" t="s" s="0">
        <v>77</v>
      </c>
      <c r="E116" t="s" s="0">
        <v>2855</v>
      </c>
      <c r="F116" t="s" s="0">
        <v>2856</v>
      </c>
      <c r="G116" t="s" s="0">
        <v>2857</v>
      </c>
      <c r="H116" t="s" s="0">
        <v>82</v>
      </c>
      <c r="I116" t="s" s="0">
        <v>83</v>
      </c>
      <c r="J116" t="s" s="0">
        <v>2858</v>
      </c>
      <c r="K116" t="s" s="0">
        <v>2859</v>
      </c>
      <c r="L116" t="s" s="0">
        <v>2860</v>
      </c>
      <c r="M116" t="s" s="0">
        <v>2861</v>
      </c>
      <c r="N116" t="s" s="0">
        <v>2862</v>
      </c>
      <c r="O116" t="s" s="0">
        <v>2863</v>
      </c>
      <c r="P116" t="s" s="0">
        <v>82</v>
      </c>
      <c r="Q116" t="s" s="0">
        <v>88</v>
      </c>
      <c r="R116" t="s" s="0">
        <v>82</v>
      </c>
      <c r="S116" t="s" s="0">
        <v>82</v>
      </c>
      <c r="T116" t="s" s="0">
        <v>82</v>
      </c>
      <c r="U116" t="s" s="0">
        <v>82</v>
      </c>
      <c r="V116" t="s" s="0">
        <v>2864</v>
      </c>
      <c r="W116" t="s" s="0">
        <v>2865</v>
      </c>
      <c r="X116" t="s" s="0">
        <v>82</v>
      </c>
      <c r="Y116" t="s" s="0">
        <v>82</v>
      </c>
      <c r="Z116" t="s" s="0">
        <v>91</v>
      </c>
      <c r="AA116" t="s" s="0">
        <v>92</v>
      </c>
      <c r="AB116" t="s" s="0">
        <v>82</v>
      </c>
      <c r="AC116" t="s" s="0">
        <v>82</v>
      </c>
      <c r="AD116" t="s" s="0">
        <v>82</v>
      </c>
      <c r="AE116" t="s" s="0">
        <v>82</v>
      </c>
      <c r="AF116" t="s" s="0">
        <v>82</v>
      </c>
      <c r="AG116" t="s" s="0">
        <v>2866</v>
      </c>
      <c r="AH116" t="s" s="0">
        <v>2867</v>
      </c>
      <c r="AI116" t="s" s="0">
        <v>2868</v>
      </c>
      <c r="AJ116" t="s" s="0">
        <v>2869</v>
      </c>
      <c r="AK116" t="s" s="0">
        <v>82</v>
      </c>
      <c r="AL116" t="s" s="0">
        <v>417</v>
      </c>
      <c r="AM116" t="s" s="0">
        <v>78</v>
      </c>
      <c r="AN116" t="s" s="0">
        <v>204</v>
      </c>
      <c r="AO116" t="s" s="0">
        <v>99</v>
      </c>
      <c r="AP116" t="s" s="0">
        <v>99</v>
      </c>
      <c r="AQ116" t="s" s="0">
        <v>296</v>
      </c>
      <c r="AR116" t="s" s="0">
        <v>297</v>
      </c>
      <c r="AS116" t="s" s="0">
        <v>298</v>
      </c>
      <c r="AT116" t="s" s="0">
        <v>2870</v>
      </c>
      <c r="AU116" t="s" s="0">
        <v>2871</v>
      </c>
      <c r="AV116" t="s" s="0">
        <v>82</v>
      </c>
      <c r="AW116" t="s" s="0">
        <v>2872</v>
      </c>
      <c r="AX116" t="s" s="0">
        <v>2873</v>
      </c>
      <c r="AY116" t="s" s="0">
        <v>2874</v>
      </c>
      <c r="AZ116" t="s" s="0">
        <v>179</v>
      </c>
      <c r="BA116" t="s" s="0">
        <v>2875</v>
      </c>
      <c r="BB116" t="s" s="0">
        <v>82</v>
      </c>
      <c r="BC116" t="s" s="0">
        <v>82</v>
      </c>
      <c r="BD116" t="s" s="0">
        <v>82</v>
      </c>
      <c r="BE116" t="s" s="0">
        <v>82</v>
      </c>
      <c r="BF116" t="s" s="0">
        <v>82</v>
      </c>
      <c r="BG116" t="s" s="0">
        <v>82</v>
      </c>
      <c r="BH116" t="s" s="0">
        <v>82</v>
      </c>
      <c r="BI116" t="s" s="0">
        <v>2876</v>
      </c>
      <c r="BJ116" t="s" s="0">
        <v>2877</v>
      </c>
      <c r="BK116" t="s" s="229">
        <f>HYPERLINK("http://dx.doi.org/10.1016/j.knosys.2026.115456","http://dx.doi.org/10.1016/j.knosys.2026.115456")</f>
        <v>2878</v>
      </c>
      <c r="BL116" t="s" s="0">
        <v>82</v>
      </c>
      <c r="BM116" t="s" s="0">
        <v>240</v>
      </c>
      <c r="BN116" t="s" s="0">
        <v>307</v>
      </c>
      <c r="BO116" t="s" s="0">
        <v>308</v>
      </c>
      <c r="BP116" t="s" s="0">
        <v>309</v>
      </c>
      <c r="BQ116" t="s" s="0">
        <v>2879</v>
      </c>
      <c r="BR116" t="s" s="0">
        <v>82</v>
      </c>
      <c r="BS116" t="s" s="0">
        <v>2880</v>
      </c>
      <c r="BT116" t="s" s="230">
        <f>HYPERLINK("https://www.webofscience.com/wos/woscc/full-record/WOS:001688205000001","View Record in Web of Science")</f>
        <v>120</v>
      </c>
      <c r="BU116" t="s" s="0">
        <v>1972</v>
      </c>
      <c r="BV116" t="s" s="0">
        <v>82</v>
      </c>
      <c r="BW116" t="s" s="0">
        <v>82</v>
      </c>
      <c r="BX116" t="s" s="0">
        <v>121</v>
      </c>
    </row>
    <row r="117">
      <c r="A117" t="s" s="0">
        <v>77</v>
      </c>
      <c r="B117" t="s" s="0">
        <v>77</v>
      </c>
      <c r="C117" t="s" s="0">
        <v>77</v>
      </c>
      <c r="D117" t="s" s="0">
        <v>77</v>
      </c>
      <c r="E117" t="s" s="0">
        <v>2881</v>
      </c>
      <c r="F117" t="s" s="0">
        <v>2882</v>
      </c>
      <c r="G117" t="s" s="0">
        <v>2883</v>
      </c>
      <c r="H117" t="s" s="0">
        <v>82</v>
      </c>
      <c r="I117" t="s" s="0">
        <v>83</v>
      </c>
      <c r="J117" t="s" s="0">
        <v>2884</v>
      </c>
      <c r="K117" t="s" s="0">
        <v>2885</v>
      </c>
      <c r="L117" t="s" s="0">
        <v>2886</v>
      </c>
      <c r="M117" t="s" s="0">
        <v>2887</v>
      </c>
      <c r="N117" t="s" s="0">
        <v>2888</v>
      </c>
      <c r="O117" t="s" s="0">
        <v>2889</v>
      </c>
      <c r="P117" t="s" s="0">
        <v>2890</v>
      </c>
      <c r="Q117" t="s" s="0">
        <v>88</v>
      </c>
      <c r="R117" t="s" s="0">
        <v>82</v>
      </c>
      <c r="S117" t="s" s="0">
        <v>82</v>
      </c>
      <c r="T117" t="s" s="0">
        <v>82</v>
      </c>
      <c r="U117" t="s" s="0">
        <v>82</v>
      </c>
      <c r="V117" t="s" s="0">
        <v>2891</v>
      </c>
      <c r="W117" t="s" s="0">
        <v>820</v>
      </c>
      <c r="X117" t="s" s="0">
        <v>82</v>
      </c>
      <c r="Y117" t="s" s="0">
        <v>82</v>
      </c>
      <c r="Z117" t="s" s="0">
        <v>91</v>
      </c>
      <c r="AA117" t="s" s="0">
        <v>92</v>
      </c>
      <c r="AB117" t="s" s="0">
        <v>82</v>
      </c>
      <c r="AC117" t="s" s="0">
        <v>82</v>
      </c>
      <c r="AD117" t="s" s="0">
        <v>82</v>
      </c>
      <c r="AE117" t="s" s="0">
        <v>82</v>
      </c>
      <c r="AF117" t="s" s="0">
        <v>82</v>
      </c>
      <c r="AG117" t="s" s="0">
        <v>2892</v>
      </c>
      <c r="AH117" t="s" s="0">
        <v>82</v>
      </c>
      <c r="AI117" t="s" s="0">
        <v>2893</v>
      </c>
      <c r="AJ117" t="s" s="0">
        <v>82</v>
      </c>
      <c r="AK117" t="s" s="0">
        <v>82</v>
      </c>
      <c r="AL117" t="s" s="0">
        <v>1575</v>
      </c>
      <c r="AM117" t="s" s="0">
        <v>77</v>
      </c>
      <c r="AN117" t="s" s="0">
        <v>77</v>
      </c>
      <c r="AO117" t="s" s="0">
        <v>204</v>
      </c>
      <c r="AP117" t="s" s="0">
        <v>204</v>
      </c>
      <c r="AQ117" t="s" s="0">
        <v>100</v>
      </c>
      <c r="AR117" t="s" s="0">
        <v>101</v>
      </c>
      <c r="AS117" t="s" s="0">
        <v>102</v>
      </c>
      <c r="AT117" t="s" s="0">
        <v>825</v>
      </c>
      <c r="AU117" t="s" s="0">
        <v>826</v>
      </c>
      <c r="AV117" t="s" s="0">
        <v>82</v>
      </c>
      <c r="AW117" t="s" s="0">
        <v>827</v>
      </c>
      <c r="AX117" t="s" s="0">
        <v>828</v>
      </c>
      <c r="AY117" t="s" s="0">
        <v>829</v>
      </c>
      <c r="AZ117" t="s" s="0">
        <v>179</v>
      </c>
      <c r="BA117" t="s" s="0">
        <v>586</v>
      </c>
      <c r="BB117" t="s" s="0">
        <v>99</v>
      </c>
      <c r="BC117" t="s" s="0">
        <v>82</v>
      </c>
      <c r="BD117" t="s" s="0">
        <v>82</v>
      </c>
      <c r="BE117" t="s" s="0">
        <v>82</v>
      </c>
      <c r="BF117" t="s" s="0">
        <v>82</v>
      </c>
      <c r="BG117" t="s" s="0">
        <v>2894</v>
      </c>
      <c r="BH117" t="s" s="0">
        <v>2895</v>
      </c>
      <c r="BI117" t="s" s="0">
        <v>82</v>
      </c>
      <c r="BJ117" t="s" s="0">
        <v>2896</v>
      </c>
      <c r="BK117" t="s" s="231">
        <f>HYPERLINK("http://dx.doi.org/10.1109/JBHI.2025.3606881","http://dx.doi.org/10.1109/JBHI.2025.3606881")</f>
        <v>2897</v>
      </c>
      <c r="BL117" t="s" s="0">
        <v>82</v>
      </c>
      <c r="BM117" t="s" s="0">
        <v>82</v>
      </c>
      <c r="BN117" t="s" s="0">
        <v>184</v>
      </c>
      <c r="BO117" t="s" s="0">
        <v>834</v>
      </c>
      <c r="BP117" t="s" s="0">
        <v>835</v>
      </c>
      <c r="BQ117" t="s" s="0">
        <v>2898</v>
      </c>
      <c r="BR117" t="s" s="0">
        <v>2899</v>
      </c>
      <c r="BS117" t="s" s="0">
        <v>2900</v>
      </c>
      <c r="BT117" t="s" s="232">
        <f>HYPERLINK("https://www.webofscience.com/wos/woscc/full-record/WOS:001709172500016","View Record in Web of Science")</f>
        <v>120</v>
      </c>
      <c r="BU117" t="s" s="0">
        <v>82</v>
      </c>
      <c r="BV117" t="s" s="0">
        <v>82</v>
      </c>
      <c r="BW117" t="s" s="0">
        <v>82</v>
      </c>
      <c r="BX117" t="s" s="0">
        <v>121</v>
      </c>
    </row>
    <row r="118">
      <c r="A118" t="s" s="0">
        <v>77</v>
      </c>
      <c r="B118" t="s" s="0">
        <v>77</v>
      </c>
      <c r="C118" t="s" s="0">
        <v>77</v>
      </c>
      <c r="D118" t="s" s="0">
        <v>77</v>
      </c>
      <c r="E118" t="s" s="0">
        <v>2901</v>
      </c>
      <c r="F118" t="s" s="0">
        <v>2902</v>
      </c>
      <c r="G118" t="s" s="0">
        <v>2903</v>
      </c>
      <c r="H118" t="s" s="0">
        <v>82</v>
      </c>
      <c r="I118" t="s" s="0">
        <v>83</v>
      </c>
      <c r="J118" t="s" s="0">
        <v>2904</v>
      </c>
      <c r="K118" t="s" s="0">
        <v>2905</v>
      </c>
      <c r="L118" t="s" s="0">
        <v>2906</v>
      </c>
      <c r="M118" t="s" s="0">
        <v>2907</v>
      </c>
      <c r="N118" t="s" s="0">
        <v>2908</v>
      </c>
      <c r="O118" t="s" s="0">
        <v>2909</v>
      </c>
      <c r="P118" t="s" s="0">
        <v>2910</v>
      </c>
      <c r="Q118" t="s" s="0">
        <v>88</v>
      </c>
      <c r="R118" t="s" s="0">
        <v>82</v>
      </c>
      <c r="S118" t="s" s="0">
        <v>82</v>
      </c>
      <c r="T118" t="s" s="0">
        <v>82</v>
      </c>
      <c r="U118" t="s" s="0">
        <v>82</v>
      </c>
      <c r="V118" t="s" s="0">
        <v>2911</v>
      </c>
      <c r="W118" t="s" s="0">
        <v>1162</v>
      </c>
      <c r="X118" t="s" s="0">
        <v>82</v>
      </c>
      <c r="Y118" t="s" s="0">
        <v>82</v>
      </c>
      <c r="Z118" t="s" s="0">
        <v>91</v>
      </c>
      <c r="AA118" t="s" s="0">
        <v>92</v>
      </c>
      <c r="AB118" t="s" s="0">
        <v>82</v>
      </c>
      <c r="AC118" t="s" s="0">
        <v>82</v>
      </c>
      <c r="AD118" t="s" s="0">
        <v>82</v>
      </c>
      <c r="AE118" t="s" s="0">
        <v>82</v>
      </c>
      <c r="AF118" t="s" s="0">
        <v>82</v>
      </c>
      <c r="AG118" t="s" s="0">
        <v>2912</v>
      </c>
      <c r="AH118" t="s" s="0">
        <v>82</v>
      </c>
      <c r="AI118" t="s" s="0">
        <v>82</v>
      </c>
      <c r="AJ118" t="s" s="0">
        <v>82</v>
      </c>
      <c r="AK118" t="s" s="0">
        <v>82</v>
      </c>
      <c r="AL118" t="s" s="0">
        <v>1532</v>
      </c>
      <c r="AM118" t="s" s="0">
        <v>77</v>
      </c>
      <c r="AN118" t="s" s="0">
        <v>77</v>
      </c>
      <c r="AO118" t="s" s="0">
        <v>78</v>
      </c>
      <c r="AP118" t="s" s="0">
        <v>78</v>
      </c>
      <c r="AQ118" t="s" s="0">
        <v>418</v>
      </c>
      <c r="AR118" t="s" s="0">
        <v>419</v>
      </c>
      <c r="AS118" t="s" s="0">
        <v>420</v>
      </c>
      <c r="AT118" t="s" s="0">
        <v>82</v>
      </c>
      <c r="AU118" t="s" s="0">
        <v>1164</v>
      </c>
      <c r="AV118" t="s" s="0">
        <v>82</v>
      </c>
      <c r="AW118" t="s" s="0">
        <v>1165</v>
      </c>
      <c r="AX118" t="s" s="0">
        <v>1166</v>
      </c>
      <c r="AY118" t="s" s="0">
        <v>2913</v>
      </c>
      <c r="AZ118" t="s" s="0">
        <v>179</v>
      </c>
      <c r="BA118" t="s" s="0">
        <v>209</v>
      </c>
      <c r="BB118" t="s" s="0">
        <v>97</v>
      </c>
      <c r="BC118" t="s" s="0">
        <v>82</v>
      </c>
      <c r="BD118" t="s" s="0">
        <v>82</v>
      </c>
      <c r="BE118" t="s" s="0">
        <v>82</v>
      </c>
      <c r="BF118" t="s" s="0">
        <v>82</v>
      </c>
      <c r="BG118" t="s" s="0">
        <v>82</v>
      </c>
      <c r="BH118" t="s" s="0">
        <v>82</v>
      </c>
      <c r="BI118" t="s" s="0">
        <v>2914</v>
      </c>
      <c r="BJ118" t="s" s="0">
        <v>2915</v>
      </c>
      <c r="BK118" t="s" s="233">
        <f>HYPERLINK("http://dx.doi.org/10.3390/app16063103","http://dx.doi.org/10.3390/app16063103")</f>
        <v>2916</v>
      </c>
      <c r="BL118" t="s" s="0">
        <v>82</v>
      </c>
      <c r="BM118" t="s" s="0">
        <v>82</v>
      </c>
      <c r="BN118" t="s" s="0">
        <v>1504</v>
      </c>
      <c r="BO118" t="s" s="0">
        <v>1171</v>
      </c>
      <c r="BP118" t="s" s="0">
        <v>1172</v>
      </c>
      <c r="BQ118" t="s" s="0">
        <v>2917</v>
      </c>
      <c r="BR118" t="s" s="0">
        <v>82</v>
      </c>
      <c r="BS118" t="s" s="0">
        <v>2918</v>
      </c>
      <c r="BT118" t="s" s="234">
        <f>HYPERLINK("https://www.webofscience.com/wos/woscc/full-record/WOS:001725088100001","View Record in Web of Science")</f>
        <v>120</v>
      </c>
      <c r="BU118" t="s" s="0">
        <v>189</v>
      </c>
      <c r="BV118" t="s" s="0">
        <v>82</v>
      </c>
      <c r="BW118" t="s" s="0">
        <v>82</v>
      </c>
      <c r="BX118" t="s" s="0">
        <v>121</v>
      </c>
    </row>
    <row r="119">
      <c r="A119" t="s" s="0">
        <v>77</v>
      </c>
      <c r="B119" t="s" s="0">
        <v>77</v>
      </c>
      <c r="C119" t="s" s="0">
        <v>77</v>
      </c>
      <c r="D119" t="s" s="0">
        <v>77</v>
      </c>
      <c r="E119" t="s" s="0">
        <v>2919</v>
      </c>
      <c r="F119" t="s" s="0">
        <v>2920</v>
      </c>
      <c r="G119" t="s" s="0">
        <v>2921</v>
      </c>
      <c r="H119" t="s" s="0">
        <v>82</v>
      </c>
      <c r="I119" t="s" s="0">
        <v>83</v>
      </c>
      <c r="J119" t="s" s="0">
        <v>2922</v>
      </c>
      <c r="K119" t="s" s="0">
        <v>2923</v>
      </c>
      <c r="L119" t="s" s="0">
        <v>2924</v>
      </c>
      <c r="M119" t="s" s="0">
        <v>2925</v>
      </c>
      <c r="N119" t="s" s="0">
        <v>2926</v>
      </c>
      <c r="O119" t="s" s="0">
        <v>2927</v>
      </c>
      <c r="P119" t="s" s="0">
        <v>2928</v>
      </c>
      <c r="Q119" t="s" s="0">
        <v>88</v>
      </c>
      <c r="R119" t="s" s="0">
        <v>82</v>
      </c>
      <c r="S119" t="s" s="0">
        <v>82</v>
      </c>
      <c r="T119" t="s" s="0">
        <v>82</v>
      </c>
      <c r="U119" t="s" s="0">
        <v>82</v>
      </c>
      <c r="V119" t="s" s="0">
        <v>2929</v>
      </c>
      <c r="W119" t="s" s="0">
        <v>2930</v>
      </c>
      <c r="X119" t="s" s="0">
        <v>82</v>
      </c>
      <c r="Y119" t="s" s="0">
        <v>82</v>
      </c>
      <c r="Z119" t="s" s="0">
        <v>91</v>
      </c>
      <c r="AA119" t="s" s="0">
        <v>92</v>
      </c>
      <c r="AB119" t="s" s="0">
        <v>82</v>
      </c>
      <c r="AC119" t="s" s="0">
        <v>82</v>
      </c>
      <c r="AD119" t="s" s="0">
        <v>82</v>
      </c>
      <c r="AE119" t="s" s="0">
        <v>82</v>
      </c>
      <c r="AF119" t="s" s="0">
        <v>82</v>
      </c>
      <c r="AG119" t="s" s="0">
        <v>82</v>
      </c>
      <c r="AH119" t="s" s="0">
        <v>682</v>
      </c>
      <c r="AI119" t="s" s="0">
        <v>2931</v>
      </c>
      <c r="AJ119" t="s" s="0">
        <v>2932</v>
      </c>
      <c r="AK119" t="s" s="0">
        <v>82</v>
      </c>
      <c r="AL119" t="s" s="0">
        <v>736</v>
      </c>
      <c r="AM119" t="s" s="0">
        <v>204</v>
      </c>
      <c r="AN119" t="s" s="0">
        <v>204</v>
      </c>
      <c r="AO119" t="s" s="0">
        <v>77</v>
      </c>
      <c r="AP119" t="s" s="0">
        <v>110</v>
      </c>
      <c r="AQ119" t="s" s="0">
        <v>474</v>
      </c>
      <c r="AR119" t="s" s="0">
        <v>475</v>
      </c>
      <c r="AS119" t="s" s="0">
        <v>2059</v>
      </c>
      <c r="AT119" t="s" s="0">
        <v>2933</v>
      </c>
      <c r="AU119" t="s" s="0">
        <v>2934</v>
      </c>
      <c r="AV119" t="s" s="0">
        <v>82</v>
      </c>
      <c r="AW119" t="s" s="0">
        <v>2930</v>
      </c>
      <c r="AX119" t="s" s="0">
        <v>2935</v>
      </c>
      <c r="AY119" t="s" s="0">
        <v>1688</v>
      </c>
      <c r="AZ119" t="s" s="0">
        <v>108</v>
      </c>
      <c r="BA119" t="s" s="0">
        <v>417</v>
      </c>
      <c r="BB119" t="s" s="0">
        <v>428</v>
      </c>
      <c r="BC119" t="s" s="0">
        <v>82</v>
      </c>
      <c r="BD119" t="s" s="0">
        <v>82</v>
      </c>
      <c r="BE119" t="s" s="0">
        <v>82</v>
      </c>
      <c r="BF119" t="s" s="0">
        <v>82</v>
      </c>
      <c r="BG119" t="s" s="0">
        <v>2936</v>
      </c>
      <c r="BH119" t="s" s="0">
        <v>2937</v>
      </c>
      <c r="BI119" t="s" s="0">
        <v>82</v>
      </c>
      <c r="BJ119" t="s" s="0">
        <v>2938</v>
      </c>
      <c r="BK119" t="s" s="235">
        <f>HYPERLINK("http://dx.doi.org/10.1038/s41433-025-04013-8","http://dx.doi.org/10.1038/s41433-025-04013-8")</f>
        <v>2939</v>
      </c>
      <c r="BL119" t="s" s="0">
        <v>82</v>
      </c>
      <c r="BM119" t="s" s="0">
        <v>448</v>
      </c>
      <c r="BN119" t="s" s="0">
        <v>272</v>
      </c>
      <c r="BO119" t="s" s="0">
        <v>396</v>
      </c>
      <c r="BP119" t="s" s="0">
        <v>396</v>
      </c>
      <c r="BQ119" t="s" s="0">
        <v>2940</v>
      </c>
      <c r="BR119" t="s" s="0">
        <v>2941</v>
      </c>
      <c r="BS119" t="s" s="0">
        <v>2942</v>
      </c>
      <c r="BT119" t="s" s="236">
        <f>HYPERLINK("https://www.webofscience.com/wos/woscc/full-record/WOS:001589379800001","View Record in Web of Science")</f>
        <v>120</v>
      </c>
      <c r="BU119" t="s" s="0">
        <v>82</v>
      </c>
      <c r="BV119" t="s" s="0">
        <v>82</v>
      </c>
      <c r="BW119" t="s" s="0">
        <v>82</v>
      </c>
      <c r="BX119" t="s" s="0">
        <v>121</v>
      </c>
    </row>
    <row r="120">
      <c r="A120" t="s" s="0">
        <v>77</v>
      </c>
      <c r="B120" t="s" s="0">
        <v>77</v>
      </c>
      <c r="C120" t="s" s="0">
        <v>77</v>
      </c>
      <c r="D120" t="s" s="0">
        <v>77</v>
      </c>
      <c r="E120" t="s" s="0">
        <v>2943</v>
      </c>
      <c r="F120" t="s" s="0">
        <v>2944</v>
      </c>
      <c r="G120" t="s" s="0">
        <v>2945</v>
      </c>
      <c r="H120" t="s" s="0">
        <v>82</v>
      </c>
      <c r="I120" t="s" s="0">
        <v>83</v>
      </c>
      <c r="J120" t="s" s="0">
        <v>2946</v>
      </c>
      <c r="K120" t="s" s="0">
        <v>2947</v>
      </c>
      <c r="L120" t="s" s="0">
        <v>82</v>
      </c>
      <c r="M120" t="s" s="0">
        <v>82</v>
      </c>
      <c r="N120" t="s" s="0">
        <v>82</v>
      </c>
      <c r="O120" t="s" s="0">
        <v>2948</v>
      </c>
      <c r="P120" t="s" s="0">
        <v>2949</v>
      </c>
      <c r="Q120" t="s" s="0">
        <v>88</v>
      </c>
      <c r="R120" t="s" s="0">
        <v>82</v>
      </c>
      <c r="S120" t="s" s="0">
        <v>82</v>
      </c>
      <c r="T120" t="s" s="0">
        <v>82</v>
      </c>
      <c r="U120" t="s" s="0">
        <v>82</v>
      </c>
      <c r="V120" t="s" s="0">
        <v>2950</v>
      </c>
      <c r="W120" t="s" s="0">
        <v>2951</v>
      </c>
      <c r="X120" t="s" s="0">
        <v>82</v>
      </c>
      <c r="Y120" t="s" s="0">
        <v>82</v>
      </c>
      <c r="Z120" t="s" s="0">
        <v>91</v>
      </c>
      <c r="AA120" t="s" s="0">
        <v>92</v>
      </c>
      <c r="AB120" t="s" s="0">
        <v>82</v>
      </c>
      <c r="AC120" t="s" s="0">
        <v>82</v>
      </c>
      <c r="AD120" t="s" s="0">
        <v>82</v>
      </c>
      <c r="AE120" t="s" s="0">
        <v>82</v>
      </c>
      <c r="AF120" t="s" s="0">
        <v>82</v>
      </c>
      <c r="AG120" t="s" s="0">
        <v>82</v>
      </c>
      <c r="AH120" t="s" s="0">
        <v>82</v>
      </c>
      <c r="AI120" t="s" s="0">
        <v>2952</v>
      </c>
      <c r="AJ120" t="s" s="0">
        <v>2953</v>
      </c>
      <c r="AK120" t="s" s="0">
        <v>82</v>
      </c>
      <c r="AL120" t="s" s="0">
        <v>473</v>
      </c>
      <c r="AM120" t="s" s="0">
        <v>110</v>
      </c>
      <c r="AN120" t="s" s="0">
        <v>110</v>
      </c>
      <c r="AO120" t="s" s="0">
        <v>77</v>
      </c>
      <c r="AP120" t="s" s="0">
        <v>77</v>
      </c>
      <c r="AQ120" t="s" s="0">
        <v>795</v>
      </c>
      <c r="AR120" t="s" s="0">
        <v>796</v>
      </c>
      <c r="AS120" t="s" s="0">
        <v>797</v>
      </c>
      <c r="AT120" t="s" s="0">
        <v>2954</v>
      </c>
      <c r="AU120" t="s" s="0">
        <v>82</v>
      </c>
      <c r="AV120" t="s" s="0">
        <v>82</v>
      </c>
      <c r="AW120" t="s" s="0">
        <v>2955</v>
      </c>
      <c r="AX120" t="s" s="0">
        <v>2956</v>
      </c>
      <c r="AY120" t="s" s="0">
        <v>2744</v>
      </c>
      <c r="AZ120" t="s" s="0">
        <v>108</v>
      </c>
      <c r="BA120" t="s" s="0">
        <v>277</v>
      </c>
      <c r="BB120" t="s" s="0">
        <v>78</v>
      </c>
      <c r="BC120" t="s" s="0">
        <v>82</v>
      </c>
      <c r="BD120" t="s" s="0">
        <v>82</v>
      </c>
      <c r="BE120" t="s" s="0">
        <v>82</v>
      </c>
      <c r="BF120" t="s" s="0">
        <v>82</v>
      </c>
      <c r="BG120" t="s" s="0">
        <v>82</v>
      </c>
      <c r="BH120" t="s" s="0">
        <v>82</v>
      </c>
      <c r="BI120" t="s" s="0">
        <v>2957</v>
      </c>
      <c r="BJ120" t="s" s="0">
        <v>2958</v>
      </c>
      <c r="BK120" t="s" s="237">
        <f>HYPERLINK("http://dx.doi.org/10.1186/s13550-025-01323-6","http://dx.doi.org/10.1186/s13550-025-01323-6")</f>
        <v>2959</v>
      </c>
      <c r="BL120" t="s" s="0">
        <v>82</v>
      </c>
      <c r="BM120" t="s" s="0">
        <v>82</v>
      </c>
      <c r="BN120" t="s" s="0">
        <v>363</v>
      </c>
      <c r="BO120" t="s" s="0">
        <v>717</v>
      </c>
      <c r="BP120" t="s" s="0">
        <v>717</v>
      </c>
      <c r="BQ120" t="s" s="0">
        <v>2960</v>
      </c>
      <c r="BR120" t="s" s="0">
        <v>2961</v>
      </c>
      <c r="BS120" t="s" s="0">
        <v>2962</v>
      </c>
      <c r="BT120" t="s" s="238">
        <f>HYPERLINK("https://www.webofscience.com/wos/woscc/full-record/WOS:001633467900001","View Record in Web of Science")</f>
        <v>120</v>
      </c>
      <c r="BU120" t="s" s="0">
        <v>189</v>
      </c>
      <c r="BV120" t="s" s="0">
        <v>82</v>
      </c>
      <c r="BW120" t="s" s="0">
        <v>82</v>
      </c>
      <c r="BX120" t="s" s="0">
        <v>121</v>
      </c>
    </row>
    <row r="121">
      <c r="A121" t="s" s="0">
        <v>77</v>
      </c>
      <c r="B121" t="s" s="0">
        <v>77</v>
      </c>
      <c r="C121" t="s" s="0">
        <v>77</v>
      </c>
      <c r="D121" t="s" s="0">
        <v>77</v>
      </c>
      <c r="E121" t="s" s="0">
        <v>2963</v>
      </c>
      <c r="F121" t="s" s="0">
        <v>2964</v>
      </c>
      <c r="G121" t="s" s="0">
        <v>2965</v>
      </c>
      <c r="H121" t="s" s="0">
        <v>82</v>
      </c>
      <c r="I121" t="s" s="0">
        <v>83</v>
      </c>
      <c r="J121" t="s" s="0">
        <v>2966</v>
      </c>
      <c r="K121" t="s" s="0">
        <v>2967</v>
      </c>
      <c r="L121" t="s" s="0">
        <v>82</v>
      </c>
      <c r="M121" t="s" s="0">
        <v>82</v>
      </c>
      <c r="N121" t="s" s="0">
        <v>82</v>
      </c>
      <c r="O121" t="s" s="0">
        <v>2968</v>
      </c>
      <c r="P121" t="s" s="0">
        <v>82</v>
      </c>
      <c r="Q121" t="s" s="0">
        <v>88</v>
      </c>
      <c r="R121" t="s" s="0">
        <v>82</v>
      </c>
      <c r="S121" t="s" s="0">
        <v>82</v>
      </c>
      <c r="T121" t="s" s="0">
        <v>82</v>
      </c>
      <c r="U121" t="s" s="0">
        <v>82</v>
      </c>
      <c r="V121" t="s" s="0">
        <v>2969</v>
      </c>
      <c r="W121" t="s" s="0">
        <v>2970</v>
      </c>
      <c r="X121" t="s" s="0">
        <v>82</v>
      </c>
      <c r="Y121" t="s" s="0">
        <v>82</v>
      </c>
      <c r="Z121" t="s" s="0">
        <v>91</v>
      </c>
      <c r="AA121" t="s" s="0">
        <v>92</v>
      </c>
      <c r="AB121" t="s" s="0">
        <v>82</v>
      </c>
      <c r="AC121" t="s" s="0">
        <v>82</v>
      </c>
      <c r="AD121" t="s" s="0">
        <v>82</v>
      </c>
      <c r="AE121" t="s" s="0">
        <v>82</v>
      </c>
      <c r="AF121" t="s" s="0">
        <v>82</v>
      </c>
      <c r="AG121" t="s" s="0">
        <v>2971</v>
      </c>
      <c r="AH121" t="s" s="0">
        <v>2972</v>
      </c>
      <c r="AI121" t="s" s="0">
        <v>82</v>
      </c>
      <c r="AJ121" t="s" s="0">
        <v>82</v>
      </c>
      <c r="AK121" t="s" s="0">
        <v>82</v>
      </c>
      <c r="AL121" t="s" s="0">
        <v>736</v>
      </c>
      <c r="AM121" t="s" s="0">
        <v>77</v>
      </c>
      <c r="AN121" t="s" s="0">
        <v>77</v>
      </c>
      <c r="AO121" t="s" s="0">
        <v>204</v>
      </c>
      <c r="AP121" t="s" s="0">
        <v>204</v>
      </c>
      <c r="AQ121" t="s" s="0">
        <v>2973</v>
      </c>
      <c r="AR121" t="s" s="0">
        <v>796</v>
      </c>
      <c r="AS121" t="s" s="0">
        <v>2974</v>
      </c>
      <c r="AT121" t="s" s="0">
        <v>2975</v>
      </c>
      <c r="AU121" t="s" s="0">
        <v>2976</v>
      </c>
      <c r="AV121" t="s" s="0">
        <v>82</v>
      </c>
      <c r="AW121" t="s" s="0">
        <v>2977</v>
      </c>
      <c r="AX121" t="s" s="0">
        <v>2978</v>
      </c>
      <c r="AY121" t="s" s="0">
        <v>270</v>
      </c>
      <c r="AZ121" t="s" s="0">
        <v>179</v>
      </c>
      <c r="BA121" t="s" s="0">
        <v>2979</v>
      </c>
      <c r="BB121" t="s" s="0">
        <v>82</v>
      </c>
      <c r="BC121" t="s" s="0">
        <v>82</v>
      </c>
      <c r="BD121" t="s" s="0">
        <v>82</v>
      </c>
      <c r="BE121" t="s" s="0">
        <v>82</v>
      </c>
      <c r="BF121" t="s" s="0">
        <v>82</v>
      </c>
      <c r="BG121" t="s" s="0">
        <v>82</v>
      </c>
      <c r="BH121" t="s" s="0">
        <v>82</v>
      </c>
      <c r="BI121" t="s" s="0">
        <v>2980</v>
      </c>
      <c r="BJ121" t="s" s="0">
        <v>2981</v>
      </c>
      <c r="BK121" t="s" s="239">
        <f>HYPERLINK("http://dx.doi.org/10.1016/j.clinimag.2026.110841","http://dx.doi.org/10.1016/j.clinimag.2026.110841")</f>
        <v>2982</v>
      </c>
      <c r="BL121" t="s" s="0">
        <v>82</v>
      </c>
      <c r="BM121" t="s" s="0">
        <v>82</v>
      </c>
      <c r="BN121" t="s" s="0">
        <v>307</v>
      </c>
      <c r="BO121" t="s" s="0">
        <v>717</v>
      </c>
      <c r="BP121" t="s" s="0">
        <v>717</v>
      </c>
      <c r="BQ121" t="s" s="0">
        <v>2983</v>
      </c>
      <c r="BR121" t="s" s="0">
        <v>2984</v>
      </c>
      <c r="BS121" t="s" s="0">
        <v>2985</v>
      </c>
      <c r="BT121" t="s" s="240">
        <f>HYPERLINK("https://www.webofscience.com/wos/woscc/full-record/WOS:001792195000001","View Record in Web of Science")</f>
        <v>120</v>
      </c>
      <c r="BU121" t="s" s="0">
        <v>82</v>
      </c>
      <c r="BV121" t="s" s="0">
        <v>82</v>
      </c>
      <c r="BW121" t="s" s="0">
        <v>82</v>
      </c>
      <c r="BX121" t="s" s="0">
        <v>121</v>
      </c>
    </row>
    <row r="122">
      <c r="A122" t="s" s="0">
        <v>77</v>
      </c>
      <c r="B122" t="s" s="0">
        <v>77</v>
      </c>
      <c r="C122" t="s" s="0">
        <v>77</v>
      </c>
      <c r="D122" t="s" s="0">
        <v>77</v>
      </c>
      <c r="E122" t="s" s="0">
        <v>2986</v>
      </c>
      <c r="F122" t="s" s="0">
        <v>2987</v>
      </c>
      <c r="G122" t="s" s="0">
        <v>2988</v>
      </c>
      <c r="H122" t="s" s="0">
        <v>82</v>
      </c>
      <c r="I122" t="s" s="0">
        <v>460</v>
      </c>
      <c r="J122" t="s" s="0">
        <v>2989</v>
      </c>
      <c r="K122" t="s" s="0">
        <v>2990</v>
      </c>
      <c r="L122" t="s" s="0">
        <v>2991</v>
      </c>
      <c r="M122" t="s" s="0">
        <v>2992</v>
      </c>
      <c r="N122" t="s" s="0">
        <v>2993</v>
      </c>
      <c r="O122" t="s" s="0">
        <v>2994</v>
      </c>
      <c r="P122" t="s" s="0">
        <v>2995</v>
      </c>
      <c r="Q122" t="s" s="0">
        <v>88</v>
      </c>
      <c r="R122" t="s" s="0">
        <v>82</v>
      </c>
      <c r="S122" t="s" s="0">
        <v>82</v>
      </c>
      <c r="T122" t="s" s="0">
        <v>82</v>
      </c>
      <c r="U122" t="s" s="0">
        <v>82</v>
      </c>
      <c r="V122" t="s" s="0">
        <v>2996</v>
      </c>
      <c r="W122" t="s" s="0">
        <v>2997</v>
      </c>
      <c r="X122" t="s" s="0">
        <v>82</v>
      </c>
      <c r="Y122" t="s" s="0">
        <v>82</v>
      </c>
      <c r="Z122" t="s" s="0">
        <v>91</v>
      </c>
      <c r="AA122" t="s" s="0">
        <v>92</v>
      </c>
      <c r="AB122" t="s" s="0">
        <v>82</v>
      </c>
      <c r="AC122" t="s" s="0">
        <v>82</v>
      </c>
      <c r="AD122" t="s" s="0">
        <v>82</v>
      </c>
      <c r="AE122" t="s" s="0">
        <v>82</v>
      </c>
      <c r="AF122" t="s" s="0">
        <v>82</v>
      </c>
      <c r="AG122" t="s" s="0">
        <v>2998</v>
      </c>
      <c r="AH122" t="s" s="0">
        <v>82</v>
      </c>
      <c r="AI122" t="s" s="0">
        <v>2999</v>
      </c>
      <c r="AJ122" t="s" s="0">
        <v>3000</v>
      </c>
      <c r="AK122" t="s" s="0">
        <v>82</v>
      </c>
      <c r="AL122" t="s" s="0">
        <v>109</v>
      </c>
      <c r="AM122" t="s" s="0">
        <v>78</v>
      </c>
      <c r="AN122" t="s" s="0">
        <v>204</v>
      </c>
      <c r="AO122" t="s" s="0">
        <v>77</v>
      </c>
      <c r="AP122" t="s" s="0">
        <v>77</v>
      </c>
      <c r="AQ122" t="s" s="0">
        <v>3001</v>
      </c>
      <c r="AR122" t="s" s="0">
        <v>3002</v>
      </c>
      <c r="AS122" t="s" s="0">
        <v>3003</v>
      </c>
      <c r="AT122" t="s" s="0">
        <v>82</v>
      </c>
      <c r="AU122" t="s" s="0">
        <v>3004</v>
      </c>
      <c r="AV122" t="s" s="0">
        <v>82</v>
      </c>
      <c r="AW122" t="s" s="0">
        <v>3005</v>
      </c>
      <c r="AX122" t="s" s="0">
        <v>3006</v>
      </c>
      <c r="AY122" t="s" s="0">
        <v>3007</v>
      </c>
      <c r="AZ122" t="s" s="0">
        <v>108</v>
      </c>
      <c r="BA122" t="s" s="0">
        <v>98</v>
      </c>
      <c r="BB122" t="s" s="0">
        <v>82</v>
      </c>
      <c r="BC122" t="s" s="0">
        <v>82</v>
      </c>
      <c r="BD122" t="s" s="0">
        <v>82</v>
      </c>
      <c r="BE122" t="s" s="0">
        <v>82</v>
      </c>
      <c r="BF122" t="s" s="0">
        <v>82</v>
      </c>
      <c r="BG122" t="s" s="0">
        <v>82</v>
      </c>
      <c r="BH122" t="s" s="0">
        <v>82</v>
      </c>
      <c r="BI122" t="s" s="0">
        <v>3008</v>
      </c>
      <c r="BJ122" t="s" s="0">
        <v>3009</v>
      </c>
      <c r="BK122" t="s" s="241">
        <f>HYPERLINK("http://dx.doi.org/10.3389/fdgth.2025.1660887","http://dx.doi.org/10.3389/fdgth.2025.1660887")</f>
        <v>3010</v>
      </c>
      <c r="BL122" t="s" s="0">
        <v>82</v>
      </c>
      <c r="BM122" t="s" s="0">
        <v>82</v>
      </c>
      <c r="BN122" t="s" s="0">
        <v>97</v>
      </c>
      <c r="BO122" t="s" s="0">
        <v>185</v>
      </c>
      <c r="BP122" t="s" s="0">
        <v>185</v>
      </c>
      <c r="BQ122" t="s" s="0">
        <v>3011</v>
      </c>
      <c r="BR122" t="s" s="0">
        <v>3012</v>
      </c>
      <c r="BS122" t="s" s="0">
        <v>3013</v>
      </c>
      <c r="BT122" t="s" s="242">
        <f>HYPERLINK("https://www.webofscience.com/wos/woscc/full-record/WOS:001565407100001","View Record in Web of Science")</f>
        <v>120</v>
      </c>
      <c r="BU122" t="s" s="0">
        <v>2141</v>
      </c>
      <c r="BV122" t="s" s="0">
        <v>82</v>
      </c>
      <c r="BW122" t="s" s="0">
        <v>82</v>
      </c>
      <c r="BX122" t="s" s="0">
        <v>121</v>
      </c>
    </row>
    <row r="123">
      <c r="A123" t="s" s="0">
        <v>78</v>
      </c>
      <c r="B123" t="s" s="0">
        <v>77</v>
      </c>
      <c r="C123" t="s" s="0">
        <v>272</v>
      </c>
      <c r="D123" t="s" s="0">
        <v>77</v>
      </c>
      <c r="E123" t="s" s="0">
        <v>3014</v>
      </c>
      <c r="F123" t="s" s="0">
        <v>3015</v>
      </c>
      <c r="G123" t="s" s="0">
        <v>3016</v>
      </c>
      <c r="H123" t="s" s="0">
        <v>82</v>
      </c>
      <c r="I123" t="s" s="0">
        <v>83</v>
      </c>
      <c r="J123" t="s" s="0">
        <v>3017</v>
      </c>
      <c r="K123" t="s" s="0">
        <v>3018</v>
      </c>
      <c r="L123" t="s" s="0">
        <v>3019</v>
      </c>
      <c r="M123" t="s" s="0">
        <v>3020</v>
      </c>
      <c r="N123" t="s" s="0">
        <v>82</v>
      </c>
      <c r="O123" t="s" s="0">
        <v>3021</v>
      </c>
      <c r="P123" t="s" s="0">
        <v>3022</v>
      </c>
      <c r="Q123" t="s" s="0">
        <v>88</v>
      </c>
      <c r="R123" t="s" s="0">
        <v>82</v>
      </c>
      <c r="S123" t="s" s="0">
        <v>82</v>
      </c>
      <c r="T123" t="s" s="0">
        <v>82</v>
      </c>
      <c r="U123" t="s" s="0">
        <v>82</v>
      </c>
      <c r="V123" t="s" s="0">
        <v>3023</v>
      </c>
      <c r="W123" t="s" s="0">
        <v>3024</v>
      </c>
      <c r="X123" t="s" s="0">
        <v>82</v>
      </c>
      <c r="Y123" t="s" s="0">
        <v>82</v>
      </c>
      <c r="Z123" t="s" s="0">
        <v>91</v>
      </c>
      <c r="AA123" t="s" s="0">
        <v>92</v>
      </c>
      <c r="AB123" t="s" s="0">
        <v>82</v>
      </c>
      <c r="AC123" t="s" s="0">
        <v>82</v>
      </c>
      <c r="AD123" t="s" s="0">
        <v>82</v>
      </c>
      <c r="AE123" t="s" s="0">
        <v>82</v>
      </c>
      <c r="AF123" t="s" s="0">
        <v>82</v>
      </c>
      <c r="AG123" t="s" s="0">
        <v>82</v>
      </c>
      <c r="AH123" t="s" s="0">
        <v>82</v>
      </c>
      <c r="AI123" t="s" s="0">
        <v>3025</v>
      </c>
      <c r="AJ123" t="s" s="0">
        <v>3026</v>
      </c>
      <c r="AK123" t="s" s="0">
        <v>82</v>
      </c>
      <c r="AL123" t="s" s="0">
        <v>307</v>
      </c>
      <c r="AM123" t="s" s="0">
        <v>331</v>
      </c>
      <c r="AN123" t="s" s="0">
        <v>556</v>
      </c>
      <c r="AO123" t="s" s="0">
        <v>110</v>
      </c>
      <c r="AP123" t="s" s="0">
        <v>963</v>
      </c>
      <c r="AQ123" t="s" s="0">
        <v>3027</v>
      </c>
      <c r="AR123" t="s" s="0">
        <v>3028</v>
      </c>
      <c r="AS123" t="s" s="0">
        <v>3029</v>
      </c>
      <c r="AT123" t="s" s="0">
        <v>3030</v>
      </c>
      <c r="AU123" t="s" s="0">
        <v>3031</v>
      </c>
      <c r="AV123" t="s" s="0">
        <v>82</v>
      </c>
      <c r="AW123" t="s" s="0">
        <v>3032</v>
      </c>
      <c r="AX123" t="s" s="0">
        <v>3033</v>
      </c>
      <c r="AY123" t="s" s="0">
        <v>484</v>
      </c>
      <c r="AZ123" t="s" s="0">
        <v>146</v>
      </c>
      <c r="BA123" t="s" s="0">
        <v>2957</v>
      </c>
      <c r="BB123" t="s" s="0">
        <v>97</v>
      </c>
      <c r="BC123" t="s" s="0">
        <v>82</v>
      </c>
      <c r="BD123" t="s" s="0">
        <v>82</v>
      </c>
      <c r="BE123" t="s" s="0">
        <v>82</v>
      </c>
      <c r="BF123" t="s" s="0">
        <v>82</v>
      </c>
      <c r="BG123" t="s" s="0">
        <v>3034</v>
      </c>
      <c r="BH123" t="s" s="0">
        <v>3035</v>
      </c>
      <c r="BI123" t="s" s="0">
        <v>82</v>
      </c>
      <c r="BJ123" t="s" s="0">
        <v>3036</v>
      </c>
      <c r="BK123" t="s" s="243">
        <f>HYPERLINK("http://dx.doi.org/10.1001/jamaophthalmol.2024.1165","http://dx.doi.org/10.1001/jamaophthalmol.2024.1165")</f>
        <v>3037</v>
      </c>
      <c r="BL123" t="s" s="0">
        <v>82</v>
      </c>
      <c r="BM123" t="s" s="0">
        <v>3038</v>
      </c>
      <c r="BN123" t="s" s="0">
        <v>235</v>
      </c>
      <c r="BO123" t="s" s="0">
        <v>396</v>
      </c>
      <c r="BP123" t="s" s="0">
        <v>396</v>
      </c>
      <c r="BQ123" t="s" s="0">
        <v>3039</v>
      </c>
      <c r="BR123" t="s" s="0">
        <v>3040</v>
      </c>
      <c r="BS123" t="s" s="0">
        <v>3041</v>
      </c>
      <c r="BT123" t="s" s="244">
        <f>HYPERLINK("https://www.webofscience.com/wos/woscc/full-record/WOS:001217141100002","View Record in Web of Science")</f>
        <v>120</v>
      </c>
      <c r="BU123" t="s" s="0">
        <v>519</v>
      </c>
      <c r="BV123" t="s" s="0">
        <v>82</v>
      </c>
      <c r="BW123" t="s" s="0">
        <v>82</v>
      </c>
      <c r="BX123" t="s" s="0">
        <v>121</v>
      </c>
    </row>
    <row r="124">
      <c r="A124" t="s" s="0">
        <v>77</v>
      </c>
      <c r="B124" t="s" s="0">
        <v>77</v>
      </c>
      <c r="C124" t="s" s="0">
        <v>204</v>
      </c>
      <c r="D124" t="s" s="0">
        <v>77</v>
      </c>
      <c r="E124" t="s" s="0">
        <v>3042</v>
      </c>
      <c r="F124" t="s" s="0">
        <v>3043</v>
      </c>
      <c r="G124" t="s" s="0">
        <v>3044</v>
      </c>
      <c r="H124" t="s" s="0">
        <v>82</v>
      </c>
      <c r="I124" t="s" s="0">
        <v>83</v>
      </c>
      <c r="J124" t="s" s="0">
        <v>3045</v>
      </c>
      <c r="K124" t="s" s="0">
        <v>82</v>
      </c>
      <c r="L124" t="s" s="0">
        <v>3046</v>
      </c>
      <c r="M124" t="s" s="0">
        <v>3047</v>
      </c>
      <c r="N124" t="s" s="0">
        <v>3048</v>
      </c>
      <c r="O124" t="s" s="0">
        <v>3049</v>
      </c>
      <c r="P124" t="s" s="0">
        <v>3050</v>
      </c>
      <c r="Q124" t="s" s="0">
        <v>88</v>
      </c>
      <c r="R124" t="s" s="0">
        <v>82</v>
      </c>
      <c r="S124" t="s" s="0">
        <v>82</v>
      </c>
      <c r="T124" t="s" s="0">
        <v>82</v>
      </c>
      <c r="U124" t="s" s="0">
        <v>82</v>
      </c>
      <c r="V124" t="s" s="0">
        <v>3051</v>
      </c>
      <c r="W124" t="s" s="0">
        <v>347</v>
      </c>
      <c r="X124" t="s" s="0">
        <v>82</v>
      </c>
      <c r="Y124" t="s" s="0">
        <v>82</v>
      </c>
      <c r="Z124" t="s" s="0">
        <v>91</v>
      </c>
      <c r="AA124" t="s" s="0">
        <v>92</v>
      </c>
      <c r="AB124" t="s" s="0">
        <v>82</v>
      </c>
      <c r="AC124" t="s" s="0">
        <v>82</v>
      </c>
      <c r="AD124" t="s" s="0">
        <v>82</v>
      </c>
      <c r="AE124" t="s" s="0">
        <v>82</v>
      </c>
      <c r="AF124" t="s" s="0">
        <v>82</v>
      </c>
      <c r="AG124" t="s" s="0">
        <v>82</v>
      </c>
      <c r="AH124" t="s" s="0">
        <v>82</v>
      </c>
      <c r="AI124" t="s" s="0">
        <v>3052</v>
      </c>
      <c r="AJ124" t="s" s="0">
        <v>3053</v>
      </c>
      <c r="AK124" t="s" s="0">
        <v>82</v>
      </c>
      <c r="AL124" t="s" s="0">
        <v>1532</v>
      </c>
      <c r="AM124" t="s" s="0">
        <v>204</v>
      </c>
      <c r="AN124" t="s" s="0">
        <v>204</v>
      </c>
      <c r="AO124" t="s" s="0">
        <v>204</v>
      </c>
      <c r="AP124" t="s" s="0">
        <v>110</v>
      </c>
      <c r="AQ124" t="s" s="0">
        <v>351</v>
      </c>
      <c r="AR124" t="s" s="0">
        <v>352</v>
      </c>
      <c r="AS124" t="s" s="0">
        <v>353</v>
      </c>
      <c r="AT124" t="s" s="0">
        <v>354</v>
      </c>
      <c r="AU124" t="s" s="0">
        <v>355</v>
      </c>
      <c r="AV124" t="s" s="0">
        <v>82</v>
      </c>
      <c r="AW124" t="s" s="0">
        <v>356</v>
      </c>
      <c r="AX124" t="s" s="0">
        <v>357</v>
      </c>
      <c r="AY124" t="s" s="0">
        <v>634</v>
      </c>
      <c r="AZ124" t="s" s="0">
        <v>108</v>
      </c>
      <c r="BA124" t="s" s="0">
        <v>3054</v>
      </c>
      <c r="BB124" t="s" s="0">
        <v>82</v>
      </c>
      <c r="BC124" t="s" s="0">
        <v>82</v>
      </c>
      <c r="BD124" t="s" s="0">
        <v>82</v>
      </c>
      <c r="BE124" t="s" s="0">
        <v>82</v>
      </c>
      <c r="BF124" t="s" s="0">
        <v>82</v>
      </c>
      <c r="BG124" t="s" s="0">
        <v>82</v>
      </c>
      <c r="BH124" t="s" s="0">
        <v>82</v>
      </c>
      <c r="BI124" t="s" s="0">
        <v>3055</v>
      </c>
      <c r="BJ124" t="s" s="0">
        <v>3056</v>
      </c>
      <c r="BK124" t="s" s="245">
        <f>HYPERLINK("http://dx.doi.org/10.1016/j.jbi.2025.104931","http://dx.doi.org/10.1016/j.jbi.2025.104931")</f>
        <v>3057</v>
      </c>
      <c r="BL124" t="s" s="0">
        <v>82</v>
      </c>
      <c r="BM124" t="s" s="0">
        <v>448</v>
      </c>
      <c r="BN124" t="s" s="0">
        <v>363</v>
      </c>
      <c r="BO124" t="s" s="0">
        <v>364</v>
      </c>
      <c r="BP124" t="s" s="0">
        <v>365</v>
      </c>
      <c r="BQ124" t="s" s="0">
        <v>3058</v>
      </c>
      <c r="BR124" t="s" s="0">
        <v>3059</v>
      </c>
      <c r="BS124" t="s" s="0">
        <v>3060</v>
      </c>
      <c r="BT124" t="s" s="246">
        <f>HYPERLINK("https://www.webofscience.com/wos/woscc/full-record/WOS:001606093400001","View Record in Web of Science")</f>
        <v>120</v>
      </c>
      <c r="BU124" t="s" s="0">
        <v>82</v>
      </c>
      <c r="BV124" t="s" s="0">
        <v>82</v>
      </c>
      <c r="BW124" t="s" s="0">
        <v>82</v>
      </c>
      <c r="BX124" t="s" s="0">
        <v>121</v>
      </c>
    </row>
    <row r="125">
      <c r="A125" t="s" s="0">
        <v>77</v>
      </c>
      <c r="B125" t="s" s="0">
        <v>77</v>
      </c>
      <c r="C125" t="s" s="0">
        <v>77</v>
      </c>
      <c r="D125" t="s" s="0">
        <v>77</v>
      </c>
      <c r="E125" t="s" s="0">
        <v>3061</v>
      </c>
      <c r="F125" t="s" s="0">
        <v>3062</v>
      </c>
      <c r="G125" t="s" s="0">
        <v>3063</v>
      </c>
      <c r="H125" t="s" s="0">
        <v>82</v>
      </c>
      <c r="I125" t="s" s="0">
        <v>83</v>
      </c>
      <c r="J125" t="s" s="0">
        <v>3064</v>
      </c>
      <c r="K125" t="s" s="0">
        <v>3065</v>
      </c>
      <c r="L125" t="s" s="0">
        <v>3066</v>
      </c>
      <c r="M125" t="s" s="0">
        <v>3067</v>
      </c>
      <c r="N125" t="s" s="0">
        <v>3068</v>
      </c>
      <c r="O125" t="s" s="0">
        <v>3069</v>
      </c>
      <c r="P125" t="s" s="0">
        <v>3070</v>
      </c>
      <c r="Q125" t="s" s="0">
        <v>88</v>
      </c>
      <c r="R125" t="s" s="0">
        <v>82</v>
      </c>
      <c r="S125" t="s" s="0">
        <v>82</v>
      </c>
      <c r="T125" t="s" s="0">
        <v>82</v>
      </c>
      <c r="U125" t="s" s="0">
        <v>82</v>
      </c>
      <c r="V125" t="s" s="0">
        <v>3071</v>
      </c>
      <c r="W125" t="s" s="0">
        <v>960</v>
      </c>
      <c r="X125" t="s" s="0">
        <v>82</v>
      </c>
      <c r="Y125" t="s" s="0">
        <v>82</v>
      </c>
      <c r="Z125" t="s" s="0">
        <v>91</v>
      </c>
      <c r="AA125" t="s" s="0">
        <v>92</v>
      </c>
      <c r="AB125" t="s" s="0">
        <v>82</v>
      </c>
      <c r="AC125" t="s" s="0">
        <v>82</v>
      </c>
      <c r="AD125" t="s" s="0">
        <v>82</v>
      </c>
      <c r="AE125" t="s" s="0">
        <v>82</v>
      </c>
      <c r="AF125" t="s" s="0">
        <v>82</v>
      </c>
      <c r="AG125" t="s" s="0">
        <v>3072</v>
      </c>
      <c r="AH125" t="s" s="0">
        <v>82</v>
      </c>
      <c r="AI125" t="s" s="0">
        <v>3073</v>
      </c>
      <c r="AJ125" t="s" s="0">
        <v>82</v>
      </c>
      <c r="AK125" t="s" s="0">
        <v>82</v>
      </c>
      <c r="AL125" t="s" s="0">
        <v>3074</v>
      </c>
      <c r="AM125" t="s" s="0">
        <v>77</v>
      </c>
      <c r="AN125" t="s" s="0">
        <v>77</v>
      </c>
      <c r="AO125" t="s" s="0">
        <v>98</v>
      </c>
      <c r="AP125" t="s" s="0">
        <v>98</v>
      </c>
      <c r="AQ125" t="s" s="0">
        <v>964</v>
      </c>
      <c r="AR125" t="s" s="0">
        <v>965</v>
      </c>
      <c r="AS125" t="s" s="0">
        <v>966</v>
      </c>
      <c r="AT125" t="s" s="0">
        <v>967</v>
      </c>
      <c r="AU125" t="s" s="0">
        <v>968</v>
      </c>
      <c r="AV125" t="s" s="0">
        <v>82</v>
      </c>
      <c r="AW125" t="s" s="0">
        <v>969</v>
      </c>
      <c r="AX125" t="s" s="0">
        <v>970</v>
      </c>
      <c r="AY125" t="s" s="0">
        <v>712</v>
      </c>
      <c r="AZ125" t="s" s="0">
        <v>179</v>
      </c>
      <c r="BA125" t="s" s="0">
        <v>3075</v>
      </c>
      <c r="BB125" t="s" s="0">
        <v>82</v>
      </c>
      <c r="BC125" t="s" s="0">
        <v>82</v>
      </c>
      <c r="BD125" t="s" s="0">
        <v>82</v>
      </c>
      <c r="BE125" t="s" s="0">
        <v>82</v>
      </c>
      <c r="BF125" t="s" s="0">
        <v>82</v>
      </c>
      <c r="BG125" t="s" s="0">
        <v>82</v>
      </c>
      <c r="BH125" t="s" s="0">
        <v>82</v>
      </c>
      <c r="BI125" t="s" s="0">
        <v>3076</v>
      </c>
      <c r="BJ125" t="s" s="0">
        <v>3077</v>
      </c>
      <c r="BK125" t="s" s="247">
        <f>HYPERLINK("http://dx.doi.org/10.1016/j.eswa.2026.132008","http://dx.doi.org/10.1016/j.eswa.2026.132008")</f>
        <v>3078</v>
      </c>
      <c r="BL125" t="s" s="0">
        <v>82</v>
      </c>
      <c r="BM125" t="s" s="0">
        <v>82</v>
      </c>
      <c r="BN125" t="s" s="0">
        <v>892</v>
      </c>
      <c r="BO125" t="s" s="0">
        <v>977</v>
      </c>
      <c r="BP125" t="s" s="0">
        <v>978</v>
      </c>
      <c r="BQ125" t="s" s="0">
        <v>3079</v>
      </c>
      <c r="BR125" t="s" s="0">
        <v>82</v>
      </c>
      <c r="BS125" t="s" s="0">
        <v>3080</v>
      </c>
      <c r="BT125" t="s" s="248">
        <f>HYPERLINK("https://www.webofscience.com/wos/woscc/full-record/WOS:001721139800001","View Record in Web of Science")</f>
        <v>120</v>
      </c>
      <c r="BU125" t="s" s="0">
        <v>82</v>
      </c>
      <c r="BV125" t="s" s="0">
        <v>82</v>
      </c>
      <c r="BW125" t="s" s="0">
        <v>82</v>
      </c>
      <c r="BX125" t="s" s="0">
        <v>121</v>
      </c>
    </row>
    <row r="126">
      <c r="A126" t="s" s="0">
        <v>77</v>
      </c>
      <c r="B126" t="s" s="0">
        <v>77</v>
      </c>
      <c r="C126" t="s" s="0">
        <v>77</v>
      </c>
      <c r="D126" t="s" s="0">
        <v>77</v>
      </c>
      <c r="E126" t="s" s="0">
        <v>3081</v>
      </c>
      <c r="F126" t="s" s="0">
        <v>3082</v>
      </c>
      <c r="G126" t="s" s="0">
        <v>3083</v>
      </c>
      <c r="H126" t="s" s="0">
        <v>82</v>
      </c>
      <c r="I126" t="s" s="0">
        <v>460</v>
      </c>
      <c r="J126" t="s" s="0">
        <v>3084</v>
      </c>
      <c r="K126" t="s" s="0">
        <v>3085</v>
      </c>
      <c r="L126" t="s" s="0">
        <v>3086</v>
      </c>
      <c r="M126" t="s" s="0">
        <v>3087</v>
      </c>
      <c r="N126" t="s" s="0">
        <v>3088</v>
      </c>
      <c r="O126" t="s" s="0">
        <v>3089</v>
      </c>
      <c r="P126" t="s" s="0">
        <v>3090</v>
      </c>
      <c r="Q126" t="s" s="0">
        <v>88</v>
      </c>
      <c r="R126" t="s" s="0">
        <v>82</v>
      </c>
      <c r="S126" t="s" s="0">
        <v>82</v>
      </c>
      <c r="T126" t="s" s="0">
        <v>82</v>
      </c>
      <c r="U126" t="s" s="0">
        <v>82</v>
      </c>
      <c r="V126" t="s" s="0">
        <v>3091</v>
      </c>
      <c r="W126" t="s" s="0">
        <v>3092</v>
      </c>
      <c r="X126" t="s" s="0">
        <v>82</v>
      </c>
      <c r="Y126" t="s" s="0">
        <v>82</v>
      </c>
      <c r="Z126" t="s" s="0">
        <v>91</v>
      </c>
      <c r="AA126" t="s" s="0">
        <v>92</v>
      </c>
      <c r="AB126" t="s" s="0">
        <v>82</v>
      </c>
      <c r="AC126" t="s" s="0">
        <v>82</v>
      </c>
      <c r="AD126" t="s" s="0">
        <v>82</v>
      </c>
      <c r="AE126" t="s" s="0">
        <v>82</v>
      </c>
      <c r="AF126" t="s" s="0">
        <v>82</v>
      </c>
      <c r="AG126" t="s" s="0">
        <v>3093</v>
      </c>
      <c r="AH126" t="s" s="0">
        <v>82</v>
      </c>
      <c r="AI126" t="s" s="0">
        <v>3094</v>
      </c>
      <c r="AJ126" t="s" s="0">
        <v>82</v>
      </c>
      <c r="AK126" t="s" s="0">
        <v>82</v>
      </c>
      <c r="AL126" t="s" s="0">
        <v>473</v>
      </c>
      <c r="AM126" t="s" s="0">
        <v>77</v>
      </c>
      <c r="AN126" t="s" s="0">
        <v>77</v>
      </c>
      <c r="AO126" t="s" s="0">
        <v>77</v>
      </c>
      <c r="AP126" t="s" s="0">
        <v>77</v>
      </c>
      <c r="AQ126" t="s" s="0">
        <v>418</v>
      </c>
      <c r="AR126" t="s" s="0">
        <v>419</v>
      </c>
      <c r="AS126" t="s" s="0">
        <v>420</v>
      </c>
      <c r="AT126" t="s" s="0">
        <v>82</v>
      </c>
      <c r="AU126" t="s" s="0">
        <v>3095</v>
      </c>
      <c r="AV126" t="s" s="0">
        <v>82</v>
      </c>
      <c r="AW126" t="s" s="0">
        <v>3096</v>
      </c>
      <c r="AX126" t="s" s="0">
        <v>3097</v>
      </c>
      <c r="AY126" t="s" s="0">
        <v>3098</v>
      </c>
      <c r="AZ126" t="s" s="0">
        <v>179</v>
      </c>
      <c r="BA126" t="s" s="0">
        <v>148</v>
      </c>
      <c r="BB126" t="s" s="0">
        <v>235</v>
      </c>
      <c r="BC126" t="s" s="0">
        <v>82</v>
      </c>
      <c r="BD126" t="s" s="0">
        <v>82</v>
      </c>
      <c r="BE126" t="s" s="0">
        <v>82</v>
      </c>
      <c r="BF126" t="s" s="0">
        <v>82</v>
      </c>
      <c r="BG126" t="s" s="0">
        <v>82</v>
      </c>
      <c r="BH126" t="s" s="0">
        <v>82</v>
      </c>
      <c r="BI126" t="s" s="0">
        <v>3099</v>
      </c>
      <c r="BJ126" t="s" s="0">
        <v>3100</v>
      </c>
      <c r="BK126" t="s" s="249">
        <f>HYPERLINK("http://dx.doi.org/10.3390/jimaging12040168","http://dx.doi.org/10.3390/jimaging12040168")</f>
        <v>3101</v>
      </c>
      <c r="BL126" t="s" s="0">
        <v>82</v>
      </c>
      <c r="BM126" t="s" s="0">
        <v>183</v>
      </c>
      <c r="BN126" t="s" s="0">
        <v>963</v>
      </c>
      <c r="BO126" t="s" s="0">
        <v>3102</v>
      </c>
      <c r="BP126" t="s" s="0">
        <v>3102</v>
      </c>
      <c r="BQ126" t="s" s="0">
        <v>3103</v>
      </c>
      <c r="BR126" t="s" s="0">
        <v>3104</v>
      </c>
      <c r="BS126" t="s" s="0">
        <v>3105</v>
      </c>
      <c r="BT126" t="s" s="250">
        <f>HYPERLINK("https://www.webofscience.com/wos/woscc/full-record/WOS:001749794300001","View Record in Web of Science")</f>
        <v>120</v>
      </c>
      <c r="BU126" t="s" s="0">
        <v>189</v>
      </c>
      <c r="BV126" t="s" s="0">
        <v>82</v>
      </c>
      <c r="BW126" t="s" s="0">
        <v>82</v>
      </c>
      <c r="BX126" t="s" s="0">
        <v>121</v>
      </c>
    </row>
    <row r="127">
      <c r="A127" t="s" s="0">
        <v>77</v>
      </c>
      <c r="B127" t="s" s="0">
        <v>77</v>
      </c>
      <c r="C127" t="s" s="0">
        <v>77</v>
      </c>
      <c r="D127" t="s" s="0">
        <v>77</v>
      </c>
      <c r="E127" t="s" s="0">
        <v>3106</v>
      </c>
      <c r="F127" t="s" s="0">
        <v>3107</v>
      </c>
      <c r="G127" t="s" s="0">
        <v>3108</v>
      </c>
      <c r="H127" t="s" s="0">
        <v>82</v>
      </c>
      <c r="I127" t="s" s="0">
        <v>83</v>
      </c>
      <c r="J127" t="s" s="0">
        <v>3109</v>
      </c>
      <c r="K127" t="s" s="0">
        <v>3110</v>
      </c>
      <c r="L127" t="s" s="0">
        <v>82</v>
      </c>
      <c r="M127" t="s" s="0">
        <v>82</v>
      </c>
      <c r="N127" t="s" s="0">
        <v>82</v>
      </c>
      <c r="O127" t="s" s="0">
        <v>3111</v>
      </c>
      <c r="P127" t="s" s="0">
        <v>3112</v>
      </c>
      <c r="Q127" t="s" s="0">
        <v>88</v>
      </c>
      <c r="R127" t="s" s="0">
        <v>82</v>
      </c>
      <c r="S127" t="s" s="0">
        <v>82</v>
      </c>
      <c r="T127" t="s" s="0">
        <v>82</v>
      </c>
      <c r="U127" t="s" s="0">
        <v>82</v>
      </c>
      <c r="V127" t="s" s="0">
        <v>3113</v>
      </c>
      <c r="W127" t="s" s="0">
        <v>500</v>
      </c>
      <c r="X127" t="s" s="0">
        <v>82</v>
      </c>
      <c r="Y127" t="s" s="0">
        <v>82</v>
      </c>
      <c r="Z127" t="s" s="0">
        <v>91</v>
      </c>
      <c r="AA127" t="s" s="0">
        <v>92</v>
      </c>
      <c r="AB127" t="s" s="0">
        <v>82</v>
      </c>
      <c r="AC127" t="s" s="0">
        <v>82</v>
      </c>
      <c r="AD127" t="s" s="0">
        <v>82</v>
      </c>
      <c r="AE127" t="s" s="0">
        <v>82</v>
      </c>
      <c r="AF127" t="s" s="0">
        <v>82</v>
      </c>
      <c r="AG127" t="s" s="0">
        <v>3114</v>
      </c>
      <c r="AH127" t="s" s="0">
        <v>82</v>
      </c>
      <c r="AI127" t="s" s="0">
        <v>3115</v>
      </c>
      <c r="AJ127" t="s" s="0">
        <v>82</v>
      </c>
      <c r="AK127" t="s" s="0">
        <v>82</v>
      </c>
      <c r="AL127" t="s" s="0">
        <v>1665</v>
      </c>
      <c r="AM127" t="s" s="0">
        <v>77</v>
      </c>
      <c r="AN127" t="s" s="0">
        <v>77</v>
      </c>
      <c r="AO127" t="s" s="0">
        <v>99</v>
      </c>
      <c r="AP127" t="s" s="0">
        <v>99</v>
      </c>
      <c r="AQ127" t="s" s="0">
        <v>503</v>
      </c>
      <c r="AR127" t="s" s="0">
        <v>504</v>
      </c>
      <c r="AS127" t="s" s="0">
        <v>505</v>
      </c>
      <c r="AT127" t="s" s="0">
        <v>506</v>
      </c>
      <c r="AU127" t="s" s="0">
        <v>507</v>
      </c>
      <c r="AV127" t="s" s="0">
        <v>82</v>
      </c>
      <c r="AW127" t="s" s="0">
        <v>508</v>
      </c>
      <c r="AX127" t="s" s="0">
        <v>509</v>
      </c>
      <c r="AY127" t="s" s="0">
        <v>3116</v>
      </c>
      <c r="AZ127" t="s" s="0">
        <v>179</v>
      </c>
      <c r="BA127" t="s" s="0">
        <v>3117</v>
      </c>
      <c r="BB127" t="s" s="0">
        <v>82</v>
      </c>
      <c r="BC127" t="s" s="0">
        <v>82</v>
      </c>
      <c r="BD127" t="s" s="0">
        <v>82</v>
      </c>
      <c r="BE127" t="s" s="0">
        <v>82</v>
      </c>
      <c r="BF127" t="s" s="0">
        <v>82</v>
      </c>
      <c r="BG127" t="s" s="0">
        <v>82</v>
      </c>
      <c r="BH127" t="s" s="0">
        <v>82</v>
      </c>
      <c r="BI127" t="s" s="0">
        <v>3118</v>
      </c>
      <c r="BJ127" t="s" s="0">
        <v>3119</v>
      </c>
      <c r="BK127" t="s" s="251">
        <f>HYPERLINK("http://dx.doi.org/10.1016/j.bspc.2026.110337","http://dx.doi.org/10.1016/j.bspc.2026.110337")</f>
        <v>3120</v>
      </c>
      <c r="BL127" t="s" s="0">
        <v>82</v>
      </c>
      <c r="BM127" t="s" s="0">
        <v>183</v>
      </c>
      <c r="BN127" t="s" s="0">
        <v>976</v>
      </c>
      <c r="BO127" t="s" s="0">
        <v>516</v>
      </c>
      <c r="BP127" t="s" s="0">
        <v>247</v>
      </c>
      <c r="BQ127" t="s" s="0">
        <v>3121</v>
      </c>
      <c r="BR127" t="s" s="0">
        <v>82</v>
      </c>
      <c r="BS127" t="s" s="0">
        <v>3122</v>
      </c>
      <c r="BT127" t="s" s="252">
        <f>HYPERLINK("https://www.webofscience.com/wos/woscc/full-record/WOS:001753064500001","View Record in Web of Science")</f>
        <v>120</v>
      </c>
      <c r="BU127" t="s" s="0">
        <v>82</v>
      </c>
      <c r="BV127" t="s" s="0">
        <v>82</v>
      </c>
      <c r="BW127" t="s" s="0">
        <v>82</v>
      </c>
      <c r="BX127" t="s" s="0">
        <v>121</v>
      </c>
    </row>
    <row r="128">
      <c r="A128" t="s" s="0">
        <v>77</v>
      </c>
      <c r="B128" t="s" s="0">
        <v>77</v>
      </c>
      <c r="C128" t="s" s="0">
        <v>77</v>
      </c>
      <c r="D128" t="s" s="0">
        <v>77</v>
      </c>
      <c r="E128" t="s" s="0">
        <v>3123</v>
      </c>
      <c r="F128" t="s" s="0">
        <v>3124</v>
      </c>
      <c r="G128" t="s" s="0">
        <v>3125</v>
      </c>
      <c r="H128" t="s" s="0">
        <v>82</v>
      </c>
      <c r="I128" t="s" s="0">
        <v>460</v>
      </c>
      <c r="J128" t="s" s="0">
        <v>3126</v>
      </c>
      <c r="K128" t="s" s="0">
        <v>3127</v>
      </c>
      <c r="L128" t="s" s="0">
        <v>3128</v>
      </c>
      <c r="M128" t="s" s="0">
        <v>3129</v>
      </c>
      <c r="N128" t="s" s="0">
        <v>3130</v>
      </c>
      <c r="O128" t="s" s="0">
        <v>3131</v>
      </c>
      <c r="P128" t="s" s="0">
        <v>3132</v>
      </c>
      <c r="Q128" t="s" s="0">
        <v>88</v>
      </c>
      <c r="R128" t="s" s="0">
        <v>82</v>
      </c>
      <c r="S128" t="s" s="0">
        <v>82</v>
      </c>
      <c r="T128" t="s" s="0">
        <v>82</v>
      </c>
      <c r="U128" t="s" s="0">
        <v>82</v>
      </c>
      <c r="V128" t="s" s="0">
        <v>3133</v>
      </c>
      <c r="W128" t="s" s="0">
        <v>3134</v>
      </c>
      <c r="X128" t="s" s="0">
        <v>82</v>
      </c>
      <c r="Y128" t="s" s="0">
        <v>82</v>
      </c>
      <c r="Z128" t="s" s="0">
        <v>91</v>
      </c>
      <c r="AA128" t="s" s="0">
        <v>92</v>
      </c>
      <c r="AB128" t="s" s="0">
        <v>82</v>
      </c>
      <c r="AC128" t="s" s="0">
        <v>82</v>
      </c>
      <c r="AD128" t="s" s="0">
        <v>82</v>
      </c>
      <c r="AE128" t="s" s="0">
        <v>82</v>
      </c>
      <c r="AF128" t="s" s="0">
        <v>82</v>
      </c>
      <c r="AG128" t="s" s="0">
        <v>82</v>
      </c>
      <c r="AH128" t="s" s="0">
        <v>3135</v>
      </c>
      <c r="AI128" t="s" s="0">
        <v>82</v>
      </c>
      <c r="AJ128" t="s" s="0">
        <v>82</v>
      </c>
      <c r="AK128" t="s" s="0">
        <v>82</v>
      </c>
      <c r="AL128" t="s" s="0">
        <v>962</v>
      </c>
      <c r="AM128" t="s" s="0">
        <v>77</v>
      </c>
      <c r="AN128" t="s" s="0">
        <v>77</v>
      </c>
      <c r="AO128" t="s" s="0">
        <v>78</v>
      </c>
      <c r="AP128" t="s" s="0">
        <v>204</v>
      </c>
      <c r="AQ128" t="s" s="0">
        <v>474</v>
      </c>
      <c r="AR128" t="s" s="0">
        <v>475</v>
      </c>
      <c r="AS128" t="s" s="0">
        <v>2059</v>
      </c>
      <c r="AT128" t="s" s="0">
        <v>3136</v>
      </c>
      <c r="AU128" t="s" s="0">
        <v>82</v>
      </c>
      <c r="AV128" t="s" s="0">
        <v>82</v>
      </c>
      <c r="AW128" t="s" s="0">
        <v>3137</v>
      </c>
      <c r="AX128" t="s" s="0">
        <v>3138</v>
      </c>
      <c r="AY128" t="s" s="0">
        <v>3139</v>
      </c>
      <c r="AZ128" t="s" s="0">
        <v>108</v>
      </c>
      <c r="BA128" t="s" s="0">
        <v>97</v>
      </c>
      <c r="BB128" t="s" s="0">
        <v>78</v>
      </c>
      <c r="BC128" t="s" s="0">
        <v>82</v>
      </c>
      <c r="BD128" t="s" s="0">
        <v>82</v>
      </c>
      <c r="BE128" t="s" s="0">
        <v>82</v>
      </c>
      <c r="BF128" t="s" s="0">
        <v>82</v>
      </c>
      <c r="BG128" t="s" s="0">
        <v>82</v>
      </c>
      <c r="BH128" t="s" s="0">
        <v>82</v>
      </c>
      <c r="BI128" t="s" s="0">
        <v>1505</v>
      </c>
      <c r="BJ128" t="s" s="0">
        <v>3140</v>
      </c>
      <c r="BK128" t="s" s="253">
        <f>HYPERLINK("http://dx.doi.org/10.1038/s43856-025-01293-9","http://dx.doi.org/10.1038/s43856-025-01293-9")</f>
        <v>3141</v>
      </c>
      <c r="BL128" t="s" s="0">
        <v>82</v>
      </c>
      <c r="BM128" t="s" s="0">
        <v>82</v>
      </c>
      <c r="BN128" t="s" s="0">
        <v>184</v>
      </c>
      <c r="BO128" t="s" s="0">
        <v>3142</v>
      </c>
      <c r="BP128" t="s" s="0">
        <v>3143</v>
      </c>
      <c r="BQ128" t="s" s="0">
        <v>3144</v>
      </c>
      <c r="BR128" t="s" s="0">
        <v>3145</v>
      </c>
      <c r="BS128" t="s" s="0">
        <v>3146</v>
      </c>
      <c r="BT128" t="s" s="254">
        <f>HYPERLINK("https://www.webofscience.com/wos/woscc/full-record/WOS:001665368600001","View Record in Web of Science")</f>
        <v>120</v>
      </c>
      <c r="BU128" t="s" s="0">
        <v>189</v>
      </c>
      <c r="BV128" t="s" s="0">
        <v>82</v>
      </c>
      <c r="BW128" t="s" s="0">
        <v>82</v>
      </c>
      <c r="BX128" t="s" s="0">
        <v>121</v>
      </c>
    </row>
    <row r="129">
      <c r="A129" t="s" s="0">
        <v>77</v>
      </c>
      <c r="B129" t="s" s="0">
        <v>77</v>
      </c>
      <c r="C129" t="s" s="0">
        <v>77</v>
      </c>
      <c r="D129" t="s" s="0">
        <v>77</v>
      </c>
      <c r="E129" t="s" s="0">
        <v>3147</v>
      </c>
      <c r="F129" t="s" s="0">
        <v>3148</v>
      </c>
      <c r="G129" t="s" s="0">
        <v>3149</v>
      </c>
      <c r="H129" t="s" s="0">
        <v>82</v>
      </c>
      <c r="I129" t="s" s="0">
        <v>83</v>
      </c>
      <c r="J129" t="s" s="0">
        <v>3150</v>
      </c>
      <c r="K129" t="s" s="0">
        <v>3151</v>
      </c>
      <c r="L129" t="s" s="0">
        <v>3152</v>
      </c>
      <c r="M129" t="s" s="0">
        <v>3152</v>
      </c>
      <c r="N129" t="s" s="0">
        <v>3153</v>
      </c>
      <c r="O129" t="s" s="0">
        <v>3154</v>
      </c>
      <c r="P129" t="s" s="0">
        <v>3155</v>
      </c>
      <c r="Q129" t="s" s="0">
        <v>88</v>
      </c>
      <c r="R129" t="s" s="0">
        <v>82</v>
      </c>
      <c r="S129" t="s" s="0">
        <v>82</v>
      </c>
      <c r="T129" t="s" s="0">
        <v>82</v>
      </c>
      <c r="U129" t="s" s="0">
        <v>82</v>
      </c>
      <c r="V129" t="s" s="0">
        <v>3156</v>
      </c>
      <c r="W129" t="s" s="0">
        <v>3157</v>
      </c>
      <c r="X129" t="s" s="0">
        <v>82</v>
      </c>
      <c r="Y129" t="s" s="0">
        <v>82</v>
      </c>
      <c r="Z129" t="s" s="0">
        <v>91</v>
      </c>
      <c r="AA129" t="s" s="0">
        <v>92</v>
      </c>
      <c r="AB129" t="s" s="0">
        <v>82</v>
      </c>
      <c r="AC129" t="s" s="0">
        <v>82</v>
      </c>
      <c r="AD129" t="s" s="0">
        <v>82</v>
      </c>
      <c r="AE129" t="s" s="0">
        <v>82</v>
      </c>
      <c r="AF129" t="s" s="0">
        <v>82</v>
      </c>
      <c r="AG129" t="s" s="0">
        <v>3158</v>
      </c>
      <c r="AH129" t="s" s="0">
        <v>3159</v>
      </c>
      <c r="AI129" t="s" s="0">
        <v>3160</v>
      </c>
      <c r="AJ129" t="s" s="0">
        <v>3161</v>
      </c>
      <c r="AK129" t="s" s="0">
        <v>82</v>
      </c>
      <c r="AL129" t="s" s="0">
        <v>794</v>
      </c>
      <c r="AM129" t="s" s="0">
        <v>77</v>
      </c>
      <c r="AN129" t="s" s="0">
        <v>77</v>
      </c>
      <c r="AO129" t="s" s="0">
        <v>78</v>
      </c>
      <c r="AP129" t="s" s="0">
        <v>78</v>
      </c>
      <c r="AQ129" t="s" s="0">
        <v>418</v>
      </c>
      <c r="AR129" t="s" s="0">
        <v>419</v>
      </c>
      <c r="AS129" t="s" s="0">
        <v>420</v>
      </c>
      <c r="AT129" t="s" s="0">
        <v>82</v>
      </c>
      <c r="AU129" t="s" s="0">
        <v>3162</v>
      </c>
      <c r="AV129" t="s" s="0">
        <v>82</v>
      </c>
      <c r="AW129" t="s" s="0">
        <v>3157</v>
      </c>
      <c r="AX129" t="s" s="0">
        <v>3163</v>
      </c>
      <c r="AY129" t="s" s="0">
        <v>3164</v>
      </c>
      <c r="AZ129" t="s" s="0">
        <v>179</v>
      </c>
      <c r="BA129" t="s" s="0">
        <v>209</v>
      </c>
      <c r="BB129" t="s" s="0">
        <v>235</v>
      </c>
      <c r="BC129" t="s" s="0">
        <v>82</v>
      </c>
      <c r="BD129" t="s" s="0">
        <v>82</v>
      </c>
      <c r="BE129" t="s" s="0">
        <v>82</v>
      </c>
      <c r="BF129" t="s" s="0">
        <v>82</v>
      </c>
      <c r="BG129" t="s" s="0">
        <v>82</v>
      </c>
      <c r="BH129" t="s" s="0">
        <v>82</v>
      </c>
      <c r="BI129" t="s" s="0">
        <v>3165</v>
      </c>
      <c r="BJ129" t="s" s="0">
        <v>3166</v>
      </c>
      <c r="BK129" t="s" s="255">
        <f>HYPERLINK("http://dx.doi.org/10.3390/diagnostics16040603","http://dx.doi.org/10.3390/diagnostics16040603")</f>
        <v>3167</v>
      </c>
      <c r="BL129" t="s" s="0">
        <v>82</v>
      </c>
      <c r="BM129" t="s" s="0">
        <v>82</v>
      </c>
      <c r="BN129" t="s" s="0">
        <v>109</v>
      </c>
      <c r="BO129" t="s" s="0">
        <v>1803</v>
      </c>
      <c r="BP129" t="s" s="0">
        <v>1804</v>
      </c>
      <c r="BQ129" t="s" s="0">
        <v>3168</v>
      </c>
      <c r="BR129" t="s" s="0">
        <v>3169</v>
      </c>
      <c r="BS129" t="s" s="0">
        <v>3170</v>
      </c>
      <c r="BT129" t="s" s="256">
        <f>HYPERLINK("https://www.webofscience.com/wos/woscc/full-record/WOS:001701477200001","View Record in Web of Science")</f>
        <v>120</v>
      </c>
      <c r="BU129" t="s" s="0">
        <v>3171</v>
      </c>
      <c r="BV129" t="s" s="0">
        <v>82</v>
      </c>
      <c r="BW129" t="s" s="0">
        <v>82</v>
      </c>
      <c r="BX129" t="s" s="0">
        <v>121</v>
      </c>
    </row>
    <row r="130">
      <c r="A130" t="s" s="0">
        <v>77</v>
      </c>
      <c r="B130" t="s" s="0">
        <v>77</v>
      </c>
      <c r="C130" t="s" s="0">
        <v>77</v>
      </c>
      <c r="D130" t="s" s="0">
        <v>77</v>
      </c>
      <c r="E130" t="s" s="0">
        <v>3172</v>
      </c>
      <c r="F130" t="s" s="0">
        <v>3173</v>
      </c>
      <c r="G130" t="s" s="0">
        <v>3174</v>
      </c>
      <c r="H130" t="s" s="0">
        <v>82</v>
      </c>
      <c r="I130" t="s" s="0">
        <v>83</v>
      </c>
      <c r="J130" t="s" s="0">
        <v>3175</v>
      </c>
      <c r="K130" t="s" s="0">
        <v>3176</v>
      </c>
      <c r="L130" t="s" s="0">
        <v>3177</v>
      </c>
      <c r="M130" t="s" s="0">
        <v>3178</v>
      </c>
      <c r="N130" t="s" s="0">
        <v>3179</v>
      </c>
      <c r="O130" t="s" s="0">
        <v>3180</v>
      </c>
      <c r="P130" t="s" s="0">
        <v>3181</v>
      </c>
      <c r="Q130" t="s" s="0">
        <v>88</v>
      </c>
      <c r="R130" t="s" s="0">
        <v>82</v>
      </c>
      <c r="S130" t="s" s="0">
        <v>82</v>
      </c>
      <c r="T130" t="s" s="0">
        <v>82</v>
      </c>
      <c r="U130" t="s" s="0">
        <v>82</v>
      </c>
      <c r="V130" t="s" s="0">
        <v>3182</v>
      </c>
      <c r="W130" t="s" s="0">
        <v>1019</v>
      </c>
      <c r="X130" t="s" s="0">
        <v>82</v>
      </c>
      <c r="Y130" t="s" s="0">
        <v>82</v>
      </c>
      <c r="Z130" t="s" s="0">
        <v>91</v>
      </c>
      <c r="AA130" t="s" s="0">
        <v>92</v>
      </c>
      <c r="AB130" t="s" s="0">
        <v>82</v>
      </c>
      <c r="AC130" t="s" s="0">
        <v>82</v>
      </c>
      <c r="AD130" t="s" s="0">
        <v>82</v>
      </c>
      <c r="AE130" t="s" s="0">
        <v>82</v>
      </c>
      <c r="AF130" t="s" s="0">
        <v>82</v>
      </c>
      <c r="AG130" t="s" s="0">
        <v>3183</v>
      </c>
      <c r="AH130" t="s" s="0">
        <v>82</v>
      </c>
      <c r="AI130" t="s" s="0">
        <v>3184</v>
      </c>
      <c r="AJ130" t="s" s="0">
        <v>82</v>
      </c>
      <c r="AK130" t="s" s="0">
        <v>82</v>
      </c>
      <c r="AL130" t="s" s="0">
        <v>3185</v>
      </c>
      <c r="AM130" t="s" s="0">
        <v>204</v>
      </c>
      <c r="AN130" t="s" s="0">
        <v>99</v>
      </c>
      <c r="AO130" t="s" s="0">
        <v>99</v>
      </c>
      <c r="AP130" t="s" s="0">
        <v>99</v>
      </c>
      <c r="AQ130" t="s" s="0">
        <v>296</v>
      </c>
      <c r="AR130" t="s" s="0">
        <v>297</v>
      </c>
      <c r="AS130" t="s" s="0">
        <v>298</v>
      </c>
      <c r="AT130" t="s" s="0">
        <v>1021</v>
      </c>
      <c r="AU130" t="s" s="0">
        <v>1022</v>
      </c>
      <c r="AV130" t="s" s="0">
        <v>82</v>
      </c>
      <c r="AW130" t="s" s="0">
        <v>1023</v>
      </c>
      <c r="AX130" t="s" s="0">
        <v>1024</v>
      </c>
      <c r="AY130" t="s" s="0">
        <v>358</v>
      </c>
      <c r="AZ130" t="s" s="0">
        <v>179</v>
      </c>
      <c r="BA130" t="s" s="0">
        <v>3186</v>
      </c>
      <c r="BB130" t="s" s="0">
        <v>82</v>
      </c>
      <c r="BC130" t="s" s="0">
        <v>82</v>
      </c>
      <c r="BD130" t="s" s="0">
        <v>82</v>
      </c>
      <c r="BE130" t="s" s="0">
        <v>82</v>
      </c>
      <c r="BF130" t="s" s="0">
        <v>82</v>
      </c>
      <c r="BG130" t="s" s="0">
        <v>82</v>
      </c>
      <c r="BH130" t="s" s="0">
        <v>82</v>
      </c>
      <c r="BI130" t="s" s="0">
        <v>3187</v>
      </c>
      <c r="BJ130" t="s" s="0">
        <v>3188</v>
      </c>
      <c r="BK130" t="s" s="257">
        <f>HYPERLINK("http://dx.doi.org/10.1016/j.media.2026.104077","http://dx.doi.org/10.1016/j.media.2026.104077")</f>
        <v>3189</v>
      </c>
      <c r="BL130" t="s" s="0">
        <v>82</v>
      </c>
      <c r="BM130" t="s" s="0">
        <v>82</v>
      </c>
      <c r="BN130" t="s" s="0">
        <v>96</v>
      </c>
      <c r="BO130" t="s" s="0">
        <v>1030</v>
      </c>
      <c r="BP130" t="s" s="0">
        <v>1031</v>
      </c>
      <c r="BQ130" t="s" s="0">
        <v>3190</v>
      </c>
      <c r="BR130" t="s" s="0">
        <v>3191</v>
      </c>
      <c r="BS130" t="s" s="0">
        <v>3192</v>
      </c>
      <c r="BT130" t="s" s="258">
        <f>HYPERLINK("https://www.webofscience.com/wos/woscc/full-record/WOS:001747383700001","View Record in Web of Science")</f>
        <v>120</v>
      </c>
      <c r="BU130" t="s" s="0">
        <v>519</v>
      </c>
      <c r="BV130" t="s" s="0">
        <v>82</v>
      </c>
      <c r="BW130" t="s" s="0">
        <v>82</v>
      </c>
      <c r="BX130" t="s" s="0">
        <v>121</v>
      </c>
    </row>
    <row r="131">
      <c r="A131" t="s" s="0">
        <v>77</v>
      </c>
      <c r="B131" t="s" s="0">
        <v>77</v>
      </c>
      <c r="C131" t="s" s="0">
        <v>78</v>
      </c>
      <c r="D131" t="s" s="0">
        <v>77</v>
      </c>
      <c r="E131" t="s" s="0">
        <v>3193</v>
      </c>
      <c r="F131" t="s" s="0">
        <v>3194</v>
      </c>
      <c r="G131" t="s" s="0">
        <v>3195</v>
      </c>
      <c r="H131" t="s" s="0">
        <v>82</v>
      </c>
      <c r="I131" t="s" s="0">
        <v>83</v>
      </c>
      <c r="J131" t="s" s="0">
        <v>3196</v>
      </c>
      <c r="K131" t="s" s="0">
        <v>3197</v>
      </c>
      <c r="L131" t="s" s="0">
        <v>3198</v>
      </c>
      <c r="M131" t="s" s="0">
        <v>3199</v>
      </c>
      <c r="N131" t="s" s="0">
        <v>3200</v>
      </c>
      <c r="O131" t="s" s="0">
        <v>3201</v>
      </c>
      <c r="P131" t="s" s="0">
        <v>3202</v>
      </c>
      <c r="Q131" t="s" s="0">
        <v>88</v>
      </c>
      <c r="R131" t="s" s="0">
        <v>82</v>
      </c>
      <c r="S131" t="s" s="0">
        <v>82</v>
      </c>
      <c r="T131" t="s" s="0">
        <v>82</v>
      </c>
      <c r="U131" t="s" s="0">
        <v>82</v>
      </c>
      <c r="V131" t="s" s="0">
        <v>3203</v>
      </c>
      <c r="W131" t="s" s="0">
        <v>3204</v>
      </c>
      <c r="X131" t="s" s="0">
        <v>82</v>
      </c>
      <c r="Y131" t="s" s="0">
        <v>82</v>
      </c>
      <c r="Z131" t="s" s="0">
        <v>91</v>
      </c>
      <c r="AA131" t="s" s="0">
        <v>92</v>
      </c>
      <c r="AB131" t="s" s="0">
        <v>82</v>
      </c>
      <c r="AC131" t="s" s="0">
        <v>82</v>
      </c>
      <c r="AD131" t="s" s="0">
        <v>82</v>
      </c>
      <c r="AE131" t="s" s="0">
        <v>82</v>
      </c>
      <c r="AF131" t="s" s="0">
        <v>82</v>
      </c>
      <c r="AG131" t="s" s="0">
        <v>82</v>
      </c>
      <c r="AH131" t="s" s="0">
        <v>3205</v>
      </c>
      <c r="AI131" t="s" s="0">
        <v>3206</v>
      </c>
      <c r="AJ131" t="s" s="0">
        <v>3207</v>
      </c>
      <c r="AK131" t="s" s="0">
        <v>82</v>
      </c>
      <c r="AL131" t="s" s="0">
        <v>428</v>
      </c>
      <c r="AM131" t="s" s="0">
        <v>235</v>
      </c>
      <c r="AN131" t="s" s="0">
        <v>110</v>
      </c>
      <c r="AO131" t="s" s="0">
        <v>77</v>
      </c>
      <c r="AP131" t="s" s="0">
        <v>97</v>
      </c>
      <c r="AQ131" t="s" s="0">
        <v>3208</v>
      </c>
      <c r="AR131" t="s" s="0">
        <v>3209</v>
      </c>
      <c r="AS131" t="s" s="0">
        <v>3210</v>
      </c>
      <c r="AT131" t="s" s="0">
        <v>3211</v>
      </c>
      <c r="AU131" t="s" s="0">
        <v>82</v>
      </c>
      <c r="AV131" t="s" s="0">
        <v>82</v>
      </c>
      <c r="AW131" t="s" s="0">
        <v>3204</v>
      </c>
      <c r="AX131" t="s" s="0">
        <v>3212</v>
      </c>
      <c r="AY131" t="s" s="0">
        <v>611</v>
      </c>
      <c r="AZ131" t="s" s="0">
        <v>108</v>
      </c>
      <c r="BA131" t="s" s="0">
        <v>3213</v>
      </c>
      <c r="BB131" t="s" s="0">
        <v>99</v>
      </c>
      <c r="BC131" t="s" s="0">
        <v>82</v>
      </c>
      <c r="BD131" t="s" s="0">
        <v>82</v>
      </c>
      <c r="BE131" t="s" s="0">
        <v>82</v>
      </c>
      <c r="BF131" t="s" s="0">
        <v>82</v>
      </c>
      <c r="BG131" t="s" s="0">
        <v>82</v>
      </c>
      <c r="BH131" t="s" s="0">
        <v>82</v>
      </c>
      <c r="BI131" t="s" s="0">
        <v>3214</v>
      </c>
      <c r="BJ131" t="s" s="0">
        <v>3215</v>
      </c>
      <c r="BK131" t="s" s="259">
        <f>HYPERLINK("http://dx.doi.org/10.1148/radiol.243664","http://dx.doi.org/10.1148/radiol.243664")</f>
        <v>3216</v>
      </c>
      <c r="BL131" t="s" s="0">
        <v>82</v>
      </c>
      <c r="BM131" t="s" s="0">
        <v>82</v>
      </c>
      <c r="BN131" t="s" s="0">
        <v>307</v>
      </c>
      <c r="BO131" t="s" s="0">
        <v>717</v>
      </c>
      <c r="BP131" t="s" s="0">
        <v>717</v>
      </c>
      <c r="BQ131" t="s" s="0">
        <v>3217</v>
      </c>
      <c r="BR131" t="s" s="0">
        <v>3218</v>
      </c>
      <c r="BS131" t="s" s="0">
        <v>3219</v>
      </c>
      <c r="BT131" t="s" s="260">
        <f>HYPERLINK("https://www.webofscience.com/wos/woscc/full-record/WOS:001521725600005","View Record in Web of Science")</f>
        <v>120</v>
      </c>
      <c r="BU131" t="s" s="0">
        <v>82</v>
      </c>
      <c r="BV131" t="s" s="0">
        <v>82</v>
      </c>
      <c r="BW131" t="s" s="0">
        <v>82</v>
      </c>
      <c r="BX131" t="s" s="0">
        <v>121</v>
      </c>
    </row>
    <row r="132">
      <c r="A132" t="s" s="0">
        <v>77</v>
      </c>
      <c r="B132" t="s" s="0">
        <v>77</v>
      </c>
      <c r="C132" t="s" s="0">
        <v>204</v>
      </c>
      <c r="D132" t="s" s="0">
        <v>77</v>
      </c>
      <c r="E132" t="s" s="0">
        <v>3220</v>
      </c>
      <c r="F132" t="s" s="0">
        <v>3221</v>
      </c>
      <c r="G132" t="s" s="0">
        <v>3222</v>
      </c>
      <c r="H132" t="s" s="0">
        <v>82</v>
      </c>
      <c r="I132" t="s" s="0">
        <v>83</v>
      </c>
      <c r="J132" t="s" s="0">
        <v>3223</v>
      </c>
      <c r="K132" t="s" s="0">
        <v>3224</v>
      </c>
      <c r="L132" t="s" s="0">
        <v>3225</v>
      </c>
      <c r="M132" t="s" s="0">
        <v>3226</v>
      </c>
      <c r="N132" t="s" s="0">
        <v>3227</v>
      </c>
      <c r="O132" t="s" s="0">
        <v>3228</v>
      </c>
      <c r="P132" t="s" s="0">
        <v>3229</v>
      </c>
      <c r="Q132" t="s" s="0">
        <v>88</v>
      </c>
      <c r="R132" t="s" s="0">
        <v>82</v>
      </c>
      <c r="S132" t="s" s="0">
        <v>82</v>
      </c>
      <c r="T132" t="s" s="0">
        <v>82</v>
      </c>
      <c r="U132" t="s" s="0">
        <v>82</v>
      </c>
      <c r="V132" t="s" s="0">
        <v>3230</v>
      </c>
      <c r="W132" t="s" s="0">
        <v>3231</v>
      </c>
      <c r="X132" t="s" s="0">
        <v>82</v>
      </c>
      <c r="Y132" t="s" s="0">
        <v>82</v>
      </c>
      <c r="Z132" t="s" s="0">
        <v>91</v>
      </c>
      <c r="AA132" t="s" s="0">
        <v>92</v>
      </c>
      <c r="AB132" t="s" s="0">
        <v>82</v>
      </c>
      <c r="AC132" t="s" s="0">
        <v>82</v>
      </c>
      <c r="AD132" t="s" s="0">
        <v>82</v>
      </c>
      <c r="AE132" t="s" s="0">
        <v>82</v>
      </c>
      <c r="AF132" t="s" s="0">
        <v>82</v>
      </c>
      <c r="AG132" t="s" s="0">
        <v>3232</v>
      </c>
      <c r="AH132" t="s" s="0">
        <v>3233</v>
      </c>
      <c r="AI132" t="s" s="0">
        <v>82</v>
      </c>
      <c r="AJ132" t="s" s="0">
        <v>3234</v>
      </c>
      <c r="AK132" t="s" s="0">
        <v>82</v>
      </c>
      <c r="AL132" t="s" s="0">
        <v>736</v>
      </c>
      <c r="AM132" t="s" s="0">
        <v>204</v>
      </c>
      <c r="AN132" t="s" s="0">
        <v>204</v>
      </c>
      <c r="AO132" t="s" s="0">
        <v>77</v>
      </c>
      <c r="AP132" t="s" s="0">
        <v>97</v>
      </c>
      <c r="AQ132" t="s" s="0">
        <v>1377</v>
      </c>
      <c r="AR132" t="s" s="0">
        <v>1378</v>
      </c>
      <c r="AS132" t="s" s="0">
        <v>1379</v>
      </c>
      <c r="AT132" t="s" s="0">
        <v>3235</v>
      </c>
      <c r="AU132" t="s" s="0">
        <v>3236</v>
      </c>
      <c r="AV132" t="s" s="0">
        <v>82</v>
      </c>
      <c r="AW132" t="s" s="0">
        <v>3237</v>
      </c>
      <c r="AX132" t="s" s="0">
        <v>3238</v>
      </c>
      <c r="AY132" t="s" s="0">
        <v>3239</v>
      </c>
      <c r="AZ132" t="s" s="0">
        <v>108</v>
      </c>
      <c r="BA132" t="s" s="0">
        <v>350</v>
      </c>
      <c r="BB132" t="s" s="0">
        <v>307</v>
      </c>
      <c r="BC132" t="s" s="0">
        <v>82</v>
      </c>
      <c r="BD132" t="s" s="0">
        <v>82</v>
      </c>
      <c r="BE132" t="s" s="0">
        <v>82</v>
      </c>
      <c r="BF132" t="s" s="0">
        <v>82</v>
      </c>
      <c r="BG132" t="s" s="0">
        <v>82</v>
      </c>
      <c r="BH132" t="s" s="0">
        <v>82</v>
      </c>
      <c r="BI132" t="s" s="0">
        <v>3240</v>
      </c>
      <c r="BJ132" t="s" s="0">
        <v>3241</v>
      </c>
      <c r="BK132" t="s" s="261">
        <f>HYPERLINK("http://dx.doi.org/10.1088/1361-6560/add8db","http://dx.doi.org/10.1088/1361-6560/add8db")</f>
        <v>3242</v>
      </c>
      <c r="BL132" t="s" s="0">
        <v>82</v>
      </c>
      <c r="BM132" t="s" s="0">
        <v>82</v>
      </c>
      <c r="BN132" t="s" s="0">
        <v>109</v>
      </c>
      <c r="BO132" t="s" s="0">
        <v>1646</v>
      </c>
      <c r="BP132" t="s" s="0">
        <v>1647</v>
      </c>
      <c r="BQ132" t="s" s="0">
        <v>3243</v>
      </c>
      <c r="BR132" t="s" s="0">
        <v>3244</v>
      </c>
      <c r="BS132" t="s" s="0">
        <v>3245</v>
      </c>
      <c r="BT132" t="s" s="262">
        <f>HYPERLINK("https://www.webofscience.com/wos/woscc/full-record/WOS:001493914000001","View Record in Web of Science")</f>
        <v>120</v>
      </c>
      <c r="BU132" t="s" s="0">
        <v>1972</v>
      </c>
      <c r="BV132" t="s" s="0">
        <v>82</v>
      </c>
      <c r="BW132" t="s" s="0">
        <v>82</v>
      </c>
      <c r="BX132" t="s" s="0">
        <v>121</v>
      </c>
    </row>
    <row r="133">
      <c r="A133" t="s" s="0">
        <v>77</v>
      </c>
      <c r="B133" t="s" s="0">
        <v>77</v>
      </c>
      <c r="C133" t="s" s="0">
        <v>77</v>
      </c>
      <c r="D133" t="s" s="0">
        <v>77</v>
      </c>
      <c r="E133" t="s" s="0">
        <v>3246</v>
      </c>
      <c r="F133" t="s" s="0">
        <v>3247</v>
      </c>
      <c r="G133" t="s" s="0">
        <v>3248</v>
      </c>
      <c r="H133" t="s" s="0">
        <v>82</v>
      </c>
      <c r="I133" t="s" s="0">
        <v>83</v>
      </c>
      <c r="J133" t="s" s="0">
        <v>3249</v>
      </c>
      <c r="K133" t="s" s="0">
        <v>3250</v>
      </c>
      <c r="L133" t="s" s="0">
        <v>82</v>
      </c>
      <c r="M133" t="s" s="0">
        <v>82</v>
      </c>
      <c r="N133" t="s" s="0">
        <v>82</v>
      </c>
      <c r="O133" t="s" s="0">
        <v>3251</v>
      </c>
      <c r="P133" t="s" s="0">
        <v>3252</v>
      </c>
      <c r="Q133" t="s" s="0">
        <v>88</v>
      </c>
      <c r="R133" t="s" s="0">
        <v>82</v>
      </c>
      <c r="S133" t="s" s="0">
        <v>82</v>
      </c>
      <c r="T133" t="s" s="0">
        <v>82</v>
      </c>
      <c r="U133" t="s" s="0">
        <v>82</v>
      </c>
      <c r="V133" t="s" s="0">
        <v>3253</v>
      </c>
      <c r="W133" t="s" s="0">
        <v>323</v>
      </c>
      <c r="X133" t="s" s="0">
        <v>82</v>
      </c>
      <c r="Y133" t="s" s="0">
        <v>82</v>
      </c>
      <c r="Z133" t="s" s="0">
        <v>91</v>
      </c>
      <c r="AA133" t="s" s="0">
        <v>92</v>
      </c>
      <c r="AB133" t="s" s="0">
        <v>82</v>
      </c>
      <c r="AC133" t="s" s="0">
        <v>82</v>
      </c>
      <c r="AD133" t="s" s="0">
        <v>82</v>
      </c>
      <c r="AE133" t="s" s="0">
        <v>82</v>
      </c>
      <c r="AF133" t="s" s="0">
        <v>82</v>
      </c>
      <c r="AG133" t="s" s="0">
        <v>3254</v>
      </c>
      <c r="AH133" t="s" s="0">
        <v>3255</v>
      </c>
      <c r="AI133" t="s" s="0">
        <v>3256</v>
      </c>
      <c r="AJ133" t="s" s="0">
        <v>82</v>
      </c>
      <c r="AK133" t="s" s="0">
        <v>82</v>
      </c>
      <c r="AL133" t="s" s="0">
        <v>3257</v>
      </c>
      <c r="AM133" t="s" s="0">
        <v>77</v>
      </c>
      <c r="AN133" t="s" s="0">
        <v>77</v>
      </c>
      <c r="AO133" t="s" s="0">
        <v>115</v>
      </c>
      <c r="AP133" t="s" s="0">
        <v>115</v>
      </c>
      <c r="AQ133" t="s" s="0">
        <v>100</v>
      </c>
      <c r="AR133" t="s" s="0">
        <v>101</v>
      </c>
      <c r="AS133" t="s" s="0">
        <v>102</v>
      </c>
      <c r="AT133" t="s" s="0">
        <v>325</v>
      </c>
      <c r="AU133" t="s" s="0">
        <v>82</v>
      </c>
      <c r="AV133" t="s" s="0">
        <v>82</v>
      </c>
      <c r="AW133" t="s" s="0">
        <v>323</v>
      </c>
      <c r="AX133" t="s" s="0">
        <v>326</v>
      </c>
      <c r="AY133" t="s" s="0">
        <v>179</v>
      </c>
      <c r="AZ133" t="s" s="0">
        <v>179</v>
      </c>
      <c r="BA133" t="s" s="0">
        <v>109</v>
      </c>
      <c r="BB133" t="s" s="0">
        <v>82</v>
      </c>
      <c r="BC133" t="s" s="0">
        <v>82</v>
      </c>
      <c r="BD133" t="s" s="0">
        <v>82</v>
      </c>
      <c r="BE133" t="s" s="0">
        <v>82</v>
      </c>
      <c r="BF133" t="s" s="0">
        <v>82</v>
      </c>
      <c r="BG133" t="s" s="0">
        <v>3258</v>
      </c>
      <c r="BH133" t="s" s="0">
        <v>3259</v>
      </c>
      <c r="BI133" t="s" s="0">
        <v>82</v>
      </c>
      <c r="BJ133" t="s" s="0">
        <v>3260</v>
      </c>
      <c r="BK133" t="s" s="263">
        <f>HYPERLINK("http://dx.doi.org/10.1109/ACCESS.2026.3656368","http://dx.doi.org/10.1109/ACCESS.2026.3656368")</f>
        <v>3261</v>
      </c>
      <c r="BL133" t="s" s="0">
        <v>82</v>
      </c>
      <c r="BM133" t="s" s="0">
        <v>82</v>
      </c>
      <c r="BN133" t="s" s="0">
        <v>661</v>
      </c>
      <c r="BO133" t="s" s="0">
        <v>332</v>
      </c>
      <c r="BP133" t="s" s="0">
        <v>117</v>
      </c>
      <c r="BQ133" t="s" s="0">
        <v>3262</v>
      </c>
      <c r="BR133" t="s" s="0">
        <v>82</v>
      </c>
      <c r="BS133" t="s" s="0">
        <v>3263</v>
      </c>
      <c r="BT133" t="s" s="264">
        <f>HYPERLINK("https://www.webofscience.com/wos/woscc/full-record/WOS:001687406600031","View Record in Web of Science")</f>
        <v>120</v>
      </c>
      <c r="BU133" t="s" s="0">
        <v>189</v>
      </c>
      <c r="BV133" t="s" s="0">
        <v>82</v>
      </c>
      <c r="BW133" t="s" s="0">
        <v>82</v>
      </c>
      <c r="BX133" t="s" s="0">
        <v>121</v>
      </c>
    </row>
    <row r="134">
      <c r="A134" t="s" s="0">
        <v>77</v>
      </c>
      <c r="B134" t="s" s="0">
        <v>77</v>
      </c>
      <c r="C134" t="s" s="0">
        <v>77</v>
      </c>
      <c r="D134" t="s" s="0">
        <v>77</v>
      </c>
      <c r="E134" t="s" s="0">
        <v>3264</v>
      </c>
      <c r="F134" t="s" s="0">
        <v>3265</v>
      </c>
      <c r="G134" t="s" s="0">
        <v>3266</v>
      </c>
      <c r="H134" t="s" s="0">
        <v>82</v>
      </c>
      <c r="I134" t="s" s="0">
        <v>83</v>
      </c>
      <c r="J134" t="s" s="0">
        <v>3267</v>
      </c>
      <c r="K134" t="s" s="0">
        <v>3268</v>
      </c>
      <c r="L134" t="s" s="0">
        <v>3269</v>
      </c>
      <c r="M134" t="s" s="0">
        <v>3270</v>
      </c>
      <c r="N134" t="s" s="0">
        <v>3271</v>
      </c>
      <c r="O134" t="s" s="0">
        <v>3272</v>
      </c>
      <c r="P134" t="s" s="0">
        <v>3273</v>
      </c>
      <c r="Q134" t="s" s="0">
        <v>88</v>
      </c>
      <c r="R134" t="s" s="0">
        <v>82</v>
      </c>
      <c r="S134" t="s" s="0">
        <v>82</v>
      </c>
      <c r="T134" t="s" s="0">
        <v>82</v>
      </c>
      <c r="U134" t="s" s="0">
        <v>82</v>
      </c>
      <c r="V134" t="s" s="0">
        <v>3274</v>
      </c>
      <c r="W134" t="s" s="0">
        <v>3275</v>
      </c>
      <c r="X134" t="s" s="0">
        <v>82</v>
      </c>
      <c r="Y134" t="s" s="0">
        <v>82</v>
      </c>
      <c r="Z134" t="s" s="0">
        <v>91</v>
      </c>
      <c r="AA134" t="s" s="0">
        <v>92</v>
      </c>
      <c r="AB134" t="s" s="0">
        <v>82</v>
      </c>
      <c r="AC134" t="s" s="0">
        <v>82</v>
      </c>
      <c r="AD134" t="s" s="0">
        <v>82</v>
      </c>
      <c r="AE134" t="s" s="0">
        <v>82</v>
      </c>
      <c r="AF134" t="s" s="0">
        <v>82</v>
      </c>
      <c r="AG134" t="s" s="0">
        <v>3276</v>
      </c>
      <c r="AH134" t="s" s="0">
        <v>3277</v>
      </c>
      <c r="AI134" t="s" s="0">
        <v>3278</v>
      </c>
      <c r="AJ134" t="s" s="0">
        <v>3279</v>
      </c>
      <c r="AK134" t="s" s="0">
        <v>82</v>
      </c>
      <c r="AL134" t="s" s="0">
        <v>736</v>
      </c>
      <c r="AM134" t="s" s="0">
        <v>78</v>
      </c>
      <c r="AN134" t="s" s="0">
        <v>78</v>
      </c>
      <c r="AO134" t="s" s="0">
        <v>77</v>
      </c>
      <c r="AP134" t="s" s="0">
        <v>77</v>
      </c>
      <c r="AQ134" t="s" s="0">
        <v>605</v>
      </c>
      <c r="AR134" t="s" s="0">
        <v>606</v>
      </c>
      <c r="AS134" t="s" s="0">
        <v>607</v>
      </c>
      <c r="AT134" t="s" s="0">
        <v>3280</v>
      </c>
      <c r="AU134" t="s" s="0">
        <v>3281</v>
      </c>
      <c r="AV134" t="s" s="0">
        <v>82</v>
      </c>
      <c r="AW134" t="s" s="0">
        <v>3282</v>
      </c>
      <c r="AX134" t="s" s="0">
        <v>3283</v>
      </c>
      <c r="AY134" t="s" s="0">
        <v>3284</v>
      </c>
      <c r="AZ134" t="s" s="0">
        <v>179</v>
      </c>
      <c r="BA134" t="s" s="0">
        <v>203</v>
      </c>
      <c r="BB134" t="s" s="0">
        <v>78</v>
      </c>
      <c r="BC134" t="s" s="0">
        <v>82</v>
      </c>
      <c r="BD134" t="s" s="0">
        <v>82</v>
      </c>
      <c r="BE134" t="s" s="0">
        <v>82</v>
      </c>
      <c r="BF134" t="s" s="0">
        <v>82</v>
      </c>
      <c r="BG134" t="s" s="0">
        <v>82</v>
      </c>
      <c r="BH134" t="s" s="0">
        <v>82</v>
      </c>
      <c r="BI134" t="s" s="0">
        <v>3285</v>
      </c>
      <c r="BJ134" t="s" s="0">
        <v>3286</v>
      </c>
      <c r="BK134" t="s" s="265">
        <f>HYPERLINK("http://dx.doi.org/10.1002/mp.70261","http://dx.doi.org/10.1002/mp.70261")</f>
        <v>3287</v>
      </c>
      <c r="BL134" t="s" s="0">
        <v>82</v>
      </c>
      <c r="BM134" t="s" s="0">
        <v>82</v>
      </c>
      <c r="BN134" t="s" s="0">
        <v>209</v>
      </c>
      <c r="BO134" t="s" s="0">
        <v>717</v>
      </c>
      <c r="BP134" t="s" s="0">
        <v>717</v>
      </c>
      <c r="BQ134" t="s" s="0">
        <v>3288</v>
      </c>
      <c r="BR134" t="s" s="0">
        <v>3289</v>
      </c>
      <c r="BS134" t="s" s="0">
        <v>3290</v>
      </c>
      <c r="BT134" t="s" s="266">
        <f>HYPERLINK("https://www.webofscience.com/wos/woscc/full-record/WOS:001661323300001","View Record in Web of Science")</f>
        <v>120</v>
      </c>
      <c r="BU134" t="s" s="0">
        <v>3291</v>
      </c>
      <c r="BV134" t="s" s="0">
        <v>82</v>
      </c>
      <c r="BW134" t="s" s="0">
        <v>82</v>
      </c>
      <c r="BX134" t="s" s="0">
        <v>121</v>
      </c>
    </row>
    <row r="135">
      <c r="A135" t="s" s="0">
        <v>77</v>
      </c>
      <c r="B135" t="s" s="0">
        <v>77</v>
      </c>
      <c r="C135" t="s" s="0">
        <v>77</v>
      </c>
      <c r="D135" t="s" s="0">
        <v>77</v>
      </c>
      <c r="E135" t="s" s="0">
        <v>3292</v>
      </c>
      <c r="F135" t="s" s="0">
        <v>3293</v>
      </c>
      <c r="G135" t="s" s="0">
        <v>3294</v>
      </c>
      <c r="H135" t="s" s="0">
        <v>82</v>
      </c>
      <c r="I135" t="s" s="0">
        <v>83</v>
      </c>
      <c r="J135" t="s" s="0">
        <v>3295</v>
      </c>
      <c r="K135" t="s" s="0">
        <v>3296</v>
      </c>
      <c r="L135" t="s" s="0">
        <v>3297</v>
      </c>
      <c r="M135" t="s" s="0">
        <v>3298</v>
      </c>
      <c r="N135" t="s" s="0">
        <v>3299</v>
      </c>
      <c r="O135" t="s" s="0">
        <v>3300</v>
      </c>
      <c r="P135" t="s" s="0">
        <v>3301</v>
      </c>
      <c r="Q135" t="s" s="0">
        <v>88</v>
      </c>
      <c r="R135" t="s" s="0">
        <v>82</v>
      </c>
      <c r="S135" t="s" s="0">
        <v>82</v>
      </c>
      <c r="T135" t="s" s="0">
        <v>82</v>
      </c>
      <c r="U135" t="s" s="0">
        <v>82</v>
      </c>
      <c r="V135" t="s" s="0">
        <v>3302</v>
      </c>
      <c r="W135" t="s" s="0">
        <v>169</v>
      </c>
      <c r="X135" t="s" s="0">
        <v>82</v>
      </c>
      <c r="Y135" t="s" s="0">
        <v>82</v>
      </c>
      <c r="Z135" t="s" s="0">
        <v>91</v>
      </c>
      <c r="AA135" t="s" s="0">
        <v>92</v>
      </c>
      <c r="AB135" t="s" s="0">
        <v>82</v>
      </c>
      <c r="AC135" t="s" s="0">
        <v>82</v>
      </c>
      <c r="AD135" t="s" s="0">
        <v>82</v>
      </c>
      <c r="AE135" t="s" s="0">
        <v>82</v>
      </c>
      <c r="AF135" t="s" s="0">
        <v>82</v>
      </c>
      <c r="AG135" t="s" s="0">
        <v>82</v>
      </c>
      <c r="AH135" t="s" s="0">
        <v>552</v>
      </c>
      <c r="AI135" t="s" s="0">
        <v>3303</v>
      </c>
      <c r="AJ135" t="s" s="0">
        <v>82</v>
      </c>
      <c r="AK135" t="s" s="0">
        <v>82</v>
      </c>
      <c r="AL135" t="s" s="0">
        <v>763</v>
      </c>
      <c r="AM135" t="s" s="0">
        <v>77</v>
      </c>
      <c r="AN135" t="s" s="0">
        <v>77</v>
      </c>
      <c r="AO135" t="s" s="0">
        <v>77</v>
      </c>
      <c r="AP135" t="s" s="0">
        <v>77</v>
      </c>
      <c r="AQ135" t="s" s="0">
        <v>172</v>
      </c>
      <c r="AR135" t="s" s="0">
        <v>173</v>
      </c>
      <c r="AS135" t="s" s="0">
        <v>174</v>
      </c>
      <c r="AT135" t="s" s="0">
        <v>175</v>
      </c>
      <c r="AU135" t="s" s="0">
        <v>82</v>
      </c>
      <c r="AV135" t="s" s="0">
        <v>82</v>
      </c>
      <c r="AW135" t="s" s="0">
        <v>176</v>
      </c>
      <c r="AX135" t="s" s="0">
        <v>177</v>
      </c>
      <c r="AY135" t="s" s="0">
        <v>3304</v>
      </c>
      <c r="AZ135" t="s" s="0">
        <v>179</v>
      </c>
      <c r="BA135" t="s" s="0">
        <v>115</v>
      </c>
      <c r="BB135" t="s" s="0">
        <v>78</v>
      </c>
      <c r="BC135" t="s" s="0">
        <v>82</v>
      </c>
      <c r="BD135" t="s" s="0">
        <v>82</v>
      </c>
      <c r="BE135" t="s" s="0">
        <v>82</v>
      </c>
      <c r="BF135" t="s" s="0">
        <v>82</v>
      </c>
      <c r="BG135" t="s" s="0">
        <v>82</v>
      </c>
      <c r="BH135" t="s" s="0">
        <v>82</v>
      </c>
      <c r="BI135" t="s" s="0">
        <v>3305</v>
      </c>
      <c r="BJ135" t="s" s="0">
        <v>3306</v>
      </c>
      <c r="BK135" t="s" s="267">
        <f>HYPERLINK("http://dx.doi.org/10.1038/s41746-026-02581-x","http://dx.doi.org/10.1038/s41746-026-02581-x")</f>
        <v>3307</v>
      </c>
      <c r="BL135" t="s" s="0">
        <v>82</v>
      </c>
      <c r="BM135" t="s" s="0">
        <v>183</v>
      </c>
      <c r="BN135" t="s" s="0">
        <v>148</v>
      </c>
      <c r="BO135" t="s" s="0">
        <v>185</v>
      </c>
      <c r="BP135" t="s" s="0">
        <v>185</v>
      </c>
      <c r="BQ135" t="s" s="0">
        <v>3308</v>
      </c>
      <c r="BR135" t="s" s="0">
        <v>3309</v>
      </c>
      <c r="BS135" t="s" s="0">
        <v>3310</v>
      </c>
      <c r="BT135" t="s" s="268">
        <f>HYPERLINK("https://www.webofscience.com/wos/woscc/full-record/WOS:001777578800001","View Record in Web of Science")</f>
        <v>120</v>
      </c>
      <c r="BU135" t="s" s="0">
        <v>189</v>
      </c>
      <c r="BV135" t="s" s="0">
        <v>82</v>
      </c>
      <c r="BW135" t="s" s="0">
        <v>82</v>
      </c>
      <c r="BX135" t="s" s="0">
        <v>121</v>
      </c>
    </row>
    <row r="136">
      <c r="A136" t="s" s="0">
        <v>77</v>
      </c>
      <c r="B136" t="s" s="0">
        <v>77</v>
      </c>
      <c r="C136" t="s" s="0">
        <v>77</v>
      </c>
      <c r="D136" t="s" s="0">
        <v>77</v>
      </c>
      <c r="E136" t="s" s="0">
        <v>3311</v>
      </c>
      <c r="F136" t="s" s="0">
        <v>3312</v>
      </c>
      <c r="G136" t="s" s="0">
        <v>3313</v>
      </c>
      <c r="H136" t="s" s="0">
        <v>82</v>
      </c>
      <c r="I136" t="s" s="0">
        <v>83</v>
      </c>
      <c r="J136" t="s" s="0">
        <v>3314</v>
      </c>
      <c r="K136" t="s" s="0">
        <v>3315</v>
      </c>
      <c r="L136" t="s" s="0">
        <v>3316</v>
      </c>
      <c r="M136" t="s" s="0">
        <v>3317</v>
      </c>
      <c r="N136" t="s" s="0">
        <v>3318</v>
      </c>
      <c r="O136" t="s" s="0">
        <v>3319</v>
      </c>
      <c r="P136" t="s" s="0">
        <v>3320</v>
      </c>
      <c r="Q136" t="s" s="0">
        <v>88</v>
      </c>
      <c r="R136" t="s" s="0">
        <v>82</v>
      </c>
      <c r="S136" t="s" s="0">
        <v>82</v>
      </c>
      <c r="T136" t="s" s="0">
        <v>82</v>
      </c>
      <c r="U136" t="s" s="0">
        <v>82</v>
      </c>
      <c r="V136" t="s" s="0">
        <v>3321</v>
      </c>
      <c r="W136" t="s" s="0">
        <v>3322</v>
      </c>
      <c r="X136" t="s" s="0">
        <v>82</v>
      </c>
      <c r="Y136" t="s" s="0">
        <v>82</v>
      </c>
      <c r="Z136" t="s" s="0">
        <v>91</v>
      </c>
      <c r="AA136" t="s" s="0">
        <v>92</v>
      </c>
      <c r="AB136" t="s" s="0">
        <v>82</v>
      </c>
      <c r="AC136" t="s" s="0">
        <v>82</v>
      </c>
      <c r="AD136" t="s" s="0">
        <v>82</v>
      </c>
      <c r="AE136" t="s" s="0">
        <v>82</v>
      </c>
      <c r="AF136" t="s" s="0">
        <v>82</v>
      </c>
      <c r="AG136" t="s" s="0">
        <v>3323</v>
      </c>
      <c r="AH136" t="s" s="0">
        <v>82</v>
      </c>
      <c r="AI136" t="s" s="0">
        <v>82</v>
      </c>
      <c r="AJ136" t="s" s="0">
        <v>82</v>
      </c>
      <c r="AK136" t="s" s="0">
        <v>82</v>
      </c>
      <c r="AL136" t="s" s="0">
        <v>137</v>
      </c>
      <c r="AM136" t="s" s="0">
        <v>77</v>
      </c>
      <c r="AN136" t="s" s="0">
        <v>77</v>
      </c>
      <c r="AO136" t="s" s="0">
        <v>77</v>
      </c>
      <c r="AP136" t="s" s="0">
        <v>77</v>
      </c>
      <c r="AQ136" t="s" s="0">
        <v>2460</v>
      </c>
      <c r="AR136" t="s" s="0">
        <v>2461</v>
      </c>
      <c r="AS136" t="s" s="0">
        <v>2462</v>
      </c>
      <c r="AT136" t="s" s="0">
        <v>3324</v>
      </c>
      <c r="AU136" t="s" s="0">
        <v>3325</v>
      </c>
      <c r="AV136" t="s" s="0">
        <v>82</v>
      </c>
      <c r="AW136" t="s" s="0">
        <v>3326</v>
      </c>
      <c r="AX136" t="s" s="0">
        <v>3327</v>
      </c>
      <c r="AY136" t="s" s="0">
        <v>3328</v>
      </c>
      <c r="AZ136" t="s" s="0">
        <v>179</v>
      </c>
      <c r="BA136" t="s" s="0">
        <v>556</v>
      </c>
      <c r="BB136" t="s" s="0">
        <v>82</v>
      </c>
      <c r="BC136" t="s" s="0">
        <v>82</v>
      </c>
      <c r="BD136" t="s" s="0">
        <v>82</v>
      </c>
      <c r="BE136" t="s" s="0">
        <v>82</v>
      </c>
      <c r="BF136" t="s" s="0">
        <v>82</v>
      </c>
      <c r="BG136" t="s" s="0">
        <v>82</v>
      </c>
      <c r="BH136" t="s" s="0">
        <v>82</v>
      </c>
      <c r="BI136" t="s" s="0">
        <v>3329</v>
      </c>
      <c r="BJ136" t="s" s="0">
        <v>3330</v>
      </c>
      <c r="BK136" t="s" s="269">
        <f>HYPERLINK("http://dx.doi.org/10.2196/90693","http://dx.doi.org/10.2196/90693")</f>
        <v>3331</v>
      </c>
      <c r="BL136" t="s" s="0">
        <v>82</v>
      </c>
      <c r="BM136" t="s" s="0">
        <v>82</v>
      </c>
      <c r="BN136" t="s" s="0">
        <v>963</v>
      </c>
      <c r="BO136" t="s" s="0">
        <v>185</v>
      </c>
      <c r="BP136" t="s" s="0">
        <v>185</v>
      </c>
      <c r="BQ136" t="s" s="0">
        <v>3332</v>
      </c>
      <c r="BR136" t="s" s="0">
        <v>3333</v>
      </c>
      <c r="BS136" t="s" s="0">
        <v>3334</v>
      </c>
      <c r="BT136" t="s" s="270">
        <f>HYPERLINK("https://www.webofscience.com/wos/woscc/full-record/WOS:001835897400002","View Record in Web of Science")</f>
        <v>120</v>
      </c>
      <c r="BU136" t="s" s="0">
        <v>335</v>
      </c>
      <c r="BV136" t="s" s="0">
        <v>82</v>
      </c>
      <c r="BW136" t="s" s="0">
        <v>82</v>
      </c>
      <c r="BX136" t="s" s="0">
        <v>121</v>
      </c>
    </row>
    <row r="137">
      <c r="A137" t="s" s="0">
        <v>77</v>
      </c>
      <c r="B137" t="s" s="0">
        <v>77</v>
      </c>
      <c r="C137" t="s" s="0">
        <v>77</v>
      </c>
      <c r="D137" t="s" s="0">
        <v>77</v>
      </c>
      <c r="E137" t="s" s="0">
        <v>3335</v>
      </c>
      <c r="F137" t="s" s="0">
        <v>3336</v>
      </c>
      <c r="G137" t="s" s="0">
        <v>3337</v>
      </c>
      <c r="H137" t="s" s="0">
        <v>82</v>
      </c>
      <c r="I137" t="s" s="0">
        <v>83</v>
      </c>
      <c r="J137" t="s" s="0">
        <v>3338</v>
      </c>
      <c r="K137" t="s" s="0">
        <v>3339</v>
      </c>
      <c r="L137" t="s" s="0">
        <v>3340</v>
      </c>
      <c r="M137" t="s" s="0">
        <v>3341</v>
      </c>
      <c r="N137" t="s" s="0">
        <v>3342</v>
      </c>
      <c r="O137" t="s" s="0">
        <v>3343</v>
      </c>
      <c r="P137" t="s" s="0">
        <v>3344</v>
      </c>
      <c r="Q137" t="s" s="0">
        <v>88</v>
      </c>
      <c r="R137" t="s" s="0">
        <v>82</v>
      </c>
      <c r="S137" t="s" s="0">
        <v>82</v>
      </c>
      <c r="T137" t="s" s="0">
        <v>82</v>
      </c>
      <c r="U137" t="s" s="0">
        <v>82</v>
      </c>
      <c r="V137" t="s" s="0">
        <v>3345</v>
      </c>
      <c r="W137" t="s" s="0">
        <v>3346</v>
      </c>
      <c r="X137" t="s" s="0">
        <v>82</v>
      </c>
      <c r="Y137" t="s" s="0">
        <v>82</v>
      </c>
      <c r="Z137" t="s" s="0">
        <v>91</v>
      </c>
      <c r="AA137" t="s" s="0">
        <v>92</v>
      </c>
      <c r="AB137" t="s" s="0">
        <v>82</v>
      </c>
      <c r="AC137" t="s" s="0">
        <v>82</v>
      </c>
      <c r="AD137" t="s" s="0">
        <v>82</v>
      </c>
      <c r="AE137" t="s" s="0">
        <v>82</v>
      </c>
      <c r="AF137" t="s" s="0">
        <v>82</v>
      </c>
      <c r="AG137" t="s" s="0">
        <v>3347</v>
      </c>
      <c r="AH137" t="s" s="0">
        <v>3348</v>
      </c>
      <c r="AI137" t="s" s="0">
        <v>3349</v>
      </c>
      <c r="AJ137" t="s" s="0">
        <v>3350</v>
      </c>
      <c r="AK137" t="s" s="0">
        <v>82</v>
      </c>
      <c r="AL137" t="s" s="0">
        <v>736</v>
      </c>
      <c r="AM137" t="s" s="0">
        <v>272</v>
      </c>
      <c r="AN137" t="s" s="0">
        <v>115</v>
      </c>
      <c r="AO137" t="s" s="0">
        <v>77</v>
      </c>
      <c r="AP137" t="s" s="0">
        <v>99</v>
      </c>
      <c r="AQ137" t="s" s="0">
        <v>383</v>
      </c>
      <c r="AR137" t="s" s="0">
        <v>384</v>
      </c>
      <c r="AS137" t="s" s="0">
        <v>385</v>
      </c>
      <c r="AT137" t="s" s="0">
        <v>3351</v>
      </c>
      <c r="AU137" t="s" s="0">
        <v>3352</v>
      </c>
      <c r="AV137" t="s" s="0">
        <v>82</v>
      </c>
      <c r="AW137" t="s" s="0">
        <v>3353</v>
      </c>
      <c r="AX137" t="s" s="0">
        <v>3354</v>
      </c>
      <c r="AY137" t="s" s="0">
        <v>634</v>
      </c>
      <c r="AZ137" t="s" s="0">
        <v>108</v>
      </c>
      <c r="BA137" t="s" s="0">
        <v>3186</v>
      </c>
      <c r="BB137" t="s" s="0">
        <v>307</v>
      </c>
      <c r="BC137" t="s" s="0">
        <v>82</v>
      </c>
      <c r="BD137" t="s" s="0">
        <v>82</v>
      </c>
      <c r="BE137" t="s" s="0">
        <v>82</v>
      </c>
      <c r="BF137" t="s" s="0">
        <v>82</v>
      </c>
      <c r="BG137" t="s" s="0">
        <v>3355</v>
      </c>
      <c r="BH137" t="s" s="0">
        <v>3356</v>
      </c>
      <c r="BI137" t="s" s="0">
        <v>82</v>
      </c>
      <c r="BJ137" t="s" s="0">
        <v>3357</v>
      </c>
      <c r="BK137" t="s" s="271">
        <f>HYPERLINK("http://dx.doi.org/10.1097/JS9.0000000000003069","http://dx.doi.org/10.1097/JS9.0000000000003069")</f>
        <v>3358</v>
      </c>
      <c r="BL137" t="s" s="0">
        <v>82</v>
      </c>
      <c r="BM137" t="s" s="0">
        <v>82</v>
      </c>
      <c r="BN137" t="s" s="0">
        <v>363</v>
      </c>
      <c r="BO137" t="s" s="0">
        <v>3359</v>
      </c>
      <c r="BP137" t="s" s="0">
        <v>3359</v>
      </c>
      <c r="BQ137" t="s" s="0">
        <v>3360</v>
      </c>
      <c r="BR137" t="s" s="0">
        <v>3361</v>
      </c>
      <c r="BS137" t="s" s="0">
        <v>3362</v>
      </c>
      <c r="BT137" t="s" s="272">
        <f>HYPERLINK("https://www.webofscience.com/wos/woscc/full-record/WOS:001618284300006","View Record in Web of Science")</f>
        <v>120</v>
      </c>
      <c r="BU137" t="s" s="0">
        <v>924</v>
      </c>
      <c r="BV137" t="s" s="0">
        <v>82</v>
      </c>
      <c r="BW137" t="s" s="0">
        <v>82</v>
      </c>
      <c r="BX137" t="s" s="0">
        <v>121</v>
      </c>
    </row>
    <row r="138">
      <c r="A138" t="s" s="0">
        <v>77</v>
      </c>
      <c r="B138" t="s" s="0">
        <v>77</v>
      </c>
      <c r="C138" t="s" s="0">
        <v>77</v>
      </c>
      <c r="D138" t="s" s="0">
        <v>77</v>
      </c>
      <c r="E138" t="s" s="0">
        <v>3363</v>
      </c>
      <c r="F138" t="s" s="0">
        <v>3364</v>
      </c>
      <c r="G138" t="s" s="0">
        <v>3365</v>
      </c>
      <c r="H138" t="s" s="0">
        <v>82</v>
      </c>
      <c r="I138" t="s" s="0">
        <v>1284</v>
      </c>
      <c r="J138" t="s" s="0">
        <v>3366</v>
      </c>
      <c r="K138" t="s" s="0">
        <v>3367</v>
      </c>
      <c r="L138" t="s" s="0">
        <v>82</v>
      </c>
      <c r="M138" t="s" s="0">
        <v>82</v>
      </c>
      <c r="N138" t="s" s="0">
        <v>82</v>
      </c>
      <c r="O138" t="s" s="0">
        <v>3368</v>
      </c>
      <c r="P138" t="s" s="0">
        <v>3369</v>
      </c>
      <c r="Q138" t="s" s="0">
        <v>88</v>
      </c>
      <c r="R138" t="s" s="0">
        <v>82</v>
      </c>
      <c r="S138" t="s" s="0">
        <v>82</v>
      </c>
      <c r="T138" t="s" s="0">
        <v>82</v>
      </c>
      <c r="U138" t="s" s="0">
        <v>82</v>
      </c>
      <c r="V138" t="s" s="0">
        <v>3370</v>
      </c>
      <c r="W138" t="s" s="0">
        <v>3371</v>
      </c>
      <c r="X138" t="s" s="0">
        <v>82</v>
      </c>
      <c r="Y138" t="s" s="0">
        <v>82</v>
      </c>
      <c r="Z138" t="s" s="0">
        <v>91</v>
      </c>
      <c r="AA138" t="s" s="0">
        <v>92</v>
      </c>
      <c r="AB138" t="s" s="0">
        <v>82</v>
      </c>
      <c r="AC138" t="s" s="0">
        <v>82</v>
      </c>
      <c r="AD138" t="s" s="0">
        <v>82</v>
      </c>
      <c r="AE138" t="s" s="0">
        <v>82</v>
      </c>
      <c r="AF138" t="s" s="0">
        <v>82</v>
      </c>
      <c r="AG138" t="s" s="0">
        <v>3372</v>
      </c>
      <c r="AH138" t="s" s="0">
        <v>82</v>
      </c>
      <c r="AI138" t="s" s="0">
        <v>3373</v>
      </c>
      <c r="AJ138" t="s" s="0">
        <v>3374</v>
      </c>
      <c r="AK138" t="s" s="0">
        <v>82</v>
      </c>
      <c r="AL138" t="s" s="0">
        <v>556</v>
      </c>
      <c r="AM138" t="s" s="0">
        <v>77</v>
      </c>
      <c r="AN138" t="s" s="0">
        <v>77</v>
      </c>
      <c r="AO138" t="s" s="0">
        <v>78</v>
      </c>
      <c r="AP138" t="s" s="0">
        <v>78</v>
      </c>
      <c r="AQ138" t="s" s="0">
        <v>3375</v>
      </c>
      <c r="AR138" t="s" s="0">
        <v>475</v>
      </c>
      <c r="AS138" t="s" s="0">
        <v>3376</v>
      </c>
      <c r="AT138" t="s" s="0">
        <v>3377</v>
      </c>
      <c r="AU138" t="s" s="0">
        <v>82</v>
      </c>
      <c r="AV138" t="s" s="0">
        <v>82</v>
      </c>
      <c r="AW138" t="s" s="0">
        <v>3378</v>
      </c>
      <c r="AX138" t="s" s="0">
        <v>3379</v>
      </c>
      <c r="AY138" t="s" s="0">
        <v>179</v>
      </c>
      <c r="AZ138" t="s" s="0">
        <v>179</v>
      </c>
      <c r="BA138" t="s" s="0">
        <v>148</v>
      </c>
      <c r="BB138" t="s" s="0">
        <v>82</v>
      </c>
      <c r="BC138" t="s" s="0">
        <v>82</v>
      </c>
      <c r="BD138" t="s" s="0">
        <v>82</v>
      </c>
      <c r="BE138" t="s" s="0">
        <v>82</v>
      </c>
      <c r="BF138" t="s" s="0">
        <v>82</v>
      </c>
      <c r="BG138" t="s" s="0">
        <v>82</v>
      </c>
      <c r="BH138" t="s" s="0">
        <v>82</v>
      </c>
      <c r="BI138" t="s" s="0">
        <v>3380</v>
      </c>
      <c r="BJ138" t="s" s="0">
        <v>3381</v>
      </c>
      <c r="BK138" t="s" s="273">
        <f>HYPERLINK("http://dx.doi.org/10.1177/20552076261450386","http://dx.doi.org/10.1177/20552076261450386")</f>
        <v>3382</v>
      </c>
      <c r="BL138" t="s" s="0">
        <v>82</v>
      </c>
      <c r="BM138" t="s" s="0">
        <v>82</v>
      </c>
      <c r="BN138" t="s" s="0">
        <v>148</v>
      </c>
      <c r="BO138" t="s" s="0">
        <v>3383</v>
      </c>
      <c r="BP138" t="s" s="0">
        <v>3384</v>
      </c>
      <c r="BQ138" t="s" s="0">
        <v>3385</v>
      </c>
      <c r="BR138" t="s" s="0">
        <v>3386</v>
      </c>
      <c r="BS138" t="s" s="0">
        <v>3387</v>
      </c>
      <c r="BT138" t="s" s="274">
        <f>HYPERLINK("https://www.webofscience.com/wos/woscc/full-record/WOS:001757931700001","View Record in Web of Science")</f>
        <v>120</v>
      </c>
      <c r="BU138" t="s" s="0">
        <v>189</v>
      </c>
      <c r="BV138" t="s" s="0">
        <v>82</v>
      </c>
      <c r="BW138" t="s" s="0">
        <v>82</v>
      </c>
      <c r="BX138" t="s" s="0">
        <v>121</v>
      </c>
    </row>
    <row r="139">
      <c r="A139" t="s" s="0">
        <v>77</v>
      </c>
      <c r="B139" t="s" s="0">
        <v>77</v>
      </c>
      <c r="C139" t="s" s="0">
        <v>77</v>
      </c>
      <c r="D139" t="s" s="0">
        <v>77</v>
      </c>
      <c r="E139" t="s" s="0">
        <v>3388</v>
      </c>
      <c r="F139" t="s" s="0">
        <v>3389</v>
      </c>
      <c r="G139" t="s" s="0">
        <v>3390</v>
      </c>
      <c r="H139" t="s" s="0">
        <v>82</v>
      </c>
      <c r="I139" t="s" s="0">
        <v>83</v>
      </c>
      <c r="J139" t="s" s="0">
        <v>3391</v>
      </c>
      <c r="K139" t="s" s="0">
        <v>3392</v>
      </c>
      <c r="L139" t="s" s="0">
        <v>82</v>
      </c>
      <c r="M139" t="s" s="0">
        <v>82</v>
      </c>
      <c r="N139" t="s" s="0">
        <v>82</v>
      </c>
      <c r="O139" t="s" s="0">
        <v>3393</v>
      </c>
      <c r="P139" t="s" s="0">
        <v>3394</v>
      </c>
      <c r="Q139" t="s" s="0">
        <v>88</v>
      </c>
      <c r="R139" t="s" s="0">
        <v>82</v>
      </c>
      <c r="S139" t="s" s="0">
        <v>82</v>
      </c>
      <c r="T139" t="s" s="0">
        <v>82</v>
      </c>
      <c r="U139" t="s" s="0">
        <v>82</v>
      </c>
      <c r="V139" t="s" s="0">
        <v>3395</v>
      </c>
      <c r="W139" t="s" s="0">
        <v>3396</v>
      </c>
      <c r="X139" t="s" s="0">
        <v>82</v>
      </c>
      <c r="Y139" t="s" s="0">
        <v>82</v>
      </c>
      <c r="Z139" t="s" s="0">
        <v>91</v>
      </c>
      <c r="AA139" t="s" s="0">
        <v>92</v>
      </c>
      <c r="AB139" t="s" s="0">
        <v>82</v>
      </c>
      <c r="AC139" t="s" s="0">
        <v>82</v>
      </c>
      <c r="AD139" t="s" s="0">
        <v>82</v>
      </c>
      <c r="AE139" t="s" s="0">
        <v>82</v>
      </c>
      <c r="AF139" t="s" s="0">
        <v>82</v>
      </c>
      <c r="AG139" t="s" s="0">
        <v>3397</v>
      </c>
      <c r="AH139" t="s" s="0">
        <v>82</v>
      </c>
      <c r="AI139" t="s" s="0">
        <v>82</v>
      </c>
      <c r="AJ139" t="s" s="0">
        <v>82</v>
      </c>
      <c r="AK139" t="s" s="0">
        <v>82</v>
      </c>
      <c r="AL139" t="s" s="0">
        <v>502</v>
      </c>
      <c r="AM139" t="s" s="0">
        <v>77</v>
      </c>
      <c r="AN139" t="s" s="0">
        <v>77</v>
      </c>
      <c r="AO139" t="s" s="0">
        <v>77</v>
      </c>
      <c r="AP139" t="s" s="0">
        <v>77</v>
      </c>
      <c r="AQ139" t="s" s="0">
        <v>418</v>
      </c>
      <c r="AR139" t="s" s="0">
        <v>419</v>
      </c>
      <c r="AS139" t="s" s="0">
        <v>420</v>
      </c>
      <c r="AT139" t="s" s="0">
        <v>82</v>
      </c>
      <c r="AU139" t="s" s="0">
        <v>3398</v>
      </c>
      <c r="AV139" t="s" s="0">
        <v>82</v>
      </c>
      <c r="AW139" t="s" s="0">
        <v>3396</v>
      </c>
      <c r="AX139" t="s" s="0">
        <v>3399</v>
      </c>
      <c r="AY139" t="s" s="0">
        <v>3400</v>
      </c>
      <c r="AZ139" t="s" s="0">
        <v>179</v>
      </c>
      <c r="BA139" t="s" s="0">
        <v>976</v>
      </c>
      <c r="BB139" t="s" s="0">
        <v>307</v>
      </c>
      <c r="BC139" t="s" s="0">
        <v>82</v>
      </c>
      <c r="BD139" t="s" s="0">
        <v>82</v>
      </c>
      <c r="BE139" t="s" s="0">
        <v>82</v>
      </c>
      <c r="BF139" t="s" s="0">
        <v>82</v>
      </c>
      <c r="BG139" t="s" s="0">
        <v>82</v>
      </c>
      <c r="BH139" t="s" s="0">
        <v>82</v>
      </c>
      <c r="BI139" t="s" s="0">
        <v>3401</v>
      </c>
      <c r="BJ139" t="s" s="0">
        <v>3402</v>
      </c>
      <c r="BK139" t="s" s="275">
        <f>HYPERLINK("http://dx.doi.org/10.3390/cancers18111750","http://dx.doi.org/10.3390/cancers18111750")</f>
        <v>3403</v>
      </c>
      <c r="BL139" t="s" s="0">
        <v>82</v>
      </c>
      <c r="BM139" t="s" s="0">
        <v>3404</v>
      </c>
      <c r="BN139" t="s" s="0">
        <v>976</v>
      </c>
      <c r="BO139" t="s" s="0">
        <v>3405</v>
      </c>
      <c r="BP139" t="s" s="0">
        <v>3405</v>
      </c>
      <c r="BQ139" t="s" s="0">
        <v>3406</v>
      </c>
      <c r="BR139" t="s" s="0">
        <v>3407</v>
      </c>
      <c r="BS139" t="s" s="0">
        <v>3408</v>
      </c>
      <c r="BT139" t="s" s="276">
        <f>HYPERLINK("https://www.webofscience.com/wos/woscc/full-record/WOS:001789986800001","View Record in Web of Science")</f>
        <v>120</v>
      </c>
      <c r="BU139" t="s" s="0">
        <v>189</v>
      </c>
      <c r="BV139" t="s" s="0">
        <v>82</v>
      </c>
      <c r="BW139" t="s" s="0">
        <v>82</v>
      </c>
      <c r="BX139" t="s" s="0">
        <v>121</v>
      </c>
    </row>
    <row r="140">
      <c r="A140" t="s" s="0">
        <v>77</v>
      </c>
      <c r="B140" t="s" s="0">
        <v>77</v>
      </c>
      <c r="C140" t="s" s="0">
        <v>77</v>
      </c>
      <c r="D140" t="s" s="0">
        <v>77</v>
      </c>
      <c r="E140" t="s" s="0">
        <v>3409</v>
      </c>
      <c r="F140" t="s" s="0">
        <v>3410</v>
      </c>
      <c r="G140" t="s" s="0">
        <v>3411</v>
      </c>
      <c r="H140" t="s" s="0">
        <v>82</v>
      </c>
      <c r="I140" t="s" s="0">
        <v>83</v>
      </c>
      <c r="J140" t="s" s="0">
        <v>3412</v>
      </c>
      <c r="K140" t="s" s="0">
        <v>3413</v>
      </c>
      <c r="L140" t="s" s="0">
        <v>82</v>
      </c>
      <c r="M140" t="s" s="0">
        <v>82</v>
      </c>
      <c r="N140" t="s" s="0">
        <v>82</v>
      </c>
      <c r="O140" t="s" s="0">
        <v>3414</v>
      </c>
      <c r="P140" t="s" s="0">
        <v>3415</v>
      </c>
      <c r="Q140" t="s" s="0">
        <v>88</v>
      </c>
      <c r="R140" t="s" s="0">
        <v>82</v>
      </c>
      <c r="S140" t="s" s="0">
        <v>82</v>
      </c>
      <c r="T140" t="s" s="0">
        <v>82</v>
      </c>
      <c r="U140" t="s" s="0">
        <v>82</v>
      </c>
      <c r="V140" t="s" s="0">
        <v>3416</v>
      </c>
      <c r="W140" t="s" s="0">
        <v>3417</v>
      </c>
      <c r="X140" t="s" s="0">
        <v>82</v>
      </c>
      <c r="Y140" t="s" s="0">
        <v>82</v>
      </c>
      <c r="Z140" t="s" s="0">
        <v>91</v>
      </c>
      <c r="AA140" t="s" s="0">
        <v>92</v>
      </c>
      <c r="AB140" t="s" s="0">
        <v>82</v>
      </c>
      <c r="AC140" t="s" s="0">
        <v>82</v>
      </c>
      <c r="AD140" t="s" s="0">
        <v>82</v>
      </c>
      <c r="AE140" t="s" s="0">
        <v>82</v>
      </c>
      <c r="AF140" t="s" s="0">
        <v>82</v>
      </c>
      <c r="AG140" t="s" s="0">
        <v>3418</v>
      </c>
      <c r="AH140" t="s" s="0">
        <v>82</v>
      </c>
      <c r="AI140" t="s" s="0">
        <v>3419</v>
      </c>
      <c r="AJ140" t="s" s="0">
        <v>82</v>
      </c>
      <c r="AK140" t="s" s="0">
        <v>82</v>
      </c>
      <c r="AL140" t="s" s="0">
        <v>171</v>
      </c>
      <c r="AM140" t="s" s="0">
        <v>77</v>
      </c>
      <c r="AN140" t="s" s="0">
        <v>77</v>
      </c>
      <c r="AO140" t="s" s="0">
        <v>204</v>
      </c>
      <c r="AP140" t="s" s="0">
        <v>204</v>
      </c>
      <c r="AQ140" t="s" s="0">
        <v>3420</v>
      </c>
      <c r="AR140" t="s" s="0">
        <v>3421</v>
      </c>
      <c r="AS140" t="s" s="0">
        <v>3422</v>
      </c>
      <c r="AT140" t="s" s="0">
        <v>3423</v>
      </c>
      <c r="AU140" t="s" s="0">
        <v>3424</v>
      </c>
      <c r="AV140" t="s" s="0">
        <v>82</v>
      </c>
      <c r="AW140" t="s" s="0">
        <v>3425</v>
      </c>
      <c r="AX140" t="s" s="0">
        <v>3426</v>
      </c>
      <c r="AY140" t="s" s="0">
        <v>3427</v>
      </c>
      <c r="AZ140" t="s" s="0">
        <v>179</v>
      </c>
      <c r="BA140" t="s" s="0">
        <v>428</v>
      </c>
      <c r="BB140" t="s" s="0">
        <v>235</v>
      </c>
      <c r="BC140" t="s" s="0">
        <v>82</v>
      </c>
      <c r="BD140" t="s" s="0">
        <v>82</v>
      </c>
      <c r="BE140" t="s" s="0">
        <v>82</v>
      </c>
      <c r="BF140" t="s" s="0">
        <v>82</v>
      </c>
      <c r="BG140" t="s" s="0">
        <v>82</v>
      </c>
      <c r="BH140" t="s" s="0">
        <v>82</v>
      </c>
      <c r="BI140" t="s" s="0">
        <v>3428</v>
      </c>
      <c r="BJ140" t="s" s="0">
        <v>3429</v>
      </c>
      <c r="BK140" t="s" s="277">
        <f>HYPERLINK("http://dx.doi.org/10.1007/s13042-025-02905-5","http://dx.doi.org/10.1007/s13042-025-02905-5")</f>
        <v>3430</v>
      </c>
      <c r="BL140" t="s" s="0">
        <v>82</v>
      </c>
      <c r="BM140" t="s" s="0">
        <v>82</v>
      </c>
      <c r="BN140" t="s" s="0">
        <v>277</v>
      </c>
      <c r="BO140" t="s" s="0">
        <v>308</v>
      </c>
      <c r="BP140" t="s" s="0">
        <v>309</v>
      </c>
      <c r="BQ140" t="s" s="0">
        <v>3431</v>
      </c>
      <c r="BR140" t="s" s="0">
        <v>82</v>
      </c>
      <c r="BS140" t="s" s="0">
        <v>3432</v>
      </c>
      <c r="BT140" t="s" s="278">
        <f>HYPERLINK("https://www.webofscience.com/wos/woscc/full-record/WOS:001703516400034","View Record in Web of Science")</f>
        <v>120</v>
      </c>
      <c r="BU140" t="s" s="0">
        <v>82</v>
      </c>
      <c r="BV140" t="s" s="0">
        <v>82</v>
      </c>
      <c r="BW140" t="s" s="0">
        <v>82</v>
      </c>
      <c r="BX140" t="s" s="0">
        <v>121</v>
      </c>
    </row>
    <row r="141">
      <c r="A141" t="s" s="0">
        <v>77</v>
      </c>
      <c r="B141" t="s" s="0">
        <v>77</v>
      </c>
      <c r="C141" t="s" s="0">
        <v>98</v>
      </c>
      <c r="D141" t="s" s="0">
        <v>77</v>
      </c>
      <c r="E141" t="s" s="0">
        <v>3433</v>
      </c>
      <c r="F141" t="s" s="0">
        <v>3434</v>
      </c>
      <c r="G141" t="s" s="0">
        <v>3435</v>
      </c>
      <c r="H141" t="s" s="0">
        <v>82</v>
      </c>
      <c r="I141" t="s" s="0">
        <v>83</v>
      </c>
      <c r="J141" t="s" s="0">
        <v>3436</v>
      </c>
      <c r="K141" t="s" s="0">
        <v>3437</v>
      </c>
      <c r="L141" t="s" s="0">
        <v>3438</v>
      </c>
      <c r="M141" t="s" s="0">
        <v>3439</v>
      </c>
      <c r="N141" t="s" s="0">
        <v>3440</v>
      </c>
      <c r="O141" t="s" s="0">
        <v>3441</v>
      </c>
      <c r="P141" t="s" s="0">
        <v>3442</v>
      </c>
      <c r="Q141" t="s" s="0">
        <v>88</v>
      </c>
      <c r="R141" t="s" s="0">
        <v>82</v>
      </c>
      <c r="S141" t="s" s="0">
        <v>82</v>
      </c>
      <c r="T141" t="s" s="0">
        <v>82</v>
      </c>
      <c r="U141" t="s" s="0">
        <v>82</v>
      </c>
      <c r="V141" t="s" s="0">
        <v>3443</v>
      </c>
      <c r="W141" t="s" s="0">
        <v>1111</v>
      </c>
      <c r="X141" t="s" s="0">
        <v>82</v>
      </c>
      <c r="Y141" t="s" s="0">
        <v>82</v>
      </c>
      <c r="Z141" t="s" s="0">
        <v>91</v>
      </c>
      <c r="AA141" t="s" s="0">
        <v>92</v>
      </c>
      <c r="AB141" t="s" s="0">
        <v>82</v>
      </c>
      <c r="AC141" t="s" s="0">
        <v>82</v>
      </c>
      <c r="AD141" t="s" s="0">
        <v>82</v>
      </c>
      <c r="AE141" t="s" s="0">
        <v>82</v>
      </c>
      <c r="AF141" t="s" s="0">
        <v>82</v>
      </c>
      <c r="AG141" t="s" s="0">
        <v>3444</v>
      </c>
      <c r="AH141" t="s" s="0">
        <v>3445</v>
      </c>
      <c r="AI141" t="s" s="0">
        <v>3446</v>
      </c>
      <c r="AJ141" t="s" s="0">
        <v>3447</v>
      </c>
      <c r="AK141" t="s" s="0">
        <v>82</v>
      </c>
      <c r="AL141" t="s" s="0">
        <v>3448</v>
      </c>
      <c r="AM141" t="s" s="0">
        <v>3449</v>
      </c>
      <c r="AN141" t="s" s="0">
        <v>684</v>
      </c>
      <c r="AO141" t="s" s="0">
        <v>794</v>
      </c>
      <c r="AP141" t="s" s="0">
        <v>3450</v>
      </c>
      <c r="AQ141" t="s" s="0">
        <v>296</v>
      </c>
      <c r="AR141" t="s" s="0">
        <v>297</v>
      </c>
      <c r="AS141" t="s" s="0">
        <v>298</v>
      </c>
      <c r="AT141" t="s" s="0">
        <v>1116</v>
      </c>
      <c r="AU141" t="s" s="0">
        <v>1117</v>
      </c>
      <c r="AV141" t="s" s="0">
        <v>82</v>
      </c>
      <c r="AW141" t="s" s="0">
        <v>1118</v>
      </c>
      <c r="AX141" t="s" s="0">
        <v>1119</v>
      </c>
      <c r="AY141" t="s" s="0">
        <v>611</v>
      </c>
      <c r="AZ141" t="s" s="0">
        <v>108</v>
      </c>
      <c r="BA141" t="s" s="0">
        <v>1120</v>
      </c>
      <c r="BB141" t="s" s="0">
        <v>82</v>
      </c>
      <c r="BC141" t="s" s="0">
        <v>82</v>
      </c>
      <c r="BD141" t="s" s="0">
        <v>82</v>
      </c>
      <c r="BE141" t="s" s="0">
        <v>82</v>
      </c>
      <c r="BF141" t="s" s="0">
        <v>82</v>
      </c>
      <c r="BG141" t="s" s="0">
        <v>82</v>
      </c>
      <c r="BH141" t="s" s="0">
        <v>82</v>
      </c>
      <c r="BI141" t="s" s="0">
        <v>3451</v>
      </c>
      <c r="BJ141" t="s" s="0">
        <v>3452</v>
      </c>
      <c r="BK141" t="s" s="279">
        <f>HYPERLINK("http://dx.doi.org/10.1016/j.inffus.2025.102995","http://dx.doi.org/10.1016/j.inffus.2025.102995")</f>
        <v>3453</v>
      </c>
      <c r="BL141" t="s" s="0">
        <v>82</v>
      </c>
      <c r="BM141" t="s" s="0">
        <v>1435</v>
      </c>
      <c r="BN141" t="s" s="0">
        <v>661</v>
      </c>
      <c r="BO141" t="s" s="0">
        <v>1125</v>
      </c>
      <c r="BP141" t="s" s="0">
        <v>309</v>
      </c>
      <c r="BQ141" t="s" s="0">
        <v>3454</v>
      </c>
      <c r="BR141" t="s" s="0">
        <v>82</v>
      </c>
      <c r="BS141" t="s" s="0">
        <v>3455</v>
      </c>
      <c r="BT141" t="s" s="280">
        <f>HYPERLINK("https://www.webofscience.com/wos/woscc/full-record/WOS:001426759000001","View Record in Web of Science")</f>
        <v>120</v>
      </c>
      <c r="BU141" t="s" s="0">
        <v>82</v>
      </c>
      <c r="BV141" t="s" s="0">
        <v>3456</v>
      </c>
      <c r="BW141" t="s" s="0">
        <v>3457</v>
      </c>
      <c r="BX141" t="s" s="0">
        <v>121</v>
      </c>
    </row>
    <row r="142">
      <c r="A142" t="s" s="0">
        <v>77</v>
      </c>
      <c r="B142" t="s" s="0">
        <v>77</v>
      </c>
      <c r="C142" t="s" s="0">
        <v>77</v>
      </c>
      <c r="D142" t="s" s="0">
        <v>77</v>
      </c>
      <c r="E142" t="s" s="0">
        <v>3458</v>
      </c>
      <c r="F142" t="s" s="0">
        <v>3459</v>
      </c>
      <c r="G142" t="s" s="0">
        <v>3460</v>
      </c>
      <c r="H142" t="s" s="0">
        <v>82</v>
      </c>
      <c r="I142" t="s" s="0">
        <v>83</v>
      </c>
      <c r="J142" t="s" s="0">
        <v>3461</v>
      </c>
      <c r="K142" t="s" s="0">
        <v>3462</v>
      </c>
      <c r="L142" t="s" s="0">
        <v>82</v>
      </c>
      <c r="M142" t="s" s="0">
        <v>82</v>
      </c>
      <c r="N142" t="s" s="0">
        <v>82</v>
      </c>
      <c r="O142" t="s" s="0">
        <v>3463</v>
      </c>
      <c r="P142" t="s" s="0">
        <v>1400</v>
      </c>
      <c r="Q142" t="s" s="0">
        <v>88</v>
      </c>
      <c r="R142" t="s" s="0">
        <v>82</v>
      </c>
      <c r="S142" t="s" s="0">
        <v>82</v>
      </c>
      <c r="T142" t="s" s="0">
        <v>82</v>
      </c>
      <c r="U142" t="s" s="0">
        <v>82</v>
      </c>
      <c r="V142" t="s" s="0">
        <v>3464</v>
      </c>
      <c r="W142" t="s" s="0">
        <v>3465</v>
      </c>
      <c r="X142" t="s" s="0">
        <v>82</v>
      </c>
      <c r="Y142" t="s" s="0">
        <v>82</v>
      </c>
      <c r="Z142" t="s" s="0">
        <v>91</v>
      </c>
      <c r="AA142" t="s" s="0">
        <v>92</v>
      </c>
      <c r="AB142" t="s" s="0">
        <v>82</v>
      </c>
      <c r="AC142" t="s" s="0">
        <v>82</v>
      </c>
      <c r="AD142" t="s" s="0">
        <v>82</v>
      </c>
      <c r="AE142" t="s" s="0">
        <v>82</v>
      </c>
      <c r="AF142" t="s" s="0">
        <v>82</v>
      </c>
      <c r="AG142" t="s" s="0">
        <v>3466</v>
      </c>
      <c r="AH142" t="s" s="0">
        <v>3467</v>
      </c>
      <c r="AI142" t="s" s="0">
        <v>82</v>
      </c>
      <c r="AJ142" t="s" s="0">
        <v>3468</v>
      </c>
      <c r="AK142" t="s" s="0">
        <v>82</v>
      </c>
      <c r="AL142" t="s" s="0">
        <v>3469</v>
      </c>
      <c r="AM142" t="s" s="0">
        <v>77</v>
      </c>
      <c r="AN142" t="s" s="0">
        <v>77</v>
      </c>
      <c r="AO142" t="s" s="0">
        <v>235</v>
      </c>
      <c r="AP142" t="s" s="0">
        <v>235</v>
      </c>
      <c r="AQ142" t="s" s="0">
        <v>2460</v>
      </c>
      <c r="AR142" t="s" s="0">
        <v>2461</v>
      </c>
      <c r="AS142" t="s" s="0">
        <v>2462</v>
      </c>
      <c r="AT142" t="s" s="0">
        <v>3470</v>
      </c>
      <c r="AU142" t="s" s="0">
        <v>82</v>
      </c>
      <c r="AV142" t="s" s="0">
        <v>82</v>
      </c>
      <c r="AW142" t="s" s="0">
        <v>3471</v>
      </c>
      <c r="AX142" t="s" s="0">
        <v>3472</v>
      </c>
      <c r="AY142" t="s" s="0">
        <v>179</v>
      </c>
      <c r="AZ142" t="s" s="0">
        <v>179</v>
      </c>
      <c r="BA142" t="s" s="0">
        <v>184</v>
      </c>
      <c r="BB142" t="s" s="0">
        <v>82</v>
      </c>
      <c r="BC142" t="s" s="0">
        <v>82</v>
      </c>
      <c r="BD142" t="s" s="0">
        <v>82</v>
      </c>
      <c r="BE142" t="s" s="0">
        <v>82</v>
      </c>
      <c r="BF142" t="s" s="0">
        <v>82</v>
      </c>
      <c r="BG142" t="s" s="0">
        <v>82</v>
      </c>
      <c r="BH142" t="s" s="0">
        <v>82</v>
      </c>
      <c r="BI142" t="s" s="0">
        <v>3473</v>
      </c>
      <c r="BJ142" t="s" s="0">
        <v>3474</v>
      </c>
      <c r="BK142" t="s" s="281">
        <f>HYPERLINK("http://dx.doi.org/10.2196/90581","http://dx.doi.org/10.2196/90581")</f>
        <v>3475</v>
      </c>
      <c r="BL142" t="s" s="0">
        <v>82</v>
      </c>
      <c r="BM142" t="s" s="0">
        <v>82</v>
      </c>
      <c r="BN142" t="s" s="0">
        <v>1004</v>
      </c>
      <c r="BO142" t="s" s="0">
        <v>3476</v>
      </c>
      <c r="BP142" t="s" s="0">
        <v>3476</v>
      </c>
      <c r="BQ142" t="s" s="0">
        <v>3477</v>
      </c>
      <c r="BR142" t="s" s="0">
        <v>3478</v>
      </c>
      <c r="BS142" t="s" s="0">
        <v>3479</v>
      </c>
      <c r="BT142" t="s" s="282">
        <f>HYPERLINK("https://www.webofscience.com/wos/woscc/full-record/WOS:001744620800001","View Record in Web of Science")</f>
        <v>120</v>
      </c>
      <c r="BU142" t="s" s="0">
        <v>189</v>
      </c>
      <c r="BV142" t="s" s="0">
        <v>82</v>
      </c>
      <c r="BW142" t="s" s="0">
        <v>82</v>
      </c>
      <c r="BX142" t="s" s="0">
        <v>121</v>
      </c>
    </row>
    <row r="143">
      <c r="A143" t="s" s="0">
        <v>77</v>
      </c>
      <c r="B143" t="s" s="0">
        <v>77</v>
      </c>
      <c r="C143" t="s" s="0">
        <v>77</v>
      </c>
      <c r="D143" t="s" s="0">
        <v>77</v>
      </c>
      <c r="E143" t="s" s="0">
        <v>3480</v>
      </c>
      <c r="F143" t="s" s="0">
        <v>3481</v>
      </c>
      <c r="G143" t="s" s="0">
        <v>3482</v>
      </c>
      <c r="H143" t="s" s="0">
        <v>82</v>
      </c>
      <c r="I143" t="s" s="0">
        <v>83</v>
      </c>
      <c r="J143" t="s" s="0">
        <v>3483</v>
      </c>
      <c r="K143" t="s" s="0">
        <v>3484</v>
      </c>
      <c r="L143" t="s" s="0">
        <v>3485</v>
      </c>
      <c r="M143" t="s" s="0">
        <v>3486</v>
      </c>
      <c r="N143" t="s" s="0">
        <v>3487</v>
      </c>
      <c r="O143" t="s" s="0">
        <v>3488</v>
      </c>
      <c r="P143" t="s" s="0">
        <v>3489</v>
      </c>
      <c r="Q143" t="s" s="0">
        <v>88</v>
      </c>
      <c r="R143" t="s" s="0">
        <v>82</v>
      </c>
      <c r="S143" t="s" s="0">
        <v>82</v>
      </c>
      <c r="T143" t="s" s="0">
        <v>82</v>
      </c>
      <c r="U143" t="s" s="0">
        <v>82</v>
      </c>
      <c r="V143" t="s" s="0">
        <v>3490</v>
      </c>
      <c r="W143" t="s" s="0">
        <v>2608</v>
      </c>
      <c r="X143" t="s" s="0">
        <v>82</v>
      </c>
      <c r="Y143" t="s" s="0">
        <v>82</v>
      </c>
      <c r="Z143" t="s" s="0">
        <v>91</v>
      </c>
      <c r="AA143" t="s" s="0">
        <v>92</v>
      </c>
      <c r="AB143" t="s" s="0">
        <v>82</v>
      </c>
      <c r="AC143" t="s" s="0">
        <v>82</v>
      </c>
      <c r="AD143" t="s" s="0">
        <v>82</v>
      </c>
      <c r="AE143" t="s" s="0">
        <v>82</v>
      </c>
      <c r="AF143" t="s" s="0">
        <v>82</v>
      </c>
      <c r="AG143" t="s" s="0">
        <v>3491</v>
      </c>
      <c r="AH143" t="s" s="0">
        <v>3492</v>
      </c>
      <c r="AI143" t="s" s="0">
        <v>3493</v>
      </c>
      <c r="AJ143" t="s" s="0">
        <v>3494</v>
      </c>
      <c r="AK143" t="s" s="0">
        <v>82</v>
      </c>
      <c r="AL143" t="s" s="0">
        <v>824</v>
      </c>
      <c r="AM143" t="s" s="0">
        <v>78</v>
      </c>
      <c r="AN143" t="s" s="0">
        <v>78</v>
      </c>
      <c r="AO143" t="s" s="0">
        <v>235</v>
      </c>
      <c r="AP143" t="s" s="0">
        <v>98</v>
      </c>
      <c r="AQ143" t="s" s="0">
        <v>964</v>
      </c>
      <c r="AR143" t="s" s="0">
        <v>965</v>
      </c>
      <c r="AS143" t="s" s="0">
        <v>966</v>
      </c>
      <c r="AT143" t="s" s="0">
        <v>2610</v>
      </c>
      <c r="AU143" t="s" s="0">
        <v>2611</v>
      </c>
      <c r="AV143" t="s" s="0">
        <v>82</v>
      </c>
      <c r="AW143" t="s" s="0">
        <v>2608</v>
      </c>
      <c r="AX143" t="s" s="0">
        <v>2612</v>
      </c>
      <c r="AY143" t="s" s="0">
        <v>3404</v>
      </c>
      <c r="AZ143" t="s" s="0">
        <v>179</v>
      </c>
      <c r="BA143" t="s" s="0">
        <v>3495</v>
      </c>
      <c r="BB143" t="s" s="0">
        <v>82</v>
      </c>
      <c r="BC143" t="s" s="0">
        <v>82</v>
      </c>
      <c r="BD143" t="s" s="0">
        <v>82</v>
      </c>
      <c r="BE143" t="s" s="0">
        <v>82</v>
      </c>
      <c r="BF143" t="s" s="0">
        <v>82</v>
      </c>
      <c r="BG143" t="s" s="0">
        <v>82</v>
      </c>
      <c r="BH143" t="s" s="0">
        <v>82</v>
      </c>
      <c r="BI143" t="s" s="0">
        <v>3496</v>
      </c>
      <c r="BJ143" t="s" s="0">
        <v>3497</v>
      </c>
      <c r="BK143" t="s" s="283">
        <f>HYPERLINK("http://dx.doi.org/10.1016/j.neunet.2025.108415","http://dx.doi.org/10.1016/j.neunet.2025.108415")</f>
        <v>3498</v>
      </c>
      <c r="BL143" t="s" s="0">
        <v>82</v>
      </c>
      <c r="BM143" t="s" s="0">
        <v>1688</v>
      </c>
      <c r="BN143" t="s" s="0">
        <v>109</v>
      </c>
      <c r="BO143" t="s" s="0">
        <v>2617</v>
      </c>
      <c r="BP143" t="s" s="0">
        <v>2618</v>
      </c>
      <c r="BQ143" t="s" s="0">
        <v>3499</v>
      </c>
      <c r="BR143" t="s" s="0">
        <v>3500</v>
      </c>
      <c r="BS143" t="s" s="0">
        <v>3501</v>
      </c>
      <c r="BT143" t="s" s="284">
        <f>HYPERLINK("https://www.webofscience.com/wos/woscc/full-record/WOS:001649241000001","View Record in Web of Science")</f>
        <v>120</v>
      </c>
      <c r="BU143" t="s" s="0">
        <v>82</v>
      </c>
      <c r="BV143" t="s" s="0">
        <v>82</v>
      </c>
      <c r="BW143" t="s" s="0">
        <v>82</v>
      </c>
      <c r="BX143" t="s" s="0">
        <v>121</v>
      </c>
    </row>
    <row r="144">
      <c r="A144" t="s" s="0">
        <v>77</v>
      </c>
      <c r="B144" t="s" s="0">
        <v>77</v>
      </c>
      <c r="C144" t="s" s="0">
        <v>77</v>
      </c>
      <c r="D144" t="s" s="0">
        <v>77</v>
      </c>
      <c r="E144" t="s" s="0">
        <v>3502</v>
      </c>
      <c r="F144" t="s" s="0">
        <v>3503</v>
      </c>
      <c r="G144" t="s" s="0">
        <v>3504</v>
      </c>
      <c r="H144" t="s" s="0">
        <v>82</v>
      </c>
      <c r="I144" t="s" s="0">
        <v>83</v>
      </c>
      <c r="J144" t="s" s="0">
        <v>3505</v>
      </c>
      <c r="K144" t="s" s="0">
        <v>3506</v>
      </c>
      <c r="L144" t="s" s="0">
        <v>3507</v>
      </c>
      <c r="M144" t="s" s="0">
        <v>3508</v>
      </c>
      <c r="N144" t="s" s="0">
        <v>3509</v>
      </c>
      <c r="O144" t="s" s="0">
        <v>3510</v>
      </c>
      <c r="P144" t="s" s="0">
        <v>3511</v>
      </c>
      <c r="Q144" t="s" s="0">
        <v>88</v>
      </c>
      <c r="R144" t="s" s="0">
        <v>82</v>
      </c>
      <c r="S144" t="s" s="0">
        <v>82</v>
      </c>
      <c r="T144" t="s" s="0">
        <v>82</v>
      </c>
      <c r="U144" t="s" s="0">
        <v>82</v>
      </c>
      <c r="V144" t="s" s="0">
        <v>3512</v>
      </c>
      <c r="W144" t="s" s="0">
        <v>133</v>
      </c>
      <c r="X144" t="s" s="0">
        <v>82</v>
      </c>
      <c r="Y144" t="s" s="0">
        <v>82</v>
      </c>
      <c r="Z144" t="s" s="0">
        <v>91</v>
      </c>
      <c r="AA144" t="s" s="0">
        <v>92</v>
      </c>
      <c r="AB144" t="s" s="0">
        <v>82</v>
      </c>
      <c r="AC144" t="s" s="0">
        <v>82</v>
      </c>
      <c r="AD144" t="s" s="0">
        <v>82</v>
      </c>
      <c r="AE144" t="s" s="0">
        <v>82</v>
      </c>
      <c r="AF144" t="s" s="0">
        <v>82</v>
      </c>
      <c r="AG144" t="s" s="0">
        <v>3513</v>
      </c>
      <c r="AH144" t="s" s="0">
        <v>82</v>
      </c>
      <c r="AI144" t="s" s="0">
        <v>3514</v>
      </c>
      <c r="AJ144" t="s" s="0">
        <v>82</v>
      </c>
      <c r="AK144" t="s" s="0">
        <v>82</v>
      </c>
      <c r="AL144" t="s" s="0">
        <v>1575</v>
      </c>
      <c r="AM144" t="s" s="0">
        <v>115</v>
      </c>
      <c r="AN144" t="s" s="0">
        <v>115</v>
      </c>
      <c r="AO144" t="s" s="0">
        <v>148</v>
      </c>
      <c r="AP144" t="s" s="0">
        <v>184</v>
      </c>
      <c r="AQ144" t="s" s="0">
        <v>100</v>
      </c>
      <c r="AR144" t="s" s="0">
        <v>101</v>
      </c>
      <c r="AS144" t="s" s="0">
        <v>102</v>
      </c>
      <c r="AT144" t="s" s="0">
        <v>141</v>
      </c>
      <c r="AU144" t="s" s="0">
        <v>142</v>
      </c>
      <c r="AV144" t="s" s="0">
        <v>82</v>
      </c>
      <c r="AW144" t="s" s="0">
        <v>143</v>
      </c>
      <c r="AX144" t="s" s="0">
        <v>144</v>
      </c>
      <c r="AY144" t="s" s="0">
        <v>829</v>
      </c>
      <c r="AZ144" t="s" s="0">
        <v>179</v>
      </c>
      <c r="BA144" t="s" s="0">
        <v>140</v>
      </c>
      <c r="BB144" t="s" s="0">
        <v>99</v>
      </c>
      <c r="BC144" t="s" s="0">
        <v>82</v>
      </c>
      <c r="BD144" t="s" s="0">
        <v>82</v>
      </c>
      <c r="BE144" t="s" s="0">
        <v>82</v>
      </c>
      <c r="BF144" t="s" s="0">
        <v>82</v>
      </c>
      <c r="BG144" t="s" s="0">
        <v>3515</v>
      </c>
      <c r="BH144" t="s" s="0">
        <v>3516</v>
      </c>
      <c r="BI144" t="s" s="0">
        <v>82</v>
      </c>
      <c r="BJ144" t="s" s="0">
        <v>3517</v>
      </c>
      <c r="BK144" t="s" s="285">
        <f>HYPERLINK("http://dx.doi.org/10.1109/TMI.2025.3616598","http://dx.doi.org/10.1109/TMI.2025.3616598")</f>
        <v>3518</v>
      </c>
      <c r="BL144" t="s" s="0">
        <v>82</v>
      </c>
      <c r="BM144" t="s" s="0">
        <v>82</v>
      </c>
      <c r="BN144" t="s" s="0">
        <v>307</v>
      </c>
      <c r="BO144" t="s" s="0">
        <v>153</v>
      </c>
      <c r="BP144" t="s" s="0">
        <v>154</v>
      </c>
      <c r="BQ144" t="s" s="0">
        <v>3519</v>
      </c>
      <c r="BR144" t="s" s="0">
        <v>3520</v>
      </c>
      <c r="BS144" t="s" s="0">
        <v>3521</v>
      </c>
      <c r="BT144" t="s" s="286">
        <f>HYPERLINK("https://www.webofscience.com/wos/woscc/full-record/WOS:001708009300004","View Record in Web of Science")</f>
        <v>120</v>
      </c>
      <c r="BU144" t="s" s="0">
        <v>82</v>
      </c>
      <c r="BV144" t="s" s="0">
        <v>3456</v>
      </c>
      <c r="BW144" t="s" s="0">
        <v>3457</v>
      </c>
      <c r="BX144" t="s" s="0">
        <v>121</v>
      </c>
    </row>
    <row r="145">
      <c r="A145" t="s" s="0">
        <v>77</v>
      </c>
      <c r="B145" t="s" s="0">
        <v>77</v>
      </c>
      <c r="C145" t="s" s="0">
        <v>77</v>
      </c>
      <c r="D145" t="s" s="0">
        <v>77</v>
      </c>
      <c r="E145" t="s" s="0">
        <v>3522</v>
      </c>
      <c r="F145" t="s" s="0">
        <v>3523</v>
      </c>
      <c r="G145" t="s" s="0">
        <v>3524</v>
      </c>
      <c r="H145" t="s" s="0">
        <v>82</v>
      </c>
      <c r="I145" t="s" s="0">
        <v>83</v>
      </c>
      <c r="J145" t="s" s="0">
        <v>3525</v>
      </c>
      <c r="K145" t="s" s="0">
        <v>3526</v>
      </c>
      <c r="L145" t="s" s="0">
        <v>3527</v>
      </c>
      <c r="M145" t="s" s="0">
        <v>3528</v>
      </c>
      <c r="N145" t="s" s="0">
        <v>3529</v>
      </c>
      <c r="O145" t="s" s="0">
        <v>3530</v>
      </c>
      <c r="P145" t="s" s="0">
        <v>3531</v>
      </c>
      <c r="Q145" t="s" s="0">
        <v>88</v>
      </c>
      <c r="R145" t="s" s="0">
        <v>82</v>
      </c>
      <c r="S145" t="s" s="0">
        <v>82</v>
      </c>
      <c r="T145" t="s" s="0">
        <v>82</v>
      </c>
      <c r="U145" t="s" s="0">
        <v>82</v>
      </c>
      <c r="V145" t="s" s="0">
        <v>3532</v>
      </c>
      <c r="W145" t="s" s="0">
        <v>3533</v>
      </c>
      <c r="X145" t="s" s="0">
        <v>82</v>
      </c>
      <c r="Y145" t="s" s="0">
        <v>82</v>
      </c>
      <c r="Z145" t="s" s="0">
        <v>91</v>
      </c>
      <c r="AA145" t="s" s="0">
        <v>92</v>
      </c>
      <c r="AB145" t="s" s="0">
        <v>82</v>
      </c>
      <c r="AC145" t="s" s="0">
        <v>82</v>
      </c>
      <c r="AD145" t="s" s="0">
        <v>82</v>
      </c>
      <c r="AE145" t="s" s="0">
        <v>82</v>
      </c>
      <c r="AF145" t="s" s="0">
        <v>82</v>
      </c>
      <c r="AG145" t="s" s="0">
        <v>3534</v>
      </c>
      <c r="AH145" t="s" s="0">
        <v>82</v>
      </c>
      <c r="AI145" t="s" s="0">
        <v>3535</v>
      </c>
      <c r="AJ145" t="s" s="0">
        <v>82</v>
      </c>
      <c r="AK145" t="s" s="0">
        <v>82</v>
      </c>
      <c r="AL145" t="s" s="0">
        <v>976</v>
      </c>
      <c r="AM145" t="s" s="0">
        <v>110</v>
      </c>
      <c r="AN145" t="s" s="0">
        <v>110</v>
      </c>
      <c r="AO145" t="s" s="0">
        <v>78</v>
      </c>
      <c r="AP145" t="s" s="0">
        <v>78</v>
      </c>
      <c r="AQ145" t="s" s="0">
        <v>3536</v>
      </c>
      <c r="AR145" t="s" s="0">
        <v>3537</v>
      </c>
      <c r="AS145" t="s" s="0">
        <v>3538</v>
      </c>
      <c r="AT145" t="s" s="0">
        <v>3539</v>
      </c>
      <c r="AU145" t="s" s="0">
        <v>3540</v>
      </c>
      <c r="AV145" t="s" s="0">
        <v>82</v>
      </c>
      <c r="AW145" t="s" s="0">
        <v>3541</v>
      </c>
      <c r="AX145" t="s" s="0">
        <v>3542</v>
      </c>
      <c r="AY145" t="s" s="0">
        <v>183</v>
      </c>
      <c r="AZ145" t="s" s="0">
        <v>179</v>
      </c>
      <c r="BA145" t="s" s="0">
        <v>3543</v>
      </c>
      <c r="BB145" t="s" s="0">
        <v>235</v>
      </c>
      <c r="BC145" t="s" s="0">
        <v>82</v>
      </c>
      <c r="BD145" t="s" s="0">
        <v>82</v>
      </c>
      <c r="BE145" t="s" s="0">
        <v>82</v>
      </c>
      <c r="BF145" t="s" s="0">
        <v>82</v>
      </c>
      <c r="BG145" t="s" s="0">
        <v>82</v>
      </c>
      <c r="BH145" t="s" s="0">
        <v>82</v>
      </c>
      <c r="BI145" t="s" s="0">
        <v>3544</v>
      </c>
      <c r="BJ145" t="s" s="0">
        <v>3545</v>
      </c>
      <c r="BK145" t="s" s="287">
        <f>HYPERLINK("http://dx.doi.org/10.2214/AJR.25.34116","http://dx.doi.org/10.2214/AJR.25.34116")</f>
        <v>3546</v>
      </c>
      <c r="BL145" t="s" s="0">
        <v>82</v>
      </c>
      <c r="BM145" t="s" s="0">
        <v>82</v>
      </c>
      <c r="BN145" t="s" s="0">
        <v>109</v>
      </c>
      <c r="BO145" t="s" s="0">
        <v>717</v>
      </c>
      <c r="BP145" t="s" s="0">
        <v>717</v>
      </c>
      <c r="BQ145" t="s" s="0">
        <v>3547</v>
      </c>
      <c r="BR145" t="s" s="0">
        <v>3548</v>
      </c>
      <c r="BS145" t="s" s="0">
        <v>3549</v>
      </c>
      <c r="BT145" t="s" s="288">
        <f>HYPERLINK("https://www.webofscience.com/wos/woscc/full-record/WOS:001782955700020","View Record in Web of Science")</f>
        <v>120</v>
      </c>
      <c r="BU145" t="s" s="0">
        <v>3291</v>
      </c>
      <c r="BV145" t="s" s="0">
        <v>82</v>
      </c>
      <c r="BW145" t="s" s="0">
        <v>82</v>
      </c>
      <c r="BX145" t="s" s="0">
        <v>121</v>
      </c>
    </row>
    <row r="146">
      <c r="A146" t="s" s="0">
        <v>77</v>
      </c>
      <c r="B146" t="s" s="0">
        <v>77</v>
      </c>
      <c r="C146" t="s" s="0">
        <v>204</v>
      </c>
      <c r="D146" t="s" s="0">
        <v>77</v>
      </c>
      <c r="E146" t="s" s="0">
        <v>3550</v>
      </c>
      <c r="F146" t="s" s="0">
        <v>3551</v>
      </c>
      <c r="G146" t="s" s="0">
        <v>3552</v>
      </c>
      <c r="H146" t="s" s="0">
        <v>82</v>
      </c>
      <c r="I146" t="s" s="0">
        <v>83</v>
      </c>
      <c r="J146" t="s" s="0">
        <v>3553</v>
      </c>
      <c r="K146" t="s" s="0">
        <v>3554</v>
      </c>
      <c r="L146" t="s" s="0">
        <v>3555</v>
      </c>
      <c r="M146" t="s" s="0">
        <v>3556</v>
      </c>
      <c r="N146" t="s" s="0">
        <v>3557</v>
      </c>
      <c r="O146" t="s" s="0">
        <v>3558</v>
      </c>
      <c r="P146" t="s" s="0">
        <v>3559</v>
      </c>
      <c r="Q146" t="s" s="0">
        <v>88</v>
      </c>
      <c r="R146" t="s" s="0">
        <v>82</v>
      </c>
      <c r="S146" t="s" s="0">
        <v>82</v>
      </c>
      <c r="T146" t="s" s="0">
        <v>82</v>
      </c>
      <c r="U146" t="s" s="0">
        <v>82</v>
      </c>
      <c r="V146" t="s" s="0">
        <v>3560</v>
      </c>
      <c r="W146" t="s" s="0">
        <v>3561</v>
      </c>
      <c r="X146" t="s" s="0">
        <v>82</v>
      </c>
      <c r="Y146" t="s" s="0">
        <v>82</v>
      </c>
      <c r="Z146" t="s" s="0">
        <v>91</v>
      </c>
      <c r="AA146" t="s" s="0">
        <v>92</v>
      </c>
      <c r="AB146" t="s" s="0">
        <v>82</v>
      </c>
      <c r="AC146" t="s" s="0">
        <v>82</v>
      </c>
      <c r="AD146" t="s" s="0">
        <v>82</v>
      </c>
      <c r="AE146" t="s" s="0">
        <v>82</v>
      </c>
      <c r="AF146" t="s" s="0">
        <v>82</v>
      </c>
      <c r="AG146" t="s" s="0">
        <v>3562</v>
      </c>
      <c r="AH146" t="s" s="0">
        <v>82</v>
      </c>
      <c r="AI146" t="s" s="0">
        <v>3563</v>
      </c>
      <c r="AJ146" t="s" s="0">
        <v>3564</v>
      </c>
      <c r="AK146" t="s" s="0">
        <v>82</v>
      </c>
      <c r="AL146" t="s" s="0">
        <v>96</v>
      </c>
      <c r="AM146" t="s" s="0">
        <v>1505</v>
      </c>
      <c r="AN146" t="s" s="0">
        <v>763</v>
      </c>
      <c r="AO146" t="s" s="0">
        <v>78</v>
      </c>
      <c r="AP146" t="s" s="0">
        <v>272</v>
      </c>
      <c r="AQ146" t="s" s="0">
        <v>795</v>
      </c>
      <c r="AR146" t="s" s="0">
        <v>796</v>
      </c>
      <c r="AS146" t="s" s="0">
        <v>797</v>
      </c>
      <c r="AT146" t="s" s="0">
        <v>3565</v>
      </c>
      <c r="AU146" t="s" s="0">
        <v>3566</v>
      </c>
      <c r="AV146" t="s" s="0">
        <v>82</v>
      </c>
      <c r="AW146" t="s" s="0">
        <v>3567</v>
      </c>
      <c r="AX146" t="s" s="0">
        <v>3568</v>
      </c>
      <c r="AY146" t="s" s="0">
        <v>145</v>
      </c>
      <c r="AZ146" t="s" s="0">
        <v>146</v>
      </c>
      <c r="BA146" t="s" s="0">
        <v>2321</v>
      </c>
      <c r="BB146" t="s" s="0">
        <v>148</v>
      </c>
      <c r="BC146" t="s" s="0">
        <v>82</v>
      </c>
      <c r="BD146" t="s" s="0">
        <v>82</v>
      </c>
      <c r="BE146" t="s" s="0">
        <v>82</v>
      </c>
      <c r="BF146" t="s" s="0">
        <v>82</v>
      </c>
      <c r="BG146" t="s" s="0">
        <v>3569</v>
      </c>
      <c r="BH146" t="s" s="0">
        <v>3570</v>
      </c>
      <c r="BI146" t="s" s="0">
        <v>82</v>
      </c>
      <c r="BJ146" t="s" s="0">
        <v>3571</v>
      </c>
      <c r="BK146" t="s" s="289">
        <f>HYPERLINK("http://dx.doi.org/10.1007/s11604-024-01633-0","http://dx.doi.org/10.1007/s11604-024-01633-0")</f>
        <v>3572</v>
      </c>
      <c r="BL146" t="s" s="0">
        <v>82</v>
      </c>
      <c r="BM146" t="s" s="0">
        <v>773</v>
      </c>
      <c r="BN146" t="s" s="0">
        <v>98</v>
      </c>
      <c r="BO146" t="s" s="0">
        <v>717</v>
      </c>
      <c r="BP146" t="s" s="0">
        <v>717</v>
      </c>
      <c r="BQ146" t="s" s="0">
        <v>3573</v>
      </c>
      <c r="BR146" t="s" s="0">
        <v>3574</v>
      </c>
      <c r="BS146" t="s" s="0">
        <v>3575</v>
      </c>
      <c r="BT146" t="s" s="290">
        <f>HYPERLINK("https://www.webofscience.com/wos/woscc/full-record/WOS:001273145200001","View Record in Web of Science")</f>
        <v>120</v>
      </c>
      <c r="BU146" t="s" s="0">
        <v>924</v>
      </c>
      <c r="BV146" t="s" s="0">
        <v>82</v>
      </c>
      <c r="BW146" t="s" s="0">
        <v>82</v>
      </c>
      <c r="BX146" t="s" s="0">
        <v>121</v>
      </c>
    </row>
    <row r="147">
      <c r="A147" t="s" s="0">
        <v>77</v>
      </c>
      <c r="B147" t="s" s="0">
        <v>77</v>
      </c>
      <c r="C147" t="s" s="0">
        <v>77</v>
      </c>
      <c r="D147" t="s" s="0">
        <v>77</v>
      </c>
      <c r="E147" t="s" s="0">
        <v>3576</v>
      </c>
      <c r="F147" t="s" s="0">
        <v>3577</v>
      </c>
      <c r="G147" t="s" s="0">
        <v>3578</v>
      </c>
      <c r="H147" t="s" s="0">
        <v>82</v>
      </c>
      <c r="I147" t="s" s="0">
        <v>83</v>
      </c>
      <c r="J147" t="s" s="0">
        <v>3579</v>
      </c>
      <c r="K147" t="s" s="0">
        <v>3580</v>
      </c>
      <c r="L147" t="s" s="0">
        <v>3581</v>
      </c>
      <c r="M147" t="s" s="0">
        <v>3581</v>
      </c>
      <c r="N147" t="s" s="0">
        <v>3582</v>
      </c>
      <c r="O147" t="s" s="0">
        <v>3583</v>
      </c>
      <c r="P147" t="s" s="0">
        <v>3584</v>
      </c>
      <c r="Q147" t="s" s="0">
        <v>88</v>
      </c>
      <c r="R147" t="s" s="0">
        <v>82</v>
      </c>
      <c r="S147" t="s" s="0">
        <v>82</v>
      </c>
      <c r="T147" t="s" s="0">
        <v>82</v>
      </c>
      <c r="U147" t="s" s="0">
        <v>82</v>
      </c>
      <c r="V147" t="s" s="0">
        <v>3585</v>
      </c>
      <c r="W147" t="s" s="0">
        <v>3586</v>
      </c>
      <c r="X147" t="s" s="0">
        <v>82</v>
      </c>
      <c r="Y147" t="s" s="0">
        <v>82</v>
      </c>
      <c r="Z147" t="s" s="0">
        <v>91</v>
      </c>
      <c r="AA147" t="s" s="0">
        <v>92</v>
      </c>
      <c r="AB147" t="s" s="0">
        <v>82</v>
      </c>
      <c r="AC147" t="s" s="0">
        <v>82</v>
      </c>
      <c r="AD147" t="s" s="0">
        <v>82</v>
      </c>
      <c r="AE147" t="s" s="0">
        <v>82</v>
      </c>
      <c r="AF147" t="s" s="0">
        <v>82</v>
      </c>
      <c r="AG147" t="s" s="0">
        <v>3587</v>
      </c>
      <c r="AH147" t="s" s="0">
        <v>82</v>
      </c>
      <c r="AI147" t="s" s="0">
        <v>3588</v>
      </c>
      <c r="AJ147" t="s" s="0">
        <v>3589</v>
      </c>
      <c r="AK147" t="s" s="0">
        <v>82</v>
      </c>
      <c r="AL147" t="s" s="0">
        <v>209</v>
      </c>
      <c r="AM147" t="s" s="0">
        <v>78</v>
      </c>
      <c r="AN147" t="s" s="0">
        <v>78</v>
      </c>
      <c r="AO147" t="s" s="0">
        <v>78</v>
      </c>
      <c r="AP147" t="s" s="0">
        <v>99</v>
      </c>
      <c r="AQ147" t="s" s="0">
        <v>795</v>
      </c>
      <c r="AR147" t="s" s="0">
        <v>796</v>
      </c>
      <c r="AS147" t="s" s="0">
        <v>797</v>
      </c>
      <c r="AT147" t="s" s="0">
        <v>3590</v>
      </c>
      <c r="AU147" t="s" s="0">
        <v>3591</v>
      </c>
      <c r="AV147" t="s" s="0">
        <v>82</v>
      </c>
      <c r="AW147" t="s" s="0">
        <v>3592</v>
      </c>
      <c r="AX147" t="s" s="0">
        <v>3593</v>
      </c>
      <c r="AY147" t="s" s="0">
        <v>634</v>
      </c>
      <c r="AZ147" t="s" s="0">
        <v>108</v>
      </c>
      <c r="BA147" t="s" s="0">
        <v>417</v>
      </c>
      <c r="BB147" t="s" s="0">
        <v>307</v>
      </c>
      <c r="BC147" t="s" s="0">
        <v>82</v>
      </c>
      <c r="BD147" t="s" s="0">
        <v>82</v>
      </c>
      <c r="BE147" t="s" s="0">
        <v>82</v>
      </c>
      <c r="BF147" t="s" s="0">
        <v>82</v>
      </c>
      <c r="BG147" t="s" s="0">
        <v>3594</v>
      </c>
      <c r="BH147" t="s" s="0">
        <v>3595</v>
      </c>
      <c r="BI147" t="s" s="0">
        <v>82</v>
      </c>
      <c r="BJ147" t="s" s="0">
        <v>3596</v>
      </c>
      <c r="BK147" t="s" s="291">
        <f>HYPERLINK("http://dx.doi.org/10.1007/s12149-025-02084-x","http://dx.doi.org/10.1007/s12149-025-02084-x")</f>
        <v>3597</v>
      </c>
      <c r="BL147" t="s" s="0">
        <v>82</v>
      </c>
      <c r="BM147" t="s" s="0">
        <v>2022</v>
      </c>
      <c r="BN147" t="s" s="0">
        <v>115</v>
      </c>
      <c r="BO147" t="s" s="0">
        <v>717</v>
      </c>
      <c r="BP147" t="s" s="0">
        <v>717</v>
      </c>
      <c r="BQ147" t="s" s="0">
        <v>3598</v>
      </c>
      <c r="BR147" t="s" s="0">
        <v>3599</v>
      </c>
      <c r="BS147" t="s" s="0">
        <v>3600</v>
      </c>
      <c r="BT147" t="s" s="292">
        <f>HYPERLINK("https://www.webofscience.com/wos/woscc/full-record/WOS:001529070800001","View Record in Web of Science")</f>
        <v>120</v>
      </c>
      <c r="BU147" t="s" s="0">
        <v>924</v>
      </c>
      <c r="BV147" t="s" s="0">
        <v>82</v>
      </c>
      <c r="BW147" t="s" s="0">
        <v>82</v>
      </c>
      <c r="BX147" t="s" s="0">
        <v>121</v>
      </c>
    </row>
    <row r="148">
      <c r="A148" t="s" s="0">
        <v>77</v>
      </c>
      <c r="B148" t="s" s="0">
        <v>77</v>
      </c>
      <c r="C148" t="s" s="0">
        <v>77</v>
      </c>
      <c r="D148" t="s" s="0">
        <v>77</v>
      </c>
      <c r="E148" t="s" s="0">
        <v>3601</v>
      </c>
      <c r="F148" t="s" s="0">
        <v>3602</v>
      </c>
      <c r="G148" t="s" s="0">
        <v>3603</v>
      </c>
      <c r="H148" t="s" s="0">
        <v>82</v>
      </c>
      <c r="I148" t="s" s="0">
        <v>83</v>
      </c>
      <c r="J148" t="s" s="0">
        <v>3604</v>
      </c>
      <c r="K148" t="s" s="0">
        <v>3605</v>
      </c>
      <c r="L148" t="s" s="0">
        <v>82</v>
      </c>
      <c r="M148" t="s" s="0">
        <v>82</v>
      </c>
      <c r="N148" t="s" s="0">
        <v>82</v>
      </c>
      <c r="O148" t="s" s="0">
        <v>3606</v>
      </c>
      <c r="P148" t="s" s="0">
        <v>3607</v>
      </c>
      <c r="Q148" t="s" s="0">
        <v>88</v>
      </c>
      <c r="R148" t="s" s="0">
        <v>82</v>
      </c>
      <c r="S148" t="s" s="0">
        <v>82</v>
      </c>
      <c r="T148" t="s" s="0">
        <v>82</v>
      </c>
      <c r="U148" t="s" s="0">
        <v>82</v>
      </c>
      <c r="V148" t="s" s="0">
        <v>3608</v>
      </c>
      <c r="W148" t="s" s="0">
        <v>1374</v>
      </c>
      <c r="X148" t="s" s="0">
        <v>82</v>
      </c>
      <c r="Y148" t="s" s="0">
        <v>82</v>
      </c>
      <c r="Z148" t="s" s="0">
        <v>91</v>
      </c>
      <c r="AA148" t="s" s="0">
        <v>92</v>
      </c>
      <c r="AB148" t="s" s="0">
        <v>82</v>
      </c>
      <c r="AC148" t="s" s="0">
        <v>82</v>
      </c>
      <c r="AD148" t="s" s="0">
        <v>82</v>
      </c>
      <c r="AE148" t="s" s="0">
        <v>82</v>
      </c>
      <c r="AF148" t="s" s="0">
        <v>82</v>
      </c>
      <c r="AG148" t="s" s="0">
        <v>3609</v>
      </c>
      <c r="AH148" t="s" s="0">
        <v>3610</v>
      </c>
      <c r="AI148" t="s" s="0">
        <v>3611</v>
      </c>
      <c r="AJ148" t="s" s="0">
        <v>3612</v>
      </c>
      <c r="AK148" t="s" s="0">
        <v>82</v>
      </c>
      <c r="AL148" t="s" s="0">
        <v>1506</v>
      </c>
      <c r="AM148" t="s" s="0">
        <v>204</v>
      </c>
      <c r="AN148" t="s" s="0">
        <v>204</v>
      </c>
      <c r="AO148" t="s" s="0">
        <v>272</v>
      </c>
      <c r="AP148" t="s" s="0">
        <v>96</v>
      </c>
      <c r="AQ148" t="s" s="0">
        <v>1377</v>
      </c>
      <c r="AR148" t="s" s="0">
        <v>1378</v>
      </c>
      <c r="AS148" t="s" s="0">
        <v>1379</v>
      </c>
      <c r="AT148" t="s" s="0">
        <v>82</v>
      </c>
      <c r="AU148" t="s" s="0">
        <v>1380</v>
      </c>
      <c r="AV148" t="s" s="0">
        <v>82</v>
      </c>
      <c r="AW148" t="s" s="0">
        <v>1381</v>
      </c>
      <c r="AX148" t="s" s="0">
        <v>1382</v>
      </c>
      <c r="AY148" t="s" s="0">
        <v>3613</v>
      </c>
      <c r="AZ148" t="s" s="0">
        <v>108</v>
      </c>
      <c r="BA148" t="s" s="0">
        <v>97</v>
      </c>
      <c r="BB148" t="s" s="0">
        <v>235</v>
      </c>
      <c r="BC148" t="s" s="0">
        <v>82</v>
      </c>
      <c r="BD148" t="s" s="0">
        <v>82</v>
      </c>
      <c r="BE148" t="s" s="0">
        <v>82</v>
      </c>
      <c r="BF148" t="s" s="0">
        <v>82</v>
      </c>
      <c r="BG148" t="s" s="0">
        <v>82</v>
      </c>
      <c r="BH148" t="s" s="0">
        <v>82</v>
      </c>
      <c r="BI148" t="s" s="0">
        <v>3614</v>
      </c>
      <c r="BJ148" t="s" s="0">
        <v>3615</v>
      </c>
      <c r="BK148" t="s" s="293">
        <f>HYPERLINK("http://dx.doi.org/10.1088/2632-2153/ae15e5","http://dx.doi.org/10.1088/2632-2153/ae15e5")</f>
        <v>3616</v>
      </c>
      <c r="BL148" t="s" s="0">
        <v>82</v>
      </c>
      <c r="BM148" t="s" s="0">
        <v>82</v>
      </c>
      <c r="BN148" t="s" s="0">
        <v>963</v>
      </c>
      <c r="BO148" t="s" s="0">
        <v>1387</v>
      </c>
      <c r="BP148" t="s" s="0">
        <v>1388</v>
      </c>
      <c r="BQ148" t="s" s="0">
        <v>3617</v>
      </c>
      <c r="BR148" t="s" s="0">
        <v>82</v>
      </c>
      <c r="BS148" t="s" s="0">
        <v>3618</v>
      </c>
      <c r="BT148" t="s" s="294">
        <f>HYPERLINK("https://www.webofscience.com/wos/woscc/full-record/WOS:001607545900001","View Record in Web of Science")</f>
        <v>120</v>
      </c>
      <c r="BU148" t="s" s="0">
        <v>189</v>
      </c>
      <c r="BV148" t="s" s="0">
        <v>82</v>
      </c>
      <c r="BW148" t="s" s="0">
        <v>82</v>
      </c>
      <c r="BX148" t="s" s="0">
        <v>121</v>
      </c>
    </row>
    <row r="149">
      <c r="A149" t="s" s="0">
        <v>77</v>
      </c>
      <c r="B149" t="s" s="0">
        <v>77</v>
      </c>
      <c r="C149" t="s" s="0">
        <v>77</v>
      </c>
      <c r="D149" t="s" s="0">
        <v>77</v>
      </c>
      <c r="E149" t="s" s="0">
        <v>3619</v>
      </c>
      <c r="F149" t="s" s="0">
        <v>3620</v>
      </c>
      <c r="G149" t="s" s="0">
        <v>3621</v>
      </c>
      <c r="H149" t="s" s="0">
        <v>82</v>
      </c>
      <c r="I149" t="s" s="0">
        <v>83</v>
      </c>
      <c r="J149" t="s" s="0">
        <v>3622</v>
      </c>
      <c r="K149" t="s" s="0">
        <v>3623</v>
      </c>
      <c r="L149" t="s" s="0">
        <v>3624</v>
      </c>
      <c r="M149" t="s" s="0">
        <v>3625</v>
      </c>
      <c r="N149" t="s" s="0">
        <v>3626</v>
      </c>
      <c r="O149" t="s" s="0">
        <v>3627</v>
      </c>
      <c r="P149" t="s" s="0">
        <v>3628</v>
      </c>
      <c r="Q149" t="s" s="0">
        <v>88</v>
      </c>
      <c r="R149" t="s" s="0">
        <v>82</v>
      </c>
      <c r="S149" t="s" s="0">
        <v>82</v>
      </c>
      <c r="T149" t="s" s="0">
        <v>82</v>
      </c>
      <c r="U149" t="s" s="0">
        <v>82</v>
      </c>
      <c r="V149" t="s" s="0">
        <v>3629</v>
      </c>
      <c r="W149" t="s" s="0">
        <v>323</v>
      </c>
      <c r="X149" t="s" s="0">
        <v>82</v>
      </c>
      <c r="Y149" t="s" s="0">
        <v>82</v>
      </c>
      <c r="Z149" t="s" s="0">
        <v>91</v>
      </c>
      <c r="AA149" t="s" s="0">
        <v>92</v>
      </c>
      <c r="AB149" t="s" s="0">
        <v>82</v>
      </c>
      <c r="AC149" t="s" s="0">
        <v>82</v>
      </c>
      <c r="AD149" t="s" s="0">
        <v>82</v>
      </c>
      <c r="AE149" t="s" s="0">
        <v>82</v>
      </c>
      <c r="AF149" t="s" s="0">
        <v>82</v>
      </c>
      <c r="AG149" t="s" s="0">
        <v>3630</v>
      </c>
      <c r="AH149" t="s" s="0">
        <v>3631</v>
      </c>
      <c r="AI149" t="s" s="0">
        <v>82</v>
      </c>
      <c r="AJ149" t="s" s="0">
        <v>3632</v>
      </c>
      <c r="AK149" t="s" s="0">
        <v>82</v>
      </c>
      <c r="AL149" t="s" s="0">
        <v>1252</v>
      </c>
      <c r="AM149" t="s" s="0">
        <v>99</v>
      </c>
      <c r="AN149" t="s" s="0">
        <v>235</v>
      </c>
      <c r="AO149" t="s" s="0">
        <v>204</v>
      </c>
      <c r="AP149" t="s" s="0">
        <v>110</v>
      </c>
      <c r="AQ149" t="s" s="0">
        <v>100</v>
      </c>
      <c r="AR149" t="s" s="0">
        <v>101</v>
      </c>
      <c r="AS149" t="s" s="0">
        <v>102</v>
      </c>
      <c r="AT149" t="s" s="0">
        <v>325</v>
      </c>
      <c r="AU149" t="s" s="0">
        <v>82</v>
      </c>
      <c r="AV149" t="s" s="0">
        <v>82</v>
      </c>
      <c r="AW149" t="s" s="0">
        <v>323</v>
      </c>
      <c r="AX149" t="s" s="0">
        <v>326</v>
      </c>
      <c r="AY149" t="s" s="0">
        <v>108</v>
      </c>
      <c r="AZ149" t="s" s="0">
        <v>108</v>
      </c>
      <c r="BA149" t="s" s="0">
        <v>184</v>
      </c>
      <c r="BB149" t="s" s="0">
        <v>82</v>
      </c>
      <c r="BC149" t="s" s="0">
        <v>82</v>
      </c>
      <c r="BD149" t="s" s="0">
        <v>82</v>
      </c>
      <c r="BE149" t="s" s="0">
        <v>82</v>
      </c>
      <c r="BF149" t="s" s="0">
        <v>82</v>
      </c>
      <c r="BG149" t="s" s="0">
        <v>3633</v>
      </c>
      <c r="BH149" t="s" s="0">
        <v>3634</v>
      </c>
      <c r="BI149" t="s" s="0">
        <v>82</v>
      </c>
      <c r="BJ149" t="s" s="0">
        <v>3635</v>
      </c>
      <c r="BK149" t="s" s="295">
        <f>HYPERLINK("http://dx.doi.org/10.1109/ACCESS.2025.3574659","http://dx.doi.org/10.1109/ACCESS.2025.3574659")</f>
        <v>3636</v>
      </c>
      <c r="BL149" t="s" s="0">
        <v>82</v>
      </c>
      <c r="BM149" t="s" s="0">
        <v>82</v>
      </c>
      <c r="BN149" t="s" s="0">
        <v>1004</v>
      </c>
      <c r="BO149" t="s" s="0">
        <v>332</v>
      </c>
      <c r="BP149" t="s" s="0">
        <v>117</v>
      </c>
      <c r="BQ149" t="s" s="0">
        <v>3637</v>
      </c>
      <c r="BR149" t="s" s="0">
        <v>82</v>
      </c>
      <c r="BS149" t="s" s="0">
        <v>3638</v>
      </c>
      <c r="BT149" t="s" s="296">
        <f>HYPERLINK("https://www.webofscience.com/wos/woscc/full-record/WOS:001506710200015","View Record in Web of Science")</f>
        <v>120</v>
      </c>
      <c r="BU149" t="s" s="0">
        <v>189</v>
      </c>
      <c r="BV149" t="s" s="0">
        <v>82</v>
      </c>
      <c r="BW149" t="s" s="0">
        <v>82</v>
      </c>
      <c r="BX149" t="s" s="0">
        <v>121</v>
      </c>
    </row>
    <row r="150">
      <c r="A150" t="s" s="0">
        <v>77</v>
      </c>
      <c r="B150" t="s" s="0">
        <v>77</v>
      </c>
      <c r="C150" t="s" s="0">
        <v>77</v>
      </c>
      <c r="D150" t="s" s="0">
        <v>77</v>
      </c>
      <c r="E150" t="s" s="0">
        <v>3639</v>
      </c>
      <c r="F150" t="s" s="0">
        <v>3640</v>
      </c>
      <c r="G150" t="s" s="0">
        <v>3641</v>
      </c>
      <c r="H150" t="s" s="0">
        <v>82</v>
      </c>
      <c r="I150" t="s" s="0">
        <v>460</v>
      </c>
      <c r="J150" t="s" s="0">
        <v>3642</v>
      </c>
      <c r="K150" t="s" s="0">
        <v>3643</v>
      </c>
      <c r="L150" t="s" s="0">
        <v>82</v>
      </c>
      <c r="M150" t="s" s="0">
        <v>82</v>
      </c>
      <c r="N150" t="s" s="0">
        <v>82</v>
      </c>
      <c r="O150" t="s" s="0">
        <v>3644</v>
      </c>
      <c r="P150" t="s" s="0">
        <v>3645</v>
      </c>
      <c r="Q150" t="s" s="0">
        <v>88</v>
      </c>
      <c r="R150" t="s" s="0">
        <v>82</v>
      </c>
      <c r="S150" t="s" s="0">
        <v>82</v>
      </c>
      <c r="T150" t="s" s="0">
        <v>82</v>
      </c>
      <c r="U150" t="s" s="0">
        <v>82</v>
      </c>
      <c r="V150" t="s" s="0">
        <v>3646</v>
      </c>
      <c r="W150" t="s" s="0">
        <v>3647</v>
      </c>
      <c r="X150" t="s" s="0">
        <v>82</v>
      </c>
      <c r="Y150" t="s" s="0">
        <v>82</v>
      </c>
      <c r="Z150" t="s" s="0">
        <v>91</v>
      </c>
      <c r="AA150" t="s" s="0">
        <v>92</v>
      </c>
      <c r="AB150" t="s" s="0">
        <v>82</v>
      </c>
      <c r="AC150" t="s" s="0">
        <v>82</v>
      </c>
      <c r="AD150" t="s" s="0">
        <v>82</v>
      </c>
      <c r="AE150" t="s" s="0">
        <v>82</v>
      </c>
      <c r="AF150" t="s" s="0">
        <v>82</v>
      </c>
      <c r="AG150" t="s" s="0">
        <v>3648</v>
      </c>
      <c r="AH150" t="s" s="0">
        <v>82</v>
      </c>
      <c r="AI150" t="s" s="0">
        <v>3649</v>
      </c>
      <c r="AJ150" t="s" s="0">
        <v>3650</v>
      </c>
      <c r="AK150" t="s" s="0">
        <v>82</v>
      </c>
      <c r="AL150" t="s" s="0">
        <v>1505</v>
      </c>
      <c r="AM150" t="s" s="0">
        <v>77</v>
      </c>
      <c r="AN150" t="s" s="0">
        <v>77</v>
      </c>
      <c r="AO150" t="s" s="0">
        <v>99</v>
      </c>
      <c r="AP150" t="s" s="0">
        <v>99</v>
      </c>
      <c r="AQ150" t="s" s="0">
        <v>3208</v>
      </c>
      <c r="AR150" t="s" s="0">
        <v>3209</v>
      </c>
      <c r="AS150" t="s" s="0">
        <v>3210</v>
      </c>
      <c r="AT150" t="s" s="0">
        <v>3651</v>
      </c>
      <c r="AU150" t="s" s="0">
        <v>82</v>
      </c>
      <c r="AV150" t="s" s="0">
        <v>82</v>
      </c>
      <c r="AW150" t="s" s="0">
        <v>3652</v>
      </c>
      <c r="AX150" t="s" s="0">
        <v>3653</v>
      </c>
      <c r="AY150" t="s" s="0">
        <v>1688</v>
      </c>
      <c r="AZ150" t="s" s="0">
        <v>108</v>
      </c>
      <c r="BA150" t="s" s="0">
        <v>98</v>
      </c>
      <c r="BB150" t="s" s="0">
        <v>97</v>
      </c>
      <c r="BC150" t="s" s="0">
        <v>82</v>
      </c>
      <c r="BD150" t="s" s="0">
        <v>82</v>
      </c>
      <c r="BE150" t="s" s="0">
        <v>82</v>
      </c>
      <c r="BF150" t="s" s="0">
        <v>82</v>
      </c>
      <c r="BG150" t="s" s="0">
        <v>82</v>
      </c>
      <c r="BH150" t="s" s="0">
        <v>82</v>
      </c>
      <c r="BI150" t="s" s="0">
        <v>3654</v>
      </c>
      <c r="BJ150" t="s" s="0">
        <v>3655</v>
      </c>
      <c r="BK150" t="s" s="297">
        <f>HYPERLINK("http://dx.doi.org/10.1148/ryct.250033","http://dx.doi.org/10.1148/ryct.250033")</f>
        <v>3656</v>
      </c>
      <c r="BL150" t="s" s="0">
        <v>82</v>
      </c>
      <c r="BM150" t="s" s="0">
        <v>82</v>
      </c>
      <c r="BN150" t="s" s="0">
        <v>307</v>
      </c>
      <c r="BO150" t="s" s="0">
        <v>717</v>
      </c>
      <c r="BP150" t="s" s="0">
        <v>717</v>
      </c>
      <c r="BQ150" t="s" s="0">
        <v>3657</v>
      </c>
      <c r="BR150" t="s" s="0">
        <v>3658</v>
      </c>
      <c r="BS150" t="s" s="0">
        <v>3659</v>
      </c>
      <c r="BT150" t="s" s="298">
        <f>HYPERLINK("https://www.webofscience.com/wos/woscc/full-record/WOS:001653695300007","View Record in Web of Science")</f>
        <v>120</v>
      </c>
      <c r="BU150" t="s" s="0">
        <v>82</v>
      </c>
      <c r="BV150" t="s" s="0">
        <v>82</v>
      </c>
      <c r="BW150" t="s" s="0">
        <v>82</v>
      </c>
      <c r="BX150" t="s" s="0">
        <v>121</v>
      </c>
    </row>
    <row r="151">
      <c r="A151" t="s" s="0">
        <v>77</v>
      </c>
      <c r="B151" t="s" s="0">
        <v>77</v>
      </c>
      <c r="C151" t="s" s="0">
        <v>77</v>
      </c>
      <c r="D151" t="s" s="0">
        <v>77</v>
      </c>
      <c r="E151" t="s" s="0">
        <v>3660</v>
      </c>
      <c r="F151" t="s" s="0">
        <v>3661</v>
      </c>
      <c r="G151" t="s" s="0">
        <v>3662</v>
      </c>
      <c r="H151" t="s" s="0">
        <v>82</v>
      </c>
      <c r="I151" t="s" s="0">
        <v>83</v>
      </c>
      <c r="J151" t="s" s="0">
        <v>3663</v>
      </c>
      <c r="K151" t="s" s="0">
        <v>3664</v>
      </c>
      <c r="L151" t="s" s="0">
        <v>3665</v>
      </c>
      <c r="M151" t="s" s="0">
        <v>3666</v>
      </c>
      <c r="N151" t="s" s="0">
        <v>3667</v>
      </c>
      <c r="O151" t="s" s="0">
        <v>3668</v>
      </c>
      <c r="P151" t="s" s="0">
        <v>3669</v>
      </c>
      <c r="Q151" t="s" s="0">
        <v>88</v>
      </c>
      <c r="R151" t="s" s="0">
        <v>82</v>
      </c>
      <c r="S151" t="s" s="0">
        <v>82</v>
      </c>
      <c r="T151" t="s" s="0">
        <v>82</v>
      </c>
      <c r="U151" t="s" s="0">
        <v>82</v>
      </c>
      <c r="V151" t="s" s="0">
        <v>3670</v>
      </c>
      <c r="W151" t="s" s="0">
        <v>3671</v>
      </c>
      <c r="X151" t="s" s="0">
        <v>82</v>
      </c>
      <c r="Y151" t="s" s="0">
        <v>82</v>
      </c>
      <c r="Z151" t="s" s="0">
        <v>91</v>
      </c>
      <c r="AA151" t="s" s="0">
        <v>92</v>
      </c>
      <c r="AB151" t="s" s="0">
        <v>82</v>
      </c>
      <c r="AC151" t="s" s="0">
        <v>82</v>
      </c>
      <c r="AD151" t="s" s="0">
        <v>82</v>
      </c>
      <c r="AE151" t="s" s="0">
        <v>82</v>
      </c>
      <c r="AF151" t="s" s="0">
        <v>82</v>
      </c>
      <c r="AG151" t="s" s="0">
        <v>3672</v>
      </c>
      <c r="AH151" t="s" s="0">
        <v>82</v>
      </c>
      <c r="AI151" t="s" s="0">
        <v>82</v>
      </c>
      <c r="AJ151" t="s" s="0">
        <v>82</v>
      </c>
      <c r="AK151" t="s" s="0">
        <v>82</v>
      </c>
      <c r="AL151" t="s" s="0">
        <v>892</v>
      </c>
      <c r="AM151" t="s" s="0">
        <v>77</v>
      </c>
      <c r="AN151" t="s" s="0">
        <v>77</v>
      </c>
      <c r="AO151" t="s" s="0">
        <v>78</v>
      </c>
      <c r="AP151" t="s" s="0">
        <v>78</v>
      </c>
      <c r="AQ151" t="s" s="0">
        <v>706</v>
      </c>
      <c r="AR151" t="s" s="0">
        <v>707</v>
      </c>
      <c r="AS151" t="s" s="0">
        <v>708</v>
      </c>
      <c r="AT151" t="s" s="0">
        <v>3673</v>
      </c>
      <c r="AU151" t="s" s="0">
        <v>82</v>
      </c>
      <c r="AV151" t="s" s="0">
        <v>82</v>
      </c>
      <c r="AW151" t="s" s="0">
        <v>3674</v>
      </c>
      <c r="AX151" t="s" s="0">
        <v>3675</v>
      </c>
      <c r="AY151" t="s" s="0">
        <v>3676</v>
      </c>
      <c r="AZ151" t="s" s="0">
        <v>179</v>
      </c>
      <c r="BA151" t="s" s="0">
        <v>428</v>
      </c>
      <c r="BB151" t="s" s="0">
        <v>78</v>
      </c>
      <c r="BC151" t="s" s="0">
        <v>82</v>
      </c>
      <c r="BD151" t="s" s="0">
        <v>82</v>
      </c>
      <c r="BE151" t="s" s="0">
        <v>82</v>
      </c>
      <c r="BF151" t="s" s="0">
        <v>82</v>
      </c>
      <c r="BG151" t="s" s="0">
        <v>82</v>
      </c>
      <c r="BH151" t="s" s="0">
        <v>82</v>
      </c>
      <c r="BI151" t="s" s="0">
        <v>3677</v>
      </c>
      <c r="BJ151" t="s" s="0">
        <v>3678</v>
      </c>
      <c r="BK151" t="s" s="299">
        <f>HYPERLINK("http://dx.doi.org/10.1186/s13244-026-02292-7","http://dx.doi.org/10.1186/s13244-026-02292-7")</f>
        <v>3679</v>
      </c>
      <c r="BL151" t="s" s="0">
        <v>82</v>
      </c>
      <c r="BM151" t="s" s="0">
        <v>183</v>
      </c>
      <c r="BN151" t="s" s="0">
        <v>363</v>
      </c>
      <c r="BO151" t="s" s="0">
        <v>717</v>
      </c>
      <c r="BP151" t="s" s="0">
        <v>717</v>
      </c>
      <c r="BQ151" t="s" s="0">
        <v>3680</v>
      </c>
      <c r="BR151" t="s" s="0">
        <v>3681</v>
      </c>
      <c r="BS151" t="s" s="0">
        <v>3682</v>
      </c>
      <c r="BT151" t="s" s="300">
        <f>HYPERLINK("https://www.webofscience.com/wos/woscc/full-record/WOS:001752713900001","View Record in Web of Science")</f>
        <v>120</v>
      </c>
      <c r="BU151" t="s" s="0">
        <v>189</v>
      </c>
      <c r="BV151" t="s" s="0">
        <v>82</v>
      </c>
      <c r="BW151" t="s" s="0">
        <v>82</v>
      </c>
      <c r="BX151" t="s" s="0">
        <v>121</v>
      </c>
    </row>
    <row r="152">
      <c r="A152" t="s" s="0">
        <v>77</v>
      </c>
      <c r="B152" t="s" s="0">
        <v>77</v>
      </c>
      <c r="C152" t="s" s="0">
        <v>77</v>
      </c>
      <c r="D152" t="s" s="0">
        <v>77</v>
      </c>
      <c r="E152" t="s" s="0">
        <v>3683</v>
      </c>
      <c r="F152" t="s" s="0">
        <v>3684</v>
      </c>
      <c r="G152" t="s" s="0">
        <v>3685</v>
      </c>
      <c r="H152" t="s" s="0">
        <v>82</v>
      </c>
      <c r="I152" t="s" s="0">
        <v>83</v>
      </c>
      <c r="J152" t="s" s="0">
        <v>3686</v>
      </c>
      <c r="K152" t="s" s="0">
        <v>3687</v>
      </c>
      <c r="L152" t="s" s="0">
        <v>82</v>
      </c>
      <c r="M152" t="s" s="0">
        <v>82</v>
      </c>
      <c r="N152" t="s" s="0">
        <v>82</v>
      </c>
      <c r="O152" t="s" s="0">
        <v>3688</v>
      </c>
      <c r="P152" t="s" s="0">
        <v>3689</v>
      </c>
      <c r="Q152" t="s" s="0">
        <v>88</v>
      </c>
      <c r="R152" t="s" s="0">
        <v>82</v>
      </c>
      <c r="S152" t="s" s="0">
        <v>82</v>
      </c>
      <c r="T152" t="s" s="0">
        <v>82</v>
      </c>
      <c r="U152" t="s" s="0">
        <v>82</v>
      </c>
      <c r="V152" t="s" s="0">
        <v>3690</v>
      </c>
      <c r="W152" t="s" s="0">
        <v>3691</v>
      </c>
      <c r="X152" t="s" s="0">
        <v>82</v>
      </c>
      <c r="Y152" t="s" s="0">
        <v>82</v>
      </c>
      <c r="Z152" t="s" s="0">
        <v>91</v>
      </c>
      <c r="AA152" t="s" s="0">
        <v>92</v>
      </c>
      <c r="AB152" t="s" s="0">
        <v>82</v>
      </c>
      <c r="AC152" t="s" s="0">
        <v>82</v>
      </c>
      <c r="AD152" t="s" s="0">
        <v>82</v>
      </c>
      <c r="AE152" t="s" s="0">
        <v>82</v>
      </c>
      <c r="AF152" t="s" s="0">
        <v>82</v>
      </c>
      <c r="AG152" t="s" s="0">
        <v>3692</v>
      </c>
      <c r="AH152" t="s" s="0">
        <v>3693</v>
      </c>
      <c r="AI152" t="s" s="0">
        <v>82</v>
      </c>
      <c r="AJ152" t="s" s="0">
        <v>82</v>
      </c>
      <c r="AK152" t="s" s="0">
        <v>82</v>
      </c>
      <c r="AL152" t="s" s="0">
        <v>96</v>
      </c>
      <c r="AM152" t="s" s="0">
        <v>78</v>
      </c>
      <c r="AN152" t="s" s="0">
        <v>204</v>
      </c>
      <c r="AO152" t="s" s="0">
        <v>78</v>
      </c>
      <c r="AP152" t="s" s="0">
        <v>78</v>
      </c>
      <c r="AQ152" t="s" s="0">
        <v>3694</v>
      </c>
      <c r="AR152" t="s" s="0">
        <v>3695</v>
      </c>
      <c r="AS152" t="s" s="0">
        <v>3696</v>
      </c>
      <c r="AT152" t="s" s="0">
        <v>3697</v>
      </c>
      <c r="AU152" t="s" s="0">
        <v>3698</v>
      </c>
      <c r="AV152" t="s" s="0">
        <v>82</v>
      </c>
      <c r="AW152" t="s" s="0">
        <v>3699</v>
      </c>
      <c r="AX152" t="s" s="0">
        <v>3700</v>
      </c>
      <c r="AY152" t="s" s="0">
        <v>240</v>
      </c>
      <c r="AZ152" t="s" s="0">
        <v>179</v>
      </c>
      <c r="BA152" t="s" s="0">
        <v>976</v>
      </c>
      <c r="BB152" t="s" s="0">
        <v>78</v>
      </c>
      <c r="BC152" t="s" s="0">
        <v>82</v>
      </c>
      <c r="BD152" t="s" s="0">
        <v>82</v>
      </c>
      <c r="BE152" t="s" s="0">
        <v>82</v>
      </c>
      <c r="BF152" t="s" s="0">
        <v>82</v>
      </c>
      <c r="BG152" t="s" s="0">
        <v>3701</v>
      </c>
      <c r="BH152" t="s" s="0">
        <v>3702</v>
      </c>
      <c r="BI152" t="s" s="0">
        <v>82</v>
      </c>
      <c r="BJ152" t="s" s="0">
        <v>3703</v>
      </c>
      <c r="BK152" t="s" s="301">
        <f>HYPERLINK("http://dx.doi.org/10.4055/cios25183","http://dx.doi.org/10.4055/cios25183")</f>
        <v>3704</v>
      </c>
      <c r="BL152" t="s" s="0">
        <v>82</v>
      </c>
      <c r="BM152" t="s" s="0">
        <v>82</v>
      </c>
      <c r="BN152" t="s" s="0">
        <v>272</v>
      </c>
      <c r="BO152" t="s" s="0">
        <v>3705</v>
      </c>
      <c r="BP152" t="s" s="0">
        <v>3705</v>
      </c>
      <c r="BQ152" t="s" s="0">
        <v>3706</v>
      </c>
      <c r="BR152" t="s" s="0">
        <v>3707</v>
      </c>
      <c r="BS152" t="s" s="0">
        <v>3708</v>
      </c>
      <c r="BT152" t="s" s="302">
        <f>HYPERLINK("https://www.webofscience.com/wos/woscc/full-record/WOS:001679619100016","View Record in Web of Science")</f>
        <v>120</v>
      </c>
      <c r="BU152" t="s" s="0">
        <v>189</v>
      </c>
      <c r="BV152" t="s" s="0">
        <v>82</v>
      </c>
      <c r="BW152" t="s" s="0">
        <v>82</v>
      </c>
      <c r="BX152" t="s" s="0">
        <v>121</v>
      </c>
    </row>
    <row r="153">
      <c r="A153" t="s" s="0">
        <v>204</v>
      </c>
      <c r="B153" t="s" s="0">
        <v>77</v>
      </c>
      <c r="C153" t="s" s="0">
        <v>110</v>
      </c>
      <c r="D153" t="s" s="0">
        <v>77</v>
      </c>
      <c r="E153" t="s" s="0">
        <v>3709</v>
      </c>
      <c r="F153" t="s" s="0">
        <v>3710</v>
      </c>
      <c r="G153" t="s" s="0">
        <v>3711</v>
      </c>
      <c r="H153" t="s" s="0">
        <v>82</v>
      </c>
      <c r="I153" t="s" s="0">
        <v>83</v>
      </c>
      <c r="J153" t="s" s="0">
        <v>3712</v>
      </c>
      <c r="K153" t="s" s="0">
        <v>3713</v>
      </c>
      <c r="L153" t="s" s="0">
        <v>3714</v>
      </c>
      <c r="M153" t="s" s="0">
        <v>3715</v>
      </c>
      <c r="N153" t="s" s="0">
        <v>3716</v>
      </c>
      <c r="O153" t="s" s="0">
        <v>3717</v>
      </c>
      <c r="P153" t="s" s="0">
        <v>3718</v>
      </c>
      <c r="Q153" t="s" s="0">
        <v>88</v>
      </c>
      <c r="R153" t="s" s="0">
        <v>82</v>
      </c>
      <c r="S153" t="s" s="0">
        <v>82</v>
      </c>
      <c r="T153" t="s" s="0">
        <v>82</v>
      </c>
      <c r="U153" t="s" s="0">
        <v>82</v>
      </c>
      <c r="V153" t="s" s="0">
        <v>3719</v>
      </c>
      <c r="W153" t="s" s="0">
        <v>201</v>
      </c>
      <c r="X153" t="s" s="0">
        <v>82</v>
      </c>
      <c r="Y153" t="s" s="0">
        <v>82</v>
      </c>
      <c r="Z153" t="s" s="0">
        <v>91</v>
      </c>
      <c r="AA153" t="s" s="0">
        <v>92</v>
      </c>
      <c r="AB153" t="s" s="0">
        <v>82</v>
      </c>
      <c r="AC153" t="s" s="0">
        <v>82</v>
      </c>
      <c r="AD153" t="s" s="0">
        <v>82</v>
      </c>
      <c r="AE153" t="s" s="0">
        <v>82</v>
      </c>
      <c r="AF153" t="s" s="0">
        <v>82</v>
      </c>
      <c r="AG153" t="s" s="0">
        <v>3720</v>
      </c>
      <c r="AH153" t="s" s="0">
        <v>82</v>
      </c>
      <c r="AI153" t="s" s="0">
        <v>3721</v>
      </c>
      <c r="AJ153" t="s" s="0">
        <v>3722</v>
      </c>
      <c r="AK153" t="s" s="0">
        <v>82</v>
      </c>
      <c r="AL153" t="s" s="0">
        <v>1506</v>
      </c>
      <c r="AM153" t="s" s="0">
        <v>363</v>
      </c>
      <c r="AN153" t="s" s="0">
        <v>184</v>
      </c>
      <c r="AO153" t="s" s="0">
        <v>204</v>
      </c>
      <c r="AP153" t="s" s="0">
        <v>1004</v>
      </c>
      <c r="AQ153" t="s" s="0">
        <v>172</v>
      </c>
      <c r="AR153" t="s" s="0">
        <v>173</v>
      </c>
      <c r="AS153" t="s" s="0">
        <v>174</v>
      </c>
      <c r="AT153" t="s" s="0">
        <v>205</v>
      </c>
      <c r="AU153" t="s" s="0">
        <v>82</v>
      </c>
      <c r="AV153" t="s" s="0">
        <v>82</v>
      </c>
      <c r="AW153" t="s" s="0">
        <v>206</v>
      </c>
      <c r="AX153" t="s" s="0">
        <v>207</v>
      </c>
      <c r="AY153" t="s" s="0">
        <v>3723</v>
      </c>
      <c r="AZ153" t="s" s="0">
        <v>108</v>
      </c>
      <c r="BA153" t="s" s="0">
        <v>277</v>
      </c>
      <c r="BB153" t="s" s="0">
        <v>78</v>
      </c>
      <c r="BC153" t="s" s="0">
        <v>82</v>
      </c>
      <c r="BD153" t="s" s="0">
        <v>82</v>
      </c>
      <c r="BE153" t="s" s="0">
        <v>82</v>
      </c>
      <c r="BF153" t="s" s="0">
        <v>82</v>
      </c>
      <c r="BG153" t="s" s="0">
        <v>82</v>
      </c>
      <c r="BH153" t="s" s="0">
        <v>82</v>
      </c>
      <c r="BI153" t="s" s="0">
        <v>3724</v>
      </c>
      <c r="BJ153" t="s" s="0">
        <v>3725</v>
      </c>
      <c r="BK153" t="s" s="303">
        <f>HYPERLINK("http://dx.doi.org/10.1038/s41598-024-82597-z","http://dx.doi.org/10.1038/s41598-024-82597-z")</f>
        <v>3726</v>
      </c>
      <c r="BL153" t="s" s="0">
        <v>82</v>
      </c>
      <c r="BM153" t="s" s="0">
        <v>82</v>
      </c>
      <c r="BN153" t="s" s="0">
        <v>109</v>
      </c>
      <c r="BO153" t="s" s="0">
        <v>213</v>
      </c>
      <c r="BP153" t="s" s="0">
        <v>214</v>
      </c>
      <c r="BQ153" t="s" s="0">
        <v>3727</v>
      </c>
      <c r="BR153" t="s" s="0">
        <v>3728</v>
      </c>
      <c r="BS153" t="s" s="0">
        <v>3729</v>
      </c>
      <c r="BT153" t="s" s="304">
        <f>HYPERLINK("https://www.webofscience.com/wos/woscc/full-record/WOS:001391785200030","View Record in Web of Science")</f>
        <v>120</v>
      </c>
      <c r="BU153" t="s" s="0">
        <v>189</v>
      </c>
      <c r="BV153" t="s" s="0">
        <v>82</v>
      </c>
      <c r="BW153" t="s" s="0">
        <v>82</v>
      </c>
      <c r="BX153" t="s" s="0">
        <v>121</v>
      </c>
    </row>
    <row r="154">
      <c r="A154" t="s" s="0">
        <v>77</v>
      </c>
      <c r="B154" t="s" s="0">
        <v>77</v>
      </c>
      <c r="C154" t="s" s="0">
        <v>77</v>
      </c>
      <c r="D154" t="s" s="0">
        <v>77</v>
      </c>
      <c r="E154" t="s" s="0">
        <v>3730</v>
      </c>
      <c r="F154" t="s" s="0">
        <v>3731</v>
      </c>
      <c r="G154" t="s" s="0">
        <v>3732</v>
      </c>
      <c r="H154" t="s" s="0">
        <v>82</v>
      </c>
      <c r="I154" t="s" s="0">
        <v>83</v>
      </c>
      <c r="J154" t="s" s="0">
        <v>3733</v>
      </c>
      <c r="K154" t="s" s="0">
        <v>3734</v>
      </c>
      <c r="L154" t="s" s="0">
        <v>3735</v>
      </c>
      <c r="M154" t="s" s="0">
        <v>3736</v>
      </c>
      <c r="N154" t="s" s="0">
        <v>3737</v>
      </c>
      <c r="O154" t="s" s="0">
        <v>3738</v>
      </c>
      <c r="P154" t="s" s="0">
        <v>3739</v>
      </c>
      <c r="Q154" t="s" s="0">
        <v>88</v>
      </c>
      <c r="R154" t="s" s="0">
        <v>82</v>
      </c>
      <c r="S154" t="s" s="0">
        <v>82</v>
      </c>
      <c r="T154" t="s" s="0">
        <v>82</v>
      </c>
      <c r="U154" t="s" s="0">
        <v>82</v>
      </c>
      <c r="V154" t="s" s="0">
        <v>3740</v>
      </c>
      <c r="W154" t="s" s="0">
        <v>960</v>
      </c>
      <c r="X154" t="s" s="0">
        <v>82</v>
      </c>
      <c r="Y154" t="s" s="0">
        <v>82</v>
      </c>
      <c r="Z154" t="s" s="0">
        <v>91</v>
      </c>
      <c r="AA154" t="s" s="0">
        <v>92</v>
      </c>
      <c r="AB154" t="s" s="0">
        <v>82</v>
      </c>
      <c r="AC154" t="s" s="0">
        <v>82</v>
      </c>
      <c r="AD154" t="s" s="0">
        <v>82</v>
      </c>
      <c r="AE154" t="s" s="0">
        <v>82</v>
      </c>
      <c r="AF154" t="s" s="0">
        <v>82</v>
      </c>
      <c r="AG154" t="s" s="0">
        <v>3741</v>
      </c>
      <c r="AH154" t="s" s="0">
        <v>82</v>
      </c>
      <c r="AI154" t="s" s="0">
        <v>82</v>
      </c>
      <c r="AJ154" t="s" s="0">
        <v>82</v>
      </c>
      <c r="AK154" t="s" s="0">
        <v>82</v>
      </c>
      <c r="AL154" t="s" s="0">
        <v>1575</v>
      </c>
      <c r="AM154" t="s" s="0">
        <v>77</v>
      </c>
      <c r="AN154" t="s" s="0">
        <v>77</v>
      </c>
      <c r="AO154" t="s" s="0">
        <v>77</v>
      </c>
      <c r="AP154" t="s" s="0">
        <v>77</v>
      </c>
      <c r="AQ154" t="s" s="0">
        <v>964</v>
      </c>
      <c r="AR154" t="s" s="0">
        <v>965</v>
      </c>
      <c r="AS154" t="s" s="0">
        <v>966</v>
      </c>
      <c r="AT154" t="s" s="0">
        <v>967</v>
      </c>
      <c r="AU154" t="s" s="0">
        <v>968</v>
      </c>
      <c r="AV154" t="s" s="0">
        <v>82</v>
      </c>
      <c r="AW154" t="s" s="0">
        <v>969</v>
      </c>
      <c r="AX154" t="s" s="0">
        <v>970</v>
      </c>
      <c r="AY154" t="s" s="0">
        <v>3742</v>
      </c>
      <c r="AZ154" t="s" s="0">
        <v>1866</v>
      </c>
      <c r="BA154" t="s" s="0">
        <v>3743</v>
      </c>
      <c r="BB154" t="s" s="0">
        <v>82</v>
      </c>
      <c r="BC154" t="s" s="0">
        <v>82</v>
      </c>
      <c r="BD154" t="s" s="0">
        <v>1990</v>
      </c>
      <c r="BE154" t="s" s="0">
        <v>82</v>
      </c>
      <c r="BF154" t="s" s="0">
        <v>82</v>
      </c>
      <c r="BG154" t="s" s="0">
        <v>82</v>
      </c>
      <c r="BH154" t="s" s="0">
        <v>82</v>
      </c>
      <c r="BI154" t="s" s="0">
        <v>3744</v>
      </c>
      <c r="BJ154" t="s" s="0">
        <v>3745</v>
      </c>
      <c r="BK154" t="s" s="305">
        <f>HYPERLINK("http://dx.doi.org/10.1016/j.eswa.2026.133848","http://dx.doi.org/10.1016/j.eswa.2026.133848")</f>
        <v>3746</v>
      </c>
      <c r="BL154" t="s" s="0">
        <v>82</v>
      </c>
      <c r="BM154" t="s" s="0">
        <v>82</v>
      </c>
      <c r="BN154" t="s" s="0">
        <v>184</v>
      </c>
      <c r="BO154" t="s" s="0">
        <v>977</v>
      </c>
      <c r="BP154" t="s" s="0">
        <v>978</v>
      </c>
      <c r="BQ154" t="s" s="0">
        <v>3747</v>
      </c>
      <c r="BR154" t="s" s="0">
        <v>82</v>
      </c>
      <c r="BS154" t="s" s="0">
        <v>3748</v>
      </c>
      <c r="BT154" t="s" s="306">
        <f>HYPERLINK("https://www.webofscience.com/wos/woscc/full-record/WOS:001849167100001","View Record in Web of Science")</f>
        <v>120</v>
      </c>
      <c r="BU154" t="s" s="0">
        <v>1972</v>
      </c>
      <c r="BV154" t="s" s="0">
        <v>82</v>
      </c>
      <c r="BW154" t="s" s="0">
        <v>82</v>
      </c>
      <c r="BX154" t="s" s="0">
        <v>121</v>
      </c>
    </row>
    <row r="155">
      <c r="A155" t="s" s="0">
        <v>77</v>
      </c>
      <c r="B155" t="s" s="0">
        <v>77</v>
      </c>
      <c r="C155" t="s" s="0">
        <v>77</v>
      </c>
      <c r="D155" t="s" s="0">
        <v>77</v>
      </c>
      <c r="E155" t="s" s="0">
        <v>3749</v>
      </c>
      <c r="F155" t="s" s="0">
        <v>3750</v>
      </c>
      <c r="G155" t="s" s="0">
        <v>3751</v>
      </c>
      <c r="H155" t="s" s="0">
        <v>82</v>
      </c>
      <c r="I155" t="s" s="0">
        <v>83</v>
      </c>
      <c r="J155" t="s" s="0">
        <v>3752</v>
      </c>
      <c r="K155" t="s" s="0">
        <v>3753</v>
      </c>
      <c r="L155" t="s" s="0">
        <v>3754</v>
      </c>
      <c r="M155" t="s" s="0">
        <v>3755</v>
      </c>
      <c r="N155" t="s" s="0">
        <v>3756</v>
      </c>
      <c r="O155" t="s" s="0">
        <v>3757</v>
      </c>
      <c r="P155" t="s" s="0">
        <v>3758</v>
      </c>
      <c r="Q155" t="s" s="0">
        <v>88</v>
      </c>
      <c r="R155" t="s" s="0">
        <v>82</v>
      </c>
      <c r="S155" t="s" s="0">
        <v>82</v>
      </c>
      <c r="T155" t="s" s="0">
        <v>82</v>
      </c>
      <c r="U155" t="s" s="0">
        <v>82</v>
      </c>
      <c r="V155" t="s" s="0">
        <v>3759</v>
      </c>
      <c r="W155" t="s" s="0">
        <v>347</v>
      </c>
      <c r="X155" t="s" s="0">
        <v>82</v>
      </c>
      <c r="Y155" t="s" s="0">
        <v>82</v>
      </c>
      <c r="Z155" t="s" s="0">
        <v>91</v>
      </c>
      <c r="AA155" t="s" s="0">
        <v>92</v>
      </c>
      <c r="AB155" t="s" s="0">
        <v>82</v>
      </c>
      <c r="AC155" t="s" s="0">
        <v>82</v>
      </c>
      <c r="AD155" t="s" s="0">
        <v>82</v>
      </c>
      <c r="AE155" t="s" s="0">
        <v>82</v>
      </c>
      <c r="AF155" t="s" s="0">
        <v>82</v>
      </c>
      <c r="AG155" t="s" s="0">
        <v>3760</v>
      </c>
      <c r="AH155" t="s" s="0">
        <v>3761</v>
      </c>
      <c r="AI155" t="s" s="0">
        <v>82</v>
      </c>
      <c r="AJ155" t="s" s="0">
        <v>3762</v>
      </c>
      <c r="AK155" t="s" s="0">
        <v>82</v>
      </c>
      <c r="AL155" t="s" s="0">
        <v>1115</v>
      </c>
      <c r="AM155" t="s" s="0">
        <v>77</v>
      </c>
      <c r="AN155" t="s" s="0">
        <v>77</v>
      </c>
      <c r="AO155" t="s" s="0">
        <v>78</v>
      </c>
      <c r="AP155" t="s" s="0">
        <v>78</v>
      </c>
      <c r="AQ155" t="s" s="0">
        <v>351</v>
      </c>
      <c r="AR155" t="s" s="0">
        <v>352</v>
      </c>
      <c r="AS155" t="s" s="0">
        <v>353</v>
      </c>
      <c r="AT155" t="s" s="0">
        <v>354</v>
      </c>
      <c r="AU155" t="s" s="0">
        <v>355</v>
      </c>
      <c r="AV155" t="s" s="0">
        <v>82</v>
      </c>
      <c r="AW155" t="s" s="0">
        <v>356</v>
      </c>
      <c r="AX155" t="s" s="0">
        <v>357</v>
      </c>
      <c r="AY155" t="s" s="0">
        <v>716</v>
      </c>
      <c r="AZ155" t="s" s="0">
        <v>179</v>
      </c>
      <c r="BA155" t="s" s="0">
        <v>3763</v>
      </c>
      <c r="BB155" t="s" s="0">
        <v>82</v>
      </c>
      <c r="BC155" t="s" s="0">
        <v>82</v>
      </c>
      <c r="BD155" t="s" s="0">
        <v>82</v>
      </c>
      <c r="BE155" t="s" s="0">
        <v>82</v>
      </c>
      <c r="BF155" t="s" s="0">
        <v>82</v>
      </c>
      <c r="BG155" t="s" s="0">
        <v>82</v>
      </c>
      <c r="BH155" t="s" s="0">
        <v>82</v>
      </c>
      <c r="BI155" t="s" s="0">
        <v>3764</v>
      </c>
      <c r="BJ155" t="s" s="0">
        <v>3765</v>
      </c>
      <c r="BK155" t="s" s="307">
        <f>HYPERLINK("http://dx.doi.org/10.1016/j.jbi.2026.105031","http://dx.doi.org/10.1016/j.jbi.2026.105031")</f>
        <v>3766</v>
      </c>
      <c r="BL155" t="s" s="0">
        <v>82</v>
      </c>
      <c r="BM155" t="s" s="0">
        <v>183</v>
      </c>
      <c r="BN155" t="s" s="0">
        <v>148</v>
      </c>
      <c r="BO155" t="s" s="0">
        <v>364</v>
      </c>
      <c r="BP155" t="s" s="0">
        <v>365</v>
      </c>
      <c r="BQ155" t="s" s="0">
        <v>3767</v>
      </c>
      <c r="BR155" t="s" s="0">
        <v>3768</v>
      </c>
      <c r="BS155" t="s" s="0">
        <v>3769</v>
      </c>
      <c r="BT155" t="s" s="308">
        <f>HYPERLINK("https://www.webofscience.com/wos/woscc/full-record/WOS:001745176600001","View Record in Web of Science")</f>
        <v>120</v>
      </c>
      <c r="BU155" t="s" s="0">
        <v>519</v>
      </c>
      <c r="BV155" t="s" s="0">
        <v>82</v>
      </c>
      <c r="BW155" t="s" s="0">
        <v>82</v>
      </c>
      <c r="BX155" t="s" s="0">
        <v>121</v>
      </c>
    </row>
    <row r="156">
      <c r="A156" t="s" s="0">
        <v>77</v>
      </c>
      <c r="B156" t="s" s="0">
        <v>77</v>
      </c>
      <c r="C156" t="s" s="0">
        <v>77</v>
      </c>
      <c r="D156" t="s" s="0">
        <v>77</v>
      </c>
      <c r="E156" t="s" s="0">
        <v>3770</v>
      </c>
      <c r="F156" t="s" s="0">
        <v>3771</v>
      </c>
      <c r="G156" t="s" s="0">
        <v>3772</v>
      </c>
      <c r="H156" t="s" s="0">
        <v>82</v>
      </c>
      <c r="I156" t="s" s="0">
        <v>83</v>
      </c>
      <c r="J156" t="s" s="0">
        <v>3773</v>
      </c>
      <c r="K156" t="s" s="0">
        <v>3774</v>
      </c>
      <c r="L156" t="s" s="0">
        <v>82</v>
      </c>
      <c r="M156" t="s" s="0">
        <v>82</v>
      </c>
      <c r="N156" t="s" s="0">
        <v>82</v>
      </c>
      <c r="O156" t="s" s="0">
        <v>3775</v>
      </c>
      <c r="P156" t="s" s="0">
        <v>3776</v>
      </c>
      <c r="Q156" t="s" s="0">
        <v>88</v>
      </c>
      <c r="R156" t="s" s="0">
        <v>82</v>
      </c>
      <c r="S156" t="s" s="0">
        <v>82</v>
      </c>
      <c r="T156" t="s" s="0">
        <v>82</v>
      </c>
      <c r="U156" t="s" s="0">
        <v>82</v>
      </c>
      <c r="V156" t="s" s="0">
        <v>3777</v>
      </c>
      <c r="W156" t="s" s="0">
        <v>3778</v>
      </c>
      <c r="X156" t="s" s="0">
        <v>82</v>
      </c>
      <c r="Y156" t="s" s="0">
        <v>82</v>
      </c>
      <c r="Z156" t="s" s="0">
        <v>91</v>
      </c>
      <c r="AA156" t="s" s="0">
        <v>92</v>
      </c>
      <c r="AB156" t="s" s="0">
        <v>82</v>
      </c>
      <c r="AC156" t="s" s="0">
        <v>82</v>
      </c>
      <c r="AD156" t="s" s="0">
        <v>82</v>
      </c>
      <c r="AE156" t="s" s="0">
        <v>82</v>
      </c>
      <c r="AF156" t="s" s="0">
        <v>82</v>
      </c>
      <c r="AG156" t="s" s="0">
        <v>3779</v>
      </c>
      <c r="AH156" t="s" s="0">
        <v>3780</v>
      </c>
      <c r="AI156" t="s" s="0">
        <v>3781</v>
      </c>
      <c r="AJ156" t="s" s="0">
        <v>82</v>
      </c>
      <c r="AK156" t="s" s="0">
        <v>82</v>
      </c>
      <c r="AL156" t="s" s="0">
        <v>331</v>
      </c>
      <c r="AM156" t="s" s="0">
        <v>77</v>
      </c>
      <c r="AN156" t="s" s="0">
        <v>77</v>
      </c>
      <c r="AO156" t="s" s="0">
        <v>204</v>
      </c>
      <c r="AP156" t="s" s="0">
        <v>98</v>
      </c>
      <c r="AQ156" t="s" s="0">
        <v>3001</v>
      </c>
      <c r="AR156" t="s" s="0">
        <v>3002</v>
      </c>
      <c r="AS156" t="s" s="0">
        <v>3003</v>
      </c>
      <c r="AT156" t="s" s="0">
        <v>82</v>
      </c>
      <c r="AU156" t="s" s="0">
        <v>3782</v>
      </c>
      <c r="AV156" t="s" s="0">
        <v>82</v>
      </c>
      <c r="AW156" t="s" s="0">
        <v>3783</v>
      </c>
      <c r="AX156" t="s" s="0">
        <v>3784</v>
      </c>
      <c r="AY156" t="s" s="0">
        <v>3785</v>
      </c>
      <c r="AZ156" t="s" s="0">
        <v>108</v>
      </c>
      <c r="BA156" t="s" s="0">
        <v>209</v>
      </c>
      <c r="BB156" t="s" s="0">
        <v>82</v>
      </c>
      <c r="BC156" t="s" s="0">
        <v>82</v>
      </c>
      <c r="BD156" t="s" s="0">
        <v>82</v>
      </c>
      <c r="BE156" t="s" s="0">
        <v>82</v>
      </c>
      <c r="BF156" t="s" s="0">
        <v>82</v>
      </c>
      <c r="BG156" t="s" s="0">
        <v>82</v>
      </c>
      <c r="BH156" t="s" s="0">
        <v>82</v>
      </c>
      <c r="BI156" t="s" s="0">
        <v>3786</v>
      </c>
      <c r="BJ156" t="s" s="0">
        <v>3787</v>
      </c>
      <c r="BK156" t="s" s="309">
        <f>HYPERLINK("http://dx.doi.org/10.3389/fmicb.2025.1687021","http://dx.doi.org/10.3389/fmicb.2025.1687021")</f>
        <v>3788</v>
      </c>
      <c r="BL156" t="s" s="0">
        <v>82</v>
      </c>
      <c r="BM156" t="s" s="0">
        <v>82</v>
      </c>
      <c r="BN156" t="s" s="0">
        <v>307</v>
      </c>
      <c r="BO156" t="s" s="0">
        <v>3789</v>
      </c>
      <c r="BP156" t="s" s="0">
        <v>3789</v>
      </c>
      <c r="BQ156" t="s" s="0">
        <v>3790</v>
      </c>
      <c r="BR156" t="s" s="0">
        <v>3791</v>
      </c>
      <c r="BS156" t="s" s="0">
        <v>3792</v>
      </c>
      <c r="BT156" t="s" s="310">
        <f>HYPERLINK("https://www.webofscience.com/wos/woscc/full-record/WOS:001602192000001","View Record in Web of Science")</f>
        <v>120</v>
      </c>
      <c r="BU156" t="s" s="0">
        <v>189</v>
      </c>
      <c r="BV156" t="s" s="0">
        <v>82</v>
      </c>
      <c r="BW156" t="s" s="0">
        <v>82</v>
      </c>
      <c r="BX156" t="s" s="0">
        <v>121</v>
      </c>
    </row>
    <row r="157">
      <c r="A157" t="s" s="0">
        <v>77</v>
      </c>
      <c r="B157" t="s" s="0">
        <v>77</v>
      </c>
      <c r="C157" t="s" s="0">
        <v>77</v>
      </c>
      <c r="D157" t="s" s="0">
        <v>77</v>
      </c>
      <c r="E157" t="s" s="0">
        <v>3793</v>
      </c>
      <c r="F157" t="s" s="0">
        <v>3794</v>
      </c>
      <c r="G157" t="s" s="0">
        <v>3795</v>
      </c>
      <c r="H157" t="s" s="0">
        <v>82</v>
      </c>
      <c r="I157" t="s" s="0">
        <v>83</v>
      </c>
      <c r="J157" t="s" s="0">
        <v>3796</v>
      </c>
      <c r="K157" t="s" s="0">
        <v>3797</v>
      </c>
      <c r="L157" t="s" s="0">
        <v>3798</v>
      </c>
      <c r="M157" t="s" s="0">
        <v>3799</v>
      </c>
      <c r="N157" t="s" s="0">
        <v>3800</v>
      </c>
      <c r="O157" t="s" s="0">
        <v>3801</v>
      </c>
      <c r="P157" t="s" s="0">
        <v>3802</v>
      </c>
      <c r="Q157" t="s" s="0">
        <v>88</v>
      </c>
      <c r="R157" t="s" s="0">
        <v>82</v>
      </c>
      <c r="S157" t="s" s="0">
        <v>82</v>
      </c>
      <c r="T157" t="s" s="0">
        <v>82</v>
      </c>
      <c r="U157" t="s" s="0">
        <v>82</v>
      </c>
      <c r="V157" t="s" s="0">
        <v>3803</v>
      </c>
      <c r="W157" t="s" s="0">
        <v>3804</v>
      </c>
      <c r="X157" t="s" s="0">
        <v>82</v>
      </c>
      <c r="Y157" t="s" s="0">
        <v>82</v>
      </c>
      <c r="Z157" t="s" s="0">
        <v>91</v>
      </c>
      <c r="AA157" t="s" s="0">
        <v>92</v>
      </c>
      <c r="AB157" t="s" s="0">
        <v>82</v>
      </c>
      <c r="AC157" t="s" s="0">
        <v>82</v>
      </c>
      <c r="AD157" t="s" s="0">
        <v>82</v>
      </c>
      <c r="AE157" t="s" s="0">
        <v>82</v>
      </c>
      <c r="AF157" t="s" s="0">
        <v>82</v>
      </c>
      <c r="AG157" t="s" s="0">
        <v>3805</v>
      </c>
      <c r="AH157" t="s" s="0">
        <v>3806</v>
      </c>
      <c r="AI157" t="s" s="0">
        <v>3807</v>
      </c>
      <c r="AJ157" t="s" s="0">
        <v>3808</v>
      </c>
      <c r="AK157" t="s" s="0">
        <v>82</v>
      </c>
      <c r="AL157" t="s" s="0">
        <v>241</v>
      </c>
      <c r="AM157" t="s" s="0">
        <v>78</v>
      </c>
      <c r="AN157" t="s" s="0">
        <v>78</v>
      </c>
      <c r="AO157" t="s" s="0">
        <v>99</v>
      </c>
      <c r="AP157" t="s" s="0">
        <v>363</v>
      </c>
      <c r="AQ157" t="s" s="0">
        <v>418</v>
      </c>
      <c r="AR157" t="s" s="0">
        <v>419</v>
      </c>
      <c r="AS157" t="s" s="0">
        <v>420</v>
      </c>
      <c r="AT157" t="s" s="0">
        <v>82</v>
      </c>
      <c r="AU157" t="s" s="0">
        <v>3809</v>
      </c>
      <c r="AV157" t="s" s="0">
        <v>82</v>
      </c>
      <c r="AW157" t="s" s="0">
        <v>3810</v>
      </c>
      <c r="AX157" t="s" s="0">
        <v>3811</v>
      </c>
      <c r="AY157" t="s" s="0">
        <v>3812</v>
      </c>
      <c r="AZ157" t="s" s="0">
        <v>108</v>
      </c>
      <c r="BA157" t="s" s="0">
        <v>184</v>
      </c>
      <c r="BB157" t="s" s="0">
        <v>109</v>
      </c>
      <c r="BC157" t="s" s="0">
        <v>82</v>
      </c>
      <c r="BD157" t="s" s="0">
        <v>82</v>
      </c>
      <c r="BE157" t="s" s="0">
        <v>82</v>
      </c>
      <c r="BF157" t="s" s="0">
        <v>82</v>
      </c>
      <c r="BG157" t="s" s="0">
        <v>82</v>
      </c>
      <c r="BH157" t="s" s="0">
        <v>82</v>
      </c>
      <c r="BI157" t="s" s="0">
        <v>3813</v>
      </c>
      <c r="BJ157" t="s" s="0">
        <v>3814</v>
      </c>
      <c r="BK157" t="s" s="311">
        <f>HYPERLINK("http://dx.doi.org/10.3390/math13142322","http://dx.doi.org/10.3390/math13142322")</f>
        <v>3815</v>
      </c>
      <c r="BL157" t="s" s="0">
        <v>82</v>
      </c>
      <c r="BM157" t="s" s="0">
        <v>82</v>
      </c>
      <c r="BN157" t="s" s="0">
        <v>391</v>
      </c>
      <c r="BO157" t="s" s="0">
        <v>3811</v>
      </c>
      <c r="BP157" t="s" s="0">
        <v>3811</v>
      </c>
      <c r="BQ157" t="s" s="0">
        <v>3816</v>
      </c>
      <c r="BR157" t="s" s="0">
        <v>82</v>
      </c>
      <c r="BS157" t="s" s="0">
        <v>3817</v>
      </c>
      <c r="BT157" t="s" s="312">
        <f>HYPERLINK("https://www.webofscience.com/wos/woscc/full-record/WOS:001535495800001","View Record in Web of Science")</f>
        <v>120</v>
      </c>
      <c r="BU157" t="s" s="0">
        <v>189</v>
      </c>
      <c r="BV157" t="s" s="0">
        <v>82</v>
      </c>
      <c r="BW157" t="s" s="0">
        <v>82</v>
      </c>
      <c r="BX157" t="s" s="0">
        <v>121</v>
      </c>
    </row>
    <row r="158">
      <c r="A158" t="s" s="0">
        <v>77</v>
      </c>
      <c r="B158" t="s" s="0">
        <v>77</v>
      </c>
      <c r="C158" t="s" s="0">
        <v>77</v>
      </c>
      <c r="D158" t="s" s="0">
        <v>77</v>
      </c>
      <c r="E158" t="s" s="0">
        <v>3818</v>
      </c>
      <c r="F158" t="s" s="0">
        <v>3819</v>
      </c>
      <c r="G158" t="s" s="0">
        <v>3820</v>
      </c>
      <c r="H158" t="s" s="0">
        <v>82</v>
      </c>
      <c r="I158" t="s" s="0">
        <v>460</v>
      </c>
      <c r="J158" t="s" s="0">
        <v>3821</v>
      </c>
      <c r="K158" t="s" s="0">
        <v>3822</v>
      </c>
      <c r="L158" t="s" s="0">
        <v>3823</v>
      </c>
      <c r="M158" t="s" s="0">
        <v>3824</v>
      </c>
      <c r="N158" t="s" s="0">
        <v>2499</v>
      </c>
      <c r="O158" t="s" s="0">
        <v>3825</v>
      </c>
      <c r="P158" t="s" s="0">
        <v>2501</v>
      </c>
      <c r="Q158" t="s" s="0">
        <v>88</v>
      </c>
      <c r="R158" t="s" s="0">
        <v>82</v>
      </c>
      <c r="S158" t="s" s="0">
        <v>82</v>
      </c>
      <c r="T158" t="s" s="0">
        <v>82</v>
      </c>
      <c r="U158" t="s" s="0">
        <v>82</v>
      </c>
      <c r="V158" t="s" s="0">
        <v>3826</v>
      </c>
      <c r="W158" t="s" s="0">
        <v>3827</v>
      </c>
      <c r="X158" t="s" s="0">
        <v>82</v>
      </c>
      <c r="Y158" t="s" s="0">
        <v>82</v>
      </c>
      <c r="Z158" t="s" s="0">
        <v>91</v>
      </c>
      <c r="AA158" t="s" s="0">
        <v>92</v>
      </c>
      <c r="AB158" t="s" s="0">
        <v>82</v>
      </c>
      <c r="AC158" t="s" s="0">
        <v>82</v>
      </c>
      <c r="AD158" t="s" s="0">
        <v>82</v>
      </c>
      <c r="AE158" t="s" s="0">
        <v>82</v>
      </c>
      <c r="AF158" t="s" s="0">
        <v>82</v>
      </c>
      <c r="AG158" t="s" s="0">
        <v>3828</v>
      </c>
      <c r="AH158" t="s" s="0">
        <v>82</v>
      </c>
      <c r="AI158" t="s" s="0">
        <v>3829</v>
      </c>
      <c r="AJ158" t="s" s="0">
        <v>82</v>
      </c>
      <c r="AK158" t="s" s="0">
        <v>82</v>
      </c>
      <c r="AL158" t="s" s="0">
        <v>2321</v>
      </c>
      <c r="AM158" t="s" s="0">
        <v>77</v>
      </c>
      <c r="AN158" t="s" s="0">
        <v>77</v>
      </c>
      <c r="AO158" t="s" s="0">
        <v>77</v>
      </c>
      <c r="AP158" t="s" s="0">
        <v>78</v>
      </c>
      <c r="AQ158" t="s" s="0">
        <v>474</v>
      </c>
      <c r="AR158" t="s" s="0">
        <v>475</v>
      </c>
      <c r="AS158" t="s" s="0">
        <v>476</v>
      </c>
      <c r="AT158" t="s" s="0">
        <v>3830</v>
      </c>
      <c r="AU158" t="s" s="0">
        <v>3831</v>
      </c>
      <c r="AV158" t="s" s="0">
        <v>82</v>
      </c>
      <c r="AW158" t="s" s="0">
        <v>3832</v>
      </c>
      <c r="AX158" t="s" s="0">
        <v>3833</v>
      </c>
      <c r="AY158" t="s" s="0">
        <v>634</v>
      </c>
      <c r="AZ158" t="s" s="0">
        <v>108</v>
      </c>
      <c r="BA158" t="s" s="0">
        <v>963</v>
      </c>
      <c r="BB158" t="s" s="0">
        <v>98</v>
      </c>
      <c r="BC158" t="s" s="0">
        <v>82</v>
      </c>
      <c r="BD158" t="s" s="0">
        <v>82</v>
      </c>
      <c r="BE158" t="s" s="0">
        <v>82</v>
      </c>
      <c r="BF158" t="s" s="0">
        <v>82</v>
      </c>
      <c r="BG158" t="s" s="0">
        <v>3834</v>
      </c>
      <c r="BH158" t="s" s="0">
        <v>3835</v>
      </c>
      <c r="BI158" t="s" s="0">
        <v>82</v>
      </c>
      <c r="BJ158" t="s" s="0">
        <v>3836</v>
      </c>
      <c r="BK158" t="s" s="313">
        <f>HYPERLINK("http://dx.doi.org/10.1007/s41060-025-00834-8","http://dx.doi.org/10.1007/s41060-025-00834-8")</f>
        <v>3837</v>
      </c>
      <c r="BL158" t="s" s="0">
        <v>82</v>
      </c>
      <c r="BM158" t="s" s="0">
        <v>611</v>
      </c>
      <c r="BN158" t="s" s="0">
        <v>184</v>
      </c>
      <c r="BO158" t="s" s="0">
        <v>3838</v>
      </c>
      <c r="BP158" t="s" s="0">
        <v>309</v>
      </c>
      <c r="BQ158" t="s" s="0">
        <v>3839</v>
      </c>
      <c r="BR158" t="s" s="0">
        <v>82</v>
      </c>
      <c r="BS158" t="s" s="0">
        <v>3840</v>
      </c>
      <c r="BT158" t="s" s="314">
        <f>HYPERLINK("https://www.webofscience.com/wos/woscc/full-record/WOS:001510293300001","View Record in Web of Science")</f>
        <v>120</v>
      </c>
      <c r="BU158" t="s" s="0">
        <v>82</v>
      </c>
      <c r="BV158" t="s" s="0">
        <v>82</v>
      </c>
      <c r="BW158" t="s" s="0">
        <v>82</v>
      </c>
      <c r="BX158" t="s" s="0">
        <v>121</v>
      </c>
    </row>
    <row r="159">
      <c r="A159" t="s" s="0">
        <v>77</v>
      </c>
      <c r="B159" t="s" s="0">
        <v>77</v>
      </c>
      <c r="C159" t="s" s="0">
        <v>77</v>
      </c>
      <c r="D159" t="s" s="0">
        <v>77</v>
      </c>
      <c r="E159" t="s" s="0">
        <v>3841</v>
      </c>
      <c r="F159" t="s" s="0">
        <v>3842</v>
      </c>
      <c r="G159" t="s" s="0">
        <v>3843</v>
      </c>
      <c r="H159" t="s" s="0">
        <v>82</v>
      </c>
      <c r="I159" t="s" s="0">
        <v>460</v>
      </c>
      <c r="J159" t="s" s="0">
        <v>3844</v>
      </c>
      <c r="K159" t="s" s="0">
        <v>3845</v>
      </c>
      <c r="L159" t="s" s="0">
        <v>3846</v>
      </c>
      <c r="M159" t="s" s="0">
        <v>3847</v>
      </c>
      <c r="N159" t="s" s="0">
        <v>3848</v>
      </c>
      <c r="O159" t="s" s="0">
        <v>3849</v>
      </c>
      <c r="P159" t="s" s="0">
        <v>3850</v>
      </c>
      <c r="Q159" t="s" s="0">
        <v>88</v>
      </c>
      <c r="R159" t="s" s="0">
        <v>82</v>
      </c>
      <c r="S159" t="s" s="0">
        <v>82</v>
      </c>
      <c r="T159" t="s" s="0">
        <v>82</v>
      </c>
      <c r="U159" t="s" s="0">
        <v>82</v>
      </c>
      <c r="V159" t="s" s="0">
        <v>3851</v>
      </c>
      <c r="W159" t="s" s="0">
        <v>3852</v>
      </c>
      <c r="X159" t="s" s="0">
        <v>82</v>
      </c>
      <c r="Y159" t="s" s="0">
        <v>82</v>
      </c>
      <c r="Z159" t="s" s="0">
        <v>91</v>
      </c>
      <c r="AA159" t="s" s="0">
        <v>92</v>
      </c>
      <c r="AB159" t="s" s="0">
        <v>82</v>
      </c>
      <c r="AC159" t="s" s="0">
        <v>82</v>
      </c>
      <c r="AD159" t="s" s="0">
        <v>82</v>
      </c>
      <c r="AE159" t="s" s="0">
        <v>82</v>
      </c>
      <c r="AF159" t="s" s="0">
        <v>82</v>
      </c>
      <c r="AG159" t="s" s="0">
        <v>3853</v>
      </c>
      <c r="AH159" t="s" s="0">
        <v>82</v>
      </c>
      <c r="AI159" t="s" s="0">
        <v>3854</v>
      </c>
      <c r="AJ159" t="s" s="0">
        <v>3855</v>
      </c>
      <c r="AK159" t="s" s="0">
        <v>82</v>
      </c>
      <c r="AL159" t="s" s="0">
        <v>473</v>
      </c>
      <c r="AM159" t="s" s="0">
        <v>78</v>
      </c>
      <c r="AN159" t="s" s="0">
        <v>78</v>
      </c>
      <c r="AO159" t="s" s="0">
        <v>77</v>
      </c>
      <c r="AP159" t="s" s="0">
        <v>77</v>
      </c>
      <c r="AQ159" t="s" s="0">
        <v>418</v>
      </c>
      <c r="AR159" t="s" s="0">
        <v>419</v>
      </c>
      <c r="AS159" t="s" s="0">
        <v>420</v>
      </c>
      <c r="AT159" t="s" s="0">
        <v>3856</v>
      </c>
      <c r="AU159" t="s" s="0">
        <v>82</v>
      </c>
      <c r="AV159" t="s" s="0">
        <v>82</v>
      </c>
      <c r="AW159" t="s" s="0">
        <v>3852</v>
      </c>
      <c r="AX159" t="s" s="0">
        <v>3857</v>
      </c>
      <c r="AY159" t="s" s="0">
        <v>3858</v>
      </c>
      <c r="AZ159" t="s" s="0">
        <v>108</v>
      </c>
      <c r="BA159" t="s" s="0">
        <v>109</v>
      </c>
      <c r="BB159" t="s" s="0">
        <v>307</v>
      </c>
      <c r="BC159" t="s" s="0">
        <v>82</v>
      </c>
      <c r="BD159" t="s" s="0">
        <v>82</v>
      </c>
      <c r="BE159" t="s" s="0">
        <v>82</v>
      </c>
      <c r="BF159" t="s" s="0">
        <v>82</v>
      </c>
      <c r="BG159" t="s" s="0">
        <v>82</v>
      </c>
      <c r="BH159" t="s" s="0">
        <v>82</v>
      </c>
      <c r="BI159" t="s" s="0">
        <v>3859</v>
      </c>
      <c r="BJ159" t="s" s="0">
        <v>3860</v>
      </c>
      <c r="BK159" t="s" s="315">
        <f>HYPERLINK("http://dx.doi.org/10.3390/computers14110489","http://dx.doi.org/10.3390/computers14110489")</f>
        <v>3861</v>
      </c>
      <c r="BL159" t="s" s="0">
        <v>82</v>
      </c>
      <c r="BM159" t="s" s="0">
        <v>82</v>
      </c>
      <c r="BN159" t="s" s="0">
        <v>277</v>
      </c>
      <c r="BO159" t="s" s="0">
        <v>3862</v>
      </c>
      <c r="BP159" t="s" s="0">
        <v>309</v>
      </c>
      <c r="BQ159" t="s" s="0">
        <v>3863</v>
      </c>
      <c r="BR159" t="s" s="0">
        <v>82</v>
      </c>
      <c r="BS159" t="s" s="0">
        <v>3864</v>
      </c>
      <c r="BT159" t="s" s="316">
        <f>HYPERLINK("https://www.webofscience.com/wos/woscc/full-record/WOS:001623509700001","View Record in Web of Science")</f>
        <v>120</v>
      </c>
      <c r="BU159" t="s" s="0">
        <v>189</v>
      </c>
      <c r="BV159" t="s" s="0">
        <v>82</v>
      </c>
      <c r="BW159" t="s" s="0">
        <v>82</v>
      </c>
      <c r="BX159" t="s" s="0">
        <v>121</v>
      </c>
    </row>
    <row r="160">
      <c r="A160" t="s" s="0">
        <v>77</v>
      </c>
      <c r="B160" t="s" s="0">
        <v>77</v>
      </c>
      <c r="C160" t="s" s="0">
        <v>77</v>
      </c>
      <c r="D160" t="s" s="0">
        <v>77</v>
      </c>
      <c r="E160" t="s" s="0">
        <v>3865</v>
      </c>
      <c r="F160" t="s" s="0">
        <v>3866</v>
      </c>
      <c r="G160" t="s" s="0">
        <v>3867</v>
      </c>
      <c r="H160" t="s" s="0">
        <v>82</v>
      </c>
      <c r="I160" t="s" s="0">
        <v>83</v>
      </c>
      <c r="J160" t="s" s="0">
        <v>3868</v>
      </c>
      <c r="K160" t="s" s="0">
        <v>3869</v>
      </c>
      <c r="L160" t="s" s="0">
        <v>3870</v>
      </c>
      <c r="M160" t="s" s="0">
        <v>3871</v>
      </c>
      <c r="N160" t="s" s="0">
        <v>3872</v>
      </c>
      <c r="O160" t="s" s="0">
        <v>3873</v>
      </c>
      <c r="P160" t="s" s="0">
        <v>3874</v>
      </c>
      <c r="Q160" t="s" s="0">
        <v>88</v>
      </c>
      <c r="R160" t="s" s="0">
        <v>82</v>
      </c>
      <c r="S160" t="s" s="0">
        <v>82</v>
      </c>
      <c r="T160" t="s" s="0">
        <v>82</v>
      </c>
      <c r="U160" t="s" s="0">
        <v>82</v>
      </c>
      <c r="V160" t="s" s="0">
        <v>3875</v>
      </c>
      <c r="W160" t="s" s="0">
        <v>3876</v>
      </c>
      <c r="X160" t="s" s="0">
        <v>82</v>
      </c>
      <c r="Y160" t="s" s="0">
        <v>82</v>
      </c>
      <c r="Z160" t="s" s="0">
        <v>91</v>
      </c>
      <c r="AA160" t="s" s="0">
        <v>92</v>
      </c>
      <c r="AB160" t="s" s="0">
        <v>82</v>
      </c>
      <c r="AC160" t="s" s="0">
        <v>82</v>
      </c>
      <c r="AD160" t="s" s="0">
        <v>82</v>
      </c>
      <c r="AE160" t="s" s="0">
        <v>82</v>
      </c>
      <c r="AF160" t="s" s="0">
        <v>82</v>
      </c>
      <c r="AG160" t="s" s="0">
        <v>3877</v>
      </c>
      <c r="AH160" t="s" s="0">
        <v>3878</v>
      </c>
      <c r="AI160" t="s" s="0">
        <v>82</v>
      </c>
      <c r="AJ160" t="s" s="0">
        <v>82</v>
      </c>
      <c r="AK160" t="s" s="0">
        <v>82</v>
      </c>
      <c r="AL160" t="s" s="0">
        <v>502</v>
      </c>
      <c r="AM160" t="s" s="0">
        <v>77</v>
      </c>
      <c r="AN160" t="s" s="0">
        <v>77</v>
      </c>
      <c r="AO160" t="s" s="0">
        <v>77</v>
      </c>
      <c r="AP160" t="s" s="0">
        <v>77</v>
      </c>
      <c r="AQ160" t="s" s="0">
        <v>2973</v>
      </c>
      <c r="AR160" t="s" s="0">
        <v>796</v>
      </c>
      <c r="AS160" t="s" s="0">
        <v>2974</v>
      </c>
      <c r="AT160" t="s" s="0">
        <v>82</v>
      </c>
      <c r="AU160" t="s" s="0">
        <v>3879</v>
      </c>
      <c r="AV160" t="s" s="0">
        <v>82</v>
      </c>
      <c r="AW160" t="s" s="0">
        <v>3880</v>
      </c>
      <c r="AX160" t="s" s="0">
        <v>3881</v>
      </c>
      <c r="AY160" t="s" s="0">
        <v>3882</v>
      </c>
      <c r="AZ160" t="s" s="0">
        <v>179</v>
      </c>
      <c r="BA160" t="s" s="0">
        <v>277</v>
      </c>
      <c r="BB160" t="s" s="0">
        <v>235</v>
      </c>
      <c r="BC160" t="s" s="0">
        <v>82</v>
      </c>
      <c r="BD160" t="s" s="0">
        <v>82</v>
      </c>
      <c r="BE160" t="s" s="0">
        <v>82</v>
      </c>
      <c r="BF160" t="s" s="0">
        <v>82</v>
      </c>
      <c r="BG160" t="s" s="0">
        <v>82</v>
      </c>
      <c r="BH160" t="s" s="0">
        <v>82</v>
      </c>
      <c r="BI160" t="s" s="0">
        <v>3883</v>
      </c>
      <c r="BJ160" t="s" s="0">
        <v>3884</v>
      </c>
      <c r="BK160" t="s" s="317">
        <f>HYPERLINK("http://dx.doi.org/10.1016/j.apjo.2026.100345","http://dx.doi.org/10.1016/j.apjo.2026.100345")</f>
        <v>3885</v>
      </c>
      <c r="BL160" t="s" s="0">
        <v>82</v>
      </c>
      <c r="BM160" t="s" s="0">
        <v>82</v>
      </c>
      <c r="BN160" t="s" s="0">
        <v>272</v>
      </c>
      <c r="BO160" t="s" s="0">
        <v>396</v>
      </c>
      <c r="BP160" t="s" s="0">
        <v>396</v>
      </c>
      <c r="BQ160" t="s" s="0">
        <v>3886</v>
      </c>
      <c r="BR160" t="s" s="0">
        <v>3887</v>
      </c>
      <c r="BS160" t="s" s="0">
        <v>3888</v>
      </c>
      <c r="BT160" t="s" s="318">
        <f>HYPERLINK("https://www.webofscience.com/wos/woscc/full-record/WOS:001848825700001","View Record in Web of Science")</f>
        <v>120</v>
      </c>
      <c r="BU160" t="s" s="0">
        <v>335</v>
      </c>
      <c r="BV160" t="s" s="0">
        <v>82</v>
      </c>
      <c r="BW160" t="s" s="0">
        <v>82</v>
      </c>
      <c r="BX160" t="s" s="0">
        <v>121</v>
      </c>
    </row>
    <row r="161">
      <c r="A161" t="s" s="0">
        <v>77</v>
      </c>
      <c r="B161" t="s" s="0">
        <v>77</v>
      </c>
      <c r="C161" t="s" s="0">
        <v>77</v>
      </c>
      <c r="D161" t="s" s="0">
        <v>77</v>
      </c>
      <c r="E161" t="s" s="0">
        <v>3889</v>
      </c>
      <c r="F161" t="s" s="0">
        <v>3890</v>
      </c>
      <c r="G161" t="s" s="0">
        <v>3891</v>
      </c>
      <c r="H161" t="s" s="0">
        <v>82</v>
      </c>
      <c r="I161" t="s" s="0">
        <v>83</v>
      </c>
      <c r="J161" t="s" s="0">
        <v>3892</v>
      </c>
      <c r="K161" t="s" s="0">
        <v>3893</v>
      </c>
      <c r="L161" t="s" s="0">
        <v>3894</v>
      </c>
      <c r="M161" t="s" s="0">
        <v>3895</v>
      </c>
      <c r="N161" t="s" s="0">
        <v>3896</v>
      </c>
      <c r="O161" t="s" s="0">
        <v>3897</v>
      </c>
      <c r="P161" t="s" s="0">
        <v>3898</v>
      </c>
      <c r="Q161" t="s" s="0">
        <v>88</v>
      </c>
      <c r="R161" t="s" s="0">
        <v>82</v>
      </c>
      <c r="S161" t="s" s="0">
        <v>82</v>
      </c>
      <c r="T161" t="s" s="0">
        <v>82</v>
      </c>
      <c r="U161" t="s" s="0">
        <v>82</v>
      </c>
      <c r="V161" t="s" s="0">
        <v>3899</v>
      </c>
      <c r="W161" t="s" s="0">
        <v>3900</v>
      </c>
      <c r="X161" t="s" s="0">
        <v>82</v>
      </c>
      <c r="Y161" t="s" s="0">
        <v>82</v>
      </c>
      <c r="Z161" t="s" s="0">
        <v>91</v>
      </c>
      <c r="AA161" t="s" s="0">
        <v>92</v>
      </c>
      <c r="AB161" t="s" s="0">
        <v>82</v>
      </c>
      <c r="AC161" t="s" s="0">
        <v>82</v>
      </c>
      <c r="AD161" t="s" s="0">
        <v>82</v>
      </c>
      <c r="AE161" t="s" s="0">
        <v>82</v>
      </c>
      <c r="AF161" t="s" s="0">
        <v>82</v>
      </c>
      <c r="AG161" t="s" s="0">
        <v>3901</v>
      </c>
      <c r="AH161" t="s" s="0">
        <v>3902</v>
      </c>
      <c r="AI161" t="s" s="0">
        <v>82</v>
      </c>
      <c r="AJ161" t="s" s="0">
        <v>3903</v>
      </c>
      <c r="AK161" t="s" s="0">
        <v>82</v>
      </c>
      <c r="AL161" t="s" s="0">
        <v>241</v>
      </c>
      <c r="AM161" t="s" s="0">
        <v>77</v>
      </c>
      <c r="AN161" t="s" s="0">
        <v>77</v>
      </c>
      <c r="AO161" t="s" s="0">
        <v>77</v>
      </c>
      <c r="AP161" t="s" s="0">
        <v>77</v>
      </c>
      <c r="AQ161" t="s" s="0">
        <v>2460</v>
      </c>
      <c r="AR161" t="s" s="0">
        <v>2461</v>
      </c>
      <c r="AS161" t="s" s="0">
        <v>2462</v>
      </c>
      <c r="AT161" t="s" s="0">
        <v>82</v>
      </c>
      <c r="AU161" t="s" s="0">
        <v>3904</v>
      </c>
      <c r="AV161" t="s" s="0">
        <v>82</v>
      </c>
      <c r="AW161" t="s" s="0">
        <v>3905</v>
      </c>
      <c r="AX161" t="s" s="0">
        <v>3906</v>
      </c>
      <c r="AY161" t="s" s="0">
        <v>179</v>
      </c>
      <c r="AZ161" t="s" s="0">
        <v>179</v>
      </c>
      <c r="BA161" t="s" s="0">
        <v>109</v>
      </c>
      <c r="BB161" t="s" s="0">
        <v>82</v>
      </c>
      <c r="BC161" t="s" s="0">
        <v>82</v>
      </c>
      <c r="BD161" t="s" s="0">
        <v>82</v>
      </c>
      <c r="BE161" t="s" s="0">
        <v>82</v>
      </c>
      <c r="BF161" t="s" s="0">
        <v>82</v>
      </c>
      <c r="BG161" t="s" s="0">
        <v>82</v>
      </c>
      <c r="BH161" t="s" s="0">
        <v>82</v>
      </c>
      <c r="BI161" t="s" s="0">
        <v>3907</v>
      </c>
      <c r="BJ161" t="s" s="0">
        <v>3908</v>
      </c>
      <c r="BK161" t="s" s="319">
        <f>HYPERLINK("http://dx.doi.org/10.2196/87227","http://dx.doi.org/10.2196/87227")</f>
        <v>3909</v>
      </c>
      <c r="BL161" t="s" s="0">
        <v>82</v>
      </c>
      <c r="BM161" t="s" s="0">
        <v>82</v>
      </c>
      <c r="BN161" t="s" s="0">
        <v>109</v>
      </c>
      <c r="BO161" t="s" s="0">
        <v>805</v>
      </c>
      <c r="BP161" t="s" s="0">
        <v>805</v>
      </c>
      <c r="BQ161" t="s" s="0">
        <v>3910</v>
      </c>
      <c r="BR161" t="s" s="0">
        <v>3911</v>
      </c>
      <c r="BS161" t="s" s="0">
        <v>3912</v>
      </c>
      <c r="BT161" t="s" s="320">
        <f>HYPERLINK("https://www.webofscience.com/wos/woscc/full-record/WOS:001807952900001","View Record in Web of Science")</f>
        <v>120</v>
      </c>
      <c r="BU161" t="s" s="0">
        <v>335</v>
      </c>
      <c r="BV161" t="s" s="0">
        <v>82</v>
      </c>
      <c r="BW161" t="s" s="0">
        <v>82</v>
      </c>
      <c r="BX161" t="s" s="0">
        <v>121</v>
      </c>
    </row>
    <row r="162">
      <c r="A162" t="s" s="0">
        <v>77</v>
      </c>
      <c r="B162" t="s" s="0">
        <v>77</v>
      </c>
      <c r="C162" t="s" s="0">
        <v>78</v>
      </c>
      <c r="D162" t="s" s="0">
        <v>77</v>
      </c>
      <c r="E162" t="s" s="0">
        <v>3913</v>
      </c>
      <c r="F162" t="s" s="0">
        <v>3914</v>
      </c>
      <c r="G162" t="s" s="0">
        <v>3915</v>
      </c>
      <c r="H162" t="s" s="0">
        <v>82</v>
      </c>
      <c r="I162" t="s" s="0">
        <v>83</v>
      </c>
      <c r="J162" t="s" s="0">
        <v>3916</v>
      </c>
      <c r="K162" t="s" s="0">
        <v>3917</v>
      </c>
      <c r="L162" t="s" s="0">
        <v>3918</v>
      </c>
      <c r="M162" t="s" s="0">
        <v>3919</v>
      </c>
      <c r="N162" t="s" s="0">
        <v>3920</v>
      </c>
      <c r="O162" t="s" s="0">
        <v>3921</v>
      </c>
      <c r="P162" t="s" s="0">
        <v>82</v>
      </c>
      <c r="Q162" t="s" s="0">
        <v>88</v>
      </c>
      <c r="R162" t="s" s="0">
        <v>82</v>
      </c>
      <c r="S162" t="s" s="0">
        <v>82</v>
      </c>
      <c r="T162" t="s" s="0">
        <v>82</v>
      </c>
      <c r="U162" t="s" s="0">
        <v>82</v>
      </c>
      <c r="V162" t="s" s="0">
        <v>3922</v>
      </c>
      <c r="W162" t="s" s="0">
        <v>500</v>
      </c>
      <c r="X162" t="s" s="0">
        <v>82</v>
      </c>
      <c r="Y162" t="s" s="0">
        <v>82</v>
      </c>
      <c r="Z162" t="s" s="0">
        <v>91</v>
      </c>
      <c r="AA162" t="s" s="0">
        <v>92</v>
      </c>
      <c r="AB162" t="s" s="0">
        <v>82</v>
      </c>
      <c r="AC162" t="s" s="0">
        <v>82</v>
      </c>
      <c r="AD162" t="s" s="0">
        <v>82</v>
      </c>
      <c r="AE162" t="s" s="0">
        <v>82</v>
      </c>
      <c r="AF162" t="s" s="0">
        <v>82</v>
      </c>
      <c r="AG162" t="s" s="0">
        <v>3923</v>
      </c>
      <c r="AH162" t="s" s="0">
        <v>82</v>
      </c>
      <c r="AI162" t="s" s="0">
        <v>82</v>
      </c>
      <c r="AJ162" t="s" s="0">
        <v>82</v>
      </c>
      <c r="AK162" t="s" s="0">
        <v>82</v>
      </c>
      <c r="AL162" t="s" s="0">
        <v>1458</v>
      </c>
      <c r="AM162" t="s" s="0">
        <v>78</v>
      </c>
      <c r="AN162" t="s" s="0">
        <v>78</v>
      </c>
      <c r="AO162" t="s" s="0">
        <v>78</v>
      </c>
      <c r="AP162" t="s" s="0">
        <v>78</v>
      </c>
      <c r="AQ162" t="s" s="0">
        <v>503</v>
      </c>
      <c r="AR162" t="s" s="0">
        <v>504</v>
      </c>
      <c r="AS162" t="s" s="0">
        <v>505</v>
      </c>
      <c r="AT162" t="s" s="0">
        <v>506</v>
      </c>
      <c r="AU162" t="s" s="0">
        <v>507</v>
      </c>
      <c r="AV162" t="s" s="0">
        <v>82</v>
      </c>
      <c r="AW162" t="s" s="0">
        <v>508</v>
      </c>
      <c r="AX162" t="s" s="0">
        <v>509</v>
      </c>
      <c r="AY162" t="s" s="0">
        <v>3924</v>
      </c>
      <c r="AZ162" t="s" s="0">
        <v>179</v>
      </c>
      <c r="BA162" t="s" s="0">
        <v>3677</v>
      </c>
      <c r="BB162" t="s" s="0">
        <v>82</v>
      </c>
      <c r="BC162" t="s" s="0">
        <v>82</v>
      </c>
      <c r="BD162" t="s" s="0">
        <v>512</v>
      </c>
      <c r="BE162" t="s" s="0">
        <v>82</v>
      </c>
      <c r="BF162" t="s" s="0">
        <v>82</v>
      </c>
      <c r="BG162" t="s" s="0">
        <v>82</v>
      </c>
      <c r="BH162" t="s" s="0">
        <v>82</v>
      </c>
      <c r="BI162" t="s" s="0">
        <v>3925</v>
      </c>
      <c r="BJ162" t="s" s="0">
        <v>3926</v>
      </c>
      <c r="BK162" t="s" s="321">
        <f>HYPERLINK("http://dx.doi.org/10.1016/j.bspc.2026.110331","http://dx.doi.org/10.1016/j.bspc.2026.110331")</f>
        <v>3927</v>
      </c>
      <c r="BL162" t="s" s="0">
        <v>82</v>
      </c>
      <c r="BM162" t="s" s="0">
        <v>3404</v>
      </c>
      <c r="BN162" t="s" s="0">
        <v>138</v>
      </c>
      <c r="BO162" t="s" s="0">
        <v>516</v>
      </c>
      <c r="BP162" t="s" s="0">
        <v>247</v>
      </c>
      <c r="BQ162" t="s" s="0">
        <v>3928</v>
      </c>
      <c r="BR162" t="s" s="0">
        <v>82</v>
      </c>
      <c r="BS162" t="s" s="0">
        <v>3929</v>
      </c>
      <c r="BT162" t="s" s="322">
        <f>HYPERLINK("https://www.webofscience.com/wos/woscc/full-record/WOS:001778451200001","View Record in Web of Science")</f>
        <v>120</v>
      </c>
      <c r="BU162" t="s" s="0">
        <v>82</v>
      </c>
      <c r="BV162" t="s" s="0">
        <v>82</v>
      </c>
      <c r="BW162" t="s" s="0">
        <v>82</v>
      </c>
      <c r="BX162" t="s" s="0">
        <v>121</v>
      </c>
    </row>
    <row r="163">
      <c r="A163" t="s" s="0">
        <v>77</v>
      </c>
      <c r="B163" t="s" s="0">
        <v>77</v>
      </c>
      <c r="C163" t="s" s="0">
        <v>77</v>
      </c>
      <c r="D163" t="s" s="0">
        <v>77</v>
      </c>
      <c r="E163" t="s" s="0">
        <v>3930</v>
      </c>
      <c r="F163" t="s" s="0">
        <v>3931</v>
      </c>
      <c r="G163" t="s" s="0">
        <v>3932</v>
      </c>
      <c r="H163" t="s" s="0">
        <v>82</v>
      </c>
      <c r="I163" t="s" s="0">
        <v>83</v>
      </c>
      <c r="J163" t="s" s="0">
        <v>3933</v>
      </c>
      <c r="K163" t="s" s="0">
        <v>3934</v>
      </c>
      <c r="L163" t="s" s="0">
        <v>3935</v>
      </c>
      <c r="M163" t="s" s="0">
        <v>3936</v>
      </c>
      <c r="N163" t="s" s="0">
        <v>3937</v>
      </c>
      <c r="O163" t="s" s="0">
        <v>3938</v>
      </c>
      <c r="P163" t="s" s="0">
        <v>3939</v>
      </c>
      <c r="Q163" t="s" s="0">
        <v>88</v>
      </c>
      <c r="R163" t="s" s="0">
        <v>82</v>
      </c>
      <c r="S163" t="s" s="0">
        <v>82</v>
      </c>
      <c r="T163" t="s" s="0">
        <v>82</v>
      </c>
      <c r="U163" t="s" s="0">
        <v>82</v>
      </c>
      <c r="V163" t="s" s="0">
        <v>3940</v>
      </c>
      <c r="W163" t="s" s="0">
        <v>3941</v>
      </c>
      <c r="X163" t="s" s="0">
        <v>82</v>
      </c>
      <c r="Y163" t="s" s="0">
        <v>82</v>
      </c>
      <c r="Z163" t="s" s="0">
        <v>91</v>
      </c>
      <c r="AA163" t="s" s="0">
        <v>92</v>
      </c>
      <c r="AB163" t="s" s="0">
        <v>82</v>
      </c>
      <c r="AC163" t="s" s="0">
        <v>82</v>
      </c>
      <c r="AD163" t="s" s="0">
        <v>82</v>
      </c>
      <c r="AE163" t="s" s="0">
        <v>82</v>
      </c>
      <c r="AF163" t="s" s="0">
        <v>82</v>
      </c>
      <c r="AG163" t="s" s="0">
        <v>3942</v>
      </c>
      <c r="AH163" t="s" s="0">
        <v>3943</v>
      </c>
      <c r="AI163" t="s" s="0">
        <v>82</v>
      </c>
      <c r="AJ163" t="s" s="0">
        <v>82</v>
      </c>
      <c r="AK163" t="s" s="0">
        <v>82</v>
      </c>
      <c r="AL163" t="s" s="0">
        <v>138</v>
      </c>
      <c r="AM163" t="s" s="0">
        <v>77</v>
      </c>
      <c r="AN163" t="s" s="0">
        <v>77</v>
      </c>
      <c r="AO163" t="s" s="0">
        <v>77</v>
      </c>
      <c r="AP163" t="s" s="0">
        <v>77</v>
      </c>
      <c r="AQ163" t="s" s="0">
        <v>3944</v>
      </c>
      <c r="AR163" t="s" s="0">
        <v>3945</v>
      </c>
      <c r="AS163" t="s" s="0">
        <v>3946</v>
      </c>
      <c r="AT163" t="s" s="0">
        <v>3947</v>
      </c>
      <c r="AU163" t="s" s="0">
        <v>82</v>
      </c>
      <c r="AV163" t="s" s="0">
        <v>82</v>
      </c>
      <c r="AW163" t="s" s="0">
        <v>3948</v>
      </c>
      <c r="AX163" t="s" s="0">
        <v>3949</v>
      </c>
      <c r="AY163" t="s" s="0">
        <v>179</v>
      </c>
      <c r="AZ163" t="s" s="0">
        <v>179</v>
      </c>
      <c r="BA163" t="s" s="0">
        <v>1004</v>
      </c>
      <c r="BB163" t="s" s="0">
        <v>82</v>
      </c>
      <c r="BC163" t="s" s="0">
        <v>82</v>
      </c>
      <c r="BD163" t="s" s="0">
        <v>82</v>
      </c>
      <c r="BE163" t="s" s="0">
        <v>82</v>
      </c>
      <c r="BF163" t="s" s="0">
        <v>82</v>
      </c>
      <c r="BG163" t="s" s="0">
        <v>82</v>
      </c>
      <c r="BH163" t="s" s="0">
        <v>82</v>
      </c>
      <c r="BI163" t="s" s="0">
        <v>3950</v>
      </c>
      <c r="BJ163" t="s" s="0">
        <v>3951</v>
      </c>
      <c r="BK163" t="s" s="323">
        <f>HYPERLINK("http://dx.doi.org/10.2147/IDR.S624553","http://dx.doi.org/10.2147/IDR.S624553")</f>
        <v>3952</v>
      </c>
      <c r="BL163" t="s" s="0">
        <v>82</v>
      </c>
      <c r="BM163" t="s" s="0">
        <v>82</v>
      </c>
      <c r="BN163" t="s" s="0">
        <v>148</v>
      </c>
      <c r="BO163" t="s" s="0">
        <v>3953</v>
      </c>
      <c r="BP163" t="s" s="0">
        <v>3953</v>
      </c>
      <c r="BQ163" t="s" s="0">
        <v>3954</v>
      </c>
      <c r="BR163" t="s" s="0">
        <v>82</v>
      </c>
      <c r="BS163" t="s" s="0">
        <v>3955</v>
      </c>
      <c r="BT163" t="s" s="324">
        <f>HYPERLINK("https://www.webofscience.com/wos/woscc/full-record/WOS:001839063300001","View Record in Web of Science")</f>
        <v>120</v>
      </c>
      <c r="BU163" t="s" s="0">
        <v>189</v>
      </c>
      <c r="BV163" t="s" s="0">
        <v>82</v>
      </c>
      <c r="BW163" t="s" s="0">
        <v>82</v>
      </c>
      <c r="BX163" t="s" s="0">
        <v>121</v>
      </c>
    </row>
    <row r="164">
      <c r="A164" t="s" s="0">
        <v>77</v>
      </c>
      <c r="B164" t="s" s="0">
        <v>77</v>
      </c>
      <c r="C164" t="s" s="0">
        <v>77</v>
      </c>
      <c r="D164" t="s" s="0">
        <v>77</v>
      </c>
      <c r="E164" t="s" s="0">
        <v>3956</v>
      </c>
      <c r="F164" t="s" s="0">
        <v>3957</v>
      </c>
      <c r="G164" t="s" s="0">
        <v>3958</v>
      </c>
      <c r="H164" t="s" s="0">
        <v>82</v>
      </c>
      <c r="I164" t="s" s="0">
        <v>83</v>
      </c>
      <c r="J164" t="s" s="0">
        <v>3959</v>
      </c>
      <c r="K164" t="s" s="0">
        <v>3960</v>
      </c>
      <c r="L164" t="s" s="0">
        <v>3961</v>
      </c>
      <c r="M164" t="s" s="0">
        <v>3962</v>
      </c>
      <c r="N164" t="s" s="0">
        <v>3963</v>
      </c>
      <c r="O164" t="s" s="0">
        <v>3964</v>
      </c>
      <c r="P164" t="s" s="0">
        <v>3965</v>
      </c>
      <c r="Q164" t="s" s="0">
        <v>88</v>
      </c>
      <c r="R164" t="s" s="0">
        <v>82</v>
      </c>
      <c r="S164" t="s" s="0">
        <v>82</v>
      </c>
      <c r="T164" t="s" s="0">
        <v>82</v>
      </c>
      <c r="U164" t="s" s="0">
        <v>82</v>
      </c>
      <c r="V164" t="s" s="0">
        <v>3966</v>
      </c>
      <c r="W164" t="s" s="0">
        <v>294</v>
      </c>
      <c r="X164" t="s" s="0">
        <v>82</v>
      </c>
      <c r="Y164" t="s" s="0">
        <v>82</v>
      </c>
      <c r="Z164" t="s" s="0">
        <v>91</v>
      </c>
      <c r="AA164" t="s" s="0">
        <v>92</v>
      </c>
      <c r="AB164" t="s" s="0">
        <v>82</v>
      </c>
      <c r="AC164" t="s" s="0">
        <v>82</v>
      </c>
      <c r="AD164" t="s" s="0">
        <v>82</v>
      </c>
      <c r="AE164" t="s" s="0">
        <v>82</v>
      </c>
      <c r="AF164" t="s" s="0">
        <v>82</v>
      </c>
      <c r="AG164" t="s" s="0">
        <v>3967</v>
      </c>
      <c r="AH164" t="s" s="0">
        <v>3968</v>
      </c>
      <c r="AI164" t="s" s="0">
        <v>3969</v>
      </c>
      <c r="AJ164" t="s" s="0">
        <v>3970</v>
      </c>
      <c r="AK164" t="s" s="0">
        <v>82</v>
      </c>
      <c r="AL164" t="s" s="0">
        <v>382</v>
      </c>
      <c r="AM164" t="s" s="0">
        <v>204</v>
      </c>
      <c r="AN164" t="s" s="0">
        <v>204</v>
      </c>
      <c r="AO164" t="s" s="0">
        <v>235</v>
      </c>
      <c r="AP164" t="s" s="0">
        <v>184</v>
      </c>
      <c r="AQ164" t="s" s="0">
        <v>296</v>
      </c>
      <c r="AR164" t="s" s="0">
        <v>297</v>
      </c>
      <c r="AS164" t="s" s="0">
        <v>298</v>
      </c>
      <c r="AT164" t="s" s="0">
        <v>299</v>
      </c>
      <c r="AU164" t="s" s="0">
        <v>300</v>
      </c>
      <c r="AV164" t="s" s="0">
        <v>82</v>
      </c>
      <c r="AW164" t="s" s="0">
        <v>294</v>
      </c>
      <c r="AX164" t="s" s="0">
        <v>301</v>
      </c>
      <c r="AY164" t="s" s="0">
        <v>3971</v>
      </c>
      <c r="AZ164" t="s" s="0">
        <v>108</v>
      </c>
      <c r="BA164" t="s" s="0">
        <v>3972</v>
      </c>
      <c r="BB164" t="s" s="0">
        <v>82</v>
      </c>
      <c r="BC164" t="s" s="0">
        <v>82</v>
      </c>
      <c r="BD164" t="s" s="0">
        <v>82</v>
      </c>
      <c r="BE164" t="s" s="0">
        <v>82</v>
      </c>
      <c r="BF164" t="s" s="0">
        <v>82</v>
      </c>
      <c r="BG164" t="s" s="0">
        <v>82</v>
      </c>
      <c r="BH164" t="s" s="0">
        <v>82</v>
      </c>
      <c r="BI164" t="s" s="0">
        <v>3973</v>
      </c>
      <c r="BJ164" t="s" s="0">
        <v>3974</v>
      </c>
      <c r="BK164" t="s" s="325">
        <f>HYPERLINK("http://dx.doi.org/10.1016/j.neucom.2025.131621","http://dx.doi.org/10.1016/j.neucom.2025.131621")</f>
        <v>3975</v>
      </c>
      <c r="BL164" t="s" s="0">
        <v>82</v>
      </c>
      <c r="BM164" t="s" s="0">
        <v>448</v>
      </c>
      <c r="BN164" t="s" s="0">
        <v>307</v>
      </c>
      <c r="BO164" t="s" s="0">
        <v>308</v>
      </c>
      <c r="BP164" t="s" s="0">
        <v>309</v>
      </c>
      <c r="BQ164" t="s" s="0">
        <v>3976</v>
      </c>
      <c r="BR164" t="s" s="0">
        <v>82</v>
      </c>
      <c r="BS164" t="s" s="0">
        <v>3977</v>
      </c>
      <c r="BT164" t="s" s="326">
        <f>HYPERLINK("https://www.webofscience.com/wos/woscc/full-record/WOS:001590058300007","View Record in Web of Science")</f>
        <v>120</v>
      </c>
      <c r="BU164" t="s" s="0">
        <v>82</v>
      </c>
      <c r="BV164" t="s" s="0">
        <v>82</v>
      </c>
      <c r="BW164" t="s" s="0">
        <v>82</v>
      </c>
      <c r="BX164" t="s" s="0">
        <v>121</v>
      </c>
    </row>
    <row r="165">
      <c r="A165" t="s" s="0">
        <v>77</v>
      </c>
      <c r="B165" t="s" s="0">
        <v>77</v>
      </c>
      <c r="C165" t="s" s="0">
        <v>77</v>
      </c>
      <c r="D165" t="s" s="0">
        <v>77</v>
      </c>
      <c r="E165" t="s" s="0">
        <v>3978</v>
      </c>
      <c r="F165" t="s" s="0">
        <v>3979</v>
      </c>
      <c r="G165" t="s" s="0">
        <v>3980</v>
      </c>
      <c r="H165" t="s" s="0">
        <v>82</v>
      </c>
      <c r="I165" t="s" s="0">
        <v>83</v>
      </c>
      <c r="J165" t="s" s="0">
        <v>3981</v>
      </c>
      <c r="K165" t="s" s="0">
        <v>3982</v>
      </c>
      <c r="L165" t="s" s="0">
        <v>3983</v>
      </c>
      <c r="M165" t="s" s="0">
        <v>3984</v>
      </c>
      <c r="N165" t="s" s="0">
        <v>3985</v>
      </c>
      <c r="O165" t="s" s="0">
        <v>3986</v>
      </c>
      <c r="P165" t="s" s="0">
        <v>3987</v>
      </c>
      <c r="Q165" t="s" s="0">
        <v>88</v>
      </c>
      <c r="R165" t="s" s="0">
        <v>82</v>
      </c>
      <c r="S165" t="s" s="0">
        <v>82</v>
      </c>
      <c r="T165" t="s" s="0">
        <v>82</v>
      </c>
      <c r="U165" t="s" s="0">
        <v>82</v>
      </c>
      <c r="V165" t="s" s="0">
        <v>3988</v>
      </c>
      <c r="W165" t="s" s="0">
        <v>1111</v>
      </c>
      <c r="X165" t="s" s="0">
        <v>82</v>
      </c>
      <c r="Y165" t="s" s="0">
        <v>82</v>
      </c>
      <c r="Z165" t="s" s="0">
        <v>91</v>
      </c>
      <c r="AA165" t="s" s="0">
        <v>92</v>
      </c>
      <c r="AB165" t="s" s="0">
        <v>82</v>
      </c>
      <c r="AC165" t="s" s="0">
        <v>82</v>
      </c>
      <c r="AD165" t="s" s="0">
        <v>82</v>
      </c>
      <c r="AE165" t="s" s="0">
        <v>82</v>
      </c>
      <c r="AF165" t="s" s="0">
        <v>82</v>
      </c>
      <c r="AG165" t="s" s="0">
        <v>3989</v>
      </c>
      <c r="AH165" t="s" s="0">
        <v>3990</v>
      </c>
      <c r="AI165" t="s" s="0">
        <v>3991</v>
      </c>
      <c r="AJ165" t="s" s="0">
        <v>3992</v>
      </c>
      <c r="AK165" t="s" s="0">
        <v>82</v>
      </c>
      <c r="AL165" t="s" s="0">
        <v>147</v>
      </c>
      <c r="AM165" t="s" s="0">
        <v>77</v>
      </c>
      <c r="AN165" t="s" s="0">
        <v>77</v>
      </c>
      <c r="AO165" t="s" s="0">
        <v>115</v>
      </c>
      <c r="AP165" t="s" s="0">
        <v>115</v>
      </c>
      <c r="AQ165" t="s" s="0">
        <v>296</v>
      </c>
      <c r="AR165" t="s" s="0">
        <v>297</v>
      </c>
      <c r="AS165" t="s" s="0">
        <v>298</v>
      </c>
      <c r="AT165" t="s" s="0">
        <v>1116</v>
      </c>
      <c r="AU165" t="s" s="0">
        <v>1117</v>
      </c>
      <c r="AV165" t="s" s="0">
        <v>82</v>
      </c>
      <c r="AW165" t="s" s="0">
        <v>1118</v>
      </c>
      <c r="AX165" t="s" s="0">
        <v>1119</v>
      </c>
      <c r="AY165" t="s" s="0">
        <v>716</v>
      </c>
      <c r="AZ165" t="s" s="0">
        <v>179</v>
      </c>
      <c r="BA165" t="s" s="0">
        <v>3993</v>
      </c>
      <c r="BB165" t="s" s="0">
        <v>82</v>
      </c>
      <c r="BC165" t="s" s="0">
        <v>82</v>
      </c>
      <c r="BD165" t="s" s="0">
        <v>82</v>
      </c>
      <c r="BE165" t="s" s="0">
        <v>82</v>
      </c>
      <c r="BF165" t="s" s="0">
        <v>82</v>
      </c>
      <c r="BG165" t="s" s="0">
        <v>82</v>
      </c>
      <c r="BH165" t="s" s="0">
        <v>82</v>
      </c>
      <c r="BI165" t="s" s="0">
        <v>3994</v>
      </c>
      <c r="BJ165" t="s" s="0">
        <v>3995</v>
      </c>
      <c r="BK165" t="s" s="327">
        <f>HYPERLINK("http://dx.doi.org/10.1016/j.inffus.2026.104195","http://dx.doi.org/10.1016/j.inffus.2026.104195")</f>
        <v>3996</v>
      </c>
      <c r="BL165" t="s" s="0">
        <v>82</v>
      </c>
      <c r="BM165" t="s" s="0">
        <v>240</v>
      </c>
      <c r="BN165" t="s" s="0">
        <v>307</v>
      </c>
      <c r="BO165" t="s" s="0">
        <v>1125</v>
      </c>
      <c r="BP165" t="s" s="0">
        <v>309</v>
      </c>
      <c r="BQ165" t="s" s="0">
        <v>3997</v>
      </c>
      <c r="BR165" t="s" s="0">
        <v>82</v>
      </c>
      <c r="BS165" t="s" s="0">
        <v>3998</v>
      </c>
      <c r="BT165" t="s" s="328">
        <f>HYPERLINK("https://www.webofscience.com/wos/woscc/full-record/WOS:001683135400001","View Record in Web of Science")</f>
        <v>120</v>
      </c>
      <c r="BU165" t="s" s="0">
        <v>82</v>
      </c>
      <c r="BV165" t="s" s="0">
        <v>82</v>
      </c>
      <c r="BW165" t="s" s="0">
        <v>82</v>
      </c>
      <c r="BX165" t="s" s="0">
        <v>121</v>
      </c>
    </row>
    <row r="166">
      <c r="A166" t="s" s="0">
        <v>77</v>
      </c>
      <c r="B166" t="s" s="0">
        <v>77</v>
      </c>
      <c r="C166" t="s" s="0">
        <v>77</v>
      </c>
      <c r="D166" t="s" s="0">
        <v>77</v>
      </c>
      <c r="E166" t="s" s="0">
        <v>3999</v>
      </c>
      <c r="F166" t="s" s="0">
        <v>4000</v>
      </c>
      <c r="G166" t="s" s="0">
        <v>4001</v>
      </c>
      <c r="H166" t="s" s="0">
        <v>82</v>
      </c>
      <c r="I166" t="s" s="0">
        <v>460</v>
      </c>
      <c r="J166" t="s" s="0">
        <v>4002</v>
      </c>
      <c r="K166" t="s" s="0">
        <v>4003</v>
      </c>
      <c r="L166" t="s" s="0">
        <v>82</v>
      </c>
      <c r="M166" t="s" s="0">
        <v>82</v>
      </c>
      <c r="N166" t="s" s="0">
        <v>82</v>
      </c>
      <c r="O166" t="s" s="0">
        <v>4004</v>
      </c>
      <c r="P166" t="s" s="0">
        <v>4005</v>
      </c>
      <c r="Q166" t="s" s="0">
        <v>88</v>
      </c>
      <c r="R166" t="s" s="0">
        <v>82</v>
      </c>
      <c r="S166" t="s" s="0">
        <v>82</v>
      </c>
      <c r="T166" t="s" s="0">
        <v>82</v>
      </c>
      <c r="U166" t="s" s="0">
        <v>82</v>
      </c>
      <c r="V166" t="s" s="0">
        <v>4006</v>
      </c>
      <c r="W166" t="s" s="0">
        <v>4007</v>
      </c>
      <c r="X166" t="s" s="0">
        <v>82</v>
      </c>
      <c r="Y166" t="s" s="0">
        <v>82</v>
      </c>
      <c r="Z166" t="s" s="0">
        <v>91</v>
      </c>
      <c r="AA166" t="s" s="0">
        <v>92</v>
      </c>
      <c r="AB166" t="s" s="0">
        <v>82</v>
      </c>
      <c r="AC166" t="s" s="0">
        <v>82</v>
      </c>
      <c r="AD166" t="s" s="0">
        <v>82</v>
      </c>
      <c r="AE166" t="s" s="0">
        <v>82</v>
      </c>
      <c r="AF166" t="s" s="0">
        <v>82</v>
      </c>
      <c r="AG166" t="s" s="0">
        <v>4008</v>
      </c>
      <c r="AH166" t="s" s="0">
        <v>82</v>
      </c>
      <c r="AI166" t="s" s="0">
        <v>4009</v>
      </c>
      <c r="AJ166" t="s" s="0">
        <v>4010</v>
      </c>
      <c r="AK166" t="s" s="0">
        <v>82</v>
      </c>
      <c r="AL166" t="s" s="0">
        <v>824</v>
      </c>
      <c r="AM166" t="s" s="0">
        <v>78</v>
      </c>
      <c r="AN166" t="s" s="0">
        <v>204</v>
      </c>
      <c r="AO166" t="s" s="0">
        <v>204</v>
      </c>
      <c r="AP166" t="s" s="0">
        <v>204</v>
      </c>
      <c r="AQ166" t="s" s="0">
        <v>418</v>
      </c>
      <c r="AR166" t="s" s="0">
        <v>419</v>
      </c>
      <c r="AS166" t="s" s="0">
        <v>420</v>
      </c>
      <c r="AT166" t="s" s="0">
        <v>82</v>
      </c>
      <c r="AU166" t="s" s="0">
        <v>4011</v>
      </c>
      <c r="AV166" t="s" s="0">
        <v>82</v>
      </c>
      <c r="AW166" t="s" s="0">
        <v>4012</v>
      </c>
      <c r="AX166" t="s" s="0">
        <v>4013</v>
      </c>
      <c r="AY166" t="s" s="0">
        <v>4014</v>
      </c>
      <c r="AZ166" t="s" s="0">
        <v>179</v>
      </c>
      <c r="BA166" t="s" s="0">
        <v>97</v>
      </c>
      <c r="BB166" t="s" s="0">
        <v>78</v>
      </c>
      <c r="BC166" t="s" s="0">
        <v>82</v>
      </c>
      <c r="BD166" t="s" s="0">
        <v>82</v>
      </c>
      <c r="BE166" t="s" s="0">
        <v>82</v>
      </c>
      <c r="BF166" t="s" s="0">
        <v>82</v>
      </c>
      <c r="BG166" t="s" s="0">
        <v>82</v>
      </c>
      <c r="BH166" t="s" s="0">
        <v>82</v>
      </c>
      <c r="BI166" t="s" s="0">
        <v>139</v>
      </c>
      <c r="BJ166" t="s" s="0">
        <v>4015</v>
      </c>
      <c r="BK166" t="s" s="329">
        <f>HYPERLINK("http://dx.doi.org/10.3390/biomechanics6010023","http://dx.doi.org/10.3390/biomechanics6010023")</f>
        <v>4016</v>
      </c>
      <c r="BL166" t="s" s="0">
        <v>82</v>
      </c>
      <c r="BM166" t="s" s="0">
        <v>82</v>
      </c>
      <c r="BN166" t="s" s="0">
        <v>1504</v>
      </c>
      <c r="BO166" t="s" s="0">
        <v>4017</v>
      </c>
      <c r="BP166" t="s" s="0">
        <v>4018</v>
      </c>
      <c r="BQ166" t="s" s="0">
        <v>4019</v>
      </c>
      <c r="BR166" t="s" s="0">
        <v>82</v>
      </c>
      <c r="BS166" t="s" s="0">
        <v>4020</v>
      </c>
      <c r="BT166" t="s" s="330">
        <f>HYPERLINK("https://www.webofscience.com/wos/woscc/full-record/WOS:001725724200001","View Record in Web of Science")</f>
        <v>120</v>
      </c>
      <c r="BU166" t="s" s="0">
        <v>189</v>
      </c>
      <c r="BV166" t="s" s="0">
        <v>82</v>
      </c>
      <c r="BW166" t="s" s="0">
        <v>82</v>
      </c>
      <c r="BX166" t="s" s="0">
        <v>121</v>
      </c>
    </row>
    <row r="167">
      <c r="A167" t="s" s="0">
        <v>77</v>
      </c>
      <c r="B167" t="s" s="0">
        <v>77</v>
      </c>
      <c r="C167" t="s" s="0">
        <v>77</v>
      </c>
      <c r="D167" t="s" s="0">
        <v>77</v>
      </c>
      <c r="E167" t="s" s="0">
        <v>4021</v>
      </c>
      <c r="F167" t="s" s="0">
        <v>4022</v>
      </c>
      <c r="G167" t="s" s="0">
        <v>4023</v>
      </c>
      <c r="H167" t="s" s="0">
        <v>82</v>
      </c>
      <c r="I167" t="s" s="0">
        <v>83</v>
      </c>
      <c r="J167" t="s" s="0">
        <v>4024</v>
      </c>
      <c r="K167" t="s" s="0">
        <v>4025</v>
      </c>
      <c r="L167" t="s" s="0">
        <v>4026</v>
      </c>
      <c r="M167" t="s" s="0">
        <v>4027</v>
      </c>
      <c r="N167" t="s" s="0">
        <v>4028</v>
      </c>
      <c r="O167" t="s" s="0">
        <v>4029</v>
      </c>
      <c r="P167" t="s" s="0">
        <v>4030</v>
      </c>
      <c r="Q167" t="s" s="0">
        <v>88</v>
      </c>
      <c r="R167" t="s" s="0">
        <v>82</v>
      </c>
      <c r="S167" t="s" s="0">
        <v>82</v>
      </c>
      <c r="T167" t="s" s="0">
        <v>82</v>
      </c>
      <c r="U167" t="s" s="0">
        <v>82</v>
      </c>
      <c r="V167" t="s" s="0">
        <v>4031</v>
      </c>
      <c r="W167" t="s" s="0">
        <v>4032</v>
      </c>
      <c r="X167" t="s" s="0">
        <v>82</v>
      </c>
      <c r="Y167" t="s" s="0">
        <v>82</v>
      </c>
      <c r="Z167" t="s" s="0">
        <v>91</v>
      </c>
      <c r="AA167" t="s" s="0">
        <v>92</v>
      </c>
      <c r="AB167" t="s" s="0">
        <v>82</v>
      </c>
      <c r="AC167" t="s" s="0">
        <v>82</v>
      </c>
      <c r="AD167" t="s" s="0">
        <v>82</v>
      </c>
      <c r="AE167" t="s" s="0">
        <v>82</v>
      </c>
      <c r="AF167" t="s" s="0">
        <v>82</v>
      </c>
      <c r="AG167" t="s" s="0">
        <v>4033</v>
      </c>
      <c r="AH167" t="s" s="0">
        <v>4034</v>
      </c>
      <c r="AI167" t="s" s="0">
        <v>82</v>
      </c>
      <c r="AJ167" t="s" s="0">
        <v>82</v>
      </c>
      <c r="AK167" t="s" s="0">
        <v>82</v>
      </c>
      <c r="AL167" t="s" s="0">
        <v>502</v>
      </c>
      <c r="AM167" t="s" s="0">
        <v>77</v>
      </c>
      <c r="AN167" t="s" s="0">
        <v>77</v>
      </c>
      <c r="AO167" t="s" s="0">
        <v>77</v>
      </c>
      <c r="AP167" t="s" s="0">
        <v>77</v>
      </c>
      <c r="AQ167" t="s" s="0">
        <v>296</v>
      </c>
      <c r="AR167" t="s" s="0">
        <v>297</v>
      </c>
      <c r="AS167" t="s" s="0">
        <v>298</v>
      </c>
      <c r="AT167" t="s" s="0">
        <v>4035</v>
      </c>
      <c r="AU167" t="s" s="0">
        <v>4036</v>
      </c>
      <c r="AV167" t="s" s="0">
        <v>82</v>
      </c>
      <c r="AW167" t="s" s="0">
        <v>4037</v>
      </c>
      <c r="AX167" t="s" s="0">
        <v>4038</v>
      </c>
      <c r="AY167" t="s" s="0">
        <v>4039</v>
      </c>
      <c r="AZ167" t="s" s="0">
        <v>179</v>
      </c>
      <c r="BA167" t="s" s="0">
        <v>3469</v>
      </c>
      <c r="BB167" t="s" s="0">
        <v>110</v>
      </c>
      <c r="BC167" t="s" s="0">
        <v>82</v>
      </c>
      <c r="BD167" t="s" s="0">
        <v>82</v>
      </c>
      <c r="BE167" t="s" s="0">
        <v>82</v>
      </c>
      <c r="BF167" t="s" s="0">
        <v>82</v>
      </c>
      <c r="BG167" t="s" s="0">
        <v>82</v>
      </c>
      <c r="BH167" t="s" s="0">
        <v>82</v>
      </c>
      <c r="BI167" t="s" s="0">
        <v>4040</v>
      </c>
      <c r="BJ167" t="s" s="0">
        <v>4041</v>
      </c>
      <c r="BK167" t="s" s="331">
        <f>HYPERLINK("http://dx.doi.org/10.1016/j.identj.2026.109817","http://dx.doi.org/10.1016/j.identj.2026.109817")</f>
        <v>4042</v>
      </c>
      <c r="BL167" t="s" s="0">
        <v>82</v>
      </c>
      <c r="BM167" t="s" s="0">
        <v>82</v>
      </c>
      <c r="BN167" t="s" s="0">
        <v>148</v>
      </c>
      <c r="BO167" t="s" s="0">
        <v>920</v>
      </c>
      <c r="BP167" t="s" s="0">
        <v>920</v>
      </c>
      <c r="BQ167" t="s" s="0">
        <v>4043</v>
      </c>
      <c r="BR167" t="s" s="0">
        <v>4044</v>
      </c>
      <c r="BS167" t="s" s="0">
        <v>4045</v>
      </c>
      <c r="BT167" t="s" s="332">
        <f>HYPERLINK("https://www.webofscience.com/wos/woscc/full-record/WOS:001851219500001","View Record in Web of Science")</f>
        <v>120</v>
      </c>
      <c r="BU167" t="s" s="0">
        <v>335</v>
      </c>
      <c r="BV167" t="s" s="0">
        <v>82</v>
      </c>
      <c r="BW167" t="s" s="0">
        <v>82</v>
      </c>
      <c r="BX167" t="s" s="0">
        <v>121</v>
      </c>
    </row>
    <row r="168">
      <c r="A168" t="s" s="0">
        <v>77</v>
      </c>
      <c r="B168" t="s" s="0">
        <v>77</v>
      </c>
      <c r="C168" t="s" s="0">
        <v>77</v>
      </c>
      <c r="D168" t="s" s="0">
        <v>77</v>
      </c>
      <c r="E168" t="s" s="0">
        <v>4046</v>
      </c>
      <c r="F168" t="s" s="0">
        <v>4047</v>
      </c>
      <c r="G168" t="s" s="0">
        <v>4048</v>
      </c>
      <c r="H168" t="s" s="0">
        <v>82</v>
      </c>
      <c r="I168" t="s" s="0">
        <v>83</v>
      </c>
      <c r="J168" t="s" s="0">
        <v>4049</v>
      </c>
      <c r="K168" t="s" s="0">
        <v>4050</v>
      </c>
      <c r="L168" t="s" s="0">
        <v>4051</v>
      </c>
      <c r="M168" t="s" s="0">
        <v>4052</v>
      </c>
      <c r="N168" t="s" s="0">
        <v>4053</v>
      </c>
      <c r="O168" t="s" s="0">
        <v>4054</v>
      </c>
      <c r="P168" t="s" s="0">
        <v>4055</v>
      </c>
      <c r="Q168" t="s" s="0">
        <v>88</v>
      </c>
      <c r="R168" t="s" s="0">
        <v>82</v>
      </c>
      <c r="S168" t="s" s="0">
        <v>82</v>
      </c>
      <c r="T168" t="s" s="0">
        <v>82</v>
      </c>
      <c r="U168" t="s" s="0">
        <v>82</v>
      </c>
      <c r="V168" t="s" s="0">
        <v>4056</v>
      </c>
      <c r="W168" t="s" s="0">
        <v>4057</v>
      </c>
      <c r="X168" t="s" s="0">
        <v>82</v>
      </c>
      <c r="Y168" t="s" s="0">
        <v>82</v>
      </c>
      <c r="Z168" t="s" s="0">
        <v>91</v>
      </c>
      <c r="AA168" t="s" s="0">
        <v>92</v>
      </c>
      <c r="AB168" t="s" s="0">
        <v>82</v>
      </c>
      <c r="AC168" t="s" s="0">
        <v>82</v>
      </c>
      <c r="AD168" t="s" s="0">
        <v>82</v>
      </c>
      <c r="AE168" t="s" s="0">
        <v>82</v>
      </c>
      <c r="AF168" t="s" s="0">
        <v>82</v>
      </c>
      <c r="AG168" t="s" s="0">
        <v>82</v>
      </c>
      <c r="AH168" t="s" s="0">
        <v>3492</v>
      </c>
      <c r="AI168" t="s" s="0">
        <v>4058</v>
      </c>
      <c r="AJ168" t="s" s="0">
        <v>82</v>
      </c>
      <c r="AK168" t="s" s="0">
        <v>82</v>
      </c>
      <c r="AL168" t="s" s="0">
        <v>96</v>
      </c>
      <c r="AM168" t="s" s="0">
        <v>77</v>
      </c>
      <c r="AN168" t="s" s="0">
        <v>77</v>
      </c>
      <c r="AO168" t="s" s="0">
        <v>77</v>
      </c>
      <c r="AP168" t="s" s="0">
        <v>77</v>
      </c>
      <c r="AQ168" t="s" s="0">
        <v>4059</v>
      </c>
      <c r="AR168" t="s" s="0">
        <v>4060</v>
      </c>
      <c r="AS168" t="s" s="0">
        <v>4061</v>
      </c>
      <c r="AT168" t="s" s="0">
        <v>82</v>
      </c>
      <c r="AU168" t="s" s="0">
        <v>4062</v>
      </c>
      <c r="AV168" t="s" s="0">
        <v>82</v>
      </c>
      <c r="AW168" t="s" s="0">
        <v>4057</v>
      </c>
      <c r="AX168" t="s" s="0">
        <v>4063</v>
      </c>
      <c r="AY168" t="s" s="0">
        <v>4064</v>
      </c>
      <c r="AZ168" t="s" s="0">
        <v>179</v>
      </c>
      <c r="BA168" t="s" s="0">
        <v>1504</v>
      </c>
      <c r="BB168" t="s" s="0">
        <v>98</v>
      </c>
      <c r="BC168" t="s" s="0">
        <v>82</v>
      </c>
      <c r="BD168" t="s" s="0">
        <v>82</v>
      </c>
      <c r="BE168" t="s" s="0">
        <v>82</v>
      </c>
      <c r="BF168" t="s" s="0">
        <v>82</v>
      </c>
      <c r="BG168" t="s" s="0">
        <v>82</v>
      </c>
      <c r="BH168" t="s" s="0">
        <v>82</v>
      </c>
      <c r="BI168" t="s" s="0">
        <v>4065</v>
      </c>
      <c r="BJ168" t="s" s="0">
        <v>4066</v>
      </c>
      <c r="BK168" t="s" s="333">
        <f>HYPERLINK("http://dx.doi.org/10.1016/j.isci.2026.116518","http://dx.doi.org/10.1016/j.isci.2026.116518")</f>
        <v>4067</v>
      </c>
      <c r="BL168" t="s" s="0">
        <v>82</v>
      </c>
      <c r="BM168" t="s" s="0">
        <v>716</v>
      </c>
      <c r="BN168" t="s" s="0">
        <v>277</v>
      </c>
      <c r="BO168" t="s" s="0">
        <v>213</v>
      </c>
      <c r="BP168" t="s" s="0">
        <v>214</v>
      </c>
      <c r="BQ168" t="s" s="0">
        <v>4068</v>
      </c>
      <c r="BR168" t="s" s="0">
        <v>4069</v>
      </c>
      <c r="BS168" t="s" s="0">
        <v>4070</v>
      </c>
      <c r="BT168" t="s" s="334">
        <f>HYPERLINK("https://www.webofscience.com/wos/woscc/full-record/WOS:001821073900001","View Record in Web of Science")</f>
        <v>120</v>
      </c>
      <c r="BU168" t="s" s="0">
        <v>189</v>
      </c>
      <c r="BV168" t="s" s="0">
        <v>82</v>
      </c>
      <c r="BW168" t="s" s="0">
        <v>82</v>
      </c>
      <c r="BX168" t="s" s="0">
        <v>121</v>
      </c>
    </row>
    <row r="169">
      <c r="A169" t="s" s="0">
        <v>77</v>
      </c>
      <c r="B169" t="s" s="0">
        <v>77</v>
      </c>
      <c r="C169" t="s" s="0">
        <v>77</v>
      </c>
      <c r="D169" t="s" s="0">
        <v>77</v>
      </c>
      <c r="E169" t="s" s="0">
        <v>4071</v>
      </c>
      <c r="F169" t="s" s="0">
        <v>4072</v>
      </c>
      <c r="G169" t="s" s="0">
        <v>4073</v>
      </c>
      <c r="H169" t="s" s="0">
        <v>82</v>
      </c>
      <c r="I169" t="s" s="0">
        <v>83</v>
      </c>
      <c r="J169" t="s" s="0">
        <v>4074</v>
      </c>
      <c r="K169" t="s" s="0">
        <v>4075</v>
      </c>
      <c r="L169" t="s" s="0">
        <v>4076</v>
      </c>
      <c r="M169" t="s" s="0">
        <v>4076</v>
      </c>
      <c r="N169" t="s" s="0">
        <v>4077</v>
      </c>
      <c r="O169" t="s" s="0">
        <v>4078</v>
      </c>
      <c r="P169" t="s" s="0">
        <v>4079</v>
      </c>
      <c r="Q169" t="s" s="0">
        <v>88</v>
      </c>
      <c r="R169" t="s" s="0">
        <v>82</v>
      </c>
      <c r="S169" t="s" s="0">
        <v>82</v>
      </c>
      <c r="T169" t="s" s="0">
        <v>82</v>
      </c>
      <c r="U169" t="s" s="0">
        <v>82</v>
      </c>
      <c r="V169" t="s" s="0">
        <v>4080</v>
      </c>
      <c r="W169" t="s" s="0">
        <v>3157</v>
      </c>
      <c r="X169" t="s" s="0">
        <v>82</v>
      </c>
      <c r="Y169" t="s" s="0">
        <v>82</v>
      </c>
      <c r="Z169" t="s" s="0">
        <v>91</v>
      </c>
      <c r="AA169" t="s" s="0">
        <v>92</v>
      </c>
      <c r="AB169" t="s" s="0">
        <v>82</v>
      </c>
      <c r="AC169" t="s" s="0">
        <v>82</v>
      </c>
      <c r="AD169" t="s" s="0">
        <v>82</v>
      </c>
      <c r="AE169" t="s" s="0">
        <v>82</v>
      </c>
      <c r="AF169" t="s" s="0">
        <v>82</v>
      </c>
      <c r="AG169" t="s" s="0">
        <v>4081</v>
      </c>
      <c r="AH169" t="s" s="0">
        <v>4082</v>
      </c>
      <c r="AI169" t="s" s="0">
        <v>4083</v>
      </c>
      <c r="AJ169" t="s" s="0">
        <v>4084</v>
      </c>
      <c r="AK169" t="s" s="0">
        <v>82</v>
      </c>
      <c r="AL169" t="s" s="0">
        <v>850</v>
      </c>
      <c r="AM169" t="s" s="0">
        <v>110</v>
      </c>
      <c r="AN169" t="s" s="0">
        <v>110</v>
      </c>
      <c r="AO169" t="s" s="0">
        <v>204</v>
      </c>
      <c r="AP169" t="s" s="0">
        <v>363</v>
      </c>
      <c r="AQ169" t="s" s="0">
        <v>418</v>
      </c>
      <c r="AR169" t="s" s="0">
        <v>419</v>
      </c>
      <c r="AS169" t="s" s="0">
        <v>420</v>
      </c>
      <c r="AT169" t="s" s="0">
        <v>82</v>
      </c>
      <c r="AU169" t="s" s="0">
        <v>3162</v>
      </c>
      <c r="AV169" t="s" s="0">
        <v>82</v>
      </c>
      <c r="AW169" t="s" s="0">
        <v>3157</v>
      </c>
      <c r="AX169" t="s" s="0">
        <v>3163</v>
      </c>
      <c r="AY169" t="s" s="0">
        <v>4085</v>
      </c>
      <c r="AZ169" t="s" s="0">
        <v>108</v>
      </c>
      <c r="BA169" t="s" s="0">
        <v>277</v>
      </c>
      <c r="BB169" t="s" s="0">
        <v>976</v>
      </c>
      <c r="BC169" t="s" s="0">
        <v>82</v>
      </c>
      <c r="BD169" t="s" s="0">
        <v>82</v>
      </c>
      <c r="BE169" t="s" s="0">
        <v>82</v>
      </c>
      <c r="BF169" t="s" s="0">
        <v>82</v>
      </c>
      <c r="BG169" t="s" s="0">
        <v>82</v>
      </c>
      <c r="BH169" t="s" s="0">
        <v>82</v>
      </c>
      <c r="BI169" t="s" s="0">
        <v>4086</v>
      </c>
      <c r="BJ169" t="s" s="0">
        <v>4087</v>
      </c>
      <c r="BK169" t="s" s="335">
        <f>HYPERLINK("http://dx.doi.org/10.3390/diagnostics15182315","http://dx.doi.org/10.3390/diagnostics15182315")</f>
        <v>4088</v>
      </c>
      <c r="BL169" t="s" s="0">
        <v>82</v>
      </c>
      <c r="BM169" t="s" s="0">
        <v>82</v>
      </c>
      <c r="BN169" t="s" s="0">
        <v>109</v>
      </c>
      <c r="BO169" t="s" s="0">
        <v>1803</v>
      </c>
      <c r="BP169" t="s" s="0">
        <v>1804</v>
      </c>
      <c r="BQ169" t="s" s="0">
        <v>4089</v>
      </c>
      <c r="BR169" t="s" s="0">
        <v>4090</v>
      </c>
      <c r="BS169" t="s" s="0">
        <v>4091</v>
      </c>
      <c r="BT169" t="s" s="336">
        <f>HYPERLINK("https://www.webofscience.com/wos/woscc/full-record/WOS:001581172300001","View Record in Web of Science")</f>
        <v>120</v>
      </c>
      <c r="BU169" t="s" s="0">
        <v>189</v>
      </c>
      <c r="BV169" t="s" s="0">
        <v>82</v>
      </c>
      <c r="BW169" t="s" s="0">
        <v>82</v>
      </c>
      <c r="BX169" t="s" s="0">
        <v>121</v>
      </c>
    </row>
    <row r="170">
      <c r="A170" t="s" s="0">
        <v>77</v>
      </c>
      <c r="B170" t="s" s="0">
        <v>77</v>
      </c>
      <c r="C170" t="s" s="0">
        <v>77</v>
      </c>
      <c r="D170" t="s" s="0">
        <v>77</v>
      </c>
      <c r="E170" t="s" s="0">
        <v>4092</v>
      </c>
      <c r="F170" t="s" s="0">
        <v>4093</v>
      </c>
      <c r="G170" t="s" s="0">
        <v>4094</v>
      </c>
      <c r="H170" t="s" s="0">
        <v>82</v>
      </c>
      <c r="I170" t="s" s="0">
        <v>83</v>
      </c>
      <c r="J170" t="s" s="0">
        <v>4095</v>
      </c>
      <c r="K170" t="s" s="0">
        <v>4096</v>
      </c>
      <c r="L170" t="s" s="0">
        <v>4097</v>
      </c>
      <c r="M170" t="s" s="0">
        <v>4097</v>
      </c>
      <c r="N170" t="s" s="0">
        <v>4098</v>
      </c>
      <c r="O170" t="s" s="0">
        <v>4099</v>
      </c>
      <c r="P170" t="s" s="0">
        <v>4100</v>
      </c>
      <c r="Q170" t="s" s="0">
        <v>88</v>
      </c>
      <c r="R170" t="s" s="0">
        <v>82</v>
      </c>
      <c r="S170" t="s" s="0">
        <v>82</v>
      </c>
      <c r="T170" t="s" s="0">
        <v>82</v>
      </c>
      <c r="U170" t="s" s="0">
        <v>82</v>
      </c>
      <c r="V170" t="s" s="0">
        <v>4101</v>
      </c>
      <c r="W170" t="s" s="0">
        <v>820</v>
      </c>
      <c r="X170" t="s" s="0">
        <v>82</v>
      </c>
      <c r="Y170" t="s" s="0">
        <v>82</v>
      </c>
      <c r="Z170" t="s" s="0">
        <v>91</v>
      </c>
      <c r="AA170" t="s" s="0">
        <v>92</v>
      </c>
      <c r="AB170" t="s" s="0">
        <v>82</v>
      </c>
      <c r="AC170" t="s" s="0">
        <v>82</v>
      </c>
      <c r="AD170" t="s" s="0">
        <v>82</v>
      </c>
      <c r="AE170" t="s" s="0">
        <v>82</v>
      </c>
      <c r="AF170" t="s" s="0">
        <v>82</v>
      </c>
      <c r="AG170" t="s" s="0">
        <v>4102</v>
      </c>
      <c r="AH170" t="s" s="0">
        <v>82</v>
      </c>
      <c r="AI170" t="s" s="0">
        <v>4103</v>
      </c>
      <c r="AJ170" t="s" s="0">
        <v>4104</v>
      </c>
      <c r="AK170" t="s" s="0">
        <v>82</v>
      </c>
      <c r="AL170" t="s" s="0">
        <v>138</v>
      </c>
      <c r="AM170" t="s" s="0">
        <v>78</v>
      </c>
      <c r="AN170" t="s" s="0">
        <v>78</v>
      </c>
      <c r="AO170" t="s" s="0">
        <v>77</v>
      </c>
      <c r="AP170" t="s" s="0">
        <v>78</v>
      </c>
      <c r="AQ170" t="s" s="0">
        <v>100</v>
      </c>
      <c r="AR170" t="s" s="0">
        <v>101</v>
      </c>
      <c r="AS170" t="s" s="0">
        <v>102</v>
      </c>
      <c r="AT170" t="s" s="0">
        <v>825</v>
      </c>
      <c r="AU170" t="s" s="0">
        <v>826</v>
      </c>
      <c r="AV170" t="s" s="0">
        <v>82</v>
      </c>
      <c r="AW170" t="s" s="0">
        <v>827</v>
      </c>
      <c r="AX170" t="s" s="0">
        <v>828</v>
      </c>
      <c r="AY170" t="s" s="0">
        <v>1688</v>
      </c>
      <c r="AZ170" t="s" s="0">
        <v>108</v>
      </c>
      <c r="BA170" t="s" s="0">
        <v>1504</v>
      </c>
      <c r="BB170" t="s" s="0">
        <v>148</v>
      </c>
      <c r="BC170" t="s" s="0">
        <v>82</v>
      </c>
      <c r="BD170" t="s" s="0">
        <v>82</v>
      </c>
      <c r="BE170" t="s" s="0">
        <v>82</v>
      </c>
      <c r="BF170" t="s" s="0">
        <v>82</v>
      </c>
      <c r="BG170" t="s" s="0">
        <v>4105</v>
      </c>
      <c r="BH170" t="s" s="0">
        <v>4106</v>
      </c>
      <c r="BI170" t="s" s="0">
        <v>82</v>
      </c>
      <c r="BJ170" t="s" s="0">
        <v>4107</v>
      </c>
      <c r="BK170" t="s" s="337">
        <f>HYPERLINK("http://dx.doi.org/10.1109/JBHI.2025.3624318","http://dx.doi.org/10.1109/JBHI.2025.3624318")</f>
        <v>4108</v>
      </c>
      <c r="BL170" t="s" s="0">
        <v>82</v>
      </c>
      <c r="BM170" t="s" s="0">
        <v>82</v>
      </c>
      <c r="BN170" t="s" s="0">
        <v>272</v>
      </c>
      <c r="BO170" t="s" s="0">
        <v>834</v>
      </c>
      <c r="BP170" t="s" s="0">
        <v>835</v>
      </c>
      <c r="BQ170" t="s" s="0">
        <v>4109</v>
      </c>
      <c r="BR170" t="s" s="0">
        <v>4110</v>
      </c>
      <c r="BS170" t="s" s="0">
        <v>4111</v>
      </c>
      <c r="BT170" t="s" s="338">
        <f>HYPERLINK("https://www.webofscience.com/wos/woscc/full-record/WOS:001640359100039","View Record in Web of Science")</f>
        <v>120</v>
      </c>
      <c r="BU170" t="s" s="0">
        <v>82</v>
      </c>
      <c r="BV170" t="s" s="0">
        <v>82</v>
      </c>
      <c r="BW170" t="s" s="0">
        <v>82</v>
      </c>
      <c r="BX170" t="s" s="0">
        <v>121</v>
      </c>
    </row>
    <row r="171">
      <c r="A171" t="s" s="0">
        <v>77</v>
      </c>
      <c r="B171" t="s" s="0">
        <v>77</v>
      </c>
      <c r="C171" t="s" s="0">
        <v>77</v>
      </c>
      <c r="D171" t="s" s="0">
        <v>77</v>
      </c>
      <c r="E171" t="s" s="0">
        <v>4112</v>
      </c>
      <c r="F171" t="s" s="0">
        <v>4113</v>
      </c>
      <c r="G171" t="s" s="0">
        <v>4114</v>
      </c>
      <c r="H171" t="s" s="0">
        <v>82</v>
      </c>
      <c r="I171" t="s" s="0">
        <v>83</v>
      </c>
      <c r="J171" t="s" s="0">
        <v>4115</v>
      </c>
      <c r="K171" t="s" s="0">
        <v>4116</v>
      </c>
      <c r="L171" t="s" s="0">
        <v>4117</v>
      </c>
      <c r="M171" t="s" s="0">
        <v>4118</v>
      </c>
      <c r="N171" t="s" s="0">
        <v>4119</v>
      </c>
      <c r="O171" t="s" s="0">
        <v>4120</v>
      </c>
      <c r="P171" t="s" s="0">
        <v>4121</v>
      </c>
      <c r="Q171" t="s" s="0">
        <v>88</v>
      </c>
      <c r="R171" t="s" s="0">
        <v>82</v>
      </c>
      <c r="S171" t="s" s="0">
        <v>82</v>
      </c>
      <c r="T171" t="s" s="0">
        <v>82</v>
      </c>
      <c r="U171" t="s" s="0">
        <v>82</v>
      </c>
      <c r="V171" t="s" s="0">
        <v>4122</v>
      </c>
      <c r="W171" t="s" s="0">
        <v>3561</v>
      </c>
      <c r="X171" t="s" s="0">
        <v>82</v>
      </c>
      <c r="Y171" t="s" s="0">
        <v>82</v>
      </c>
      <c r="Z171" t="s" s="0">
        <v>91</v>
      </c>
      <c r="AA171" t="s" s="0">
        <v>908</v>
      </c>
      <c r="AB171" t="s" s="0">
        <v>82</v>
      </c>
      <c r="AC171" t="s" s="0">
        <v>82</v>
      </c>
      <c r="AD171" t="s" s="0">
        <v>82</v>
      </c>
      <c r="AE171" t="s" s="0">
        <v>82</v>
      </c>
      <c r="AF171" t="s" s="0">
        <v>82</v>
      </c>
      <c r="AG171" t="s" s="0">
        <v>4123</v>
      </c>
      <c r="AH171" t="s" s="0">
        <v>82</v>
      </c>
      <c r="AI171" t="s" s="0">
        <v>82</v>
      </c>
      <c r="AJ171" t="s" s="0">
        <v>82</v>
      </c>
      <c r="AK171" t="s" s="0">
        <v>82</v>
      </c>
      <c r="AL171" t="s" s="0">
        <v>736</v>
      </c>
      <c r="AM171" t="s" s="0">
        <v>77</v>
      </c>
      <c r="AN171" t="s" s="0">
        <v>77</v>
      </c>
      <c r="AO171" t="s" s="0">
        <v>77</v>
      </c>
      <c r="AP171" t="s" s="0">
        <v>77</v>
      </c>
      <c r="AQ171" t="s" s="0">
        <v>795</v>
      </c>
      <c r="AR171" t="s" s="0">
        <v>796</v>
      </c>
      <c r="AS171" t="s" s="0">
        <v>797</v>
      </c>
      <c r="AT171" t="s" s="0">
        <v>3565</v>
      </c>
      <c r="AU171" t="s" s="0">
        <v>3566</v>
      </c>
      <c r="AV171" t="s" s="0">
        <v>82</v>
      </c>
      <c r="AW171" t="s" s="0">
        <v>3567</v>
      </c>
      <c r="AX171" t="s" s="0">
        <v>3568</v>
      </c>
      <c r="AY171" t="s" s="0">
        <v>82</v>
      </c>
      <c r="AZ171" t="s" s="0">
        <v>179</v>
      </c>
      <c r="BA171" t="s" s="0">
        <v>82</v>
      </c>
      <c r="BB171" t="s" s="0">
        <v>82</v>
      </c>
      <c r="BC171" t="s" s="0">
        <v>82</v>
      </c>
      <c r="BD171" t="s" s="0">
        <v>82</v>
      </c>
      <c r="BE171" t="s" s="0">
        <v>82</v>
      </c>
      <c r="BF171" t="s" s="0">
        <v>82</v>
      </c>
      <c r="BG171" t="s" s="0">
        <v>82</v>
      </c>
      <c r="BH171" t="s" s="0">
        <v>82</v>
      </c>
      <c r="BI171" t="s" s="0">
        <v>82</v>
      </c>
      <c r="BJ171" t="s" s="0">
        <v>4124</v>
      </c>
      <c r="BK171" t="s" s="339">
        <f>HYPERLINK("http://dx.doi.org/10.1007/s11604-026-02032-3","http://dx.doi.org/10.1007/s11604-026-02032-3")</f>
        <v>4125</v>
      </c>
      <c r="BL171" t="s" s="0">
        <v>82</v>
      </c>
      <c r="BM171" t="s" s="0">
        <v>716</v>
      </c>
      <c r="BN171" t="s" s="0">
        <v>307</v>
      </c>
      <c r="BO171" t="s" s="0">
        <v>717</v>
      </c>
      <c r="BP171" t="s" s="0">
        <v>717</v>
      </c>
      <c r="BQ171" t="s" s="0">
        <v>4126</v>
      </c>
      <c r="BR171" t="s" s="0">
        <v>4127</v>
      </c>
      <c r="BS171" t="s" s="0">
        <v>4128</v>
      </c>
      <c r="BT171" t="s" s="340">
        <f>HYPERLINK("https://www.webofscience.com/wos/woscc/full-record/WOS:001827391900001","View Record in Web of Science")</f>
        <v>120</v>
      </c>
      <c r="BU171" t="s" s="0">
        <v>82</v>
      </c>
      <c r="BV171" t="s" s="0">
        <v>82</v>
      </c>
      <c r="BW171" t="s" s="0">
        <v>82</v>
      </c>
      <c r="BX171" t="s" s="0">
        <v>121</v>
      </c>
    </row>
    <row r="172">
      <c r="A172" t="s" s="0">
        <v>77</v>
      </c>
      <c r="B172" t="s" s="0">
        <v>77</v>
      </c>
      <c r="C172" t="s" s="0">
        <v>77</v>
      </c>
      <c r="D172" t="s" s="0">
        <v>77</v>
      </c>
      <c r="E172" t="s" s="0">
        <v>4129</v>
      </c>
      <c r="F172" t="s" s="0">
        <v>4130</v>
      </c>
      <c r="G172" t="s" s="0">
        <v>4131</v>
      </c>
      <c r="H172" t="s" s="0">
        <v>82</v>
      </c>
      <c r="I172" t="s" s="0">
        <v>83</v>
      </c>
      <c r="J172" t="s" s="0">
        <v>4132</v>
      </c>
      <c r="K172" t="s" s="0">
        <v>4133</v>
      </c>
      <c r="L172" t="s" s="0">
        <v>4134</v>
      </c>
      <c r="M172" t="s" s="0">
        <v>4135</v>
      </c>
      <c r="N172" t="s" s="0">
        <v>4136</v>
      </c>
      <c r="O172" t="s" s="0">
        <v>4137</v>
      </c>
      <c r="P172" t="s" s="0">
        <v>4138</v>
      </c>
      <c r="Q172" t="s" s="0">
        <v>88</v>
      </c>
      <c r="R172" t="s" s="0">
        <v>82</v>
      </c>
      <c r="S172" t="s" s="0">
        <v>82</v>
      </c>
      <c r="T172" t="s" s="0">
        <v>82</v>
      </c>
      <c r="U172" t="s" s="0">
        <v>82</v>
      </c>
      <c r="V172" t="s" s="0">
        <v>4139</v>
      </c>
      <c r="W172" t="s" s="0">
        <v>790</v>
      </c>
      <c r="X172" t="s" s="0">
        <v>82</v>
      </c>
      <c r="Y172" t="s" s="0">
        <v>82</v>
      </c>
      <c r="Z172" t="s" s="0">
        <v>91</v>
      </c>
      <c r="AA172" t="s" s="0">
        <v>92</v>
      </c>
      <c r="AB172" t="s" s="0">
        <v>82</v>
      </c>
      <c r="AC172" t="s" s="0">
        <v>82</v>
      </c>
      <c r="AD172" t="s" s="0">
        <v>82</v>
      </c>
      <c r="AE172" t="s" s="0">
        <v>82</v>
      </c>
      <c r="AF172" t="s" s="0">
        <v>82</v>
      </c>
      <c r="AG172" t="s" s="0">
        <v>4140</v>
      </c>
      <c r="AH172" t="s" s="0">
        <v>82</v>
      </c>
      <c r="AI172" t="s" s="0">
        <v>4141</v>
      </c>
      <c r="AJ172" t="s" s="0">
        <v>82</v>
      </c>
      <c r="AK172" t="s" s="0">
        <v>82</v>
      </c>
      <c r="AL172" t="s" s="0">
        <v>502</v>
      </c>
      <c r="AM172" t="s" s="0">
        <v>77</v>
      </c>
      <c r="AN172" t="s" s="0">
        <v>77</v>
      </c>
      <c r="AO172" t="s" s="0">
        <v>110</v>
      </c>
      <c r="AP172" t="s" s="0">
        <v>148</v>
      </c>
      <c r="AQ172" t="s" s="0">
        <v>795</v>
      </c>
      <c r="AR172" t="s" s="0">
        <v>796</v>
      </c>
      <c r="AS172" t="s" s="0">
        <v>797</v>
      </c>
      <c r="AT172" t="s" s="0">
        <v>798</v>
      </c>
      <c r="AU172" t="s" s="0">
        <v>82</v>
      </c>
      <c r="AV172" t="s" s="0">
        <v>82</v>
      </c>
      <c r="AW172" t="s" s="0">
        <v>799</v>
      </c>
      <c r="AX172" t="s" s="0">
        <v>800</v>
      </c>
      <c r="AY172" t="s" s="0">
        <v>4142</v>
      </c>
      <c r="AZ172" t="s" s="0">
        <v>108</v>
      </c>
      <c r="BA172" t="s" s="0">
        <v>109</v>
      </c>
      <c r="BB172" t="s" s="0">
        <v>78</v>
      </c>
      <c r="BC172" t="s" s="0">
        <v>82</v>
      </c>
      <c r="BD172" t="s" s="0">
        <v>82</v>
      </c>
      <c r="BE172" t="s" s="0">
        <v>82</v>
      </c>
      <c r="BF172" t="s" s="0">
        <v>82</v>
      </c>
      <c r="BG172" t="s" s="0">
        <v>82</v>
      </c>
      <c r="BH172" t="s" s="0">
        <v>82</v>
      </c>
      <c r="BI172" t="s" s="0">
        <v>209</v>
      </c>
      <c r="BJ172" t="s" s="0">
        <v>4143</v>
      </c>
      <c r="BK172" t="s" s="341">
        <f>HYPERLINK("http://dx.doi.org/10.1007/s13755-025-00417-8","http://dx.doi.org/10.1007/s13755-025-00417-8")</f>
        <v>4144</v>
      </c>
      <c r="BL172" t="s" s="0">
        <v>82</v>
      </c>
      <c r="BM172" t="s" s="0">
        <v>82</v>
      </c>
      <c r="BN172" t="s" s="0">
        <v>184</v>
      </c>
      <c r="BO172" t="s" s="0">
        <v>805</v>
      </c>
      <c r="BP172" t="s" s="0">
        <v>805</v>
      </c>
      <c r="BQ172" t="s" s="0">
        <v>4145</v>
      </c>
      <c r="BR172" t="s" s="0">
        <v>4146</v>
      </c>
      <c r="BS172" t="s" s="0">
        <v>4147</v>
      </c>
      <c r="BT172" t="s" s="342">
        <f>HYPERLINK("https://www.webofscience.com/wos/woscc/full-record/WOS:001643134900001","View Record in Web of Science")</f>
        <v>120</v>
      </c>
      <c r="BU172" t="s" s="0">
        <v>809</v>
      </c>
      <c r="BV172" t="s" s="0">
        <v>82</v>
      </c>
      <c r="BW172" t="s" s="0">
        <v>82</v>
      </c>
      <c r="BX172" t="s" s="0">
        <v>121</v>
      </c>
    </row>
    <row r="173">
      <c r="A173" t="s" s="0">
        <v>77</v>
      </c>
      <c r="B173" t="s" s="0">
        <v>77</v>
      </c>
      <c r="C173" t="s" s="0">
        <v>77</v>
      </c>
      <c r="D173" t="s" s="0">
        <v>77</v>
      </c>
      <c r="E173" t="s" s="0">
        <v>4148</v>
      </c>
      <c r="F173" t="s" s="0">
        <v>4149</v>
      </c>
      <c r="G173" t="s" s="0">
        <v>4150</v>
      </c>
      <c r="H173" t="s" s="0">
        <v>82</v>
      </c>
      <c r="I173" t="s" s="0">
        <v>83</v>
      </c>
      <c r="J173" t="s" s="0">
        <v>4151</v>
      </c>
      <c r="K173" t="s" s="0">
        <v>4152</v>
      </c>
      <c r="L173" t="s" s="0">
        <v>4153</v>
      </c>
      <c r="M173" t="s" s="0">
        <v>4154</v>
      </c>
      <c r="N173" t="s" s="0">
        <v>4155</v>
      </c>
      <c r="O173" t="s" s="0">
        <v>4156</v>
      </c>
      <c r="P173" t="s" s="0">
        <v>4157</v>
      </c>
      <c r="Q173" t="s" s="0">
        <v>88</v>
      </c>
      <c r="R173" t="s" s="0">
        <v>82</v>
      </c>
      <c r="S173" t="s" s="0">
        <v>82</v>
      </c>
      <c r="T173" t="s" s="0">
        <v>82</v>
      </c>
      <c r="U173" t="s" s="0">
        <v>82</v>
      </c>
      <c r="V173" t="s" s="0">
        <v>4158</v>
      </c>
      <c r="W173" t="s" s="0">
        <v>201</v>
      </c>
      <c r="X173" t="s" s="0">
        <v>82</v>
      </c>
      <c r="Y173" t="s" s="0">
        <v>82</v>
      </c>
      <c r="Z173" t="s" s="0">
        <v>91</v>
      </c>
      <c r="AA173" t="s" s="0">
        <v>92</v>
      </c>
      <c r="AB173" t="s" s="0">
        <v>82</v>
      </c>
      <c r="AC173" t="s" s="0">
        <v>82</v>
      </c>
      <c r="AD173" t="s" s="0">
        <v>82</v>
      </c>
      <c r="AE173" t="s" s="0">
        <v>82</v>
      </c>
      <c r="AF173" t="s" s="0">
        <v>82</v>
      </c>
      <c r="AG173" t="s" s="0">
        <v>4159</v>
      </c>
      <c r="AH173" t="s" s="0">
        <v>82</v>
      </c>
      <c r="AI173" t="s" s="0">
        <v>4160</v>
      </c>
      <c r="AJ173" t="s" s="0">
        <v>4161</v>
      </c>
      <c r="AK173" t="s" s="0">
        <v>82</v>
      </c>
      <c r="AL173" t="s" s="0">
        <v>892</v>
      </c>
      <c r="AM173" t="s" s="0">
        <v>77</v>
      </c>
      <c r="AN173" t="s" s="0">
        <v>77</v>
      </c>
      <c r="AO173" t="s" s="0">
        <v>77</v>
      </c>
      <c r="AP173" t="s" s="0">
        <v>77</v>
      </c>
      <c r="AQ173" t="s" s="0">
        <v>172</v>
      </c>
      <c r="AR173" t="s" s="0">
        <v>173</v>
      </c>
      <c r="AS173" t="s" s="0">
        <v>174</v>
      </c>
      <c r="AT173" t="s" s="0">
        <v>205</v>
      </c>
      <c r="AU173" t="s" s="0">
        <v>82</v>
      </c>
      <c r="AV173" t="s" s="0">
        <v>82</v>
      </c>
      <c r="AW173" t="s" s="0">
        <v>206</v>
      </c>
      <c r="AX173" t="s" s="0">
        <v>207</v>
      </c>
      <c r="AY173" t="s" s="0">
        <v>4162</v>
      </c>
      <c r="AZ173" t="s" s="0">
        <v>179</v>
      </c>
      <c r="BA173" t="s" s="0">
        <v>209</v>
      </c>
      <c r="BB173" t="s" s="0">
        <v>78</v>
      </c>
      <c r="BC173" t="s" s="0">
        <v>82</v>
      </c>
      <c r="BD173" t="s" s="0">
        <v>82</v>
      </c>
      <c r="BE173" t="s" s="0">
        <v>82</v>
      </c>
      <c r="BF173" t="s" s="0">
        <v>82</v>
      </c>
      <c r="BG173" t="s" s="0">
        <v>82</v>
      </c>
      <c r="BH173" t="s" s="0">
        <v>82</v>
      </c>
      <c r="BI173" t="s" s="0">
        <v>4163</v>
      </c>
      <c r="BJ173" t="s" s="0">
        <v>4164</v>
      </c>
      <c r="BK173" t="s" s="343">
        <f>HYPERLINK("http://dx.doi.org/10.1038/s41598-026-39201-3","http://dx.doi.org/10.1038/s41598-026-39201-3")</f>
        <v>4165</v>
      </c>
      <c r="BL173" t="s" s="0">
        <v>82</v>
      </c>
      <c r="BM173" t="s" s="0">
        <v>82</v>
      </c>
      <c r="BN173" t="s" s="0">
        <v>109</v>
      </c>
      <c r="BO173" t="s" s="0">
        <v>213</v>
      </c>
      <c r="BP173" t="s" s="0">
        <v>214</v>
      </c>
      <c r="BQ173" t="s" s="0">
        <v>4166</v>
      </c>
      <c r="BR173" t="s" s="0">
        <v>4167</v>
      </c>
      <c r="BS173" t="s" s="0">
        <v>4168</v>
      </c>
      <c r="BT173" t="s" s="344">
        <f>HYPERLINK("https://www.webofscience.com/wos/woscc/full-record/WOS:001714896800046","View Record in Web of Science")</f>
        <v>120</v>
      </c>
      <c r="BU173" t="s" s="0">
        <v>189</v>
      </c>
      <c r="BV173" t="s" s="0">
        <v>82</v>
      </c>
      <c r="BW173" t="s" s="0">
        <v>82</v>
      </c>
      <c r="BX173" t="s" s="0">
        <v>121</v>
      </c>
    </row>
    <row r="174">
      <c r="A174" t="s" s="0">
        <v>77</v>
      </c>
      <c r="B174" t="s" s="0">
        <v>77</v>
      </c>
      <c r="C174" t="s" s="0">
        <v>77</v>
      </c>
      <c r="D174" t="s" s="0">
        <v>77</v>
      </c>
      <c r="E174" t="s" s="0">
        <v>4169</v>
      </c>
      <c r="F174" t="s" s="0">
        <v>4170</v>
      </c>
      <c r="G174" t="s" s="0">
        <v>4171</v>
      </c>
      <c r="H174" t="s" s="0">
        <v>82</v>
      </c>
      <c r="I174" t="s" s="0">
        <v>83</v>
      </c>
      <c r="J174" t="s" s="0">
        <v>4172</v>
      </c>
      <c r="K174" t="s" s="0">
        <v>4173</v>
      </c>
      <c r="L174" t="s" s="0">
        <v>82</v>
      </c>
      <c r="M174" t="s" s="0">
        <v>82</v>
      </c>
      <c r="N174" t="s" s="0">
        <v>82</v>
      </c>
      <c r="O174" t="s" s="0">
        <v>4174</v>
      </c>
      <c r="P174" t="s" s="0">
        <v>4175</v>
      </c>
      <c r="Q174" t="s" s="0">
        <v>88</v>
      </c>
      <c r="R174" t="s" s="0">
        <v>82</v>
      </c>
      <c r="S174" t="s" s="0">
        <v>82</v>
      </c>
      <c r="T174" t="s" s="0">
        <v>82</v>
      </c>
      <c r="U174" t="s" s="0">
        <v>82</v>
      </c>
      <c r="V174" t="s" s="0">
        <v>4176</v>
      </c>
      <c r="W174" t="s" s="0">
        <v>411</v>
      </c>
      <c r="X174" t="s" s="0">
        <v>82</v>
      </c>
      <c r="Y174" t="s" s="0">
        <v>82</v>
      </c>
      <c r="Z174" t="s" s="0">
        <v>91</v>
      </c>
      <c r="AA174" t="s" s="0">
        <v>92</v>
      </c>
      <c r="AB174" t="s" s="0">
        <v>82</v>
      </c>
      <c r="AC174" t="s" s="0">
        <v>82</v>
      </c>
      <c r="AD174" t="s" s="0">
        <v>82</v>
      </c>
      <c r="AE174" t="s" s="0">
        <v>82</v>
      </c>
      <c r="AF174" t="s" s="0">
        <v>82</v>
      </c>
      <c r="AG174" t="s" s="0">
        <v>4177</v>
      </c>
      <c r="AH174" t="s" s="0">
        <v>82</v>
      </c>
      <c r="AI174" t="s" s="0">
        <v>4178</v>
      </c>
      <c r="AJ174" t="s" s="0">
        <v>4179</v>
      </c>
      <c r="AK174" t="s" s="0">
        <v>82</v>
      </c>
      <c r="AL174" t="s" s="0">
        <v>794</v>
      </c>
      <c r="AM174" t="s" s="0">
        <v>204</v>
      </c>
      <c r="AN174" t="s" s="0">
        <v>204</v>
      </c>
      <c r="AO174" t="s" s="0">
        <v>99</v>
      </c>
      <c r="AP174" t="s" s="0">
        <v>235</v>
      </c>
      <c r="AQ174" t="s" s="0">
        <v>418</v>
      </c>
      <c r="AR174" t="s" s="0">
        <v>419</v>
      </c>
      <c r="AS174" t="s" s="0">
        <v>420</v>
      </c>
      <c r="AT174" t="s" s="0">
        <v>82</v>
      </c>
      <c r="AU174" t="s" s="0">
        <v>421</v>
      </c>
      <c r="AV174" t="s" s="0">
        <v>82</v>
      </c>
      <c r="AW174" t="s" s="0">
        <v>411</v>
      </c>
      <c r="AX174" t="s" s="0">
        <v>422</v>
      </c>
      <c r="AY174" t="s" s="0">
        <v>4180</v>
      </c>
      <c r="AZ174" t="s" s="0">
        <v>108</v>
      </c>
      <c r="BA174" t="s" s="0">
        <v>148</v>
      </c>
      <c r="BB174" t="s" s="0">
        <v>307</v>
      </c>
      <c r="BC174" t="s" s="0">
        <v>82</v>
      </c>
      <c r="BD174" t="s" s="0">
        <v>82</v>
      </c>
      <c r="BE174" t="s" s="0">
        <v>82</v>
      </c>
      <c r="BF174" t="s" s="0">
        <v>82</v>
      </c>
      <c r="BG174" t="s" s="0">
        <v>82</v>
      </c>
      <c r="BH174" t="s" s="0">
        <v>82</v>
      </c>
      <c r="BI174" t="s" s="0">
        <v>4181</v>
      </c>
      <c r="BJ174" t="s" s="0">
        <v>4182</v>
      </c>
      <c r="BK174" t="s" s="345">
        <f>HYPERLINK("http://dx.doi.org/10.3390/bioengineering12111165","http://dx.doi.org/10.3390/bioengineering12111165")</f>
        <v>4183</v>
      </c>
      <c r="BL174" t="s" s="0">
        <v>82</v>
      </c>
      <c r="BM174" t="s" s="0">
        <v>82</v>
      </c>
      <c r="BN174" t="s" s="0">
        <v>138</v>
      </c>
      <c r="BO174" t="s" s="0">
        <v>429</v>
      </c>
      <c r="BP174" t="s" s="0">
        <v>430</v>
      </c>
      <c r="BQ174" t="s" s="0">
        <v>4184</v>
      </c>
      <c r="BR174" t="s" s="0">
        <v>4185</v>
      </c>
      <c r="BS174" t="s" s="0">
        <v>4186</v>
      </c>
      <c r="BT174" t="s" s="346">
        <f>HYPERLINK("https://www.webofscience.com/wos/woscc/full-record/WOS:001624013900001","View Record in Web of Science")</f>
        <v>120</v>
      </c>
      <c r="BU174" t="s" s="0">
        <v>189</v>
      </c>
      <c r="BV174" t="s" s="0">
        <v>82</v>
      </c>
      <c r="BW174" t="s" s="0">
        <v>82</v>
      </c>
      <c r="BX174" t="s" s="0">
        <v>121</v>
      </c>
    </row>
    <row r="175">
      <c r="A175" t="s" s="0">
        <v>77</v>
      </c>
      <c r="B175" t="s" s="0">
        <v>77</v>
      </c>
      <c r="C175" t="s" s="0">
        <v>77</v>
      </c>
      <c r="D175" t="s" s="0">
        <v>77</v>
      </c>
      <c r="E175" t="s" s="0">
        <v>4187</v>
      </c>
      <c r="F175" t="s" s="0">
        <v>4188</v>
      </c>
      <c r="G175" t="s" s="0">
        <v>4189</v>
      </c>
      <c r="H175" t="s" s="0">
        <v>82</v>
      </c>
      <c r="I175" t="s" s="0">
        <v>83</v>
      </c>
      <c r="J175" t="s" s="0">
        <v>4190</v>
      </c>
      <c r="K175" t="s" s="0">
        <v>4191</v>
      </c>
      <c r="L175" t="s" s="0">
        <v>4192</v>
      </c>
      <c r="M175" t="s" s="0">
        <v>4192</v>
      </c>
      <c r="N175" t="s" s="0">
        <v>4193</v>
      </c>
      <c r="O175" t="s" s="0">
        <v>4194</v>
      </c>
      <c r="P175" t="s" s="0">
        <v>4195</v>
      </c>
      <c r="Q175" t="s" s="0">
        <v>88</v>
      </c>
      <c r="R175" t="s" s="0">
        <v>82</v>
      </c>
      <c r="S175" t="s" s="0">
        <v>82</v>
      </c>
      <c r="T175" t="s" s="0">
        <v>82</v>
      </c>
      <c r="U175" t="s" s="0">
        <v>82</v>
      </c>
      <c r="V175" t="s" s="0">
        <v>4196</v>
      </c>
      <c r="W175" t="s" s="0">
        <v>4197</v>
      </c>
      <c r="X175" t="s" s="0">
        <v>82</v>
      </c>
      <c r="Y175" t="s" s="0">
        <v>82</v>
      </c>
      <c r="Z175" t="s" s="0">
        <v>91</v>
      </c>
      <c r="AA175" t="s" s="0">
        <v>4198</v>
      </c>
      <c r="AB175" t="s" s="0">
        <v>82</v>
      </c>
      <c r="AC175" t="s" s="0">
        <v>82</v>
      </c>
      <c r="AD175" t="s" s="0">
        <v>82</v>
      </c>
      <c r="AE175" t="s" s="0">
        <v>82</v>
      </c>
      <c r="AF175" t="s" s="0">
        <v>82</v>
      </c>
      <c r="AG175" t="s" s="0">
        <v>4199</v>
      </c>
      <c r="AH175" t="s" s="0">
        <v>82</v>
      </c>
      <c r="AI175" t="s" s="0">
        <v>82</v>
      </c>
      <c r="AJ175" t="s" s="0">
        <v>82</v>
      </c>
      <c r="AK175" t="s" s="0">
        <v>82</v>
      </c>
      <c r="AL175" t="s" s="0">
        <v>1505</v>
      </c>
      <c r="AM175" t="s" s="0">
        <v>77</v>
      </c>
      <c r="AN175" t="s" s="0">
        <v>77</v>
      </c>
      <c r="AO175" t="s" s="0">
        <v>77</v>
      </c>
      <c r="AP175" t="s" s="0">
        <v>77</v>
      </c>
      <c r="AQ175" t="s" s="0">
        <v>3001</v>
      </c>
      <c r="AR175" t="s" s="0">
        <v>3002</v>
      </c>
      <c r="AS175" t="s" s="0">
        <v>3003</v>
      </c>
      <c r="AT175" t="s" s="0">
        <v>4200</v>
      </c>
      <c r="AU175" t="s" s="0">
        <v>82</v>
      </c>
      <c r="AV175" t="s" s="0">
        <v>82</v>
      </c>
      <c r="AW175" t="s" s="0">
        <v>4201</v>
      </c>
      <c r="AX175" t="s" s="0">
        <v>4202</v>
      </c>
      <c r="AY175" t="s" s="0">
        <v>4203</v>
      </c>
      <c r="AZ175" t="s" s="0">
        <v>179</v>
      </c>
      <c r="BA175" t="s" s="0">
        <v>428</v>
      </c>
      <c r="BB175" t="s" s="0">
        <v>82</v>
      </c>
      <c r="BC175" t="s" s="0">
        <v>82</v>
      </c>
      <c r="BD175" t="s" s="0">
        <v>82</v>
      </c>
      <c r="BE175" t="s" s="0">
        <v>82</v>
      </c>
      <c r="BF175" t="s" s="0">
        <v>82</v>
      </c>
      <c r="BG175" t="s" s="0">
        <v>82</v>
      </c>
      <c r="BH175" t="s" s="0">
        <v>82</v>
      </c>
      <c r="BI175" t="s" s="0">
        <v>4204</v>
      </c>
      <c r="BJ175" t="s" s="0">
        <v>4205</v>
      </c>
      <c r="BK175" t="s" s="347">
        <f>HYPERLINK("http://dx.doi.org/10.3389/fpls.2026.1765281","http://dx.doi.org/10.3389/fpls.2026.1765281")</f>
        <v>4206</v>
      </c>
      <c r="BL175" t="s" s="0">
        <v>82</v>
      </c>
      <c r="BM175" t="s" s="0">
        <v>358</v>
      </c>
      <c r="BN175" t="s" s="0">
        <v>98</v>
      </c>
      <c r="BO175" t="s" s="0">
        <v>4207</v>
      </c>
      <c r="BP175" t="s" s="0">
        <v>4207</v>
      </c>
      <c r="BQ175" t="s" s="0">
        <v>4208</v>
      </c>
      <c r="BR175" t="s" s="0">
        <v>4209</v>
      </c>
      <c r="BS175" t="s" s="0">
        <v>4210</v>
      </c>
      <c r="BT175" t="s" s="348">
        <f>HYPERLINK("https://www.webofscience.com/wos/woscc/full-record/WOS:001816901300001","View Record in Web of Science")</f>
        <v>120</v>
      </c>
      <c r="BU175" t="s" s="0">
        <v>189</v>
      </c>
      <c r="BV175" t="s" s="0">
        <v>82</v>
      </c>
      <c r="BW175" t="s" s="0">
        <v>82</v>
      </c>
      <c r="BX175" t="s" s="0">
        <v>121</v>
      </c>
    </row>
    <row r="176">
      <c r="A176" t="s" s="0">
        <v>77</v>
      </c>
      <c r="B176" t="s" s="0">
        <v>77</v>
      </c>
      <c r="C176" t="s" s="0">
        <v>77</v>
      </c>
      <c r="D176" t="s" s="0">
        <v>77</v>
      </c>
      <c r="E176" t="s" s="0">
        <v>4211</v>
      </c>
      <c r="F176" t="s" s="0">
        <v>4212</v>
      </c>
      <c r="G176" t="s" s="0">
        <v>4213</v>
      </c>
      <c r="H176" t="s" s="0">
        <v>82</v>
      </c>
      <c r="I176" t="s" s="0">
        <v>83</v>
      </c>
      <c r="J176" t="s" s="0">
        <v>4214</v>
      </c>
      <c r="K176" t="s" s="0">
        <v>4215</v>
      </c>
      <c r="L176" t="s" s="0">
        <v>4216</v>
      </c>
      <c r="M176" t="s" s="0">
        <v>4217</v>
      </c>
      <c r="N176" t="s" s="0">
        <v>4218</v>
      </c>
      <c r="O176" t="s" s="0">
        <v>4219</v>
      </c>
      <c r="P176" t="s" s="0">
        <v>4220</v>
      </c>
      <c r="Q176" t="s" s="0">
        <v>88</v>
      </c>
      <c r="R176" t="s" s="0">
        <v>82</v>
      </c>
      <c r="S176" t="s" s="0">
        <v>82</v>
      </c>
      <c r="T176" t="s" s="0">
        <v>82</v>
      </c>
      <c r="U176" t="s" s="0">
        <v>82</v>
      </c>
      <c r="V176" t="s" s="0">
        <v>4221</v>
      </c>
      <c r="W176" t="s" s="0">
        <v>4222</v>
      </c>
      <c r="X176" t="s" s="0">
        <v>82</v>
      </c>
      <c r="Y176" t="s" s="0">
        <v>82</v>
      </c>
      <c r="Z176" t="s" s="0">
        <v>91</v>
      </c>
      <c r="AA176" t="s" s="0">
        <v>92</v>
      </c>
      <c r="AB176" t="s" s="0">
        <v>82</v>
      </c>
      <c r="AC176" t="s" s="0">
        <v>82</v>
      </c>
      <c r="AD176" t="s" s="0">
        <v>82</v>
      </c>
      <c r="AE176" t="s" s="0">
        <v>82</v>
      </c>
      <c r="AF176" t="s" s="0">
        <v>82</v>
      </c>
      <c r="AG176" t="s" s="0">
        <v>4223</v>
      </c>
      <c r="AH176" t="s" s="0">
        <v>4224</v>
      </c>
      <c r="AI176" t="s" s="0">
        <v>82</v>
      </c>
      <c r="AJ176" t="s" s="0">
        <v>4225</v>
      </c>
      <c r="AK176" t="s" s="0">
        <v>82</v>
      </c>
      <c r="AL176" t="s" s="0">
        <v>502</v>
      </c>
      <c r="AM176" t="s" s="0">
        <v>204</v>
      </c>
      <c r="AN176" t="s" s="0">
        <v>204</v>
      </c>
      <c r="AO176" t="s" s="0">
        <v>99</v>
      </c>
      <c r="AP176" t="s" s="0">
        <v>99</v>
      </c>
      <c r="AQ176" t="s" s="0">
        <v>4226</v>
      </c>
      <c r="AR176" t="s" s="0">
        <v>4227</v>
      </c>
      <c r="AS176" t="s" s="0">
        <v>4228</v>
      </c>
      <c r="AT176" t="s" s="0">
        <v>4229</v>
      </c>
      <c r="AU176" t="s" s="0">
        <v>4230</v>
      </c>
      <c r="AV176" t="s" s="0">
        <v>82</v>
      </c>
      <c r="AW176" t="s" s="0">
        <v>4231</v>
      </c>
      <c r="AX176" t="s" s="0">
        <v>4232</v>
      </c>
      <c r="AY176" t="s" s="0">
        <v>829</v>
      </c>
      <c r="AZ176" t="s" s="0">
        <v>179</v>
      </c>
      <c r="BA176" t="s" s="0">
        <v>4233</v>
      </c>
      <c r="BB176" t="s" s="0">
        <v>82</v>
      </c>
      <c r="BC176" t="s" s="0">
        <v>82</v>
      </c>
      <c r="BD176" t="s" s="0">
        <v>82</v>
      </c>
      <c r="BE176" t="s" s="0">
        <v>82</v>
      </c>
      <c r="BF176" t="s" s="0">
        <v>82</v>
      </c>
      <c r="BG176" t="s" s="0">
        <v>82</v>
      </c>
      <c r="BH176" t="s" s="0">
        <v>82</v>
      </c>
      <c r="BI176" t="s" s="0">
        <v>4234</v>
      </c>
      <c r="BJ176" t="s" s="0">
        <v>4235</v>
      </c>
      <c r="BK176" t="s" s="349">
        <f>HYPERLINK("http://dx.doi.org/10.1016/j.ejrad.2026.112695","http://dx.doi.org/10.1016/j.ejrad.2026.112695")</f>
        <v>4236</v>
      </c>
      <c r="BL176" t="s" s="0">
        <v>82</v>
      </c>
      <c r="BM176" t="s" s="0">
        <v>1360</v>
      </c>
      <c r="BN176" t="s" s="0">
        <v>307</v>
      </c>
      <c r="BO176" t="s" s="0">
        <v>717</v>
      </c>
      <c r="BP176" t="s" s="0">
        <v>717</v>
      </c>
      <c r="BQ176" t="s" s="0">
        <v>4237</v>
      </c>
      <c r="BR176" t="s" s="0">
        <v>4238</v>
      </c>
      <c r="BS176" t="s" s="0">
        <v>4239</v>
      </c>
      <c r="BT176" t="s" s="350">
        <f>HYPERLINK("https://www.webofscience.com/wos/woscc/full-record/WOS:001677700700001","View Record in Web of Science")</f>
        <v>120</v>
      </c>
      <c r="BU176" t="s" s="0">
        <v>82</v>
      </c>
      <c r="BV176" t="s" s="0">
        <v>82</v>
      </c>
      <c r="BW176" t="s" s="0">
        <v>82</v>
      </c>
      <c r="BX176" t="s" s="0">
        <v>121</v>
      </c>
    </row>
    <row r="177">
      <c r="A177" t="s" s="0">
        <v>77</v>
      </c>
      <c r="B177" t="s" s="0">
        <v>77</v>
      </c>
      <c r="C177" t="s" s="0">
        <v>77</v>
      </c>
      <c r="D177" t="s" s="0">
        <v>77</v>
      </c>
      <c r="E177" t="s" s="0">
        <v>4240</v>
      </c>
      <c r="F177" t="s" s="0">
        <v>4241</v>
      </c>
      <c r="G177" t="s" s="0">
        <v>4242</v>
      </c>
      <c r="H177" t="s" s="0">
        <v>82</v>
      </c>
      <c r="I177" t="s" s="0">
        <v>83</v>
      </c>
      <c r="J177" t="s" s="0">
        <v>4243</v>
      </c>
      <c r="K177" t="s" s="0">
        <v>4244</v>
      </c>
      <c r="L177" t="s" s="0">
        <v>4245</v>
      </c>
      <c r="M177" t="s" s="0">
        <v>4246</v>
      </c>
      <c r="N177" t="s" s="0">
        <v>4247</v>
      </c>
      <c r="O177" t="s" s="0">
        <v>4248</v>
      </c>
      <c r="P177" t="s" s="0">
        <v>4249</v>
      </c>
      <c r="Q177" t="s" s="0">
        <v>88</v>
      </c>
      <c r="R177" t="s" s="0">
        <v>82</v>
      </c>
      <c r="S177" t="s" s="0">
        <v>82</v>
      </c>
      <c r="T177" t="s" s="0">
        <v>82</v>
      </c>
      <c r="U177" t="s" s="0">
        <v>82</v>
      </c>
      <c r="V177" t="s" s="0">
        <v>4250</v>
      </c>
      <c r="W177" t="s" s="0">
        <v>820</v>
      </c>
      <c r="X177" t="s" s="0">
        <v>82</v>
      </c>
      <c r="Y177" t="s" s="0">
        <v>82</v>
      </c>
      <c r="Z177" t="s" s="0">
        <v>91</v>
      </c>
      <c r="AA177" t="s" s="0">
        <v>92</v>
      </c>
      <c r="AB177" t="s" s="0">
        <v>82</v>
      </c>
      <c r="AC177" t="s" s="0">
        <v>82</v>
      </c>
      <c r="AD177" t="s" s="0">
        <v>82</v>
      </c>
      <c r="AE177" t="s" s="0">
        <v>82</v>
      </c>
      <c r="AF177" t="s" s="0">
        <v>82</v>
      </c>
      <c r="AG177" t="s" s="0">
        <v>4251</v>
      </c>
      <c r="AH177" t="s" s="0">
        <v>82</v>
      </c>
      <c r="AI177" t="s" s="0">
        <v>4252</v>
      </c>
      <c r="AJ177" t="s" s="0">
        <v>82</v>
      </c>
      <c r="AK177" t="s" s="0">
        <v>82</v>
      </c>
      <c r="AL177" t="s" s="0">
        <v>147</v>
      </c>
      <c r="AM177" t="s" s="0">
        <v>235</v>
      </c>
      <c r="AN177" t="s" s="0">
        <v>110</v>
      </c>
      <c r="AO177" t="s" s="0">
        <v>277</v>
      </c>
      <c r="AP177" t="s" s="0">
        <v>331</v>
      </c>
      <c r="AQ177" t="s" s="0">
        <v>100</v>
      </c>
      <c r="AR177" t="s" s="0">
        <v>101</v>
      </c>
      <c r="AS177" t="s" s="0">
        <v>102</v>
      </c>
      <c r="AT177" t="s" s="0">
        <v>825</v>
      </c>
      <c r="AU177" t="s" s="0">
        <v>826</v>
      </c>
      <c r="AV177" t="s" s="0">
        <v>82</v>
      </c>
      <c r="AW177" t="s" s="0">
        <v>827</v>
      </c>
      <c r="AX177" t="s" s="0">
        <v>828</v>
      </c>
      <c r="AY177" t="s" s="0">
        <v>107</v>
      </c>
      <c r="AZ177" t="s" s="0">
        <v>108</v>
      </c>
      <c r="BA177" t="s" s="0">
        <v>1504</v>
      </c>
      <c r="BB177" t="s" s="0">
        <v>115</v>
      </c>
      <c r="BC177" t="s" s="0">
        <v>82</v>
      </c>
      <c r="BD177" t="s" s="0">
        <v>82</v>
      </c>
      <c r="BE177" t="s" s="0">
        <v>82</v>
      </c>
      <c r="BF177" t="s" s="0">
        <v>82</v>
      </c>
      <c r="BG177" t="s" s="0">
        <v>4253</v>
      </c>
      <c r="BH177" t="s" s="0">
        <v>4254</v>
      </c>
      <c r="BI177" t="s" s="0">
        <v>82</v>
      </c>
      <c r="BJ177" t="s" s="0">
        <v>4255</v>
      </c>
      <c r="BK177" t="s" s="351">
        <f>HYPERLINK("http://dx.doi.org/10.1109/JBHI.2025.3569361","http://dx.doi.org/10.1109/JBHI.2025.3569361")</f>
        <v>4256</v>
      </c>
      <c r="BL177" t="s" s="0">
        <v>82</v>
      </c>
      <c r="BM177" t="s" s="0">
        <v>82</v>
      </c>
      <c r="BN177" t="s" s="0">
        <v>109</v>
      </c>
      <c r="BO177" t="s" s="0">
        <v>834</v>
      </c>
      <c r="BP177" t="s" s="0">
        <v>835</v>
      </c>
      <c r="BQ177" t="s" s="0">
        <v>4257</v>
      </c>
      <c r="BR177" t="s" s="0">
        <v>4258</v>
      </c>
      <c r="BS177" t="s" s="0">
        <v>4259</v>
      </c>
      <c r="BT177" t="s" s="352">
        <f>HYPERLINK("https://www.webofscience.com/wos/woscc/full-record/WOS:001570204100015","View Record in Web of Science")</f>
        <v>120</v>
      </c>
      <c r="BU177" t="s" s="0">
        <v>82</v>
      </c>
      <c r="BV177" t="s" s="0">
        <v>82</v>
      </c>
      <c r="BW177" t="s" s="0">
        <v>82</v>
      </c>
      <c r="BX177" t="s" s="0">
        <v>121</v>
      </c>
    </row>
    <row r="178">
      <c r="A178" t="s" s="0">
        <v>77</v>
      </c>
      <c r="B178" t="s" s="0">
        <v>77</v>
      </c>
      <c r="C178" t="s" s="0">
        <v>77</v>
      </c>
      <c r="D178" t="s" s="0">
        <v>77</v>
      </c>
      <c r="E178" t="s" s="0">
        <v>4260</v>
      </c>
      <c r="F178" t="s" s="0">
        <v>4261</v>
      </c>
      <c r="G178" t="s" s="0">
        <v>4262</v>
      </c>
      <c r="H178" t="s" s="0">
        <v>82</v>
      </c>
      <c r="I178" t="s" s="0">
        <v>83</v>
      </c>
      <c r="J178" t="s" s="0">
        <v>4263</v>
      </c>
      <c r="K178" t="s" s="0">
        <v>4264</v>
      </c>
      <c r="L178" t="s" s="0">
        <v>4265</v>
      </c>
      <c r="M178" t="s" s="0">
        <v>4266</v>
      </c>
      <c r="N178" t="s" s="0">
        <v>4267</v>
      </c>
      <c r="O178" t="s" s="0">
        <v>4268</v>
      </c>
      <c r="P178" t="s" s="0">
        <v>4269</v>
      </c>
      <c r="Q178" t="s" s="0">
        <v>88</v>
      </c>
      <c r="R178" t="s" s="0">
        <v>82</v>
      </c>
      <c r="S178" t="s" s="0">
        <v>82</v>
      </c>
      <c r="T178" t="s" s="0">
        <v>82</v>
      </c>
      <c r="U178" t="s" s="0">
        <v>82</v>
      </c>
      <c r="V178" t="s" s="0">
        <v>4270</v>
      </c>
      <c r="W178" t="s" s="0">
        <v>1111</v>
      </c>
      <c r="X178" t="s" s="0">
        <v>82</v>
      </c>
      <c r="Y178" t="s" s="0">
        <v>82</v>
      </c>
      <c r="Z178" t="s" s="0">
        <v>91</v>
      </c>
      <c r="AA178" t="s" s="0">
        <v>92</v>
      </c>
      <c r="AB178" t="s" s="0">
        <v>82</v>
      </c>
      <c r="AC178" t="s" s="0">
        <v>82</v>
      </c>
      <c r="AD178" t="s" s="0">
        <v>82</v>
      </c>
      <c r="AE178" t="s" s="0">
        <v>82</v>
      </c>
      <c r="AF178" t="s" s="0">
        <v>82</v>
      </c>
      <c r="AG178" t="s" s="0">
        <v>4271</v>
      </c>
      <c r="AH178" t="s" s="0">
        <v>4272</v>
      </c>
      <c r="AI178" t="s" s="0">
        <v>82</v>
      </c>
      <c r="AJ178" t="s" s="0">
        <v>82</v>
      </c>
      <c r="AK178" t="s" s="0">
        <v>82</v>
      </c>
      <c r="AL178" t="s" s="0">
        <v>4273</v>
      </c>
      <c r="AM178" t="s" s="0">
        <v>78</v>
      </c>
      <c r="AN178" t="s" s="0">
        <v>78</v>
      </c>
      <c r="AO178" t="s" s="0">
        <v>148</v>
      </c>
      <c r="AP178" t="s" s="0">
        <v>148</v>
      </c>
      <c r="AQ178" t="s" s="0">
        <v>296</v>
      </c>
      <c r="AR178" t="s" s="0">
        <v>297</v>
      </c>
      <c r="AS178" t="s" s="0">
        <v>298</v>
      </c>
      <c r="AT178" t="s" s="0">
        <v>1116</v>
      </c>
      <c r="AU178" t="s" s="0">
        <v>1117</v>
      </c>
      <c r="AV178" t="s" s="0">
        <v>82</v>
      </c>
      <c r="AW178" t="s" s="0">
        <v>1118</v>
      </c>
      <c r="AX178" t="s" s="0">
        <v>1119</v>
      </c>
      <c r="AY178" t="s" s="0">
        <v>4039</v>
      </c>
      <c r="AZ178" t="s" s="0">
        <v>179</v>
      </c>
      <c r="BA178" t="s" s="0">
        <v>4274</v>
      </c>
      <c r="BB178" t="s" s="0">
        <v>82</v>
      </c>
      <c r="BC178" t="s" s="0">
        <v>82</v>
      </c>
      <c r="BD178" t="s" s="0">
        <v>82</v>
      </c>
      <c r="BE178" t="s" s="0">
        <v>82</v>
      </c>
      <c r="BF178" t="s" s="0">
        <v>82</v>
      </c>
      <c r="BG178" t="s" s="0">
        <v>82</v>
      </c>
      <c r="BH178" t="s" s="0">
        <v>82</v>
      </c>
      <c r="BI178" t="s" s="0">
        <v>4275</v>
      </c>
      <c r="BJ178" t="s" s="0">
        <v>4276</v>
      </c>
      <c r="BK178" t="s" s="353">
        <f>HYPERLINK("http://dx.doi.org/10.1016/j.inffus.2026.104386","http://dx.doi.org/10.1016/j.inffus.2026.104386")</f>
        <v>4277</v>
      </c>
      <c r="BL178" t="s" s="0">
        <v>82</v>
      </c>
      <c r="BM178" t="s" s="0">
        <v>82</v>
      </c>
      <c r="BN178" t="s" s="0">
        <v>1273</v>
      </c>
      <c r="BO178" t="s" s="0">
        <v>1125</v>
      </c>
      <c r="BP178" t="s" s="0">
        <v>309</v>
      </c>
      <c r="BQ178" t="s" s="0">
        <v>4278</v>
      </c>
      <c r="BR178" t="s" s="0">
        <v>82</v>
      </c>
      <c r="BS178" t="s" s="0">
        <v>4279</v>
      </c>
      <c r="BT178" t="s" s="354">
        <f>HYPERLINK("https://www.webofscience.com/wos/woscc/full-record/WOS:001758425900001","View Record in Web of Science")</f>
        <v>120</v>
      </c>
      <c r="BU178" t="s" s="0">
        <v>1972</v>
      </c>
      <c r="BV178" t="s" s="0">
        <v>82</v>
      </c>
      <c r="BW178" t="s" s="0">
        <v>82</v>
      </c>
      <c r="BX178" t="s" s="0">
        <v>121</v>
      </c>
    </row>
    <row r="179">
      <c r="A179" t="s" s="0">
        <v>77</v>
      </c>
      <c r="B179" t="s" s="0">
        <v>77</v>
      </c>
      <c r="C179" t="s" s="0">
        <v>77</v>
      </c>
      <c r="D179" t="s" s="0">
        <v>77</v>
      </c>
      <c r="E179" t="s" s="0">
        <v>4280</v>
      </c>
      <c r="F179" t="s" s="0">
        <v>4281</v>
      </c>
      <c r="G179" t="s" s="0">
        <v>4282</v>
      </c>
      <c r="H179" t="s" s="0">
        <v>82</v>
      </c>
      <c r="I179" t="s" s="0">
        <v>83</v>
      </c>
      <c r="J179" t="s" s="0">
        <v>4283</v>
      </c>
      <c r="K179" t="s" s="0">
        <v>4284</v>
      </c>
      <c r="L179" t="s" s="0">
        <v>4285</v>
      </c>
      <c r="M179" t="s" s="0">
        <v>4286</v>
      </c>
      <c r="N179" t="s" s="0">
        <v>4287</v>
      </c>
      <c r="O179" t="s" s="0">
        <v>4288</v>
      </c>
      <c r="P179" t="s" s="0">
        <v>4289</v>
      </c>
      <c r="Q179" t="s" s="0">
        <v>88</v>
      </c>
      <c r="R179" t="s" s="0">
        <v>82</v>
      </c>
      <c r="S179" t="s" s="0">
        <v>82</v>
      </c>
      <c r="T179" t="s" s="0">
        <v>82</v>
      </c>
      <c r="U179" t="s" s="0">
        <v>82</v>
      </c>
      <c r="V179" t="s" s="0">
        <v>4290</v>
      </c>
      <c r="W179" t="s" s="0">
        <v>907</v>
      </c>
      <c r="X179" t="s" s="0">
        <v>82</v>
      </c>
      <c r="Y179" t="s" s="0">
        <v>82</v>
      </c>
      <c r="Z179" t="s" s="0">
        <v>91</v>
      </c>
      <c r="AA179" t="s" s="0">
        <v>92</v>
      </c>
      <c r="AB179" t="s" s="0">
        <v>82</v>
      </c>
      <c r="AC179" t="s" s="0">
        <v>82</v>
      </c>
      <c r="AD179" t="s" s="0">
        <v>82</v>
      </c>
      <c r="AE179" t="s" s="0">
        <v>82</v>
      </c>
      <c r="AF179" t="s" s="0">
        <v>82</v>
      </c>
      <c r="AG179" t="s" s="0">
        <v>4291</v>
      </c>
      <c r="AH179" t="s" s="0">
        <v>82</v>
      </c>
      <c r="AI179" t="s" s="0">
        <v>4292</v>
      </c>
      <c r="AJ179" t="s" s="0">
        <v>4293</v>
      </c>
      <c r="AK179" t="s" s="0">
        <v>82</v>
      </c>
      <c r="AL179" t="s" s="0">
        <v>794</v>
      </c>
      <c r="AM179" t="s" s="0">
        <v>204</v>
      </c>
      <c r="AN179" t="s" s="0">
        <v>204</v>
      </c>
      <c r="AO179" t="s" s="0">
        <v>78</v>
      </c>
      <c r="AP179" t="s" s="0">
        <v>139</v>
      </c>
      <c r="AQ179" t="s" s="0">
        <v>911</v>
      </c>
      <c r="AR179" t="s" s="0">
        <v>912</v>
      </c>
      <c r="AS179" t="s" s="0">
        <v>913</v>
      </c>
      <c r="AT179" t="s" s="0">
        <v>914</v>
      </c>
      <c r="AU179" t="s" s="0">
        <v>915</v>
      </c>
      <c r="AV179" t="s" s="0">
        <v>82</v>
      </c>
      <c r="AW179" t="s" s="0">
        <v>916</v>
      </c>
      <c r="AX179" t="s" s="0">
        <v>917</v>
      </c>
      <c r="AY179" t="s" s="0">
        <v>634</v>
      </c>
      <c r="AZ179" t="s" s="0">
        <v>108</v>
      </c>
      <c r="BA179" t="s" s="0">
        <v>4294</v>
      </c>
      <c r="BB179" t="s" s="0">
        <v>148</v>
      </c>
      <c r="BC179" t="s" s="0">
        <v>82</v>
      </c>
      <c r="BD179" t="s" s="0">
        <v>82</v>
      </c>
      <c r="BE179" t="s" s="0">
        <v>82</v>
      </c>
      <c r="BF179" t="s" s="0">
        <v>82</v>
      </c>
      <c r="BG179" t="s" s="0">
        <v>4295</v>
      </c>
      <c r="BH179" t="s" s="0">
        <v>4296</v>
      </c>
      <c r="BI179" t="s" s="0">
        <v>82</v>
      </c>
      <c r="BJ179" t="s" s="0">
        <v>4297</v>
      </c>
      <c r="BK179" t="s" s="355">
        <f>HYPERLINK("http://dx.doi.org/10.1177/00220345251334575","http://dx.doi.org/10.1177/00220345251334575")</f>
        <v>4298</v>
      </c>
      <c r="BL179" t="s" s="0">
        <v>82</v>
      </c>
      <c r="BM179" t="s" s="0">
        <v>611</v>
      </c>
      <c r="BN179" t="s" s="0">
        <v>115</v>
      </c>
      <c r="BO179" t="s" s="0">
        <v>920</v>
      </c>
      <c r="BP179" t="s" s="0">
        <v>920</v>
      </c>
      <c r="BQ179" t="s" s="0">
        <v>4299</v>
      </c>
      <c r="BR179" t="s" s="0">
        <v>4300</v>
      </c>
      <c r="BS179" t="s" s="0">
        <v>4301</v>
      </c>
      <c r="BT179" t="s" s="356">
        <f>HYPERLINK("https://www.webofscience.com/wos/woscc/full-record/WOS:001513879400001","View Record in Web of Science")</f>
        <v>120</v>
      </c>
      <c r="BU179" t="s" s="0">
        <v>82</v>
      </c>
      <c r="BV179" t="s" s="0">
        <v>82</v>
      </c>
      <c r="BW179" t="s" s="0">
        <v>82</v>
      </c>
      <c r="BX179" t="s" s="0">
        <v>121</v>
      </c>
    </row>
    <row r="180">
      <c r="A180" t="s" s="0">
        <v>77</v>
      </c>
      <c r="B180" t="s" s="0">
        <v>77</v>
      </c>
      <c r="C180" t="s" s="0">
        <v>77</v>
      </c>
      <c r="D180" t="s" s="0">
        <v>77</v>
      </c>
      <c r="E180" t="s" s="0">
        <v>4302</v>
      </c>
      <c r="F180" t="s" s="0">
        <v>4303</v>
      </c>
      <c r="G180" t="s" s="0">
        <v>4304</v>
      </c>
      <c r="H180" t="s" s="0">
        <v>82</v>
      </c>
      <c r="I180" t="s" s="0">
        <v>83</v>
      </c>
      <c r="J180" t="s" s="0">
        <v>4305</v>
      </c>
      <c r="K180" t="s" s="0">
        <v>4306</v>
      </c>
      <c r="L180" t="s" s="0">
        <v>82</v>
      </c>
      <c r="M180" t="s" s="0">
        <v>82</v>
      </c>
      <c r="N180" t="s" s="0">
        <v>82</v>
      </c>
      <c r="O180" t="s" s="0">
        <v>4307</v>
      </c>
      <c r="P180" t="s" s="0">
        <v>4308</v>
      </c>
      <c r="Q180" t="s" s="0">
        <v>88</v>
      </c>
      <c r="R180" t="s" s="0">
        <v>82</v>
      </c>
      <c r="S180" t="s" s="0">
        <v>82</v>
      </c>
      <c r="T180" t="s" s="0">
        <v>82</v>
      </c>
      <c r="U180" t="s" s="0">
        <v>82</v>
      </c>
      <c r="V180" t="s" s="0">
        <v>4309</v>
      </c>
      <c r="W180" t="s" s="0">
        <v>4310</v>
      </c>
      <c r="X180" t="s" s="0">
        <v>82</v>
      </c>
      <c r="Y180" t="s" s="0">
        <v>82</v>
      </c>
      <c r="Z180" t="s" s="0">
        <v>91</v>
      </c>
      <c r="AA180" t="s" s="0">
        <v>908</v>
      </c>
      <c r="AB180" t="s" s="0">
        <v>82</v>
      </c>
      <c r="AC180" t="s" s="0">
        <v>82</v>
      </c>
      <c r="AD180" t="s" s="0">
        <v>82</v>
      </c>
      <c r="AE180" t="s" s="0">
        <v>82</v>
      </c>
      <c r="AF180" t="s" s="0">
        <v>82</v>
      </c>
      <c r="AG180" t="s" s="0">
        <v>4311</v>
      </c>
      <c r="AH180" t="s" s="0">
        <v>4312</v>
      </c>
      <c r="AI180" t="s" s="0">
        <v>4313</v>
      </c>
      <c r="AJ180" t="s" s="0">
        <v>4314</v>
      </c>
      <c r="AK180" t="s" s="0">
        <v>82</v>
      </c>
      <c r="AL180" t="s" s="0">
        <v>96</v>
      </c>
      <c r="AM180" t="s" s="0">
        <v>204</v>
      </c>
      <c r="AN180" t="s" s="0">
        <v>204</v>
      </c>
      <c r="AO180" t="s" s="0">
        <v>77</v>
      </c>
      <c r="AP180" t="s" s="0">
        <v>77</v>
      </c>
      <c r="AQ180" t="s" s="0">
        <v>795</v>
      </c>
      <c r="AR180" t="s" s="0">
        <v>796</v>
      </c>
      <c r="AS180" t="s" s="0">
        <v>797</v>
      </c>
      <c r="AT180" t="s" s="0">
        <v>4315</v>
      </c>
      <c r="AU180" t="s" s="0">
        <v>4316</v>
      </c>
      <c r="AV180" t="s" s="0">
        <v>82</v>
      </c>
      <c r="AW180" t="s" s="0">
        <v>4310</v>
      </c>
      <c r="AX180" t="s" s="0">
        <v>4317</v>
      </c>
      <c r="AY180" t="s" s="0">
        <v>82</v>
      </c>
      <c r="AZ180" t="s" s="0">
        <v>179</v>
      </c>
      <c r="BA180" t="s" s="0">
        <v>82</v>
      </c>
      <c r="BB180" t="s" s="0">
        <v>82</v>
      </c>
      <c r="BC180" t="s" s="0">
        <v>82</v>
      </c>
      <c r="BD180" t="s" s="0">
        <v>82</v>
      </c>
      <c r="BE180" t="s" s="0">
        <v>82</v>
      </c>
      <c r="BF180" t="s" s="0">
        <v>82</v>
      </c>
      <c r="BG180" t="s" s="0">
        <v>82</v>
      </c>
      <c r="BH180" t="s" s="0">
        <v>82</v>
      </c>
      <c r="BI180" t="s" s="0">
        <v>82</v>
      </c>
      <c r="BJ180" t="s" s="0">
        <v>4318</v>
      </c>
      <c r="BK180" t="s" s="357">
        <f>HYPERLINK("http://dx.doi.org/10.1007/s10266-026-01402-7","http://dx.doi.org/10.1007/s10266-026-01402-7")</f>
        <v>4319</v>
      </c>
      <c r="BL180" t="s" s="0">
        <v>82</v>
      </c>
      <c r="BM180" t="s" s="0">
        <v>3404</v>
      </c>
      <c r="BN180" t="s" s="0">
        <v>109</v>
      </c>
      <c r="BO180" t="s" s="0">
        <v>920</v>
      </c>
      <c r="BP180" t="s" s="0">
        <v>920</v>
      </c>
      <c r="BQ180" t="s" s="0">
        <v>4320</v>
      </c>
      <c r="BR180" t="s" s="0">
        <v>4321</v>
      </c>
      <c r="BS180" t="s" s="0">
        <v>4322</v>
      </c>
      <c r="BT180" t="s" s="358">
        <f>HYPERLINK("https://www.webofscience.com/wos/woscc/full-record/WOS:001762514200001","View Record in Web of Science")</f>
        <v>120</v>
      </c>
      <c r="BU180" t="s" s="0">
        <v>82</v>
      </c>
      <c r="BV180" t="s" s="0">
        <v>82</v>
      </c>
      <c r="BW180" t="s" s="0">
        <v>82</v>
      </c>
      <c r="BX180" t="s" s="0">
        <v>121</v>
      </c>
    </row>
    <row r="181">
      <c r="A181" t="s" s="0">
        <v>77</v>
      </c>
      <c r="B181" t="s" s="0">
        <v>77</v>
      </c>
      <c r="C181" t="s" s="0">
        <v>77</v>
      </c>
      <c r="D181" t="s" s="0">
        <v>77</v>
      </c>
      <c r="E181" t="s" s="0">
        <v>4323</v>
      </c>
      <c r="F181" t="s" s="0">
        <v>4324</v>
      </c>
      <c r="G181" t="s" s="0">
        <v>4325</v>
      </c>
      <c r="H181" t="s" s="0">
        <v>82</v>
      </c>
      <c r="I181" t="s" s="0">
        <v>83</v>
      </c>
      <c r="J181" t="s" s="0">
        <v>4326</v>
      </c>
      <c r="K181" t="s" s="0">
        <v>4327</v>
      </c>
      <c r="L181" t="s" s="0">
        <v>82</v>
      </c>
      <c r="M181" t="s" s="0">
        <v>82</v>
      </c>
      <c r="N181" t="s" s="0">
        <v>82</v>
      </c>
      <c r="O181" t="s" s="0">
        <v>4328</v>
      </c>
      <c r="P181" t="s" s="0">
        <v>4329</v>
      </c>
      <c r="Q181" t="s" s="0">
        <v>88</v>
      </c>
      <c r="R181" t="s" s="0">
        <v>82</v>
      </c>
      <c r="S181" t="s" s="0">
        <v>82</v>
      </c>
      <c r="T181" t="s" s="0">
        <v>82</v>
      </c>
      <c r="U181" t="s" s="0">
        <v>82</v>
      </c>
      <c r="V181" t="s" s="0">
        <v>4330</v>
      </c>
      <c r="W181" t="s" s="0">
        <v>323</v>
      </c>
      <c r="X181" t="s" s="0">
        <v>82</v>
      </c>
      <c r="Y181" t="s" s="0">
        <v>82</v>
      </c>
      <c r="Z181" t="s" s="0">
        <v>91</v>
      </c>
      <c r="AA181" t="s" s="0">
        <v>92</v>
      </c>
      <c r="AB181" t="s" s="0">
        <v>82</v>
      </c>
      <c r="AC181" t="s" s="0">
        <v>82</v>
      </c>
      <c r="AD181" t="s" s="0">
        <v>82</v>
      </c>
      <c r="AE181" t="s" s="0">
        <v>82</v>
      </c>
      <c r="AF181" t="s" s="0">
        <v>82</v>
      </c>
      <c r="AG181" t="s" s="0">
        <v>4331</v>
      </c>
      <c r="AH181" t="s" s="0">
        <v>82</v>
      </c>
      <c r="AI181" t="s" s="0">
        <v>82</v>
      </c>
      <c r="AJ181" t="s" s="0">
        <v>82</v>
      </c>
      <c r="AK181" t="s" s="0">
        <v>82</v>
      </c>
      <c r="AL181" t="s" s="0">
        <v>415</v>
      </c>
      <c r="AM181" t="s" s="0">
        <v>77</v>
      </c>
      <c r="AN181" t="s" s="0">
        <v>77</v>
      </c>
      <c r="AO181" t="s" s="0">
        <v>307</v>
      </c>
      <c r="AP181" t="s" s="0">
        <v>307</v>
      </c>
      <c r="AQ181" t="s" s="0">
        <v>100</v>
      </c>
      <c r="AR181" t="s" s="0">
        <v>101</v>
      </c>
      <c r="AS181" t="s" s="0">
        <v>102</v>
      </c>
      <c r="AT181" t="s" s="0">
        <v>325</v>
      </c>
      <c r="AU181" t="s" s="0">
        <v>82</v>
      </c>
      <c r="AV181" t="s" s="0">
        <v>82</v>
      </c>
      <c r="AW181" t="s" s="0">
        <v>323</v>
      </c>
      <c r="AX181" t="s" s="0">
        <v>326</v>
      </c>
      <c r="AY181" t="s" s="0">
        <v>179</v>
      </c>
      <c r="AZ181" t="s" s="0">
        <v>179</v>
      </c>
      <c r="BA181" t="s" s="0">
        <v>109</v>
      </c>
      <c r="BB181" t="s" s="0">
        <v>82</v>
      </c>
      <c r="BC181" t="s" s="0">
        <v>82</v>
      </c>
      <c r="BD181" t="s" s="0">
        <v>82</v>
      </c>
      <c r="BE181" t="s" s="0">
        <v>82</v>
      </c>
      <c r="BF181" t="s" s="0">
        <v>82</v>
      </c>
      <c r="BG181" t="s" s="0">
        <v>4332</v>
      </c>
      <c r="BH181" t="s" s="0">
        <v>4333</v>
      </c>
      <c r="BI181" t="s" s="0">
        <v>82</v>
      </c>
      <c r="BJ181" t="s" s="0">
        <v>4334</v>
      </c>
      <c r="BK181" t="s" s="359">
        <f>HYPERLINK("http://dx.doi.org/10.1109/ACCESS.2026.3660702","http://dx.doi.org/10.1109/ACCESS.2026.3660702")</f>
        <v>4335</v>
      </c>
      <c r="BL181" t="s" s="0">
        <v>82</v>
      </c>
      <c r="BM181" t="s" s="0">
        <v>82</v>
      </c>
      <c r="BN181" t="s" s="0">
        <v>109</v>
      </c>
      <c r="BO181" t="s" s="0">
        <v>332</v>
      </c>
      <c r="BP181" t="s" s="0">
        <v>117</v>
      </c>
      <c r="BQ181" t="s" s="0">
        <v>4336</v>
      </c>
      <c r="BR181" t="s" s="0">
        <v>82</v>
      </c>
      <c r="BS181" t="s" s="0">
        <v>4337</v>
      </c>
      <c r="BT181" t="s" s="360">
        <f>HYPERLINK("https://www.webofscience.com/wos/woscc/full-record/WOS:001691053100026","View Record in Web of Science")</f>
        <v>120</v>
      </c>
      <c r="BU181" t="s" s="0">
        <v>335</v>
      </c>
      <c r="BV181" t="s" s="0">
        <v>82</v>
      </c>
      <c r="BW181" t="s" s="0">
        <v>82</v>
      </c>
      <c r="BX181" t="s" s="0">
        <v>121</v>
      </c>
    </row>
    <row r="182">
      <c r="A182" t="s" s="0">
        <v>77</v>
      </c>
      <c r="B182" t="s" s="0">
        <v>77</v>
      </c>
      <c r="C182" t="s" s="0">
        <v>77</v>
      </c>
      <c r="D182" t="s" s="0">
        <v>77</v>
      </c>
      <c r="E182" t="s" s="0">
        <v>4338</v>
      </c>
      <c r="F182" t="s" s="0">
        <v>4339</v>
      </c>
      <c r="G182" t="s" s="0">
        <v>4340</v>
      </c>
      <c r="H182" t="s" s="0">
        <v>82</v>
      </c>
      <c r="I182" t="s" s="0">
        <v>83</v>
      </c>
      <c r="J182" t="s" s="0">
        <v>4341</v>
      </c>
      <c r="K182" t="s" s="0">
        <v>4342</v>
      </c>
      <c r="L182" t="s" s="0">
        <v>4343</v>
      </c>
      <c r="M182" t="s" s="0">
        <v>4344</v>
      </c>
      <c r="N182" t="s" s="0">
        <v>4345</v>
      </c>
      <c r="O182" t="s" s="0">
        <v>4346</v>
      </c>
      <c r="P182" t="s" s="0">
        <v>4347</v>
      </c>
      <c r="Q182" t="s" s="0">
        <v>88</v>
      </c>
      <c r="R182" t="s" s="0">
        <v>82</v>
      </c>
      <c r="S182" t="s" s="0">
        <v>82</v>
      </c>
      <c r="T182" t="s" s="0">
        <v>82</v>
      </c>
      <c r="U182" t="s" s="0">
        <v>82</v>
      </c>
      <c r="V182" t="s" s="0">
        <v>4348</v>
      </c>
      <c r="W182" t="s" s="0">
        <v>500</v>
      </c>
      <c r="X182" t="s" s="0">
        <v>82</v>
      </c>
      <c r="Y182" t="s" s="0">
        <v>82</v>
      </c>
      <c r="Z182" t="s" s="0">
        <v>91</v>
      </c>
      <c r="AA182" t="s" s="0">
        <v>92</v>
      </c>
      <c r="AB182" t="s" s="0">
        <v>82</v>
      </c>
      <c r="AC182" t="s" s="0">
        <v>82</v>
      </c>
      <c r="AD182" t="s" s="0">
        <v>82</v>
      </c>
      <c r="AE182" t="s" s="0">
        <v>82</v>
      </c>
      <c r="AF182" t="s" s="0">
        <v>82</v>
      </c>
      <c r="AG182" t="s" s="0">
        <v>4349</v>
      </c>
      <c r="AH182" t="s" s="0">
        <v>82</v>
      </c>
      <c r="AI182" t="s" s="0">
        <v>4350</v>
      </c>
      <c r="AJ182" t="s" s="0">
        <v>82</v>
      </c>
      <c r="AK182" t="s" s="0">
        <v>82</v>
      </c>
      <c r="AL182" t="s" s="0">
        <v>578</v>
      </c>
      <c r="AM182" t="s" s="0">
        <v>77</v>
      </c>
      <c r="AN182" t="s" s="0">
        <v>77</v>
      </c>
      <c r="AO182" t="s" s="0">
        <v>209</v>
      </c>
      <c r="AP182" t="s" s="0">
        <v>209</v>
      </c>
      <c r="AQ182" t="s" s="0">
        <v>503</v>
      </c>
      <c r="AR182" t="s" s="0">
        <v>504</v>
      </c>
      <c r="AS182" t="s" s="0">
        <v>505</v>
      </c>
      <c r="AT182" t="s" s="0">
        <v>506</v>
      </c>
      <c r="AU182" t="s" s="0">
        <v>507</v>
      </c>
      <c r="AV182" t="s" s="0">
        <v>82</v>
      </c>
      <c r="AW182" t="s" s="0">
        <v>508</v>
      </c>
      <c r="AX182" t="s" s="0">
        <v>509</v>
      </c>
      <c r="AY182" t="s" s="0">
        <v>4351</v>
      </c>
      <c r="AZ182" t="s" s="0">
        <v>179</v>
      </c>
      <c r="BA182" t="s" s="0">
        <v>1120</v>
      </c>
      <c r="BB182" t="s" s="0">
        <v>82</v>
      </c>
      <c r="BC182" t="s" s="0">
        <v>82</v>
      </c>
      <c r="BD182" t="s" s="0">
        <v>82</v>
      </c>
      <c r="BE182" t="s" s="0">
        <v>82</v>
      </c>
      <c r="BF182" t="s" s="0">
        <v>82</v>
      </c>
      <c r="BG182" t="s" s="0">
        <v>82</v>
      </c>
      <c r="BH182" t="s" s="0">
        <v>82</v>
      </c>
      <c r="BI182" t="s" s="0">
        <v>4352</v>
      </c>
      <c r="BJ182" t="s" s="0">
        <v>4353</v>
      </c>
      <c r="BK182" t="s" s="361">
        <f>HYPERLINK("http://dx.doi.org/10.1016/j.bspc.2026.109737","http://dx.doi.org/10.1016/j.bspc.2026.109737")</f>
        <v>4354</v>
      </c>
      <c r="BL182" t="s" s="0">
        <v>82</v>
      </c>
      <c r="BM182" t="s" s="0">
        <v>240</v>
      </c>
      <c r="BN182" t="s" s="0">
        <v>428</v>
      </c>
      <c r="BO182" t="s" s="0">
        <v>516</v>
      </c>
      <c r="BP182" t="s" s="0">
        <v>247</v>
      </c>
      <c r="BQ182" t="s" s="0">
        <v>4355</v>
      </c>
      <c r="BR182" t="s" s="0">
        <v>82</v>
      </c>
      <c r="BS182" t="s" s="0">
        <v>4356</v>
      </c>
      <c r="BT182" t="s" s="362">
        <f>HYPERLINK("https://www.webofscience.com/wos/woscc/full-record/WOS:001683932300001","View Record in Web of Science")</f>
        <v>120</v>
      </c>
      <c r="BU182" t="s" s="0">
        <v>82</v>
      </c>
      <c r="BV182" t="s" s="0">
        <v>82</v>
      </c>
      <c r="BW182" t="s" s="0">
        <v>82</v>
      </c>
      <c r="BX182" t="s" s="0">
        <v>121</v>
      </c>
    </row>
    <row r="183">
      <c r="A183" t="s" s="0">
        <v>77</v>
      </c>
      <c r="B183" t="s" s="0">
        <v>77</v>
      </c>
      <c r="C183" t="s" s="0">
        <v>77</v>
      </c>
      <c r="D183" t="s" s="0">
        <v>77</v>
      </c>
      <c r="E183" t="s" s="0">
        <v>4357</v>
      </c>
      <c r="F183" t="s" s="0">
        <v>4358</v>
      </c>
      <c r="G183" t="s" s="0">
        <v>4359</v>
      </c>
      <c r="H183" t="s" s="0">
        <v>82</v>
      </c>
      <c r="I183" t="s" s="0">
        <v>83</v>
      </c>
      <c r="J183" t="s" s="0">
        <v>4360</v>
      </c>
      <c r="K183" t="s" s="0">
        <v>4361</v>
      </c>
      <c r="L183" t="s" s="0">
        <v>4362</v>
      </c>
      <c r="M183" t="s" s="0">
        <v>4363</v>
      </c>
      <c r="N183" t="s" s="0">
        <v>4364</v>
      </c>
      <c r="O183" t="s" s="0">
        <v>4365</v>
      </c>
      <c r="P183" t="s" s="0">
        <v>4366</v>
      </c>
      <c r="Q183" t="s" s="0">
        <v>88</v>
      </c>
      <c r="R183" t="s" s="0">
        <v>82</v>
      </c>
      <c r="S183" t="s" s="0">
        <v>82</v>
      </c>
      <c r="T183" t="s" s="0">
        <v>82</v>
      </c>
      <c r="U183" t="s" s="0">
        <v>82</v>
      </c>
      <c r="V183" t="s" s="0">
        <v>4367</v>
      </c>
      <c r="W183" t="s" s="0">
        <v>4368</v>
      </c>
      <c r="X183" t="s" s="0">
        <v>82</v>
      </c>
      <c r="Y183" t="s" s="0">
        <v>82</v>
      </c>
      <c r="Z183" t="s" s="0">
        <v>91</v>
      </c>
      <c r="AA183" t="s" s="0">
        <v>92</v>
      </c>
      <c r="AB183" t="s" s="0">
        <v>82</v>
      </c>
      <c r="AC183" t="s" s="0">
        <v>82</v>
      </c>
      <c r="AD183" t="s" s="0">
        <v>82</v>
      </c>
      <c r="AE183" t="s" s="0">
        <v>82</v>
      </c>
      <c r="AF183" t="s" s="0">
        <v>82</v>
      </c>
      <c r="AG183" t="s" s="0">
        <v>4369</v>
      </c>
      <c r="AH183" t="s" s="0">
        <v>4370</v>
      </c>
      <c r="AI183" t="s" s="0">
        <v>82</v>
      </c>
      <c r="AJ183" t="s" s="0">
        <v>82</v>
      </c>
      <c r="AK183" t="s" s="0">
        <v>82</v>
      </c>
      <c r="AL183" t="s" s="0">
        <v>271</v>
      </c>
      <c r="AM183" t="s" s="0">
        <v>363</v>
      </c>
      <c r="AN183" t="s" s="0">
        <v>363</v>
      </c>
      <c r="AO183" t="s" s="0">
        <v>78</v>
      </c>
      <c r="AP183" t="s" s="0">
        <v>363</v>
      </c>
      <c r="AQ183" t="s" s="0">
        <v>3001</v>
      </c>
      <c r="AR183" t="s" s="0">
        <v>3002</v>
      </c>
      <c r="AS183" t="s" s="0">
        <v>3003</v>
      </c>
      <c r="AT183" t="s" s="0">
        <v>4371</v>
      </c>
      <c r="AU183" t="s" s="0">
        <v>82</v>
      </c>
      <c r="AV183" t="s" s="0">
        <v>82</v>
      </c>
      <c r="AW183" t="s" s="0">
        <v>4372</v>
      </c>
      <c r="AX183" t="s" s="0">
        <v>4373</v>
      </c>
      <c r="AY183" t="s" s="0">
        <v>4374</v>
      </c>
      <c r="AZ183" t="s" s="0">
        <v>108</v>
      </c>
      <c r="BA183" t="s" s="0">
        <v>184</v>
      </c>
      <c r="BB183" t="s" s="0">
        <v>82</v>
      </c>
      <c r="BC183" t="s" s="0">
        <v>82</v>
      </c>
      <c r="BD183" t="s" s="0">
        <v>82</v>
      </c>
      <c r="BE183" t="s" s="0">
        <v>82</v>
      </c>
      <c r="BF183" t="s" s="0">
        <v>82</v>
      </c>
      <c r="BG183" t="s" s="0">
        <v>82</v>
      </c>
      <c r="BH183" t="s" s="0">
        <v>82</v>
      </c>
      <c r="BI183" t="s" s="0">
        <v>4375</v>
      </c>
      <c r="BJ183" t="s" s="0">
        <v>4376</v>
      </c>
      <c r="BK183" t="s" s="363">
        <f>HYPERLINK("http://dx.doi.org/10.3389/fbioe.2025.1644697","http://dx.doi.org/10.3389/fbioe.2025.1644697")</f>
        <v>4377</v>
      </c>
      <c r="BL183" t="s" s="0">
        <v>82</v>
      </c>
      <c r="BM183" t="s" s="0">
        <v>82</v>
      </c>
      <c r="BN183" t="s" s="0">
        <v>209</v>
      </c>
      <c r="BO183" t="s" s="0">
        <v>429</v>
      </c>
      <c r="BP183" t="s" s="0">
        <v>430</v>
      </c>
      <c r="BQ183" t="s" s="0">
        <v>4378</v>
      </c>
      <c r="BR183" t="s" s="0">
        <v>4379</v>
      </c>
      <c r="BS183" t="s" s="0">
        <v>4380</v>
      </c>
      <c r="BT183" t="s" s="364">
        <f>HYPERLINK("https://www.webofscience.com/wos/woscc/full-record/WOS:001556288100001","View Record in Web of Science")</f>
        <v>120</v>
      </c>
      <c r="BU183" t="s" s="0">
        <v>189</v>
      </c>
      <c r="BV183" t="s" s="0">
        <v>82</v>
      </c>
      <c r="BW183" t="s" s="0">
        <v>82</v>
      </c>
      <c r="BX183" t="s" s="0">
        <v>121</v>
      </c>
    </row>
    <row r="184">
      <c r="A184" t="s" s="0">
        <v>77</v>
      </c>
      <c r="B184" t="s" s="0">
        <v>77</v>
      </c>
      <c r="C184" t="s" s="0">
        <v>77</v>
      </c>
      <c r="D184" t="s" s="0">
        <v>77</v>
      </c>
      <c r="E184" t="s" s="0">
        <v>4381</v>
      </c>
      <c r="F184" t="s" s="0">
        <v>4382</v>
      </c>
      <c r="G184" t="s" s="0">
        <v>4383</v>
      </c>
      <c r="H184" t="s" s="0">
        <v>82</v>
      </c>
      <c r="I184" t="s" s="0">
        <v>83</v>
      </c>
      <c r="J184" t="s" s="0">
        <v>4384</v>
      </c>
      <c r="K184" t="s" s="0">
        <v>4385</v>
      </c>
      <c r="L184" t="s" s="0">
        <v>4386</v>
      </c>
      <c r="M184" t="s" s="0">
        <v>4387</v>
      </c>
      <c r="N184" t="s" s="0">
        <v>4388</v>
      </c>
      <c r="O184" t="s" s="0">
        <v>4389</v>
      </c>
      <c r="P184" t="s" s="0">
        <v>4390</v>
      </c>
      <c r="Q184" t="s" s="0">
        <v>88</v>
      </c>
      <c r="R184" t="s" s="0">
        <v>82</v>
      </c>
      <c r="S184" t="s" s="0">
        <v>82</v>
      </c>
      <c r="T184" t="s" s="0">
        <v>82</v>
      </c>
      <c r="U184" t="s" s="0">
        <v>82</v>
      </c>
      <c r="V184" t="s" s="0">
        <v>4391</v>
      </c>
      <c r="W184" t="s" s="0">
        <v>3157</v>
      </c>
      <c r="X184" t="s" s="0">
        <v>82</v>
      </c>
      <c r="Y184" t="s" s="0">
        <v>82</v>
      </c>
      <c r="Z184" t="s" s="0">
        <v>91</v>
      </c>
      <c r="AA184" t="s" s="0">
        <v>92</v>
      </c>
      <c r="AB184" t="s" s="0">
        <v>82</v>
      </c>
      <c r="AC184" t="s" s="0">
        <v>82</v>
      </c>
      <c r="AD184" t="s" s="0">
        <v>82</v>
      </c>
      <c r="AE184" t="s" s="0">
        <v>82</v>
      </c>
      <c r="AF184" t="s" s="0">
        <v>82</v>
      </c>
      <c r="AG184" t="s" s="0">
        <v>4392</v>
      </c>
      <c r="AH184" t="s" s="0">
        <v>4393</v>
      </c>
      <c r="AI184" t="s" s="0">
        <v>82</v>
      </c>
      <c r="AJ184" t="s" s="0">
        <v>4394</v>
      </c>
      <c r="AK184" t="s" s="0">
        <v>82</v>
      </c>
      <c r="AL184" t="s" s="0">
        <v>763</v>
      </c>
      <c r="AM184" t="s" s="0">
        <v>77</v>
      </c>
      <c r="AN184" t="s" s="0">
        <v>77</v>
      </c>
      <c r="AO184" t="s" s="0">
        <v>235</v>
      </c>
      <c r="AP184" t="s" s="0">
        <v>235</v>
      </c>
      <c r="AQ184" t="s" s="0">
        <v>418</v>
      </c>
      <c r="AR184" t="s" s="0">
        <v>419</v>
      </c>
      <c r="AS184" t="s" s="0">
        <v>420</v>
      </c>
      <c r="AT184" t="s" s="0">
        <v>82</v>
      </c>
      <c r="AU184" t="s" s="0">
        <v>3162</v>
      </c>
      <c r="AV184" t="s" s="0">
        <v>82</v>
      </c>
      <c r="AW184" t="s" s="0">
        <v>3157</v>
      </c>
      <c r="AX184" t="s" s="0">
        <v>3163</v>
      </c>
      <c r="AY184" t="s" s="0">
        <v>4395</v>
      </c>
      <c r="AZ184" t="s" s="0">
        <v>108</v>
      </c>
      <c r="BA184" t="s" s="0">
        <v>277</v>
      </c>
      <c r="BB184" t="s" s="0">
        <v>138</v>
      </c>
      <c r="BC184" t="s" s="0">
        <v>82</v>
      </c>
      <c r="BD184" t="s" s="0">
        <v>82</v>
      </c>
      <c r="BE184" t="s" s="0">
        <v>82</v>
      </c>
      <c r="BF184" t="s" s="0">
        <v>82</v>
      </c>
      <c r="BG184" t="s" s="0">
        <v>82</v>
      </c>
      <c r="BH184" t="s" s="0">
        <v>82</v>
      </c>
      <c r="BI184" t="s" s="0">
        <v>4396</v>
      </c>
      <c r="BJ184" t="s" s="0">
        <v>4397</v>
      </c>
      <c r="BK184" t="s" s="365">
        <f>HYPERLINK("http://dx.doi.org/10.3390/diagnostics15212808","http://dx.doi.org/10.3390/diagnostics15212808")</f>
        <v>4398</v>
      </c>
      <c r="BL184" t="s" s="0">
        <v>82</v>
      </c>
      <c r="BM184" t="s" s="0">
        <v>82</v>
      </c>
      <c r="BN184" t="s" s="0">
        <v>209</v>
      </c>
      <c r="BO184" t="s" s="0">
        <v>1803</v>
      </c>
      <c r="BP184" t="s" s="0">
        <v>1804</v>
      </c>
      <c r="BQ184" t="s" s="0">
        <v>4399</v>
      </c>
      <c r="BR184" t="s" s="0">
        <v>4400</v>
      </c>
      <c r="BS184" t="s" s="0">
        <v>4401</v>
      </c>
      <c r="BT184" t="s" s="366">
        <f>HYPERLINK("https://www.webofscience.com/wos/woscc/full-record/WOS:001615360000001","View Record in Web of Science")</f>
        <v>120</v>
      </c>
      <c r="BU184" t="s" s="0">
        <v>189</v>
      </c>
      <c r="BV184" t="s" s="0">
        <v>82</v>
      </c>
      <c r="BW184" t="s" s="0">
        <v>82</v>
      </c>
      <c r="BX184" t="s" s="0">
        <v>121</v>
      </c>
    </row>
    <row r="185">
      <c r="A185" t="s" s="0">
        <v>77</v>
      </c>
      <c r="B185" t="s" s="0">
        <v>77</v>
      </c>
      <c r="C185" t="s" s="0">
        <v>78</v>
      </c>
      <c r="D185" t="s" s="0">
        <v>77</v>
      </c>
      <c r="E185" t="s" s="0">
        <v>4402</v>
      </c>
      <c r="F185" t="s" s="0">
        <v>4403</v>
      </c>
      <c r="G185" t="s" s="0">
        <v>4404</v>
      </c>
      <c r="H185" t="s" s="0">
        <v>82</v>
      </c>
      <c r="I185" t="s" s="0">
        <v>460</v>
      </c>
      <c r="J185" t="s" s="0">
        <v>4405</v>
      </c>
      <c r="K185" t="s" s="0">
        <v>4406</v>
      </c>
      <c r="L185" t="s" s="0">
        <v>82</v>
      </c>
      <c r="M185" t="s" s="0">
        <v>82</v>
      </c>
      <c r="N185" t="s" s="0">
        <v>82</v>
      </c>
      <c r="O185" t="s" s="0">
        <v>4407</v>
      </c>
      <c r="P185" t="s" s="0">
        <v>4408</v>
      </c>
      <c r="Q185" t="s" s="0">
        <v>88</v>
      </c>
      <c r="R185" t="s" s="0">
        <v>82</v>
      </c>
      <c r="S185" t="s" s="0">
        <v>82</v>
      </c>
      <c r="T185" t="s" s="0">
        <v>82</v>
      </c>
      <c r="U185" t="s" s="0">
        <v>82</v>
      </c>
      <c r="V185" t="s" s="0">
        <v>4409</v>
      </c>
      <c r="W185" t="s" s="0">
        <v>4410</v>
      </c>
      <c r="X185" t="s" s="0">
        <v>82</v>
      </c>
      <c r="Y185" t="s" s="0">
        <v>82</v>
      </c>
      <c r="Z185" t="s" s="0">
        <v>91</v>
      </c>
      <c r="AA185" t="s" s="0">
        <v>92</v>
      </c>
      <c r="AB185" t="s" s="0">
        <v>82</v>
      </c>
      <c r="AC185" t="s" s="0">
        <v>82</v>
      </c>
      <c r="AD185" t="s" s="0">
        <v>82</v>
      </c>
      <c r="AE185" t="s" s="0">
        <v>82</v>
      </c>
      <c r="AF185" t="s" s="0">
        <v>82</v>
      </c>
      <c r="AG185" t="s" s="0">
        <v>4411</v>
      </c>
      <c r="AH185" t="s" s="0">
        <v>4412</v>
      </c>
      <c r="AI185" t="s" s="0">
        <v>82</v>
      </c>
      <c r="AJ185" t="s" s="0">
        <v>4413</v>
      </c>
      <c r="AK185" t="s" s="0">
        <v>82</v>
      </c>
      <c r="AL185" t="s" s="0">
        <v>661</v>
      </c>
      <c r="AM185" t="s" s="0">
        <v>235</v>
      </c>
      <c r="AN185" t="s" s="0">
        <v>97</v>
      </c>
      <c r="AO185" t="s" s="0">
        <v>97</v>
      </c>
      <c r="AP185" t="s" s="0">
        <v>272</v>
      </c>
      <c r="AQ185" t="s" s="0">
        <v>418</v>
      </c>
      <c r="AR185" t="s" s="0">
        <v>419</v>
      </c>
      <c r="AS185" t="s" s="0">
        <v>420</v>
      </c>
      <c r="AT185" t="s" s="0">
        <v>82</v>
      </c>
      <c r="AU185" t="s" s="0">
        <v>4414</v>
      </c>
      <c r="AV185" t="s" s="0">
        <v>82</v>
      </c>
      <c r="AW185" t="s" s="0">
        <v>4415</v>
      </c>
      <c r="AX185" t="s" s="0">
        <v>4416</v>
      </c>
      <c r="AY185" t="s" s="0">
        <v>4417</v>
      </c>
      <c r="AZ185" t="s" s="0">
        <v>108</v>
      </c>
      <c r="BA185" t="s" s="0">
        <v>115</v>
      </c>
      <c r="BB185" t="s" s="0">
        <v>204</v>
      </c>
      <c r="BC185" t="s" s="0">
        <v>82</v>
      </c>
      <c r="BD185" t="s" s="0">
        <v>82</v>
      </c>
      <c r="BE185" t="s" s="0">
        <v>82</v>
      </c>
      <c r="BF185" t="s" s="0">
        <v>82</v>
      </c>
      <c r="BG185" t="s" s="0">
        <v>82</v>
      </c>
      <c r="BH185" t="s" s="0">
        <v>82</v>
      </c>
      <c r="BI185" t="s" s="0">
        <v>1532</v>
      </c>
      <c r="BJ185" t="s" s="0">
        <v>4418</v>
      </c>
      <c r="BK185" t="s" s="367">
        <f>HYPERLINK("http://dx.doi.org/10.3390/vision9020033","http://dx.doi.org/10.3390/vision9020033")</f>
        <v>4419</v>
      </c>
      <c r="BL185" t="s" s="0">
        <v>82</v>
      </c>
      <c r="BM185" t="s" s="0">
        <v>82</v>
      </c>
      <c r="BN185" t="s" s="0">
        <v>307</v>
      </c>
      <c r="BO185" t="s" s="0">
        <v>4420</v>
      </c>
      <c r="BP185" t="s" s="0">
        <v>4421</v>
      </c>
      <c r="BQ185" t="s" s="0">
        <v>4422</v>
      </c>
      <c r="BR185" t="s" s="0">
        <v>4423</v>
      </c>
      <c r="BS185" t="s" s="0">
        <v>4424</v>
      </c>
      <c r="BT185" t="s" s="368">
        <f>HYPERLINK("https://www.webofscience.com/wos/woscc/full-record/WOS:001517722800001","View Record in Web of Science")</f>
        <v>120</v>
      </c>
      <c r="BU185" t="s" s="0">
        <v>189</v>
      </c>
      <c r="BV185" t="s" s="0">
        <v>82</v>
      </c>
      <c r="BW185" t="s" s="0">
        <v>82</v>
      </c>
      <c r="BX185" t="s" s="0">
        <v>121</v>
      </c>
    </row>
    <row r="186">
      <c r="A186" t="s" s="0">
        <v>77</v>
      </c>
      <c r="B186" t="s" s="0">
        <v>77</v>
      </c>
      <c r="C186" t="s" s="0">
        <v>77</v>
      </c>
      <c r="D186" t="s" s="0">
        <v>77</v>
      </c>
      <c r="E186" t="s" s="0">
        <v>4425</v>
      </c>
      <c r="F186" t="s" s="0">
        <v>4426</v>
      </c>
      <c r="G186" t="s" s="0">
        <v>4427</v>
      </c>
      <c r="H186" t="s" s="0">
        <v>82</v>
      </c>
      <c r="I186" t="s" s="0">
        <v>83</v>
      </c>
      <c r="J186" t="s" s="0">
        <v>4428</v>
      </c>
      <c r="K186" t="s" s="0">
        <v>4429</v>
      </c>
      <c r="L186" t="s" s="0">
        <v>82</v>
      </c>
      <c r="M186" t="s" s="0">
        <v>82</v>
      </c>
      <c r="N186" t="s" s="0">
        <v>82</v>
      </c>
      <c r="O186" t="s" s="0">
        <v>4430</v>
      </c>
      <c r="P186" t="s" s="0">
        <v>4431</v>
      </c>
      <c r="Q186" t="s" s="0">
        <v>88</v>
      </c>
      <c r="R186" t="s" s="0">
        <v>82</v>
      </c>
      <c r="S186" t="s" s="0">
        <v>82</v>
      </c>
      <c r="T186" t="s" s="0">
        <v>82</v>
      </c>
      <c r="U186" t="s" s="0">
        <v>82</v>
      </c>
      <c r="V186" t="s" s="0">
        <v>4432</v>
      </c>
      <c r="W186" t="s" s="0">
        <v>4433</v>
      </c>
      <c r="X186" t="s" s="0">
        <v>82</v>
      </c>
      <c r="Y186" t="s" s="0">
        <v>82</v>
      </c>
      <c r="Z186" t="s" s="0">
        <v>91</v>
      </c>
      <c r="AA186" t="s" s="0">
        <v>92</v>
      </c>
      <c r="AB186" t="s" s="0">
        <v>82</v>
      </c>
      <c r="AC186" t="s" s="0">
        <v>82</v>
      </c>
      <c r="AD186" t="s" s="0">
        <v>82</v>
      </c>
      <c r="AE186" t="s" s="0">
        <v>82</v>
      </c>
      <c r="AF186" t="s" s="0">
        <v>82</v>
      </c>
      <c r="AG186" t="s" s="0">
        <v>4434</v>
      </c>
      <c r="AH186" t="s" s="0">
        <v>82</v>
      </c>
      <c r="AI186" t="s" s="0">
        <v>4435</v>
      </c>
      <c r="AJ186" t="s" s="0">
        <v>4436</v>
      </c>
      <c r="AK186" t="s" s="0">
        <v>82</v>
      </c>
      <c r="AL186" t="s" s="0">
        <v>472</v>
      </c>
      <c r="AM186" t="s" s="0">
        <v>204</v>
      </c>
      <c r="AN186" t="s" s="0">
        <v>99</v>
      </c>
      <c r="AO186" t="s" s="0">
        <v>78</v>
      </c>
      <c r="AP186" t="s" s="0">
        <v>138</v>
      </c>
      <c r="AQ186" t="s" s="0">
        <v>263</v>
      </c>
      <c r="AR186" t="s" s="0">
        <v>264</v>
      </c>
      <c r="AS186" t="s" s="0">
        <v>265</v>
      </c>
      <c r="AT186" t="s" s="0">
        <v>4437</v>
      </c>
      <c r="AU186" t="s" s="0">
        <v>4438</v>
      </c>
      <c r="AV186" t="s" s="0">
        <v>82</v>
      </c>
      <c r="AW186" t="s" s="0">
        <v>4439</v>
      </c>
      <c r="AX186" t="s" s="0">
        <v>4440</v>
      </c>
      <c r="AY186" t="s" s="0">
        <v>4441</v>
      </c>
      <c r="AZ186" t="s" s="0">
        <v>146</v>
      </c>
      <c r="BA186" t="s" s="0">
        <v>139</v>
      </c>
      <c r="BB186" t="s" s="0">
        <v>235</v>
      </c>
      <c r="BC186" t="s" s="0">
        <v>82</v>
      </c>
      <c r="BD186" t="s" s="0">
        <v>82</v>
      </c>
      <c r="BE186" t="s" s="0">
        <v>82</v>
      </c>
      <c r="BF186" t="s" s="0">
        <v>82</v>
      </c>
      <c r="BG186" t="s" s="0">
        <v>4442</v>
      </c>
      <c r="BH186" t="s" s="0">
        <v>4443</v>
      </c>
      <c r="BI186" t="s" s="0">
        <v>82</v>
      </c>
      <c r="BJ186" t="s" s="0">
        <v>4444</v>
      </c>
      <c r="BK186" t="s" s="369">
        <f>HYPERLINK("http://dx.doi.org/10.1109/MPRV.2024.3499513","http://dx.doi.org/10.1109/MPRV.2024.3499513")</f>
        <v>4445</v>
      </c>
      <c r="BL186" t="s" s="0">
        <v>82</v>
      </c>
      <c r="BM186" t="s" s="0">
        <v>82</v>
      </c>
      <c r="BN186" t="s" s="0">
        <v>98</v>
      </c>
      <c r="BO186" t="s" s="0">
        <v>332</v>
      </c>
      <c r="BP186" t="s" s="0">
        <v>117</v>
      </c>
      <c r="BQ186" t="s" s="0">
        <v>4446</v>
      </c>
      <c r="BR186" t="s" s="0">
        <v>82</v>
      </c>
      <c r="BS186" t="s" s="0">
        <v>4447</v>
      </c>
      <c r="BT186" t="s" s="370">
        <f>HYPERLINK("https://www.webofscience.com/wos/woscc/full-record/WOS:001414425900007","View Record in Web of Science")</f>
        <v>120</v>
      </c>
      <c r="BU186" t="s" s="0">
        <v>82</v>
      </c>
      <c r="BV186" t="s" s="0">
        <v>82</v>
      </c>
      <c r="BW186" t="s" s="0">
        <v>82</v>
      </c>
      <c r="BX186" t="s" s="0">
        <v>121</v>
      </c>
    </row>
    <row r="187">
      <c r="A187" t="s" s="0">
        <v>363</v>
      </c>
      <c r="B187" t="s" s="0">
        <v>77</v>
      </c>
      <c r="C187" t="s" s="0">
        <v>1505</v>
      </c>
      <c r="D187" t="s" s="0">
        <v>77</v>
      </c>
      <c r="E187" t="s" s="0">
        <v>4448</v>
      </c>
      <c r="F187" t="s" s="0">
        <v>4449</v>
      </c>
      <c r="G187" t="s" s="0">
        <v>4450</v>
      </c>
      <c r="H187" t="s" s="0">
        <v>82</v>
      </c>
      <c r="I187" t="s" s="0">
        <v>83</v>
      </c>
      <c r="J187" t="s" s="0">
        <v>4451</v>
      </c>
      <c r="K187" t="s" s="0">
        <v>4452</v>
      </c>
      <c r="L187" t="s" s="0">
        <v>4453</v>
      </c>
      <c r="M187" t="s" s="0">
        <v>4454</v>
      </c>
      <c r="N187" t="s" s="0">
        <v>4455</v>
      </c>
      <c r="O187" t="s" s="0">
        <v>4456</v>
      </c>
      <c r="P187" t="s" s="0">
        <v>4457</v>
      </c>
      <c r="Q187" t="s" s="0">
        <v>88</v>
      </c>
      <c r="R187" t="s" s="0">
        <v>82</v>
      </c>
      <c r="S187" t="s" s="0">
        <v>82</v>
      </c>
      <c r="T187" t="s" s="0">
        <v>82</v>
      </c>
      <c r="U187" t="s" s="0">
        <v>82</v>
      </c>
      <c r="V187" t="s" s="0">
        <v>4458</v>
      </c>
      <c r="W187" t="s" s="0">
        <v>169</v>
      </c>
      <c r="X187" t="s" s="0">
        <v>82</v>
      </c>
      <c r="Y187" t="s" s="0">
        <v>82</v>
      </c>
      <c r="Z187" t="s" s="0">
        <v>91</v>
      </c>
      <c r="AA187" t="s" s="0">
        <v>92</v>
      </c>
      <c r="AB187" t="s" s="0">
        <v>82</v>
      </c>
      <c r="AC187" t="s" s="0">
        <v>82</v>
      </c>
      <c r="AD187" t="s" s="0">
        <v>82</v>
      </c>
      <c r="AE187" t="s" s="0">
        <v>82</v>
      </c>
      <c r="AF187" t="s" s="0">
        <v>82</v>
      </c>
      <c r="AG187" t="s" s="0">
        <v>82</v>
      </c>
      <c r="AH187" t="s" s="0">
        <v>4459</v>
      </c>
      <c r="AI187" t="s" s="0">
        <v>4460</v>
      </c>
      <c r="AJ187" t="s" s="0">
        <v>4461</v>
      </c>
      <c r="AK187" t="s" s="0">
        <v>82</v>
      </c>
      <c r="AL187" t="s" s="0">
        <v>4462</v>
      </c>
      <c r="AM187" t="s" s="0">
        <v>4463</v>
      </c>
      <c r="AN187" t="s" s="0">
        <v>4464</v>
      </c>
      <c r="AO187" t="s" s="0">
        <v>115</v>
      </c>
      <c r="AP187" t="s" s="0">
        <v>3469</v>
      </c>
      <c r="AQ187" t="s" s="0">
        <v>172</v>
      </c>
      <c r="AR187" t="s" s="0">
        <v>173</v>
      </c>
      <c r="AS187" t="s" s="0">
        <v>174</v>
      </c>
      <c r="AT187" t="s" s="0">
        <v>175</v>
      </c>
      <c r="AU187" t="s" s="0">
        <v>82</v>
      </c>
      <c r="AV187" t="s" s="0">
        <v>82</v>
      </c>
      <c r="AW187" t="s" s="0">
        <v>176</v>
      </c>
      <c r="AX187" t="s" s="0">
        <v>177</v>
      </c>
      <c r="AY187" t="s" s="0">
        <v>4465</v>
      </c>
      <c r="AZ187" t="s" s="0">
        <v>424</v>
      </c>
      <c r="BA187" t="s" s="0">
        <v>97</v>
      </c>
      <c r="BB187" t="s" s="0">
        <v>78</v>
      </c>
      <c r="BC187" t="s" s="0">
        <v>82</v>
      </c>
      <c r="BD187" t="s" s="0">
        <v>82</v>
      </c>
      <c r="BE187" t="s" s="0">
        <v>82</v>
      </c>
      <c r="BF187" t="s" s="0">
        <v>82</v>
      </c>
      <c r="BG187" t="s" s="0">
        <v>82</v>
      </c>
      <c r="BH187" t="s" s="0">
        <v>82</v>
      </c>
      <c r="BI187" t="s" s="0">
        <v>3543</v>
      </c>
      <c r="BJ187" t="s" s="0">
        <v>4466</v>
      </c>
      <c r="BK187" t="s" s="371">
        <f>HYPERLINK("http://dx.doi.org/10.1038/s41746-023-00952-2","http://dx.doi.org/10.1038/s41746-023-00952-2")</f>
        <v>4467</v>
      </c>
      <c r="BL187" t="s" s="0">
        <v>82</v>
      </c>
      <c r="BM187" t="s" s="0">
        <v>82</v>
      </c>
      <c r="BN187" t="s" s="0">
        <v>277</v>
      </c>
      <c r="BO187" t="s" s="0">
        <v>185</v>
      </c>
      <c r="BP187" t="s" s="0">
        <v>185</v>
      </c>
      <c r="BQ187" t="s" s="0">
        <v>4468</v>
      </c>
      <c r="BR187" t="s" s="0">
        <v>4469</v>
      </c>
      <c r="BS187" t="s" s="0">
        <v>4470</v>
      </c>
      <c r="BT187" t="s" s="372">
        <f>HYPERLINK("https://www.webofscience.com/wos/woscc/full-record/WOS:001112300500002","View Record in Web of Science")</f>
        <v>120</v>
      </c>
      <c r="BU187" t="s" s="0">
        <v>2141</v>
      </c>
      <c r="BV187" t="s" s="0">
        <v>3456</v>
      </c>
      <c r="BW187" t="s" s="0">
        <v>3457</v>
      </c>
      <c r="BX187" t="s" s="0">
        <v>121</v>
      </c>
    </row>
    <row r="188">
      <c r="A188" t="s" s="0">
        <v>99</v>
      </c>
      <c r="B188" t="s" s="0">
        <v>77</v>
      </c>
      <c r="C188" t="s" s="0">
        <v>99</v>
      </c>
      <c r="D188" t="s" s="0">
        <v>77</v>
      </c>
      <c r="E188" t="s" s="0">
        <v>4471</v>
      </c>
      <c r="F188" t="s" s="0">
        <v>4472</v>
      </c>
      <c r="G188" t="s" s="0">
        <v>4473</v>
      </c>
      <c r="H188" t="s" s="0">
        <v>82</v>
      </c>
      <c r="I188" t="s" s="0">
        <v>83</v>
      </c>
      <c r="J188" t="s" s="0">
        <v>4474</v>
      </c>
      <c r="K188" t="s" s="0">
        <v>4475</v>
      </c>
      <c r="L188" t="s" s="0">
        <v>4476</v>
      </c>
      <c r="M188" t="s" s="0">
        <v>4477</v>
      </c>
      <c r="N188" t="s" s="0">
        <v>4478</v>
      </c>
      <c r="O188" t="s" s="0">
        <v>4479</v>
      </c>
      <c r="P188" t="s" s="0">
        <v>4480</v>
      </c>
      <c r="Q188" t="s" s="0">
        <v>88</v>
      </c>
      <c r="R188" t="s" s="0">
        <v>82</v>
      </c>
      <c r="S188" t="s" s="0">
        <v>82</v>
      </c>
      <c r="T188" t="s" s="0">
        <v>82</v>
      </c>
      <c r="U188" t="s" s="0">
        <v>82</v>
      </c>
      <c r="V188" t="s" s="0">
        <v>4481</v>
      </c>
      <c r="W188" t="s" s="0">
        <v>1592</v>
      </c>
      <c r="X188" t="s" s="0">
        <v>82</v>
      </c>
      <c r="Y188" t="s" s="0">
        <v>82</v>
      </c>
      <c r="Z188" t="s" s="0">
        <v>91</v>
      </c>
      <c r="AA188" t="s" s="0">
        <v>92</v>
      </c>
      <c r="AB188" t="s" s="0">
        <v>82</v>
      </c>
      <c r="AC188" t="s" s="0">
        <v>82</v>
      </c>
      <c r="AD188" t="s" s="0">
        <v>82</v>
      </c>
      <c r="AE188" t="s" s="0">
        <v>82</v>
      </c>
      <c r="AF188" t="s" s="0">
        <v>82</v>
      </c>
      <c r="AG188" t="s" s="0">
        <v>82</v>
      </c>
      <c r="AH188" t="s" s="0">
        <v>4482</v>
      </c>
      <c r="AI188" t="s" s="0">
        <v>4483</v>
      </c>
      <c r="AJ188" t="s" s="0">
        <v>4484</v>
      </c>
      <c r="AK188" t="s" s="0">
        <v>82</v>
      </c>
      <c r="AL188" t="s" s="0">
        <v>4485</v>
      </c>
      <c r="AM188" t="s" s="0">
        <v>277</v>
      </c>
      <c r="AN188" t="s" s="0">
        <v>139</v>
      </c>
      <c r="AO188" t="s" s="0">
        <v>1004</v>
      </c>
      <c r="AP188" t="s" s="0">
        <v>4486</v>
      </c>
      <c r="AQ188" t="s" s="0">
        <v>172</v>
      </c>
      <c r="AR188" t="s" s="0">
        <v>173</v>
      </c>
      <c r="AS188" t="s" s="0">
        <v>174</v>
      </c>
      <c r="AT188" t="s" s="0">
        <v>82</v>
      </c>
      <c r="AU188" t="s" s="0">
        <v>1595</v>
      </c>
      <c r="AV188" t="s" s="0">
        <v>82</v>
      </c>
      <c r="AW188" t="s" s="0">
        <v>1596</v>
      </c>
      <c r="AX188" t="s" s="0">
        <v>1597</v>
      </c>
      <c r="AY188" t="s" s="0">
        <v>4487</v>
      </c>
      <c r="AZ188" t="s" s="0">
        <v>146</v>
      </c>
      <c r="BA188" t="s" s="0">
        <v>277</v>
      </c>
      <c r="BB188" t="s" s="0">
        <v>78</v>
      </c>
      <c r="BC188" t="s" s="0">
        <v>82</v>
      </c>
      <c r="BD188" t="s" s="0">
        <v>82</v>
      </c>
      <c r="BE188" t="s" s="0">
        <v>82</v>
      </c>
      <c r="BF188" t="s" s="0">
        <v>82</v>
      </c>
      <c r="BG188" t="s" s="0">
        <v>82</v>
      </c>
      <c r="BH188" t="s" s="0">
        <v>82</v>
      </c>
      <c r="BI188" t="s" s="0">
        <v>4488</v>
      </c>
      <c r="BJ188" t="s" s="0">
        <v>4489</v>
      </c>
      <c r="BK188" t="s" s="373">
        <f>HYPERLINK("http://dx.doi.org/10.1038/s41467-024-50043-3","http://dx.doi.org/10.1038/s41467-024-50043-3")</f>
        <v>4490</v>
      </c>
      <c r="BL188" t="s" s="0">
        <v>82</v>
      </c>
      <c r="BM188" t="s" s="0">
        <v>82</v>
      </c>
      <c r="BN188" t="s" s="0">
        <v>148</v>
      </c>
      <c r="BO188" t="s" s="0">
        <v>213</v>
      </c>
      <c r="BP188" t="s" s="0">
        <v>214</v>
      </c>
      <c r="BQ188" t="s" s="0">
        <v>4491</v>
      </c>
      <c r="BR188" t="s" s="0">
        <v>4492</v>
      </c>
      <c r="BS188" t="s" s="0">
        <v>4493</v>
      </c>
      <c r="BT188" t="s" s="374">
        <f>HYPERLINK("https://www.webofscience.com/wos/woscc/full-record/WOS:001263353700018","View Record in Web of Science")</f>
        <v>120</v>
      </c>
      <c r="BU188" t="s" s="0">
        <v>189</v>
      </c>
      <c r="BV188" t="s" s="0">
        <v>3456</v>
      </c>
      <c r="BW188" t="s" s="0">
        <v>3457</v>
      </c>
      <c r="BX188" t="s" s="0">
        <v>121</v>
      </c>
    </row>
    <row r="189">
      <c r="A189" t="s" s="0">
        <v>77</v>
      </c>
      <c r="B189" t="s" s="0">
        <v>77</v>
      </c>
      <c r="C189" t="s" s="0">
        <v>77</v>
      </c>
      <c r="D189" t="s" s="0">
        <v>77</v>
      </c>
      <c r="E189" t="s" s="0">
        <v>4494</v>
      </c>
      <c r="F189" t="s" s="0">
        <v>4495</v>
      </c>
      <c r="G189" t="s" s="0">
        <v>4496</v>
      </c>
      <c r="H189" t="s" s="0">
        <v>82</v>
      </c>
      <c r="I189" t="s" s="0">
        <v>83</v>
      </c>
      <c r="J189" t="s" s="0">
        <v>4497</v>
      </c>
      <c r="K189" t="s" s="0">
        <v>4498</v>
      </c>
      <c r="L189" t="s" s="0">
        <v>82</v>
      </c>
      <c r="M189" t="s" s="0">
        <v>82</v>
      </c>
      <c r="N189" t="s" s="0">
        <v>82</v>
      </c>
      <c r="O189" t="s" s="0">
        <v>4499</v>
      </c>
      <c r="P189" t="s" s="0">
        <v>4500</v>
      </c>
      <c r="Q189" t="s" s="0">
        <v>88</v>
      </c>
      <c r="R189" t="s" s="0">
        <v>82</v>
      </c>
      <c r="S189" t="s" s="0">
        <v>82</v>
      </c>
      <c r="T189" t="s" s="0">
        <v>82</v>
      </c>
      <c r="U189" t="s" s="0">
        <v>82</v>
      </c>
      <c r="V189" t="s" s="0">
        <v>4501</v>
      </c>
      <c r="W189" t="s" s="0">
        <v>4502</v>
      </c>
      <c r="X189" t="s" s="0">
        <v>82</v>
      </c>
      <c r="Y189" t="s" s="0">
        <v>82</v>
      </c>
      <c r="Z189" t="s" s="0">
        <v>91</v>
      </c>
      <c r="AA189" t="s" s="0">
        <v>908</v>
      </c>
      <c r="AB189" t="s" s="0">
        <v>82</v>
      </c>
      <c r="AC189" t="s" s="0">
        <v>82</v>
      </c>
      <c r="AD189" t="s" s="0">
        <v>82</v>
      </c>
      <c r="AE189" t="s" s="0">
        <v>82</v>
      </c>
      <c r="AF189" t="s" s="0">
        <v>82</v>
      </c>
      <c r="AG189" t="s" s="0">
        <v>4503</v>
      </c>
      <c r="AH189" t="s" s="0">
        <v>4504</v>
      </c>
      <c r="AI189" t="s" s="0">
        <v>4505</v>
      </c>
      <c r="AJ189" t="s" s="0">
        <v>4506</v>
      </c>
      <c r="AK189" t="s" s="0">
        <v>82</v>
      </c>
      <c r="AL189" t="s" s="0">
        <v>1504</v>
      </c>
      <c r="AM189" t="s" s="0">
        <v>77</v>
      </c>
      <c r="AN189" t="s" s="0">
        <v>77</v>
      </c>
      <c r="AO189" t="s" s="0">
        <v>77</v>
      </c>
      <c r="AP189" t="s" s="0">
        <v>77</v>
      </c>
      <c r="AQ189" t="s" s="0">
        <v>795</v>
      </c>
      <c r="AR189" t="s" s="0">
        <v>796</v>
      </c>
      <c r="AS189" t="s" s="0">
        <v>797</v>
      </c>
      <c r="AT189" t="s" s="0">
        <v>4507</v>
      </c>
      <c r="AU189" t="s" s="0">
        <v>4508</v>
      </c>
      <c r="AV189" t="s" s="0">
        <v>82</v>
      </c>
      <c r="AW189" t="s" s="0">
        <v>4509</v>
      </c>
      <c r="AX189" t="s" s="0">
        <v>4510</v>
      </c>
      <c r="AY189" t="s" s="0">
        <v>82</v>
      </c>
      <c r="AZ189" t="s" s="0">
        <v>179</v>
      </c>
      <c r="BA189" t="s" s="0">
        <v>82</v>
      </c>
      <c r="BB189" t="s" s="0">
        <v>82</v>
      </c>
      <c r="BC189" t="s" s="0">
        <v>82</v>
      </c>
      <c r="BD189" t="s" s="0">
        <v>82</v>
      </c>
      <c r="BE189" t="s" s="0">
        <v>82</v>
      </c>
      <c r="BF189" t="s" s="0">
        <v>82</v>
      </c>
      <c r="BG189" t="s" s="0">
        <v>82</v>
      </c>
      <c r="BH189" t="s" s="0">
        <v>82</v>
      </c>
      <c r="BI189" t="s" s="0">
        <v>82</v>
      </c>
      <c r="BJ189" t="s" s="0">
        <v>4511</v>
      </c>
      <c r="BK189" t="s" s="375">
        <f>HYPERLINK("http://dx.doi.org/10.1007/s00417-026-07333-x","http://dx.doi.org/10.1007/s00417-026-07333-x")</f>
        <v>4512</v>
      </c>
      <c r="BL189" t="s" s="0">
        <v>82</v>
      </c>
      <c r="BM189" t="s" s="0">
        <v>358</v>
      </c>
      <c r="BN189" t="s" s="0">
        <v>115</v>
      </c>
      <c r="BO189" t="s" s="0">
        <v>396</v>
      </c>
      <c r="BP189" t="s" s="0">
        <v>396</v>
      </c>
      <c r="BQ189" t="s" s="0">
        <v>4513</v>
      </c>
      <c r="BR189" t="s" s="0">
        <v>4514</v>
      </c>
      <c r="BS189" t="s" s="0">
        <v>4515</v>
      </c>
      <c r="BT189" t="s" s="376">
        <f>HYPERLINK("https://www.webofscience.com/wos/woscc/full-record/WOS:001805795900001","View Record in Web of Science")</f>
        <v>120</v>
      </c>
      <c r="BU189" t="s" s="0">
        <v>82</v>
      </c>
      <c r="BV189" t="s" s="0">
        <v>82</v>
      </c>
      <c r="BW189" t="s" s="0">
        <v>82</v>
      </c>
      <c r="BX189" t="s" s="0">
        <v>121</v>
      </c>
    </row>
    <row r="190">
      <c r="A190" t="s" s="0">
        <v>77</v>
      </c>
      <c r="B190" t="s" s="0">
        <v>77</v>
      </c>
      <c r="C190" t="s" s="0">
        <v>77</v>
      </c>
      <c r="D190" t="s" s="0">
        <v>77</v>
      </c>
      <c r="E190" t="s" s="0">
        <v>4516</v>
      </c>
      <c r="F190" t="s" s="0">
        <v>4517</v>
      </c>
      <c r="G190" t="s" s="0">
        <v>4518</v>
      </c>
      <c r="H190" t="s" s="0">
        <v>82</v>
      </c>
      <c r="I190" t="s" s="0">
        <v>83</v>
      </c>
      <c r="J190" t="s" s="0">
        <v>4519</v>
      </c>
      <c r="K190" t="s" s="0">
        <v>4520</v>
      </c>
      <c r="L190" t="s" s="0">
        <v>4521</v>
      </c>
      <c r="M190" t="s" s="0">
        <v>4521</v>
      </c>
      <c r="N190" t="s" s="0">
        <v>4522</v>
      </c>
      <c r="O190" t="s" s="0">
        <v>4523</v>
      </c>
      <c r="P190" t="s" s="0">
        <v>4524</v>
      </c>
      <c r="Q190" t="s" s="0">
        <v>88</v>
      </c>
      <c r="R190" t="s" s="0">
        <v>82</v>
      </c>
      <c r="S190" t="s" s="0">
        <v>82</v>
      </c>
      <c r="T190" t="s" s="0">
        <v>82</v>
      </c>
      <c r="U190" t="s" s="0">
        <v>82</v>
      </c>
      <c r="V190" t="s" s="0">
        <v>4525</v>
      </c>
      <c r="W190" t="s" s="0">
        <v>4526</v>
      </c>
      <c r="X190" t="s" s="0">
        <v>82</v>
      </c>
      <c r="Y190" t="s" s="0">
        <v>82</v>
      </c>
      <c r="Z190" t="s" s="0">
        <v>91</v>
      </c>
      <c r="AA190" t="s" s="0">
        <v>908</v>
      </c>
      <c r="AB190" t="s" s="0">
        <v>82</v>
      </c>
      <c r="AC190" t="s" s="0">
        <v>82</v>
      </c>
      <c r="AD190" t="s" s="0">
        <v>82</v>
      </c>
      <c r="AE190" t="s" s="0">
        <v>82</v>
      </c>
      <c r="AF190" t="s" s="0">
        <v>82</v>
      </c>
      <c r="AG190" t="s" s="0">
        <v>4527</v>
      </c>
      <c r="AH190" t="s" s="0">
        <v>4528</v>
      </c>
      <c r="AI190" t="s" s="0">
        <v>82</v>
      </c>
      <c r="AJ190" t="s" s="0">
        <v>82</v>
      </c>
      <c r="AK190" t="s" s="0">
        <v>82</v>
      </c>
      <c r="AL190" t="s" s="0">
        <v>209</v>
      </c>
      <c r="AM190" t="s" s="0">
        <v>77</v>
      </c>
      <c r="AN190" t="s" s="0">
        <v>77</v>
      </c>
      <c r="AO190" t="s" s="0">
        <v>77</v>
      </c>
      <c r="AP190" t="s" s="0">
        <v>77</v>
      </c>
      <c r="AQ190" t="s" s="0">
        <v>795</v>
      </c>
      <c r="AR190" t="s" s="0">
        <v>796</v>
      </c>
      <c r="AS190" t="s" s="0">
        <v>797</v>
      </c>
      <c r="AT190" t="s" s="0">
        <v>4529</v>
      </c>
      <c r="AU190" t="s" s="0">
        <v>4530</v>
      </c>
      <c r="AV190" t="s" s="0">
        <v>82</v>
      </c>
      <c r="AW190" t="s" s="0">
        <v>4526</v>
      </c>
      <c r="AX190" t="s" s="0">
        <v>4531</v>
      </c>
      <c r="AY190" t="s" s="0">
        <v>82</v>
      </c>
      <c r="AZ190" t="s" s="0">
        <v>179</v>
      </c>
      <c r="BA190" t="s" s="0">
        <v>82</v>
      </c>
      <c r="BB190" t="s" s="0">
        <v>82</v>
      </c>
      <c r="BC190" t="s" s="0">
        <v>82</v>
      </c>
      <c r="BD190" t="s" s="0">
        <v>82</v>
      </c>
      <c r="BE190" t="s" s="0">
        <v>82</v>
      </c>
      <c r="BF190" t="s" s="0">
        <v>82</v>
      </c>
      <c r="BG190" t="s" s="0">
        <v>82</v>
      </c>
      <c r="BH190" t="s" s="0">
        <v>82</v>
      </c>
      <c r="BI190" t="s" s="0">
        <v>82</v>
      </c>
      <c r="BJ190" t="s" s="0">
        <v>4532</v>
      </c>
      <c r="BK190" t="s" s="377">
        <f>HYPERLINK("http://dx.doi.org/10.1007/s00132-026-04836-7","http://dx.doi.org/10.1007/s00132-026-04836-7")</f>
        <v>4533</v>
      </c>
      <c r="BL190" t="s" s="0">
        <v>82</v>
      </c>
      <c r="BM190" t="s" s="0">
        <v>3404</v>
      </c>
      <c r="BN190" t="s" s="0">
        <v>272</v>
      </c>
      <c r="BO190" t="s" s="0">
        <v>3705</v>
      </c>
      <c r="BP190" t="s" s="0">
        <v>3705</v>
      </c>
      <c r="BQ190" t="s" s="0">
        <v>4534</v>
      </c>
      <c r="BR190" t="s" s="0">
        <v>82</v>
      </c>
      <c r="BS190" t="s" s="0">
        <v>4535</v>
      </c>
      <c r="BT190" t="s" s="378">
        <f>HYPERLINK("https://www.webofscience.com/wos/woscc/full-record/WOS:001757693600001","View Record in Web of Science")</f>
        <v>120</v>
      </c>
      <c r="BU190" t="s" s="0">
        <v>1972</v>
      </c>
      <c r="BV190" t="s" s="0">
        <v>82</v>
      </c>
      <c r="BW190" t="s" s="0">
        <v>82</v>
      </c>
      <c r="BX190" t="s" s="0">
        <v>121</v>
      </c>
    </row>
    <row r="191">
      <c r="A191" t="s" s="0">
        <v>77</v>
      </c>
      <c r="B191" t="s" s="0">
        <v>77</v>
      </c>
      <c r="C191" t="s" s="0">
        <v>77</v>
      </c>
      <c r="D191" t="s" s="0">
        <v>77</v>
      </c>
      <c r="E191" t="s" s="0">
        <v>4536</v>
      </c>
      <c r="F191" t="s" s="0">
        <v>4537</v>
      </c>
      <c r="G191" t="s" s="0">
        <v>4538</v>
      </c>
      <c r="H191" t="s" s="0">
        <v>82</v>
      </c>
      <c r="I191" t="s" s="0">
        <v>83</v>
      </c>
      <c r="J191" t="s" s="0">
        <v>4539</v>
      </c>
      <c r="K191" t="s" s="0">
        <v>4540</v>
      </c>
      <c r="L191" t="s" s="0">
        <v>82</v>
      </c>
      <c r="M191" t="s" s="0">
        <v>82</v>
      </c>
      <c r="N191" t="s" s="0">
        <v>82</v>
      </c>
      <c r="O191" t="s" s="0">
        <v>4541</v>
      </c>
      <c r="P191" t="s" s="0">
        <v>4542</v>
      </c>
      <c r="Q191" t="s" s="0">
        <v>88</v>
      </c>
      <c r="R191" t="s" s="0">
        <v>82</v>
      </c>
      <c r="S191" t="s" s="0">
        <v>82</v>
      </c>
      <c r="T191" t="s" s="0">
        <v>82</v>
      </c>
      <c r="U191" t="s" s="0">
        <v>82</v>
      </c>
      <c r="V191" t="s" s="0">
        <v>4543</v>
      </c>
      <c r="W191" t="s" s="0">
        <v>4544</v>
      </c>
      <c r="X191" t="s" s="0">
        <v>82</v>
      </c>
      <c r="Y191" t="s" s="0">
        <v>82</v>
      </c>
      <c r="Z191" t="s" s="0">
        <v>91</v>
      </c>
      <c r="AA191" t="s" s="0">
        <v>92</v>
      </c>
      <c r="AB191" t="s" s="0">
        <v>82</v>
      </c>
      <c r="AC191" t="s" s="0">
        <v>82</v>
      </c>
      <c r="AD191" t="s" s="0">
        <v>82</v>
      </c>
      <c r="AE191" t="s" s="0">
        <v>82</v>
      </c>
      <c r="AF191" t="s" s="0">
        <v>82</v>
      </c>
      <c r="AG191" t="s" s="0">
        <v>4545</v>
      </c>
      <c r="AH191" t="s" s="0">
        <v>82</v>
      </c>
      <c r="AI191" t="s" s="0">
        <v>82</v>
      </c>
      <c r="AJ191" t="s" s="0">
        <v>82</v>
      </c>
      <c r="AK191" t="s" s="0">
        <v>82</v>
      </c>
      <c r="AL191" t="s" s="0">
        <v>1505</v>
      </c>
      <c r="AM191" t="s" s="0">
        <v>78</v>
      </c>
      <c r="AN191" t="s" s="0">
        <v>78</v>
      </c>
      <c r="AO191" t="s" s="0">
        <v>235</v>
      </c>
      <c r="AP191" t="s" s="0">
        <v>235</v>
      </c>
      <c r="AQ191" t="s" s="0">
        <v>3001</v>
      </c>
      <c r="AR191" t="s" s="0">
        <v>3002</v>
      </c>
      <c r="AS191" t="s" s="0">
        <v>3003</v>
      </c>
      <c r="AT191" t="s" s="0">
        <v>82</v>
      </c>
      <c r="AU191" t="s" s="0">
        <v>4546</v>
      </c>
      <c r="AV191" t="s" s="0">
        <v>82</v>
      </c>
      <c r="AW191" t="s" s="0">
        <v>4547</v>
      </c>
      <c r="AX191" t="s" s="0">
        <v>4548</v>
      </c>
      <c r="AY191" t="s" s="0">
        <v>4549</v>
      </c>
      <c r="AZ191" t="s" s="0">
        <v>179</v>
      </c>
      <c r="BA191" t="s" s="0">
        <v>184</v>
      </c>
      <c r="BB191" t="s" s="0">
        <v>82</v>
      </c>
      <c r="BC191" t="s" s="0">
        <v>82</v>
      </c>
      <c r="BD191" t="s" s="0">
        <v>82</v>
      </c>
      <c r="BE191" t="s" s="0">
        <v>82</v>
      </c>
      <c r="BF191" t="s" s="0">
        <v>82</v>
      </c>
      <c r="BG191" t="s" s="0">
        <v>82</v>
      </c>
      <c r="BH191" t="s" s="0">
        <v>82</v>
      </c>
      <c r="BI191" t="s" s="0">
        <v>4550</v>
      </c>
      <c r="BJ191" t="s" s="0">
        <v>4551</v>
      </c>
      <c r="BK191" t="s" s="379">
        <f>HYPERLINK("http://dx.doi.org/10.3389/fmed.2026.1770007","http://dx.doi.org/10.3389/fmed.2026.1770007")</f>
        <v>4552</v>
      </c>
      <c r="BL191" t="s" s="0">
        <v>82</v>
      </c>
      <c r="BM191" t="s" s="0">
        <v>82</v>
      </c>
      <c r="BN191" t="s" s="0">
        <v>148</v>
      </c>
      <c r="BO191" t="s" s="0">
        <v>1803</v>
      </c>
      <c r="BP191" t="s" s="0">
        <v>1804</v>
      </c>
      <c r="BQ191" t="s" s="0">
        <v>4553</v>
      </c>
      <c r="BR191" t="s" s="0">
        <v>4554</v>
      </c>
      <c r="BS191" t="s" s="0">
        <v>4555</v>
      </c>
      <c r="BT191" t="s" s="380">
        <f>HYPERLINK("https://www.webofscience.com/wos/woscc/full-record/WOS:001721663900001","View Record in Web of Science")</f>
        <v>120</v>
      </c>
      <c r="BU191" t="s" s="0">
        <v>189</v>
      </c>
      <c r="BV191" t="s" s="0">
        <v>82</v>
      </c>
      <c r="BW191" t="s" s="0">
        <v>82</v>
      </c>
      <c r="BX191" t="s" s="0">
        <v>121</v>
      </c>
    </row>
    <row r="192">
      <c r="A192" t="s" s="0">
        <v>77</v>
      </c>
      <c r="B192" t="s" s="0">
        <v>77</v>
      </c>
      <c r="C192" t="s" s="0">
        <v>77</v>
      </c>
      <c r="D192" t="s" s="0">
        <v>77</v>
      </c>
      <c r="E192" t="s" s="0">
        <v>4556</v>
      </c>
      <c r="F192" t="s" s="0">
        <v>4557</v>
      </c>
      <c r="G192" t="s" s="0">
        <v>4558</v>
      </c>
      <c r="H192" t="s" s="0">
        <v>82</v>
      </c>
      <c r="I192" t="s" s="0">
        <v>83</v>
      </c>
      <c r="J192" t="s" s="0">
        <v>4559</v>
      </c>
      <c r="K192" t="s" s="0">
        <v>4560</v>
      </c>
      <c r="L192" t="s" s="0">
        <v>82</v>
      </c>
      <c r="M192" t="s" s="0">
        <v>82</v>
      </c>
      <c r="N192" t="s" s="0">
        <v>82</v>
      </c>
      <c r="O192" t="s" s="0">
        <v>4561</v>
      </c>
      <c r="P192" t="s" s="0">
        <v>4562</v>
      </c>
      <c r="Q192" t="s" s="0">
        <v>88</v>
      </c>
      <c r="R192" t="s" s="0">
        <v>82</v>
      </c>
      <c r="S192" t="s" s="0">
        <v>82</v>
      </c>
      <c r="T192" t="s" s="0">
        <v>82</v>
      </c>
      <c r="U192" t="s" s="0">
        <v>82</v>
      </c>
      <c r="V192" t="s" s="0">
        <v>4563</v>
      </c>
      <c r="W192" t="s" s="0">
        <v>4564</v>
      </c>
      <c r="X192" t="s" s="0">
        <v>82</v>
      </c>
      <c r="Y192" t="s" s="0">
        <v>82</v>
      </c>
      <c r="Z192" t="s" s="0">
        <v>91</v>
      </c>
      <c r="AA192" t="s" s="0">
        <v>92</v>
      </c>
      <c r="AB192" t="s" s="0">
        <v>82</v>
      </c>
      <c r="AC192" t="s" s="0">
        <v>82</v>
      </c>
      <c r="AD192" t="s" s="0">
        <v>82</v>
      </c>
      <c r="AE192" t="s" s="0">
        <v>82</v>
      </c>
      <c r="AF192" t="s" s="0">
        <v>82</v>
      </c>
      <c r="AG192" t="s" s="0">
        <v>4565</v>
      </c>
      <c r="AH192" t="s" s="0">
        <v>4566</v>
      </c>
      <c r="AI192" t="s" s="0">
        <v>4567</v>
      </c>
      <c r="AJ192" t="s" s="0">
        <v>82</v>
      </c>
      <c r="AK192" t="s" s="0">
        <v>82</v>
      </c>
      <c r="AL192" t="s" s="0">
        <v>1532</v>
      </c>
      <c r="AM192" t="s" s="0">
        <v>77</v>
      </c>
      <c r="AN192" t="s" s="0">
        <v>77</v>
      </c>
      <c r="AO192" t="s" s="0">
        <v>77</v>
      </c>
      <c r="AP192" t="s" s="0">
        <v>77</v>
      </c>
      <c r="AQ192" t="s" s="0">
        <v>4568</v>
      </c>
      <c r="AR192" t="s" s="0">
        <v>384</v>
      </c>
      <c r="AS192" t="s" s="0">
        <v>4569</v>
      </c>
      <c r="AT192" t="s" s="0">
        <v>4570</v>
      </c>
      <c r="AU192" t="s" s="0">
        <v>4571</v>
      </c>
      <c r="AV192" t="s" s="0">
        <v>82</v>
      </c>
      <c r="AW192" t="s" s="0">
        <v>4572</v>
      </c>
      <c r="AX192" t="s" s="0">
        <v>4573</v>
      </c>
      <c r="AY192" t="s" s="0">
        <v>1025</v>
      </c>
      <c r="AZ192" t="s" s="0">
        <v>179</v>
      </c>
      <c r="BA192" t="s" s="0">
        <v>4574</v>
      </c>
      <c r="BB192" t="s" s="0">
        <v>82</v>
      </c>
      <c r="BC192" t="s" s="0">
        <v>82</v>
      </c>
      <c r="BD192" t="s" s="0">
        <v>82</v>
      </c>
      <c r="BE192" t="s" s="0">
        <v>82</v>
      </c>
      <c r="BF192" t="s" s="0">
        <v>82</v>
      </c>
      <c r="BG192" t="s" s="0">
        <v>82</v>
      </c>
      <c r="BH192" t="s" s="0">
        <v>82</v>
      </c>
      <c r="BI192" t="s" s="0">
        <v>4575</v>
      </c>
      <c r="BJ192" t="s" s="0">
        <v>4576</v>
      </c>
      <c r="BK192" t="s" s="381">
        <f>HYPERLINK("http://dx.doi.org/10.1016/j.humpath.2026.106156","http://dx.doi.org/10.1016/j.humpath.2026.106156")</f>
        <v>4577</v>
      </c>
      <c r="BL192" t="s" s="0">
        <v>82</v>
      </c>
      <c r="BM192" t="s" s="0">
        <v>82</v>
      </c>
      <c r="BN192" t="s" s="0">
        <v>115</v>
      </c>
      <c r="BO192" t="s" s="0">
        <v>4578</v>
      </c>
      <c r="BP192" t="s" s="0">
        <v>4578</v>
      </c>
      <c r="BQ192" t="s" s="0">
        <v>4579</v>
      </c>
      <c r="BR192" t="s" s="0">
        <v>4580</v>
      </c>
      <c r="BS192" t="s" s="0">
        <v>4581</v>
      </c>
      <c r="BT192" t="s" s="382">
        <f>HYPERLINK("https://www.webofscience.com/wos/woscc/full-record/WOS:001790434000001","View Record in Web of Science")</f>
        <v>120</v>
      </c>
      <c r="BU192" t="s" s="0">
        <v>82</v>
      </c>
      <c r="BV192" t="s" s="0">
        <v>82</v>
      </c>
      <c r="BW192" t="s" s="0">
        <v>82</v>
      </c>
      <c r="BX192" t="s" s="0">
        <v>121</v>
      </c>
    </row>
    <row r="193">
      <c r="A193" t="s" s="0">
        <v>77</v>
      </c>
      <c r="B193" t="s" s="0">
        <v>77</v>
      </c>
      <c r="C193" t="s" s="0">
        <v>77</v>
      </c>
      <c r="D193" t="s" s="0">
        <v>77</v>
      </c>
      <c r="E193" t="s" s="0">
        <v>4582</v>
      </c>
      <c r="F193" t="s" s="0">
        <v>4583</v>
      </c>
      <c r="G193" t="s" s="0">
        <v>4584</v>
      </c>
      <c r="H193" t="s" s="0">
        <v>82</v>
      </c>
      <c r="I193" t="s" s="0">
        <v>83</v>
      </c>
      <c r="J193" t="s" s="0">
        <v>4585</v>
      </c>
      <c r="K193" t="s" s="0">
        <v>4586</v>
      </c>
      <c r="L193" t="s" s="0">
        <v>82</v>
      </c>
      <c r="M193" t="s" s="0">
        <v>82</v>
      </c>
      <c r="N193" t="s" s="0">
        <v>82</v>
      </c>
      <c r="O193" t="s" s="0">
        <v>4587</v>
      </c>
      <c r="P193" t="s" s="0">
        <v>4588</v>
      </c>
      <c r="Q193" t="s" s="0">
        <v>88</v>
      </c>
      <c r="R193" t="s" s="0">
        <v>82</v>
      </c>
      <c r="S193" t="s" s="0">
        <v>82</v>
      </c>
      <c r="T193" t="s" s="0">
        <v>82</v>
      </c>
      <c r="U193" t="s" s="0">
        <v>82</v>
      </c>
      <c r="V193" t="s" s="0">
        <v>4589</v>
      </c>
      <c r="W193" t="s" s="0">
        <v>4590</v>
      </c>
      <c r="X193" t="s" s="0">
        <v>82</v>
      </c>
      <c r="Y193" t="s" s="0">
        <v>82</v>
      </c>
      <c r="Z193" t="s" s="0">
        <v>91</v>
      </c>
      <c r="AA193" t="s" s="0">
        <v>92</v>
      </c>
      <c r="AB193" t="s" s="0">
        <v>82</v>
      </c>
      <c r="AC193" t="s" s="0">
        <v>82</v>
      </c>
      <c r="AD193" t="s" s="0">
        <v>82</v>
      </c>
      <c r="AE193" t="s" s="0">
        <v>82</v>
      </c>
      <c r="AF193" t="s" s="0">
        <v>82</v>
      </c>
      <c r="AG193" t="s" s="0">
        <v>4591</v>
      </c>
      <c r="AH193" t="s" s="0">
        <v>82</v>
      </c>
      <c r="AI193" t="s" s="0">
        <v>4592</v>
      </c>
      <c r="AJ193" t="s" s="0">
        <v>4593</v>
      </c>
      <c r="AK193" t="s" s="0">
        <v>82</v>
      </c>
      <c r="AL193" t="s" s="0">
        <v>449</v>
      </c>
      <c r="AM193" t="s" s="0">
        <v>148</v>
      </c>
      <c r="AN193" t="s" s="0">
        <v>148</v>
      </c>
      <c r="AO193" t="s" s="0">
        <v>78</v>
      </c>
      <c r="AP193" t="s" s="0">
        <v>272</v>
      </c>
      <c r="AQ193" t="s" s="0">
        <v>605</v>
      </c>
      <c r="AR193" t="s" s="0">
        <v>606</v>
      </c>
      <c r="AS193" t="s" s="0">
        <v>607</v>
      </c>
      <c r="AT193" t="s" s="0">
        <v>4594</v>
      </c>
      <c r="AU193" t="s" s="0">
        <v>4595</v>
      </c>
      <c r="AV193" t="s" s="0">
        <v>82</v>
      </c>
      <c r="AW193" t="s" s="0">
        <v>4596</v>
      </c>
      <c r="AX193" t="s" s="0">
        <v>4597</v>
      </c>
      <c r="AY193" t="s" s="0">
        <v>1688</v>
      </c>
      <c r="AZ193" t="s" s="0">
        <v>108</v>
      </c>
      <c r="BA193" t="s" s="0">
        <v>473</v>
      </c>
      <c r="BB193" t="s" s="0">
        <v>148</v>
      </c>
      <c r="BC193" t="s" s="0">
        <v>82</v>
      </c>
      <c r="BD193" t="s" s="0">
        <v>82</v>
      </c>
      <c r="BE193" t="s" s="0">
        <v>82</v>
      </c>
      <c r="BF193" t="s" s="0">
        <v>82</v>
      </c>
      <c r="BG193" t="s" s="0">
        <v>4598</v>
      </c>
      <c r="BH193" t="s" s="0">
        <v>4599</v>
      </c>
      <c r="BI193" t="s" s="0">
        <v>82</v>
      </c>
      <c r="BJ193" t="s" s="0">
        <v>4600</v>
      </c>
      <c r="BK193" t="s" s="383">
        <f>HYPERLINK("http://dx.doi.org/10.1111/odi.70009","http://dx.doi.org/10.1111/odi.70009")</f>
        <v>4601</v>
      </c>
      <c r="BL193" t="s" s="0">
        <v>82</v>
      </c>
      <c r="BM193" t="s" s="0">
        <v>611</v>
      </c>
      <c r="BN193" t="s" s="0">
        <v>307</v>
      </c>
      <c r="BO193" t="s" s="0">
        <v>920</v>
      </c>
      <c r="BP193" t="s" s="0">
        <v>920</v>
      </c>
      <c r="BQ193" t="s" s="0">
        <v>4602</v>
      </c>
      <c r="BR193" t="s" s="0">
        <v>4603</v>
      </c>
      <c r="BS193" t="s" s="0">
        <v>4604</v>
      </c>
      <c r="BT193" t="s" s="384">
        <f>HYPERLINK("https://www.webofscience.com/wos/woscc/full-record/WOS:001512808900001","View Record in Web of Science")</f>
        <v>120</v>
      </c>
      <c r="BU193" t="s" s="0">
        <v>924</v>
      </c>
      <c r="BV193" t="s" s="0">
        <v>82</v>
      </c>
      <c r="BW193" t="s" s="0">
        <v>82</v>
      </c>
      <c r="BX193" t="s" s="0">
        <v>121</v>
      </c>
    </row>
    <row r="194">
      <c r="A194" t="s" s="0">
        <v>77</v>
      </c>
      <c r="B194" t="s" s="0">
        <v>77</v>
      </c>
      <c r="C194" t="s" s="0">
        <v>99</v>
      </c>
      <c r="D194" t="s" s="0">
        <v>77</v>
      </c>
      <c r="E194" t="s" s="0">
        <v>4605</v>
      </c>
      <c r="F194" t="s" s="0">
        <v>4606</v>
      </c>
      <c r="G194" t="s" s="0">
        <v>4607</v>
      </c>
      <c r="H194" t="s" s="0">
        <v>82</v>
      </c>
      <c r="I194" t="s" s="0">
        <v>83</v>
      </c>
      <c r="J194" t="s" s="0">
        <v>4608</v>
      </c>
      <c r="K194" t="s" s="0">
        <v>4609</v>
      </c>
      <c r="L194" t="s" s="0">
        <v>4610</v>
      </c>
      <c r="M194" t="s" s="0">
        <v>4611</v>
      </c>
      <c r="N194" t="s" s="0">
        <v>4612</v>
      </c>
      <c r="O194" t="s" s="0">
        <v>4613</v>
      </c>
      <c r="P194" t="s" s="0">
        <v>4614</v>
      </c>
      <c r="Q194" t="s" s="0">
        <v>88</v>
      </c>
      <c r="R194" t="s" s="0">
        <v>82</v>
      </c>
      <c r="S194" t="s" s="0">
        <v>82</v>
      </c>
      <c r="T194" t="s" s="0">
        <v>82</v>
      </c>
      <c r="U194" t="s" s="0">
        <v>82</v>
      </c>
      <c r="V194" t="s" s="0">
        <v>4615</v>
      </c>
      <c r="W194" t="s" s="0">
        <v>936</v>
      </c>
      <c r="X194" t="s" s="0">
        <v>82</v>
      </c>
      <c r="Y194" t="s" s="0">
        <v>82</v>
      </c>
      <c r="Z194" t="s" s="0">
        <v>91</v>
      </c>
      <c r="AA194" t="s" s="0">
        <v>92</v>
      </c>
      <c r="AB194" t="s" s="0">
        <v>82</v>
      </c>
      <c r="AC194" t="s" s="0">
        <v>82</v>
      </c>
      <c r="AD194" t="s" s="0">
        <v>82</v>
      </c>
      <c r="AE194" t="s" s="0">
        <v>82</v>
      </c>
      <c r="AF194" t="s" s="0">
        <v>82</v>
      </c>
      <c r="AG194" t="s" s="0">
        <v>4616</v>
      </c>
      <c r="AH194" t="s" s="0">
        <v>82</v>
      </c>
      <c r="AI194" t="s" s="0">
        <v>4617</v>
      </c>
      <c r="AJ194" t="s" s="0">
        <v>4618</v>
      </c>
      <c r="AK194" t="s" s="0">
        <v>82</v>
      </c>
      <c r="AL194" t="s" s="0">
        <v>556</v>
      </c>
      <c r="AM194" t="s" s="0">
        <v>794</v>
      </c>
      <c r="AN194" t="s" s="0">
        <v>140</v>
      </c>
      <c r="AO194" t="s" s="0">
        <v>1004</v>
      </c>
      <c r="AP194" t="s" s="0">
        <v>850</v>
      </c>
      <c r="AQ194" t="s" s="0">
        <v>795</v>
      </c>
      <c r="AR194" t="s" s="0">
        <v>796</v>
      </c>
      <c r="AS194" t="s" s="0">
        <v>797</v>
      </c>
      <c r="AT194" t="s" s="0">
        <v>940</v>
      </c>
      <c r="AU194" t="s" s="0">
        <v>941</v>
      </c>
      <c r="AV194" t="s" s="0">
        <v>82</v>
      </c>
      <c r="AW194" t="s" s="0">
        <v>942</v>
      </c>
      <c r="AX194" t="s" s="0">
        <v>943</v>
      </c>
      <c r="AY194" t="s" s="0">
        <v>2022</v>
      </c>
      <c r="AZ194" t="s" s="0">
        <v>108</v>
      </c>
      <c r="BA194" t="s" s="0">
        <v>391</v>
      </c>
      <c r="BB194" t="s" s="0">
        <v>98</v>
      </c>
      <c r="BC194" t="s" s="0">
        <v>82</v>
      </c>
      <c r="BD194" t="s" s="0">
        <v>82</v>
      </c>
      <c r="BE194" t="s" s="0">
        <v>82</v>
      </c>
      <c r="BF194" t="s" s="0">
        <v>82</v>
      </c>
      <c r="BG194" t="s" s="0">
        <v>4619</v>
      </c>
      <c r="BH194" t="s" s="0">
        <v>4620</v>
      </c>
      <c r="BI194" t="s" s="0">
        <v>82</v>
      </c>
      <c r="BJ194" t="s" s="0">
        <v>4621</v>
      </c>
      <c r="BK194" t="s" s="385">
        <f>HYPERLINK("http://dx.doi.org/10.1007/s00330-024-11339-6","http://dx.doi.org/10.1007/s00330-024-11339-6")</f>
        <v>4622</v>
      </c>
      <c r="BL194" t="s" s="0">
        <v>82</v>
      </c>
      <c r="BM194" t="s" s="0">
        <v>1124</v>
      </c>
      <c r="BN194" t="s" s="0">
        <v>184</v>
      </c>
      <c r="BO194" t="s" s="0">
        <v>717</v>
      </c>
      <c r="BP194" t="s" s="0">
        <v>717</v>
      </c>
      <c r="BQ194" t="s" s="0">
        <v>4623</v>
      </c>
      <c r="BR194" t="s" s="0">
        <v>4624</v>
      </c>
      <c r="BS194" t="s" s="0">
        <v>4625</v>
      </c>
      <c r="BT194" t="s" s="386">
        <f>HYPERLINK("https://www.webofscience.com/wos/woscc/full-record/WOS:001396132800001","View Record in Web of Science")</f>
        <v>120</v>
      </c>
      <c r="BU194" t="s" s="0">
        <v>924</v>
      </c>
      <c r="BV194" t="s" s="0">
        <v>82</v>
      </c>
      <c r="BW194" t="s" s="0">
        <v>82</v>
      </c>
      <c r="BX194" t="s" s="0">
        <v>121</v>
      </c>
    </row>
    <row r="195">
      <c r="A195" t="s" s="0">
        <v>77</v>
      </c>
      <c r="B195" t="s" s="0">
        <v>77</v>
      </c>
      <c r="C195" t="s" s="0">
        <v>78</v>
      </c>
      <c r="D195" t="s" s="0">
        <v>77</v>
      </c>
      <c r="E195" t="s" s="0">
        <v>4626</v>
      </c>
      <c r="F195" t="s" s="0">
        <v>4627</v>
      </c>
      <c r="G195" t="s" s="0">
        <v>4628</v>
      </c>
      <c r="H195" t="s" s="0">
        <v>82</v>
      </c>
      <c r="I195" t="s" s="0">
        <v>83</v>
      </c>
      <c r="J195" t="s" s="0">
        <v>4629</v>
      </c>
      <c r="K195" t="s" s="0">
        <v>4630</v>
      </c>
      <c r="L195" t="s" s="0">
        <v>4631</v>
      </c>
      <c r="M195" t="s" s="0">
        <v>4632</v>
      </c>
      <c r="N195" t="s" s="0">
        <v>4633</v>
      </c>
      <c r="O195" t="s" s="0">
        <v>4634</v>
      </c>
      <c r="P195" t="s" s="0">
        <v>4635</v>
      </c>
      <c r="Q195" t="s" s="0">
        <v>88</v>
      </c>
      <c r="R195" t="s" s="0">
        <v>82</v>
      </c>
      <c r="S195" t="s" s="0">
        <v>82</v>
      </c>
      <c r="T195" t="s" s="0">
        <v>82</v>
      </c>
      <c r="U195" t="s" s="0">
        <v>82</v>
      </c>
      <c r="V195" t="s" s="0">
        <v>4636</v>
      </c>
      <c r="W195" t="s" s="0">
        <v>4637</v>
      </c>
      <c r="X195" t="s" s="0">
        <v>82</v>
      </c>
      <c r="Y195" t="s" s="0">
        <v>82</v>
      </c>
      <c r="Z195" t="s" s="0">
        <v>91</v>
      </c>
      <c r="AA195" t="s" s="0">
        <v>92</v>
      </c>
      <c r="AB195" t="s" s="0">
        <v>82</v>
      </c>
      <c r="AC195" t="s" s="0">
        <v>82</v>
      </c>
      <c r="AD195" t="s" s="0">
        <v>82</v>
      </c>
      <c r="AE195" t="s" s="0">
        <v>82</v>
      </c>
      <c r="AF195" t="s" s="0">
        <v>82</v>
      </c>
      <c r="AG195" t="s" s="0">
        <v>4638</v>
      </c>
      <c r="AH195" t="s" s="0">
        <v>4639</v>
      </c>
      <c r="AI195" t="s" s="0">
        <v>4640</v>
      </c>
      <c r="AJ195" t="s" s="0">
        <v>4641</v>
      </c>
      <c r="AK195" t="s" s="0">
        <v>82</v>
      </c>
      <c r="AL195" t="s" s="0">
        <v>3257</v>
      </c>
      <c r="AM195" t="s" s="0">
        <v>363</v>
      </c>
      <c r="AN195" t="s" s="0">
        <v>307</v>
      </c>
      <c r="AO195" t="s" s="0">
        <v>272</v>
      </c>
      <c r="AP195" t="s" s="0">
        <v>763</v>
      </c>
      <c r="AQ195" t="s" s="0">
        <v>296</v>
      </c>
      <c r="AR195" t="s" s="0">
        <v>297</v>
      </c>
      <c r="AS195" t="s" s="0">
        <v>298</v>
      </c>
      <c r="AT195" t="s" s="0">
        <v>4642</v>
      </c>
      <c r="AU195" t="s" s="0">
        <v>4643</v>
      </c>
      <c r="AV195" t="s" s="0">
        <v>82</v>
      </c>
      <c r="AW195" t="s" s="0">
        <v>4644</v>
      </c>
      <c r="AX195" t="s" s="0">
        <v>4645</v>
      </c>
      <c r="AY195" t="s" s="0">
        <v>1688</v>
      </c>
      <c r="AZ195" t="s" s="0">
        <v>108</v>
      </c>
      <c r="BA195" t="s" s="0">
        <v>4646</v>
      </c>
      <c r="BB195" t="s" s="0">
        <v>82</v>
      </c>
      <c r="BC195" t="s" s="0">
        <v>82</v>
      </c>
      <c r="BD195" t="s" s="0">
        <v>82</v>
      </c>
      <c r="BE195" t="s" s="0">
        <v>82</v>
      </c>
      <c r="BF195" t="s" s="0">
        <v>82</v>
      </c>
      <c r="BG195" t="s" s="0">
        <v>82</v>
      </c>
      <c r="BH195" t="s" s="0">
        <v>82</v>
      </c>
      <c r="BI195" t="s" s="0">
        <v>4647</v>
      </c>
      <c r="BJ195" t="s" s="0">
        <v>4648</v>
      </c>
      <c r="BK195" t="s" s="387">
        <f>HYPERLINK("http://dx.doi.org/10.1016/j.artmed.2025.103265","http://dx.doi.org/10.1016/j.artmed.2025.103265")</f>
        <v>4649</v>
      </c>
      <c r="BL195" t="s" s="0">
        <v>82</v>
      </c>
      <c r="BM195" t="s" s="0">
        <v>107</v>
      </c>
      <c r="BN195" t="s" s="0">
        <v>139</v>
      </c>
      <c r="BO195" t="s" s="0">
        <v>4650</v>
      </c>
      <c r="BP195" t="s" s="0">
        <v>4651</v>
      </c>
      <c r="BQ195" t="s" s="0">
        <v>4652</v>
      </c>
      <c r="BR195" t="s" s="0">
        <v>4653</v>
      </c>
      <c r="BS195" t="s" s="0">
        <v>4654</v>
      </c>
      <c r="BT195" t="s" s="388">
        <f>HYPERLINK("https://www.webofscience.com/wos/woscc/full-record/WOS:001576896300001","View Record in Web of Science")</f>
        <v>120</v>
      </c>
      <c r="BU195" t="s" s="0">
        <v>82</v>
      </c>
      <c r="BV195" t="s" s="0">
        <v>82</v>
      </c>
      <c r="BW195" t="s" s="0">
        <v>82</v>
      </c>
      <c r="BX195" t="s" s="0">
        <v>121</v>
      </c>
    </row>
    <row r="196">
      <c r="A196" t="s" s="0">
        <v>77</v>
      </c>
      <c r="B196" t="s" s="0">
        <v>77</v>
      </c>
      <c r="C196" t="s" s="0">
        <v>77</v>
      </c>
      <c r="D196" t="s" s="0">
        <v>77</v>
      </c>
      <c r="E196" t="s" s="0">
        <v>4655</v>
      </c>
      <c r="F196" t="s" s="0">
        <v>4656</v>
      </c>
      <c r="G196" t="s" s="0">
        <v>4657</v>
      </c>
      <c r="H196" t="s" s="0">
        <v>82</v>
      </c>
      <c r="I196" t="s" s="0">
        <v>83</v>
      </c>
      <c r="J196" t="s" s="0">
        <v>4658</v>
      </c>
      <c r="K196" t="s" s="0">
        <v>4659</v>
      </c>
      <c r="L196" t="s" s="0">
        <v>4660</v>
      </c>
      <c r="M196" t="s" s="0">
        <v>4661</v>
      </c>
      <c r="N196" t="s" s="0">
        <v>4662</v>
      </c>
      <c r="O196" t="s" s="0">
        <v>4663</v>
      </c>
      <c r="P196" t="s" s="0">
        <v>4664</v>
      </c>
      <c r="Q196" t="s" s="0">
        <v>88</v>
      </c>
      <c r="R196" t="s" s="0">
        <v>82</v>
      </c>
      <c r="S196" t="s" s="0">
        <v>82</v>
      </c>
      <c r="T196" t="s" s="0">
        <v>82</v>
      </c>
      <c r="U196" t="s" s="0">
        <v>82</v>
      </c>
      <c r="V196" t="s" s="0">
        <v>4665</v>
      </c>
      <c r="W196" t="s" s="0">
        <v>201</v>
      </c>
      <c r="X196" t="s" s="0">
        <v>82</v>
      </c>
      <c r="Y196" t="s" s="0">
        <v>82</v>
      </c>
      <c r="Z196" t="s" s="0">
        <v>91</v>
      </c>
      <c r="AA196" t="s" s="0">
        <v>92</v>
      </c>
      <c r="AB196" t="s" s="0">
        <v>82</v>
      </c>
      <c r="AC196" t="s" s="0">
        <v>82</v>
      </c>
      <c r="AD196" t="s" s="0">
        <v>82</v>
      </c>
      <c r="AE196" t="s" s="0">
        <v>82</v>
      </c>
      <c r="AF196" t="s" s="0">
        <v>82</v>
      </c>
      <c r="AG196" t="s" s="0">
        <v>4666</v>
      </c>
      <c r="AH196" t="s" s="0">
        <v>4667</v>
      </c>
      <c r="AI196" t="s" s="0">
        <v>4668</v>
      </c>
      <c r="AJ196" t="s" s="0">
        <v>82</v>
      </c>
      <c r="AK196" t="s" s="0">
        <v>82</v>
      </c>
      <c r="AL196" t="s" s="0">
        <v>2321</v>
      </c>
      <c r="AM196" t="s" s="0">
        <v>78</v>
      </c>
      <c r="AN196" t="s" s="0">
        <v>78</v>
      </c>
      <c r="AO196" t="s" s="0">
        <v>78</v>
      </c>
      <c r="AP196" t="s" s="0">
        <v>78</v>
      </c>
      <c r="AQ196" t="s" s="0">
        <v>172</v>
      </c>
      <c r="AR196" t="s" s="0">
        <v>173</v>
      </c>
      <c r="AS196" t="s" s="0">
        <v>174</v>
      </c>
      <c r="AT196" t="s" s="0">
        <v>205</v>
      </c>
      <c r="AU196" t="s" s="0">
        <v>82</v>
      </c>
      <c r="AV196" t="s" s="0">
        <v>82</v>
      </c>
      <c r="AW196" t="s" s="0">
        <v>206</v>
      </c>
      <c r="AX196" t="s" s="0">
        <v>207</v>
      </c>
      <c r="AY196" t="s" s="0">
        <v>4669</v>
      </c>
      <c r="AZ196" t="s" s="0">
        <v>108</v>
      </c>
      <c r="BA196" t="s" s="0">
        <v>209</v>
      </c>
      <c r="BB196" t="s" s="0">
        <v>78</v>
      </c>
      <c r="BC196" t="s" s="0">
        <v>82</v>
      </c>
      <c r="BD196" t="s" s="0">
        <v>82</v>
      </c>
      <c r="BE196" t="s" s="0">
        <v>82</v>
      </c>
      <c r="BF196" t="s" s="0">
        <v>82</v>
      </c>
      <c r="BG196" t="s" s="0">
        <v>82</v>
      </c>
      <c r="BH196" t="s" s="0">
        <v>82</v>
      </c>
      <c r="BI196" t="s" s="0">
        <v>1575</v>
      </c>
      <c r="BJ196" t="s" s="0">
        <v>4670</v>
      </c>
      <c r="BK196" t="s" s="389">
        <f>HYPERLINK("http://dx.doi.org/10.1038/s41598-025-29299-2","http://dx.doi.org/10.1038/s41598-025-29299-2")</f>
        <v>4671</v>
      </c>
      <c r="BL196" t="s" s="0">
        <v>82</v>
      </c>
      <c r="BM196" t="s" s="0">
        <v>82</v>
      </c>
      <c r="BN196" t="s" s="0">
        <v>148</v>
      </c>
      <c r="BO196" t="s" s="0">
        <v>213</v>
      </c>
      <c r="BP196" t="s" s="0">
        <v>214</v>
      </c>
      <c r="BQ196" t="s" s="0">
        <v>4672</v>
      </c>
      <c r="BR196" t="s" s="0">
        <v>4673</v>
      </c>
      <c r="BS196" t="s" s="0">
        <v>4674</v>
      </c>
      <c r="BT196" t="s" s="390">
        <f>HYPERLINK("https://www.webofscience.com/wos/woscc/full-record/WOS:001653304400002","View Record in Web of Science")</f>
        <v>120</v>
      </c>
      <c r="BU196" t="s" s="0">
        <v>189</v>
      </c>
      <c r="BV196" t="s" s="0">
        <v>82</v>
      </c>
      <c r="BW196" t="s" s="0">
        <v>82</v>
      </c>
      <c r="BX196" t="s" s="0">
        <v>121</v>
      </c>
    </row>
    <row r="197">
      <c r="A197" t="s" s="0">
        <v>77</v>
      </c>
      <c r="B197" t="s" s="0">
        <v>77</v>
      </c>
      <c r="C197" t="s" s="0">
        <v>77</v>
      </c>
      <c r="D197" t="s" s="0">
        <v>77</v>
      </c>
      <c r="E197" t="s" s="0">
        <v>4675</v>
      </c>
      <c r="F197" t="s" s="0">
        <v>4676</v>
      </c>
      <c r="G197" t="s" s="0">
        <v>4677</v>
      </c>
      <c r="H197" t="s" s="0">
        <v>82</v>
      </c>
      <c r="I197" t="s" s="0">
        <v>83</v>
      </c>
      <c r="J197" t="s" s="0">
        <v>4678</v>
      </c>
      <c r="K197" t="s" s="0">
        <v>4679</v>
      </c>
      <c r="L197" t="s" s="0">
        <v>4680</v>
      </c>
      <c r="M197" t="s" s="0">
        <v>4681</v>
      </c>
      <c r="N197" t="s" s="0">
        <v>4682</v>
      </c>
      <c r="O197" t="s" s="0">
        <v>4683</v>
      </c>
      <c r="P197" t="s" s="0">
        <v>4684</v>
      </c>
      <c r="Q197" t="s" s="0">
        <v>88</v>
      </c>
      <c r="R197" t="s" s="0">
        <v>82</v>
      </c>
      <c r="S197" t="s" s="0">
        <v>82</v>
      </c>
      <c r="T197" t="s" s="0">
        <v>82</v>
      </c>
      <c r="U197" t="s" s="0">
        <v>82</v>
      </c>
      <c r="V197" t="s" s="0">
        <v>4685</v>
      </c>
      <c r="W197" t="s" s="0">
        <v>169</v>
      </c>
      <c r="X197" t="s" s="0">
        <v>82</v>
      </c>
      <c r="Y197" t="s" s="0">
        <v>82</v>
      </c>
      <c r="Z197" t="s" s="0">
        <v>91</v>
      </c>
      <c r="AA197" t="s" s="0">
        <v>92</v>
      </c>
      <c r="AB197" t="s" s="0">
        <v>82</v>
      </c>
      <c r="AC197" t="s" s="0">
        <v>82</v>
      </c>
      <c r="AD197" t="s" s="0">
        <v>82</v>
      </c>
      <c r="AE197" t="s" s="0">
        <v>82</v>
      </c>
      <c r="AF197" t="s" s="0">
        <v>82</v>
      </c>
      <c r="AG197" t="s" s="0">
        <v>82</v>
      </c>
      <c r="AH197" t="s" s="0">
        <v>4686</v>
      </c>
      <c r="AI197" t="s" s="0">
        <v>82</v>
      </c>
      <c r="AJ197" t="s" s="0">
        <v>4687</v>
      </c>
      <c r="AK197" t="s" s="0">
        <v>82</v>
      </c>
      <c r="AL197" t="s" s="0">
        <v>1532</v>
      </c>
      <c r="AM197" t="s" s="0">
        <v>77</v>
      </c>
      <c r="AN197" t="s" s="0">
        <v>77</v>
      </c>
      <c r="AO197" t="s" s="0">
        <v>98</v>
      </c>
      <c r="AP197" t="s" s="0">
        <v>98</v>
      </c>
      <c r="AQ197" t="s" s="0">
        <v>172</v>
      </c>
      <c r="AR197" t="s" s="0">
        <v>173</v>
      </c>
      <c r="AS197" t="s" s="0">
        <v>174</v>
      </c>
      <c r="AT197" t="s" s="0">
        <v>175</v>
      </c>
      <c r="AU197" t="s" s="0">
        <v>82</v>
      </c>
      <c r="AV197" t="s" s="0">
        <v>82</v>
      </c>
      <c r="AW197" t="s" s="0">
        <v>176</v>
      </c>
      <c r="AX197" t="s" s="0">
        <v>177</v>
      </c>
      <c r="AY197" t="s" s="0">
        <v>4688</v>
      </c>
      <c r="AZ197" t="s" s="0">
        <v>179</v>
      </c>
      <c r="BA197" t="s" s="0">
        <v>115</v>
      </c>
      <c r="BB197" t="s" s="0">
        <v>78</v>
      </c>
      <c r="BC197" t="s" s="0">
        <v>82</v>
      </c>
      <c r="BD197" t="s" s="0">
        <v>82</v>
      </c>
      <c r="BE197" t="s" s="0">
        <v>82</v>
      </c>
      <c r="BF197" t="s" s="0">
        <v>82</v>
      </c>
      <c r="BG197" t="s" s="0">
        <v>82</v>
      </c>
      <c r="BH197" t="s" s="0">
        <v>82</v>
      </c>
      <c r="BI197" t="s" s="0">
        <v>4689</v>
      </c>
      <c r="BJ197" t="s" s="0">
        <v>4690</v>
      </c>
      <c r="BK197" t="s" s="391">
        <f>HYPERLINK("http://dx.doi.org/10.1038/s41746-026-02569-7","http://dx.doi.org/10.1038/s41746-026-02569-7")</f>
        <v>4691</v>
      </c>
      <c r="BL197" t="s" s="0">
        <v>82</v>
      </c>
      <c r="BM197" t="s" s="0">
        <v>829</v>
      </c>
      <c r="BN197" t="s" s="0">
        <v>148</v>
      </c>
      <c r="BO197" t="s" s="0">
        <v>185</v>
      </c>
      <c r="BP197" t="s" s="0">
        <v>185</v>
      </c>
      <c r="BQ197" t="s" s="0">
        <v>4692</v>
      </c>
      <c r="BR197" t="s" s="0">
        <v>4693</v>
      </c>
      <c r="BS197" t="s" s="0">
        <v>4694</v>
      </c>
      <c r="BT197" t="s" s="392">
        <f>HYPERLINK("https://www.webofscience.com/wos/woscc/full-record/WOS:001772395100002","View Record in Web of Science")</f>
        <v>120</v>
      </c>
      <c r="BU197" t="s" s="0">
        <v>189</v>
      </c>
      <c r="BV197" t="s" s="0">
        <v>82</v>
      </c>
      <c r="BW197" t="s" s="0">
        <v>82</v>
      </c>
      <c r="BX197" t="s" s="0">
        <v>121</v>
      </c>
    </row>
    <row r="198">
      <c r="A198" t="s" s="0">
        <v>77</v>
      </c>
      <c r="B198" t="s" s="0">
        <v>77</v>
      </c>
      <c r="C198" t="s" s="0">
        <v>96</v>
      </c>
      <c r="D198" t="s" s="0">
        <v>77</v>
      </c>
      <c r="E198" t="s" s="0">
        <v>4695</v>
      </c>
      <c r="F198" t="s" s="0">
        <v>4696</v>
      </c>
      <c r="G198" t="s" s="0">
        <v>4697</v>
      </c>
      <c r="H198" t="s" s="0">
        <v>82</v>
      </c>
      <c r="I198" t="s" s="0">
        <v>83</v>
      </c>
      <c r="J198" t="s" s="0">
        <v>4698</v>
      </c>
      <c r="K198" t="s" s="0">
        <v>4699</v>
      </c>
      <c r="L198" t="s" s="0">
        <v>4700</v>
      </c>
      <c r="M198" t="s" s="0">
        <v>4701</v>
      </c>
      <c r="N198" t="s" s="0">
        <v>4702</v>
      </c>
      <c r="O198" t="s" s="0">
        <v>4703</v>
      </c>
      <c r="P198" t="s" s="0">
        <v>4704</v>
      </c>
      <c r="Q198" t="s" s="0">
        <v>88</v>
      </c>
      <c r="R198" t="s" s="0">
        <v>82</v>
      </c>
      <c r="S198" t="s" s="0">
        <v>82</v>
      </c>
      <c r="T198" t="s" s="0">
        <v>82</v>
      </c>
      <c r="U198" t="s" s="0">
        <v>82</v>
      </c>
      <c r="V198" t="s" s="0">
        <v>4705</v>
      </c>
      <c r="W198" t="s" s="0">
        <v>1592</v>
      </c>
      <c r="X198" t="s" s="0">
        <v>82</v>
      </c>
      <c r="Y198" t="s" s="0">
        <v>82</v>
      </c>
      <c r="Z198" t="s" s="0">
        <v>91</v>
      </c>
      <c r="AA198" t="s" s="0">
        <v>92</v>
      </c>
      <c r="AB198" t="s" s="0">
        <v>82</v>
      </c>
      <c r="AC198" t="s" s="0">
        <v>82</v>
      </c>
      <c r="AD198" t="s" s="0">
        <v>82</v>
      </c>
      <c r="AE198" t="s" s="0">
        <v>82</v>
      </c>
      <c r="AF198" t="s" s="0">
        <v>82</v>
      </c>
      <c r="AG198" t="s" s="0">
        <v>82</v>
      </c>
      <c r="AH198" t="s" s="0">
        <v>82</v>
      </c>
      <c r="AI198" t="s" s="0">
        <v>4706</v>
      </c>
      <c r="AJ198" t="s" s="0">
        <v>4707</v>
      </c>
      <c r="AK198" t="s" s="0">
        <v>82</v>
      </c>
      <c r="AL198" t="s" s="0">
        <v>391</v>
      </c>
      <c r="AM198" t="s" s="0">
        <v>4708</v>
      </c>
      <c r="AN198" t="s" s="0">
        <v>3677</v>
      </c>
      <c r="AO198" t="s" s="0">
        <v>307</v>
      </c>
      <c r="AP198" t="s" s="0">
        <v>4709</v>
      </c>
      <c r="AQ198" t="s" s="0">
        <v>172</v>
      </c>
      <c r="AR198" t="s" s="0">
        <v>173</v>
      </c>
      <c r="AS198" t="s" s="0">
        <v>174</v>
      </c>
      <c r="AT198" t="s" s="0">
        <v>82</v>
      </c>
      <c r="AU198" t="s" s="0">
        <v>1595</v>
      </c>
      <c r="AV198" t="s" s="0">
        <v>82</v>
      </c>
      <c r="AW198" t="s" s="0">
        <v>1596</v>
      </c>
      <c r="AX198" t="s" s="0">
        <v>1597</v>
      </c>
      <c r="AY198" t="s" s="0">
        <v>4710</v>
      </c>
      <c r="AZ198" t="s" s="0">
        <v>146</v>
      </c>
      <c r="BA198" t="s" s="0">
        <v>277</v>
      </c>
      <c r="BB198" t="s" s="0">
        <v>78</v>
      </c>
      <c r="BC198" t="s" s="0">
        <v>82</v>
      </c>
      <c r="BD198" t="s" s="0">
        <v>82</v>
      </c>
      <c r="BE198" t="s" s="0">
        <v>82</v>
      </c>
      <c r="BF198" t="s" s="0">
        <v>82</v>
      </c>
      <c r="BG198" t="s" s="0">
        <v>82</v>
      </c>
      <c r="BH198" t="s" s="0">
        <v>82</v>
      </c>
      <c r="BI198" t="s" s="0">
        <v>4711</v>
      </c>
      <c r="BJ198" t="s" s="0">
        <v>4712</v>
      </c>
      <c r="BK198" t="s" s="393">
        <f>HYPERLINK("http://dx.doi.org/10.1038/s41467-024-51465-9","http://dx.doi.org/10.1038/s41467-024-51465-9")</f>
        <v>4713</v>
      </c>
      <c r="BL198" t="s" s="0">
        <v>82</v>
      </c>
      <c r="BM198" t="s" s="0">
        <v>82</v>
      </c>
      <c r="BN198" t="s" s="0">
        <v>148</v>
      </c>
      <c r="BO198" t="s" s="0">
        <v>213</v>
      </c>
      <c r="BP198" t="s" s="0">
        <v>214</v>
      </c>
      <c r="BQ198" t="s" s="0">
        <v>4714</v>
      </c>
      <c r="BR198" t="s" s="0">
        <v>4715</v>
      </c>
      <c r="BS198" t="s" s="0">
        <v>4716</v>
      </c>
      <c r="BT198" t="s" s="394">
        <f>HYPERLINK("https://www.webofscience.com/wos/woscc/full-record/WOS:001361630600025","View Record in Web of Science")</f>
        <v>120</v>
      </c>
      <c r="BU198" t="s" s="0">
        <v>189</v>
      </c>
      <c r="BV198" t="s" s="0">
        <v>3456</v>
      </c>
      <c r="BW198" t="s" s="0">
        <v>3457</v>
      </c>
      <c r="BX198" t="s" s="0">
        <v>121</v>
      </c>
    </row>
    <row r="199">
      <c r="A199" t="s" s="0">
        <v>77</v>
      </c>
      <c r="B199" t="s" s="0">
        <v>77</v>
      </c>
      <c r="C199" t="s" s="0">
        <v>99</v>
      </c>
      <c r="D199" t="s" s="0">
        <v>77</v>
      </c>
      <c r="E199" t="s" s="0">
        <v>4717</v>
      </c>
      <c r="F199" t="s" s="0">
        <v>4718</v>
      </c>
      <c r="G199" t="s" s="0">
        <v>4719</v>
      </c>
      <c r="H199" t="s" s="0">
        <v>82</v>
      </c>
      <c r="I199" t="s" s="0">
        <v>83</v>
      </c>
      <c r="J199" t="s" s="0">
        <v>4720</v>
      </c>
      <c r="K199" t="s" s="0">
        <v>4721</v>
      </c>
      <c r="L199" t="s" s="0">
        <v>82</v>
      </c>
      <c r="M199" t="s" s="0">
        <v>82</v>
      </c>
      <c r="N199" t="s" s="0">
        <v>82</v>
      </c>
      <c r="O199" t="s" s="0">
        <v>4722</v>
      </c>
      <c r="P199" t="s" s="0">
        <v>4723</v>
      </c>
      <c r="Q199" t="s" s="0">
        <v>88</v>
      </c>
      <c r="R199" t="s" s="0">
        <v>82</v>
      </c>
      <c r="S199" t="s" s="0">
        <v>82</v>
      </c>
      <c r="T199" t="s" s="0">
        <v>82</v>
      </c>
      <c r="U199" t="s" s="0">
        <v>82</v>
      </c>
      <c r="V199" t="s" s="0">
        <v>4724</v>
      </c>
      <c r="W199" t="s" s="0">
        <v>2431</v>
      </c>
      <c r="X199" t="s" s="0">
        <v>82</v>
      </c>
      <c r="Y199" t="s" s="0">
        <v>82</v>
      </c>
      <c r="Z199" t="s" s="0">
        <v>91</v>
      </c>
      <c r="AA199" t="s" s="0">
        <v>908</v>
      </c>
      <c r="AB199" t="s" s="0">
        <v>82</v>
      </c>
      <c r="AC199" t="s" s="0">
        <v>82</v>
      </c>
      <c r="AD199" t="s" s="0">
        <v>82</v>
      </c>
      <c r="AE199" t="s" s="0">
        <v>82</v>
      </c>
      <c r="AF199" t="s" s="0">
        <v>82</v>
      </c>
      <c r="AG199" t="s" s="0">
        <v>4725</v>
      </c>
      <c r="AH199" t="s" s="0">
        <v>82</v>
      </c>
      <c r="AI199" t="s" s="0">
        <v>82</v>
      </c>
      <c r="AJ199" t="s" s="0">
        <v>4726</v>
      </c>
      <c r="AK199" t="s" s="0">
        <v>82</v>
      </c>
      <c r="AL199" t="s" s="0">
        <v>138</v>
      </c>
      <c r="AM199" t="s" s="0">
        <v>1004</v>
      </c>
      <c r="AN199" t="s" s="0">
        <v>892</v>
      </c>
      <c r="AO199" t="s" s="0">
        <v>77</v>
      </c>
      <c r="AP199" t="s" s="0">
        <v>204</v>
      </c>
      <c r="AQ199" t="s" s="0">
        <v>795</v>
      </c>
      <c r="AR199" t="s" s="0">
        <v>796</v>
      </c>
      <c r="AS199" t="s" s="0">
        <v>797</v>
      </c>
      <c r="AT199" t="s" s="0">
        <v>2435</v>
      </c>
      <c r="AU199" t="s" s="0">
        <v>2436</v>
      </c>
      <c r="AV199" t="s" s="0">
        <v>82</v>
      </c>
      <c r="AW199" t="s" s="0">
        <v>2437</v>
      </c>
      <c r="AX199" t="s" s="0">
        <v>2438</v>
      </c>
      <c r="AY199" t="s" s="0">
        <v>82</v>
      </c>
      <c r="AZ199" t="s" s="0">
        <v>146</v>
      </c>
      <c r="BA199" t="s" s="0">
        <v>82</v>
      </c>
      <c r="BB199" t="s" s="0">
        <v>82</v>
      </c>
      <c r="BC199" t="s" s="0">
        <v>82</v>
      </c>
      <c r="BD199" t="s" s="0">
        <v>82</v>
      </c>
      <c r="BE199" t="s" s="0">
        <v>82</v>
      </c>
      <c r="BF199" t="s" s="0">
        <v>82</v>
      </c>
      <c r="BG199" t="s" s="0">
        <v>82</v>
      </c>
      <c r="BH199" t="s" s="0">
        <v>82</v>
      </c>
      <c r="BI199" t="s" s="0">
        <v>82</v>
      </c>
      <c r="BJ199" t="s" s="0">
        <v>4727</v>
      </c>
      <c r="BK199" t="s" s="395">
        <f>HYPERLINK("http://dx.doi.org/10.1007/s00247-024-06025-0","http://dx.doi.org/10.1007/s00247-024-06025-0")</f>
        <v>4728</v>
      </c>
      <c r="BL199" t="s" s="0">
        <v>82</v>
      </c>
      <c r="BM199" t="s" s="0">
        <v>1406</v>
      </c>
      <c r="BN199" t="s" s="0">
        <v>115</v>
      </c>
      <c r="BO199" t="s" s="0">
        <v>2441</v>
      </c>
      <c r="BP199" t="s" s="0">
        <v>2441</v>
      </c>
      <c r="BQ199" t="s" s="0">
        <v>4729</v>
      </c>
      <c r="BR199" t="s" s="0">
        <v>4730</v>
      </c>
      <c r="BS199" t="s" s="0">
        <v>4731</v>
      </c>
      <c r="BT199" t="s" s="396">
        <f>HYPERLINK("https://www.webofscience.com/wos/woscc/full-record/WOS:001289310100002","View Record in Web of Science")</f>
        <v>120</v>
      </c>
      <c r="BU199" t="s" s="0">
        <v>82</v>
      </c>
      <c r="BV199" t="s" s="0">
        <v>82</v>
      </c>
      <c r="BW199" t="s" s="0">
        <v>82</v>
      </c>
      <c r="BX199" t="s" s="0">
        <v>121</v>
      </c>
    </row>
    <row r="200">
      <c r="A200" t="s" s="0">
        <v>78</v>
      </c>
      <c r="B200" t="s" s="0">
        <v>77</v>
      </c>
      <c r="C200" t="s" s="0">
        <v>77</v>
      </c>
      <c r="D200" t="s" s="0">
        <v>77</v>
      </c>
      <c r="E200" t="s" s="0">
        <v>4732</v>
      </c>
      <c r="F200" t="s" s="0">
        <v>4733</v>
      </c>
      <c r="G200" t="s" s="0">
        <v>4734</v>
      </c>
      <c r="H200" t="s" s="0">
        <v>82</v>
      </c>
      <c r="I200" t="s" s="0">
        <v>83</v>
      </c>
      <c r="J200" t="s" s="0">
        <v>4735</v>
      </c>
      <c r="K200" t="s" s="0">
        <v>4736</v>
      </c>
      <c r="L200" t="s" s="0">
        <v>4737</v>
      </c>
      <c r="M200" t="s" s="0">
        <v>4738</v>
      </c>
      <c r="N200" t="s" s="0">
        <v>4739</v>
      </c>
      <c r="O200" t="s" s="0">
        <v>4740</v>
      </c>
      <c r="P200" t="s" s="0">
        <v>4741</v>
      </c>
      <c r="Q200" t="s" s="0">
        <v>88</v>
      </c>
      <c r="R200" t="s" s="0">
        <v>82</v>
      </c>
      <c r="S200" t="s" s="0">
        <v>82</v>
      </c>
      <c r="T200" t="s" s="0">
        <v>82</v>
      </c>
      <c r="U200" t="s" s="0">
        <v>82</v>
      </c>
      <c r="V200" t="s" s="0">
        <v>4742</v>
      </c>
      <c r="W200" t="s" s="0">
        <v>4743</v>
      </c>
      <c r="X200" t="s" s="0">
        <v>82</v>
      </c>
      <c r="Y200" t="s" s="0">
        <v>82</v>
      </c>
      <c r="Z200" t="s" s="0">
        <v>91</v>
      </c>
      <c r="AA200" t="s" s="0">
        <v>92</v>
      </c>
      <c r="AB200" t="s" s="0">
        <v>82</v>
      </c>
      <c r="AC200" t="s" s="0">
        <v>82</v>
      </c>
      <c r="AD200" t="s" s="0">
        <v>82</v>
      </c>
      <c r="AE200" t="s" s="0">
        <v>82</v>
      </c>
      <c r="AF200" t="s" s="0">
        <v>82</v>
      </c>
      <c r="AG200" t="s" s="0">
        <v>4744</v>
      </c>
      <c r="AH200" t="s" s="0">
        <v>4745</v>
      </c>
      <c r="AI200" t="s" s="0">
        <v>4746</v>
      </c>
      <c r="AJ200" t="s" s="0">
        <v>82</v>
      </c>
      <c r="AK200" t="s" s="0">
        <v>82</v>
      </c>
      <c r="AL200" t="s" s="0">
        <v>4747</v>
      </c>
      <c r="AM200" t="s" s="0">
        <v>99</v>
      </c>
      <c r="AN200" t="s" s="0">
        <v>235</v>
      </c>
      <c r="AO200" t="s" s="0">
        <v>110</v>
      </c>
      <c r="AP200" t="s" s="0">
        <v>428</v>
      </c>
      <c r="AQ200" t="s" s="0">
        <v>3001</v>
      </c>
      <c r="AR200" t="s" s="0">
        <v>3002</v>
      </c>
      <c r="AS200" t="s" s="0">
        <v>3003</v>
      </c>
      <c r="AT200" t="s" s="0">
        <v>82</v>
      </c>
      <c r="AU200" t="s" s="0">
        <v>4748</v>
      </c>
      <c r="AV200" t="s" s="0">
        <v>82</v>
      </c>
      <c r="AW200" t="s" s="0">
        <v>4749</v>
      </c>
      <c r="AX200" t="s" s="0">
        <v>4750</v>
      </c>
      <c r="AY200" t="s" s="0">
        <v>4751</v>
      </c>
      <c r="AZ200" t="s" s="0">
        <v>108</v>
      </c>
      <c r="BA200" t="s" s="0">
        <v>184</v>
      </c>
      <c r="BB200" t="s" s="0">
        <v>82</v>
      </c>
      <c r="BC200" t="s" s="0">
        <v>82</v>
      </c>
      <c r="BD200" t="s" s="0">
        <v>82</v>
      </c>
      <c r="BE200" t="s" s="0">
        <v>82</v>
      </c>
      <c r="BF200" t="s" s="0">
        <v>82</v>
      </c>
      <c r="BG200" t="s" s="0">
        <v>82</v>
      </c>
      <c r="BH200" t="s" s="0">
        <v>82</v>
      </c>
      <c r="BI200" t="s" s="0">
        <v>4752</v>
      </c>
      <c r="BJ200" t="s" s="0">
        <v>4753</v>
      </c>
      <c r="BK200" t="s" s="397">
        <f>HYPERLINK("http://dx.doi.org/10.3389/fphy.2025.1599937","http://dx.doi.org/10.3389/fphy.2025.1599937")</f>
        <v>4754</v>
      </c>
      <c r="BL200" t="s" s="0">
        <v>82</v>
      </c>
      <c r="BM200" t="s" s="0">
        <v>82</v>
      </c>
      <c r="BN200" t="s" s="0">
        <v>109</v>
      </c>
      <c r="BO200" t="s" s="0">
        <v>4755</v>
      </c>
      <c r="BP200" t="s" s="0">
        <v>4756</v>
      </c>
      <c r="BQ200" t="s" s="0">
        <v>4757</v>
      </c>
      <c r="BR200" t="s" s="0">
        <v>82</v>
      </c>
      <c r="BS200" t="s" s="0">
        <v>4758</v>
      </c>
      <c r="BT200" t="s" s="398">
        <f>HYPERLINK("https://www.webofscience.com/wos/woscc/full-record/WOS:001503861000001","View Record in Web of Science")</f>
        <v>120</v>
      </c>
      <c r="BU200" t="s" s="0">
        <v>189</v>
      </c>
      <c r="BV200" t="s" s="0">
        <v>82</v>
      </c>
      <c r="BW200" t="s" s="0">
        <v>82</v>
      </c>
      <c r="BX200" t="s" s="0">
        <v>121</v>
      </c>
    </row>
    <row r="201">
      <c r="A201" t="s" s="0">
        <v>77</v>
      </c>
      <c r="B201" t="s" s="0">
        <v>77</v>
      </c>
      <c r="C201" t="s" s="0">
        <v>77</v>
      </c>
      <c r="D201" t="s" s="0">
        <v>77</v>
      </c>
      <c r="E201" t="s" s="0">
        <v>4759</v>
      </c>
      <c r="F201" t="s" s="0">
        <v>4760</v>
      </c>
      <c r="G201" t="s" s="0">
        <v>4761</v>
      </c>
      <c r="H201" t="s" s="0">
        <v>82</v>
      </c>
      <c r="I201" t="s" s="0">
        <v>83</v>
      </c>
      <c r="J201" t="s" s="0">
        <v>4762</v>
      </c>
      <c r="K201" t="s" s="0">
        <v>4763</v>
      </c>
      <c r="L201" t="s" s="0">
        <v>4764</v>
      </c>
      <c r="M201" t="s" s="0">
        <v>4765</v>
      </c>
      <c r="N201" t="s" s="0">
        <v>4766</v>
      </c>
      <c r="O201" t="s" s="0">
        <v>4767</v>
      </c>
      <c r="P201" t="s" s="0">
        <v>4768</v>
      </c>
      <c r="Q201" t="s" s="0">
        <v>88</v>
      </c>
      <c r="R201" t="s" s="0">
        <v>82</v>
      </c>
      <c r="S201" t="s" s="0">
        <v>82</v>
      </c>
      <c r="T201" t="s" s="0">
        <v>82</v>
      </c>
      <c r="U201" t="s" s="0">
        <v>82</v>
      </c>
      <c r="V201" t="s" s="0">
        <v>4769</v>
      </c>
      <c r="W201" t="s" s="0">
        <v>4770</v>
      </c>
      <c r="X201" t="s" s="0">
        <v>82</v>
      </c>
      <c r="Y201" t="s" s="0">
        <v>82</v>
      </c>
      <c r="Z201" t="s" s="0">
        <v>91</v>
      </c>
      <c r="AA201" t="s" s="0">
        <v>92</v>
      </c>
      <c r="AB201" t="s" s="0">
        <v>82</v>
      </c>
      <c r="AC201" t="s" s="0">
        <v>82</v>
      </c>
      <c r="AD201" t="s" s="0">
        <v>82</v>
      </c>
      <c r="AE201" t="s" s="0">
        <v>82</v>
      </c>
      <c r="AF201" t="s" s="0">
        <v>82</v>
      </c>
      <c r="AG201" t="s" s="0">
        <v>82</v>
      </c>
      <c r="AH201" t="s" s="0">
        <v>4771</v>
      </c>
      <c r="AI201" t="s" s="0">
        <v>4772</v>
      </c>
      <c r="AJ201" t="s" s="0">
        <v>4773</v>
      </c>
      <c r="AK201" t="s" s="0">
        <v>82</v>
      </c>
      <c r="AL201" t="s" s="0">
        <v>763</v>
      </c>
      <c r="AM201" t="s" s="0">
        <v>78</v>
      </c>
      <c r="AN201" t="s" s="0">
        <v>78</v>
      </c>
      <c r="AO201" t="s" s="0">
        <v>98</v>
      </c>
      <c r="AP201" t="s" s="0">
        <v>98</v>
      </c>
      <c r="AQ201" t="s" s="0">
        <v>4059</v>
      </c>
      <c r="AR201" t="s" s="0">
        <v>4060</v>
      </c>
      <c r="AS201" t="s" s="0">
        <v>4061</v>
      </c>
      <c r="AT201" t="s" s="0">
        <v>4774</v>
      </c>
      <c r="AU201" t="s" s="0">
        <v>82</v>
      </c>
      <c r="AV201" t="s" s="0">
        <v>82</v>
      </c>
      <c r="AW201" t="s" s="0">
        <v>4775</v>
      </c>
      <c r="AX201" t="s" s="0">
        <v>4776</v>
      </c>
      <c r="AY201" t="s" s="0">
        <v>4777</v>
      </c>
      <c r="AZ201" t="s" s="0">
        <v>179</v>
      </c>
      <c r="BA201" t="s" s="0">
        <v>98</v>
      </c>
      <c r="BB201" t="s" s="0">
        <v>99</v>
      </c>
      <c r="BC201" t="s" s="0">
        <v>82</v>
      </c>
      <c r="BD201" t="s" s="0">
        <v>82</v>
      </c>
      <c r="BE201" t="s" s="0">
        <v>82</v>
      </c>
      <c r="BF201" t="s" s="0">
        <v>82</v>
      </c>
      <c r="BG201" t="s" s="0">
        <v>82</v>
      </c>
      <c r="BH201" t="s" s="0">
        <v>82</v>
      </c>
      <c r="BI201" t="s" s="0">
        <v>4778</v>
      </c>
      <c r="BJ201" t="s" s="0">
        <v>4779</v>
      </c>
      <c r="BK201" t="s" s="399">
        <f>HYPERLINK("http://dx.doi.org/10.1016/j.xcrm.2026.102652","http://dx.doi.org/10.1016/j.xcrm.2026.102652")</f>
        <v>4780</v>
      </c>
      <c r="BL201" t="s" s="0">
        <v>82</v>
      </c>
      <c r="BM201" t="s" s="0">
        <v>82</v>
      </c>
      <c r="BN201" t="s" s="0">
        <v>209</v>
      </c>
      <c r="BO201" t="s" s="0">
        <v>4781</v>
      </c>
      <c r="BP201" t="s" s="0">
        <v>4782</v>
      </c>
      <c r="BQ201" t="s" s="0">
        <v>4783</v>
      </c>
      <c r="BR201" t="s" s="0">
        <v>4784</v>
      </c>
      <c r="BS201" t="s" s="0">
        <v>4785</v>
      </c>
      <c r="BT201" t="s" s="400">
        <f>HYPERLINK("https://www.webofscience.com/wos/woscc/full-record/WOS:001720258500001","View Record in Web of Science")</f>
        <v>120</v>
      </c>
      <c r="BU201" t="s" s="0">
        <v>189</v>
      </c>
      <c r="BV201" t="s" s="0">
        <v>82</v>
      </c>
      <c r="BW201" t="s" s="0">
        <v>82</v>
      </c>
      <c r="BX201" t="s" s="0">
        <v>121</v>
      </c>
    </row>
    <row r="202">
      <c r="A202" t="s" s="0">
        <v>77</v>
      </c>
      <c r="B202" t="s" s="0">
        <v>77</v>
      </c>
      <c r="C202" t="s" s="0">
        <v>77</v>
      </c>
      <c r="D202" t="s" s="0">
        <v>77</v>
      </c>
      <c r="E202" t="s" s="0">
        <v>4786</v>
      </c>
      <c r="F202" t="s" s="0">
        <v>4787</v>
      </c>
      <c r="G202" t="s" s="0">
        <v>4788</v>
      </c>
      <c r="H202" t="s" s="0">
        <v>82</v>
      </c>
      <c r="I202" t="s" s="0">
        <v>83</v>
      </c>
      <c r="J202" t="s" s="0">
        <v>4789</v>
      </c>
      <c r="K202" t="s" s="0">
        <v>4790</v>
      </c>
      <c r="L202" t="s" s="0">
        <v>82</v>
      </c>
      <c r="M202" t="s" s="0">
        <v>82</v>
      </c>
      <c r="N202" t="s" s="0">
        <v>82</v>
      </c>
      <c r="O202" t="s" s="0">
        <v>4791</v>
      </c>
      <c r="P202" t="s" s="0">
        <v>82</v>
      </c>
      <c r="Q202" t="s" s="0">
        <v>88</v>
      </c>
      <c r="R202" t="s" s="0">
        <v>82</v>
      </c>
      <c r="S202" t="s" s="0">
        <v>82</v>
      </c>
      <c r="T202" t="s" s="0">
        <v>82</v>
      </c>
      <c r="U202" t="s" s="0">
        <v>82</v>
      </c>
      <c r="V202" t="s" s="0">
        <v>4792</v>
      </c>
      <c r="W202" t="s" s="0">
        <v>4793</v>
      </c>
      <c r="X202" t="s" s="0">
        <v>82</v>
      </c>
      <c r="Y202" t="s" s="0">
        <v>82</v>
      </c>
      <c r="Z202" t="s" s="0">
        <v>91</v>
      </c>
      <c r="AA202" t="s" s="0">
        <v>92</v>
      </c>
      <c r="AB202" t="s" s="0">
        <v>82</v>
      </c>
      <c r="AC202" t="s" s="0">
        <v>82</v>
      </c>
      <c r="AD202" t="s" s="0">
        <v>82</v>
      </c>
      <c r="AE202" t="s" s="0">
        <v>82</v>
      </c>
      <c r="AF202" t="s" s="0">
        <v>82</v>
      </c>
      <c r="AG202" t="s" s="0">
        <v>4794</v>
      </c>
      <c r="AH202" t="s" s="0">
        <v>4795</v>
      </c>
      <c r="AI202" t="s" s="0">
        <v>4796</v>
      </c>
      <c r="AJ202" t="s" s="0">
        <v>82</v>
      </c>
      <c r="AK202" t="s" s="0">
        <v>82</v>
      </c>
      <c r="AL202" t="s" s="0">
        <v>661</v>
      </c>
      <c r="AM202" t="s" s="0">
        <v>77</v>
      </c>
      <c r="AN202" t="s" s="0">
        <v>77</v>
      </c>
      <c r="AO202" t="s" s="0">
        <v>99</v>
      </c>
      <c r="AP202" t="s" s="0">
        <v>99</v>
      </c>
      <c r="AQ202" t="s" s="0">
        <v>1912</v>
      </c>
      <c r="AR202" t="s" s="0">
        <v>475</v>
      </c>
      <c r="AS202" t="s" s="0">
        <v>1913</v>
      </c>
      <c r="AT202" t="s" s="0">
        <v>4797</v>
      </c>
      <c r="AU202" t="s" s="0">
        <v>82</v>
      </c>
      <c r="AV202" t="s" s="0">
        <v>82</v>
      </c>
      <c r="AW202" t="s" s="0">
        <v>4798</v>
      </c>
      <c r="AX202" t="s" s="0">
        <v>4799</v>
      </c>
      <c r="AY202" t="s" s="0">
        <v>4800</v>
      </c>
      <c r="AZ202" t="s" s="0">
        <v>179</v>
      </c>
      <c r="BA202" t="s" s="0">
        <v>502</v>
      </c>
      <c r="BB202" t="s" s="0">
        <v>78</v>
      </c>
      <c r="BC202" t="s" s="0">
        <v>82</v>
      </c>
      <c r="BD202" t="s" s="0">
        <v>82</v>
      </c>
      <c r="BE202" t="s" s="0">
        <v>82</v>
      </c>
      <c r="BF202" t="s" s="0">
        <v>82</v>
      </c>
      <c r="BG202" t="s" s="0">
        <v>82</v>
      </c>
      <c r="BH202" t="s" s="0">
        <v>82</v>
      </c>
      <c r="BI202" t="s" s="0">
        <v>1575</v>
      </c>
      <c r="BJ202" t="s" s="0">
        <v>4801</v>
      </c>
      <c r="BK202" t="s" s="401">
        <f>HYPERLINK("http://dx.doi.org/10.1186/s13049-026-01577-6","http://dx.doi.org/10.1186/s13049-026-01577-6")</f>
        <v>4802</v>
      </c>
      <c r="BL202" t="s" s="0">
        <v>82</v>
      </c>
      <c r="BM202" t="s" s="0">
        <v>82</v>
      </c>
      <c r="BN202" t="s" s="0">
        <v>307</v>
      </c>
      <c r="BO202" t="s" s="0">
        <v>4803</v>
      </c>
      <c r="BP202" t="s" s="0">
        <v>4803</v>
      </c>
      <c r="BQ202" t="s" s="0">
        <v>4804</v>
      </c>
      <c r="BR202" t="s" s="0">
        <v>4805</v>
      </c>
      <c r="BS202" t="s" s="0">
        <v>4806</v>
      </c>
      <c r="BT202" t="s" s="402">
        <f>HYPERLINK("https://www.webofscience.com/wos/woscc/full-record/WOS:001711629300001","View Record in Web of Science")</f>
        <v>120</v>
      </c>
      <c r="BU202" t="s" s="0">
        <v>189</v>
      </c>
      <c r="BV202" t="s" s="0">
        <v>82</v>
      </c>
      <c r="BW202" t="s" s="0">
        <v>82</v>
      </c>
      <c r="BX202" t="s" s="0">
        <v>121</v>
      </c>
    </row>
    <row r="203">
      <c r="A203" t="s" s="0">
        <v>78</v>
      </c>
      <c r="B203" t="s" s="0">
        <v>77</v>
      </c>
      <c r="C203" t="s" s="0">
        <v>77</v>
      </c>
      <c r="D203" t="s" s="0">
        <v>77</v>
      </c>
      <c r="E203" t="s" s="0">
        <v>4807</v>
      </c>
      <c r="F203" t="s" s="0">
        <v>4808</v>
      </c>
      <c r="G203" t="s" s="0">
        <v>4809</v>
      </c>
      <c r="H203" t="s" s="0">
        <v>82</v>
      </c>
      <c r="I203" t="s" s="0">
        <v>460</v>
      </c>
      <c r="J203" t="s" s="0">
        <v>4810</v>
      </c>
      <c r="K203" t="s" s="0">
        <v>4811</v>
      </c>
      <c r="L203" t="s" s="0">
        <v>4812</v>
      </c>
      <c r="M203" t="s" s="0">
        <v>4813</v>
      </c>
      <c r="N203" t="s" s="0">
        <v>4814</v>
      </c>
      <c r="O203" t="s" s="0">
        <v>4815</v>
      </c>
      <c r="P203" t="s" s="0">
        <v>4816</v>
      </c>
      <c r="Q203" t="s" s="0">
        <v>88</v>
      </c>
      <c r="R203" t="s" s="0">
        <v>82</v>
      </c>
      <c r="S203" t="s" s="0">
        <v>82</v>
      </c>
      <c r="T203" t="s" s="0">
        <v>82</v>
      </c>
      <c r="U203" t="s" s="0">
        <v>82</v>
      </c>
      <c r="V203" t="s" s="0">
        <v>4817</v>
      </c>
      <c r="W203" t="s" s="0">
        <v>2456</v>
      </c>
      <c r="X203" t="s" s="0">
        <v>82</v>
      </c>
      <c r="Y203" t="s" s="0">
        <v>82</v>
      </c>
      <c r="Z203" t="s" s="0">
        <v>91</v>
      </c>
      <c r="AA203" t="s" s="0">
        <v>92</v>
      </c>
      <c r="AB203" t="s" s="0">
        <v>82</v>
      </c>
      <c r="AC203" t="s" s="0">
        <v>82</v>
      </c>
      <c r="AD203" t="s" s="0">
        <v>82</v>
      </c>
      <c r="AE203" t="s" s="0">
        <v>82</v>
      </c>
      <c r="AF203" t="s" s="0">
        <v>82</v>
      </c>
      <c r="AG203" t="s" s="0">
        <v>4818</v>
      </c>
      <c r="AH203" t="s" s="0">
        <v>4819</v>
      </c>
      <c r="AI203" t="s" s="0">
        <v>4820</v>
      </c>
      <c r="AJ203" t="s" s="0">
        <v>4821</v>
      </c>
      <c r="AK203" t="s" s="0">
        <v>82</v>
      </c>
      <c r="AL203" t="s" s="0">
        <v>763</v>
      </c>
      <c r="AM203" t="s" s="0">
        <v>97</v>
      </c>
      <c r="AN203" t="s" s="0">
        <v>272</v>
      </c>
      <c r="AO203" t="s" s="0">
        <v>110</v>
      </c>
      <c r="AP203" t="s" s="0">
        <v>272</v>
      </c>
      <c r="AQ203" t="s" s="0">
        <v>2460</v>
      </c>
      <c r="AR203" t="s" s="0">
        <v>2461</v>
      </c>
      <c r="AS203" t="s" s="0">
        <v>2462</v>
      </c>
      <c r="AT203" t="s" s="0">
        <v>82</v>
      </c>
      <c r="AU203" t="s" s="0">
        <v>2463</v>
      </c>
      <c r="AV203" t="s" s="0">
        <v>82</v>
      </c>
      <c r="AW203" t="s" s="0">
        <v>2464</v>
      </c>
      <c r="AX203" t="s" s="0">
        <v>2465</v>
      </c>
      <c r="AY203" t="s" s="0">
        <v>108</v>
      </c>
      <c r="AZ203" t="s" s="0">
        <v>108</v>
      </c>
      <c r="BA203" t="s" s="0">
        <v>115</v>
      </c>
      <c r="BB203" t="s" s="0">
        <v>82</v>
      </c>
      <c r="BC203" t="s" s="0">
        <v>82</v>
      </c>
      <c r="BD203" t="s" s="0">
        <v>82</v>
      </c>
      <c r="BE203" t="s" s="0">
        <v>82</v>
      </c>
      <c r="BF203" t="s" s="0">
        <v>82</v>
      </c>
      <c r="BG203" t="s" s="0">
        <v>82</v>
      </c>
      <c r="BH203" t="s" s="0">
        <v>82</v>
      </c>
      <c r="BI203" t="s" s="0">
        <v>4822</v>
      </c>
      <c r="BJ203" t="s" s="0">
        <v>4823</v>
      </c>
      <c r="BK203" t="s" s="403">
        <f>HYPERLINK("http://dx.doi.org/10.2196/70863","http://dx.doi.org/10.2196/70863")</f>
        <v>4824</v>
      </c>
      <c r="BL203" t="s" s="0">
        <v>82</v>
      </c>
      <c r="BM203" t="s" s="0">
        <v>82</v>
      </c>
      <c r="BN203" t="s" s="0">
        <v>277</v>
      </c>
      <c r="BO203" t="s" s="0">
        <v>185</v>
      </c>
      <c r="BP203" t="s" s="0">
        <v>185</v>
      </c>
      <c r="BQ203" t="s" s="0">
        <v>4825</v>
      </c>
      <c r="BR203" t="s" s="0">
        <v>4826</v>
      </c>
      <c r="BS203" t="s" s="0">
        <v>4827</v>
      </c>
      <c r="BT203" t="s" s="404">
        <f>HYPERLINK("https://www.webofscience.com/wos/woscc/full-record/WOS:001589663200013","View Record in Web of Science")</f>
        <v>120</v>
      </c>
      <c r="BU203" t="s" s="0">
        <v>189</v>
      </c>
      <c r="BV203" t="s" s="0">
        <v>82</v>
      </c>
      <c r="BW203" t="s" s="0">
        <v>82</v>
      </c>
      <c r="BX203" t="s" s="0">
        <v>121</v>
      </c>
    </row>
    <row r="204">
      <c r="A204" t="s" s="0">
        <v>272</v>
      </c>
      <c r="B204" t="s" s="0">
        <v>77</v>
      </c>
      <c r="C204" t="s" s="0">
        <v>2321</v>
      </c>
      <c r="D204" t="s" s="0">
        <v>77</v>
      </c>
      <c r="E204" t="s" s="0">
        <v>4828</v>
      </c>
      <c r="F204" t="s" s="0">
        <v>4829</v>
      </c>
      <c r="G204" t="s" s="0">
        <v>4830</v>
      </c>
      <c r="H204" t="s" s="0">
        <v>82</v>
      </c>
      <c r="I204" t="s" s="0">
        <v>83</v>
      </c>
      <c r="J204" t="s" s="0">
        <v>4831</v>
      </c>
      <c r="K204" t="s" s="0">
        <v>4832</v>
      </c>
      <c r="L204" t="s" s="0">
        <v>82</v>
      </c>
      <c r="M204" t="s" s="0">
        <v>82</v>
      </c>
      <c r="N204" t="s" s="0">
        <v>82</v>
      </c>
      <c r="O204" t="s" s="0">
        <v>4833</v>
      </c>
      <c r="P204" t="s" s="0">
        <v>4834</v>
      </c>
      <c r="Q204" t="s" s="0">
        <v>88</v>
      </c>
      <c r="R204" t="s" s="0">
        <v>82</v>
      </c>
      <c r="S204" t="s" s="0">
        <v>82</v>
      </c>
      <c r="T204" t="s" s="0">
        <v>82</v>
      </c>
      <c r="U204" t="s" s="0">
        <v>82</v>
      </c>
      <c r="V204" t="s" s="0">
        <v>4835</v>
      </c>
      <c r="W204" t="s" s="0">
        <v>3322</v>
      </c>
      <c r="X204" t="s" s="0">
        <v>82</v>
      </c>
      <c r="Y204" t="s" s="0">
        <v>82</v>
      </c>
      <c r="Z204" t="s" s="0">
        <v>91</v>
      </c>
      <c r="AA204" t="s" s="0">
        <v>92</v>
      </c>
      <c r="AB204" t="s" s="0">
        <v>82</v>
      </c>
      <c r="AC204" t="s" s="0">
        <v>82</v>
      </c>
      <c r="AD204" t="s" s="0">
        <v>82</v>
      </c>
      <c r="AE204" t="s" s="0">
        <v>82</v>
      </c>
      <c r="AF204" t="s" s="0">
        <v>82</v>
      </c>
      <c r="AG204" t="s" s="0">
        <v>4836</v>
      </c>
      <c r="AH204" t="s" s="0">
        <v>4837</v>
      </c>
      <c r="AI204" t="s" s="0">
        <v>4838</v>
      </c>
      <c r="AJ204" t="s" s="0">
        <v>4839</v>
      </c>
      <c r="AK204" t="s" s="0">
        <v>82</v>
      </c>
      <c r="AL204" t="s" s="0">
        <v>359</v>
      </c>
      <c r="AM204" t="s" s="0">
        <v>4840</v>
      </c>
      <c r="AN204" t="s" s="0">
        <v>4841</v>
      </c>
      <c r="AO204" t="s" s="0">
        <v>241</v>
      </c>
      <c r="AP204" t="s" s="0">
        <v>4842</v>
      </c>
      <c r="AQ204" t="s" s="0">
        <v>2460</v>
      </c>
      <c r="AR204" t="s" s="0">
        <v>2461</v>
      </c>
      <c r="AS204" t="s" s="0">
        <v>2462</v>
      </c>
      <c r="AT204" t="s" s="0">
        <v>3324</v>
      </c>
      <c r="AU204" t="s" s="0">
        <v>3325</v>
      </c>
      <c r="AV204" t="s" s="0">
        <v>82</v>
      </c>
      <c r="AW204" t="s" s="0">
        <v>3326</v>
      </c>
      <c r="AX204" t="s" s="0">
        <v>3327</v>
      </c>
      <c r="AY204" t="s" s="0">
        <v>4843</v>
      </c>
      <c r="AZ204" t="s" s="0">
        <v>146</v>
      </c>
      <c r="BA204" t="s" s="0">
        <v>331</v>
      </c>
      <c r="BB204" t="s" s="0">
        <v>82</v>
      </c>
      <c r="BC204" t="s" s="0">
        <v>82</v>
      </c>
      <c r="BD204" t="s" s="0">
        <v>82</v>
      </c>
      <c r="BE204" t="s" s="0">
        <v>82</v>
      </c>
      <c r="BF204" t="s" s="0">
        <v>82</v>
      </c>
      <c r="BG204" t="s" s="0">
        <v>82</v>
      </c>
      <c r="BH204" t="s" s="0">
        <v>82</v>
      </c>
      <c r="BI204" t="s" s="0">
        <v>4844</v>
      </c>
      <c r="BJ204" t="s" s="0">
        <v>4845</v>
      </c>
      <c r="BK204" t="s" s="405">
        <f>HYPERLINK("http://dx.doi.org/10.2196/59505","http://dx.doi.org/10.2196/59505")</f>
        <v>4846</v>
      </c>
      <c r="BL204" t="s" s="0">
        <v>82</v>
      </c>
      <c r="BM204" t="s" s="0">
        <v>82</v>
      </c>
      <c r="BN204" t="s" s="0">
        <v>96</v>
      </c>
      <c r="BO204" t="s" s="0">
        <v>185</v>
      </c>
      <c r="BP204" t="s" s="0">
        <v>185</v>
      </c>
      <c r="BQ204" t="s" s="0">
        <v>4847</v>
      </c>
      <c r="BR204" t="s" s="0">
        <v>4848</v>
      </c>
      <c r="BS204" t="s" s="0">
        <v>4849</v>
      </c>
      <c r="BT204" t="s" s="406">
        <f>HYPERLINK("https://www.webofscience.com/wos/woscc/full-record/WOS:001332618800003","View Record in Web of Science")</f>
        <v>120</v>
      </c>
      <c r="BU204" t="s" s="0">
        <v>189</v>
      </c>
      <c r="BV204" t="s" s="0">
        <v>3456</v>
      </c>
      <c r="BW204" t="s" s="0">
        <v>3457</v>
      </c>
      <c r="BX204" t="s" s="0">
        <v>121</v>
      </c>
    </row>
    <row r="205">
      <c r="A205" t="s" s="0">
        <v>77</v>
      </c>
      <c r="B205" t="s" s="0">
        <v>77</v>
      </c>
      <c r="C205" t="s" s="0">
        <v>77</v>
      </c>
      <c r="D205" t="s" s="0">
        <v>77</v>
      </c>
      <c r="E205" t="s" s="0">
        <v>4850</v>
      </c>
      <c r="F205" t="s" s="0">
        <v>4851</v>
      </c>
      <c r="G205" t="s" s="0">
        <v>4852</v>
      </c>
      <c r="H205" t="s" s="0">
        <v>82</v>
      </c>
      <c r="I205" t="s" s="0">
        <v>83</v>
      </c>
      <c r="J205" t="s" s="0">
        <v>4853</v>
      </c>
      <c r="K205" t="s" s="0">
        <v>4854</v>
      </c>
      <c r="L205" t="s" s="0">
        <v>4855</v>
      </c>
      <c r="M205" t="s" s="0">
        <v>4856</v>
      </c>
      <c r="N205" t="s" s="0">
        <v>4857</v>
      </c>
      <c r="O205" t="s" s="0">
        <v>4858</v>
      </c>
      <c r="P205" t="s" s="0">
        <v>4859</v>
      </c>
      <c r="Q205" t="s" s="0">
        <v>88</v>
      </c>
      <c r="R205" t="s" s="0">
        <v>82</v>
      </c>
      <c r="S205" t="s" s="0">
        <v>82</v>
      </c>
      <c r="T205" t="s" s="0">
        <v>82</v>
      </c>
      <c r="U205" t="s" s="0">
        <v>82</v>
      </c>
      <c r="V205" t="s" s="0">
        <v>4860</v>
      </c>
      <c r="W205" t="s" s="0">
        <v>3322</v>
      </c>
      <c r="X205" t="s" s="0">
        <v>82</v>
      </c>
      <c r="Y205" t="s" s="0">
        <v>82</v>
      </c>
      <c r="Z205" t="s" s="0">
        <v>91</v>
      </c>
      <c r="AA205" t="s" s="0">
        <v>92</v>
      </c>
      <c r="AB205" t="s" s="0">
        <v>82</v>
      </c>
      <c r="AC205" t="s" s="0">
        <v>82</v>
      </c>
      <c r="AD205" t="s" s="0">
        <v>82</v>
      </c>
      <c r="AE205" t="s" s="0">
        <v>82</v>
      </c>
      <c r="AF205" t="s" s="0">
        <v>82</v>
      </c>
      <c r="AG205" t="s" s="0">
        <v>4861</v>
      </c>
      <c r="AH205" t="s" s="0">
        <v>82</v>
      </c>
      <c r="AI205" t="s" s="0">
        <v>4862</v>
      </c>
      <c r="AJ205" t="s" s="0">
        <v>4863</v>
      </c>
      <c r="AK205" t="s" s="0">
        <v>82</v>
      </c>
      <c r="AL205" t="s" s="0">
        <v>850</v>
      </c>
      <c r="AM205" t="s" s="0">
        <v>235</v>
      </c>
      <c r="AN205" t="s" s="0">
        <v>110</v>
      </c>
      <c r="AO205" t="s" s="0">
        <v>99</v>
      </c>
      <c r="AP205" t="s" s="0">
        <v>363</v>
      </c>
      <c r="AQ205" t="s" s="0">
        <v>2460</v>
      </c>
      <c r="AR205" t="s" s="0">
        <v>2461</v>
      </c>
      <c r="AS205" t="s" s="0">
        <v>2462</v>
      </c>
      <c r="AT205" t="s" s="0">
        <v>3325</v>
      </c>
      <c r="AU205" t="s" s="0">
        <v>82</v>
      </c>
      <c r="AV205" t="s" s="0">
        <v>82</v>
      </c>
      <c r="AW205" t="s" s="0">
        <v>3326</v>
      </c>
      <c r="AX205" t="s" s="0">
        <v>3327</v>
      </c>
      <c r="AY205" t="s" s="0">
        <v>4864</v>
      </c>
      <c r="AZ205" t="s" s="0">
        <v>108</v>
      </c>
      <c r="BA205" t="s" s="0">
        <v>472</v>
      </c>
      <c r="BB205" t="s" s="0">
        <v>82</v>
      </c>
      <c r="BC205" t="s" s="0">
        <v>82</v>
      </c>
      <c r="BD205" t="s" s="0">
        <v>82</v>
      </c>
      <c r="BE205" t="s" s="0">
        <v>82</v>
      </c>
      <c r="BF205" t="s" s="0">
        <v>82</v>
      </c>
      <c r="BG205" t="s" s="0">
        <v>82</v>
      </c>
      <c r="BH205" t="s" s="0">
        <v>82</v>
      </c>
      <c r="BI205" t="s" s="0">
        <v>4865</v>
      </c>
      <c r="BJ205" t="s" s="0">
        <v>4866</v>
      </c>
      <c r="BK205" t="s" s="407">
        <f>HYPERLINK("http://dx.doi.org/10.2196/73233","http://dx.doi.org/10.2196/73233")</f>
        <v>4867</v>
      </c>
      <c r="BL205" t="s" s="0">
        <v>82</v>
      </c>
      <c r="BM205" t="s" s="0">
        <v>82</v>
      </c>
      <c r="BN205" t="s" s="0">
        <v>184</v>
      </c>
      <c r="BO205" t="s" s="0">
        <v>185</v>
      </c>
      <c r="BP205" t="s" s="0">
        <v>185</v>
      </c>
      <c r="BQ205" t="s" s="0">
        <v>4868</v>
      </c>
      <c r="BR205" t="s" s="0">
        <v>4869</v>
      </c>
      <c r="BS205" t="s" s="0">
        <v>4870</v>
      </c>
      <c r="BT205" t="s" s="408">
        <f>HYPERLINK("https://www.webofscience.com/wos/woscc/full-record/WOS:001513537600002","View Record in Web of Science")</f>
        <v>120</v>
      </c>
      <c r="BU205" t="s" s="0">
        <v>189</v>
      </c>
      <c r="BV205" t="s" s="0">
        <v>82</v>
      </c>
      <c r="BW205" t="s" s="0">
        <v>82</v>
      </c>
      <c r="BX205" t="s" s="0">
        <v>121</v>
      </c>
    </row>
    <row r="206">
      <c r="A206" t="s" s="0">
        <v>97</v>
      </c>
      <c r="B206" t="s" s="0">
        <v>77</v>
      </c>
      <c r="C206" t="s" s="0">
        <v>96</v>
      </c>
      <c r="D206" t="s" s="0">
        <v>77</v>
      </c>
      <c r="E206" t="s" s="0">
        <v>4871</v>
      </c>
      <c r="F206" t="s" s="0">
        <v>4872</v>
      </c>
      <c r="G206" t="s" s="0">
        <v>4873</v>
      </c>
      <c r="H206" t="s" s="0">
        <v>82</v>
      </c>
      <c r="I206" t="s" s="0">
        <v>83</v>
      </c>
      <c r="J206" t="s" s="0">
        <v>4874</v>
      </c>
      <c r="K206" t="s" s="0">
        <v>4875</v>
      </c>
      <c r="L206" t="s" s="0">
        <v>82</v>
      </c>
      <c r="M206" t="s" s="0">
        <v>82</v>
      </c>
      <c r="N206" t="s" s="0">
        <v>82</v>
      </c>
      <c r="O206" t="s" s="0">
        <v>4876</v>
      </c>
      <c r="P206" t="s" s="0">
        <v>82</v>
      </c>
      <c r="Q206" t="s" s="0">
        <v>88</v>
      </c>
      <c r="R206" t="s" s="0">
        <v>82</v>
      </c>
      <c r="S206" t="s" s="0">
        <v>82</v>
      </c>
      <c r="T206" t="s" s="0">
        <v>82</v>
      </c>
      <c r="U206" t="s" s="0">
        <v>82</v>
      </c>
      <c r="V206" t="s" s="0">
        <v>4877</v>
      </c>
      <c r="W206" t="s" s="0">
        <v>3322</v>
      </c>
      <c r="X206" t="s" s="0">
        <v>82</v>
      </c>
      <c r="Y206" t="s" s="0">
        <v>82</v>
      </c>
      <c r="Z206" t="s" s="0">
        <v>91</v>
      </c>
      <c r="AA206" t="s" s="0">
        <v>92</v>
      </c>
      <c r="AB206" t="s" s="0">
        <v>82</v>
      </c>
      <c r="AC206" t="s" s="0">
        <v>82</v>
      </c>
      <c r="AD206" t="s" s="0">
        <v>82</v>
      </c>
      <c r="AE206" t="s" s="0">
        <v>82</v>
      </c>
      <c r="AF206" t="s" s="0">
        <v>82</v>
      </c>
      <c r="AG206" t="s" s="0">
        <v>4878</v>
      </c>
      <c r="AH206" t="s" s="0">
        <v>82</v>
      </c>
      <c r="AI206" t="s" s="0">
        <v>82</v>
      </c>
      <c r="AJ206" t="s" s="0">
        <v>4879</v>
      </c>
      <c r="AK206" t="s" s="0">
        <v>82</v>
      </c>
      <c r="AL206" t="s" s="0">
        <v>277</v>
      </c>
      <c r="AM206" t="s" s="0">
        <v>4274</v>
      </c>
      <c r="AN206" t="s" s="0">
        <v>4880</v>
      </c>
      <c r="AO206" t="s" s="0">
        <v>148</v>
      </c>
      <c r="AP206" t="s" s="0">
        <v>1689</v>
      </c>
      <c r="AQ206" t="s" s="0">
        <v>2460</v>
      </c>
      <c r="AR206" t="s" s="0">
        <v>2461</v>
      </c>
      <c r="AS206" t="s" s="0">
        <v>2462</v>
      </c>
      <c r="AT206" t="s" s="0">
        <v>3325</v>
      </c>
      <c r="AU206" t="s" s="0">
        <v>82</v>
      </c>
      <c r="AV206" t="s" s="0">
        <v>82</v>
      </c>
      <c r="AW206" t="s" s="0">
        <v>3326</v>
      </c>
      <c r="AX206" t="s" s="0">
        <v>3327</v>
      </c>
      <c r="AY206" t="s" s="0">
        <v>4881</v>
      </c>
      <c r="AZ206" t="s" s="0">
        <v>424</v>
      </c>
      <c r="BA206" t="s" s="0">
        <v>661</v>
      </c>
      <c r="BB206" t="s" s="0">
        <v>82</v>
      </c>
      <c r="BC206" t="s" s="0">
        <v>82</v>
      </c>
      <c r="BD206" t="s" s="0">
        <v>82</v>
      </c>
      <c r="BE206" t="s" s="0">
        <v>82</v>
      </c>
      <c r="BF206" t="s" s="0">
        <v>82</v>
      </c>
      <c r="BG206" t="s" s="0">
        <v>82</v>
      </c>
      <c r="BH206" t="s" s="0">
        <v>82</v>
      </c>
      <c r="BI206" t="s" s="0">
        <v>4882</v>
      </c>
      <c r="BJ206" t="s" s="0">
        <v>4883</v>
      </c>
      <c r="BK206" t="s" s="409">
        <f>HYPERLINK("http://dx.doi.org/10.2196/52865","http://dx.doi.org/10.2196/52865")</f>
        <v>4884</v>
      </c>
      <c r="BL206" t="s" s="0">
        <v>82</v>
      </c>
      <c r="BM206" t="s" s="0">
        <v>82</v>
      </c>
      <c r="BN206" t="s" s="0">
        <v>272</v>
      </c>
      <c r="BO206" t="s" s="0">
        <v>185</v>
      </c>
      <c r="BP206" t="s" s="0">
        <v>185</v>
      </c>
      <c r="BQ206" t="s" s="0">
        <v>4885</v>
      </c>
      <c r="BR206" t="s" s="0">
        <v>4886</v>
      </c>
      <c r="BS206" t="s" s="0">
        <v>4887</v>
      </c>
      <c r="BT206" t="s" s="410">
        <f>HYPERLINK("https://www.webofscience.com/wos/woscc/full-record/WOS:001104191500001","View Record in Web of Science")</f>
        <v>120</v>
      </c>
      <c r="BU206" t="s" s="0">
        <v>189</v>
      </c>
      <c r="BV206" t="s" s="0">
        <v>3456</v>
      </c>
      <c r="BW206" t="s" s="0">
        <v>3457</v>
      </c>
      <c r="BX206" t="s" s="0">
        <v>121</v>
      </c>
    </row>
    <row r="207">
      <c r="A207" t="s" s="0">
        <v>77</v>
      </c>
      <c r="B207" t="s" s="0">
        <v>77</v>
      </c>
      <c r="C207" t="s" s="0">
        <v>77</v>
      </c>
      <c r="D207" t="s" s="0">
        <v>77</v>
      </c>
      <c r="E207" t="s" s="0">
        <v>4888</v>
      </c>
      <c r="F207" t="s" s="0">
        <v>4889</v>
      </c>
      <c r="G207" t="s" s="0">
        <v>4890</v>
      </c>
      <c r="H207" t="s" s="0">
        <v>82</v>
      </c>
      <c r="I207" t="s" s="0">
        <v>83</v>
      </c>
      <c r="J207" t="s" s="0">
        <v>4891</v>
      </c>
      <c r="K207" t="s" s="0">
        <v>4892</v>
      </c>
      <c r="L207" t="s" s="0">
        <v>82</v>
      </c>
      <c r="M207" t="s" s="0">
        <v>82</v>
      </c>
      <c r="N207" t="s" s="0">
        <v>82</v>
      </c>
      <c r="O207" t="s" s="0">
        <v>4893</v>
      </c>
      <c r="P207" t="s" s="0">
        <v>4894</v>
      </c>
      <c r="Q207" t="s" s="0">
        <v>88</v>
      </c>
      <c r="R207" t="s" s="0">
        <v>82</v>
      </c>
      <c r="S207" t="s" s="0">
        <v>82</v>
      </c>
      <c r="T207" t="s" s="0">
        <v>82</v>
      </c>
      <c r="U207" t="s" s="0">
        <v>82</v>
      </c>
      <c r="V207" t="s" s="0">
        <v>4895</v>
      </c>
      <c r="W207" t="s" s="0">
        <v>4896</v>
      </c>
      <c r="X207" t="s" s="0">
        <v>82</v>
      </c>
      <c r="Y207" t="s" s="0">
        <v>82</v>
      </c>
      <c r="Z207" t="s" s="0">
        <v>91</v>
      </c>
      <c r="AA207" t="s" s="0">
        <v>92</v>
      </c>
      <c r="AB207" t="s" s="0">
        <v>82</v>
      </c>
      <c r="AC207" t="s" s="0">
        <v>82</v>
      </c>
      <c r="AD207" t="s" s="0">
        <v>82</v>
      </c>
      <c r="AE207" t="s" s="0">
        <v>82</v>
      </c>
      <c r="AF207" t="s" s="0">
        <v>82</v>
      </c>
      <c r="AG207" t="s" s="0">
        <v>4897</v>
      </c>
      <c r="AH207" t="s" s="0">
        <v>4898</v>
      </c>
      <c r="AI207" t="s" s="0">
        <v>82</v>
      </c>
      <c r="AJ207" t="s" s="0">
        <v>82</v>
      </c>
      <c r="AK207" t="s" s="0">
        <v>82</v>
      </c>
      <c r="AL207" t="s" s="0">
        <v>139</v>
      </c>
      <c r="AM207" t="s" s="0">
        <v>77</v>
      </c>
      <c r="AN207" t="s" s="0">
        <v>77</v>
      </c>
      <c r="AO207" t="s" s="0">
        <v>78</v>
      </c>
      <c r="AP207" t="s" s="0">
        <v>78</v>
      </c>
      <c r="AQ207" t="s" s="0">
        <v>4226</v>
      </c>
      <c r="AR207" t="s" s="0">
        <v>4227</v>
      </c>
      <c r="AS207" t="s" s="0">
        <v>4228</v>
      </c>
      <c r="AT207" t="s" s="0">
        <v>4899</v>
      </c>
      <c r="AU207" t="s" s="0">
        <v>4900</v>
      </c>
      <c r="AV207" t="s" s="0">
        <v>82</v>
      </c>
      <c r="AW207" t="s" s="0">
        <v>4901</v>
      </c>
      <c r="AX207" t="s" s="0">
        <v>4902</v>
      </c>
      <c r="AY207" t="s" s="0">
        <v>4039</v>
      </c>
      <c r="AZ207" t="s" s="0">
        <v>179</v>
      </c>
      <c r="BA207" t="s" s="0">
        <v>4903</v>
      </c>
      <c r="BB207" t="s" s="0">
        <v>82</v>
      </c>
      <c r="BC207" t="s" s="0">
        <v>82</v>
      </c>
      <c r="BD207" t="s" s="0">
        <v>82</v>
      </c>
      <c r="BE207" t="s" s="0">
        <v>82</v>
      </c>
      <c r="BF207" t="s" s="0">
        <v>82</v>
      </c>
      <c r="BG207" t="s" s="0">
        <v>82</v>
      </c>
      <c r="BH207" t="s" s="0">
        <v>82</v>
      </c>
      <c r="BI207" t="s" s="0">
        <v>4904</v>
      </c>
      <c r="BJ207" t="s" s="0">
        <v>4905</v>
      </c>
      <c r="BK207" t="s" s="411">
        <f>HYPERLINK("http://dx.doi.org/10.1016/j.cmpb.2026.109462","http://dx.doi.org/10.1016/j.cmpb.2026.109462")</f>
        <v>4906</v>
      </c>
      <c r="BL207" t="s" s="0">
        <v>82</v>
      </c>
      <c r="BM207" t="s" s="0">
        <v>82</v>
      </c>
      <c r="BN207" t="s" s="0">
        <v>363</v>
      </c>
      <c r="BO207" t="s" s="0">
        <v>4907</v>
      </c>
      <c r="BP207" t="s" s="0">
        <v>4651</v>
      </c>
      <c r="BQ207" t="s" s="0">
        <v>4908</v>
      </c>
      <c r="BR207" t="s" s="0">
        <v>4909</v>
      </c>
      <c r="BS207" t="s" s="0">
        <v>4910</v>
      </c>
      <c r="BT207" t="s" s="412">
        <f>HYPERLINK("https://www.webofscience.com/wos/woscc/full-record/WOS:001793440200001","View Record in Web of Science")</f>
        <v>120</v>
      </c>
      <c r="BU207" t="s" s="0">
        <v>82</v>
      </c>
      <c r="BV207" t="s" s="0">
        <v>82</v>
      </c>
      <c r="BW207" t="s" s="0">
        <v>82</v>
      </c>
      <c r="BX207" t="s" s="0">
        <v>121</v>
      </c>
    </row>
    <row r="208">
      <c r="A208" t="s" s="0">
        <v>77</v>
      </c>
      <c r="B208" t="s" s="0">
        <v>77</v>
      </c>
      <c r="C208" t="s" s="0">
        <v>77</v>
      </c>
      <c r="D208" t="s" s="0">
        <v>77</v>
      </c>
      <c r="E208" t="s" s="0">
        <v>4911</v>
      </c>
      <c r="F208" t="s" s="0">
        <v>4912</v>
      </c>
      <c r="G208" t="s" s="0">
        <v>4913</v>
      </c>
      <c r="H208" t="s" s="0">
        <v>82</v>
      </c>
      <c r="I208" t="s" s="0">
        <v>83</v>
      </c>
      <c r="J208" t="s" s="0">
        <v>4914</v>
      </c>
      <c r="K208" t="s" s="0">
        <v>4915</v>
      </c>
      <c r="L208" t="s" s="0">
        <v>4916</v>
      </c>
      <c r="M208" t="s" s="0">
        <v>4917</v>
      </c>
      <c r="N208" t="s" s="0">
        <v>4918</v>
      </c>
      <c r="O208" t="s" s="0">
        <v>4919</v>
      </c>
      <c r="P208" t="s" s="0">
        <v>4920</v>
      </c>
      <c r="Q208" t="s" s="0">
        <v>88</v>
      </c>
      <c r="R208" t="s" s="0">
        <v>82</v>
      </c>
      <c r="S208" t="s" s="0">
        <v>82</v>
      </c>
      <c r="T208" t="s" s="0">
        <v>82</v>
      </c>
      <c r="U208" t="s" s="0">
        <v>82</v>
      </c>
      <c r="V208" t="s" s="0">
        <v>4921</v>
      </c>
      <c r="W208" t="s" s="0">
        <v>4922</v>
      </c>
      <c r="X208" t="s" s="0">
        <v>82</v>
      </c>
      <c r="Y208" t="s" s="0">
        <v>82</v>
      </c>
      <c r="Z208" t="s" s="0">
        <v>91</v>
      </c>
      <c r="AA208" t="s" s="0">
        <v>92</v>
      </c>
      <c r="AB208" t="s" s="0">
        <v>82</v>
      </c>
      <c r="AC208" t="s" s="0">
        <v>82</v>
      </c>
      <c r="AD208" t="s" s="0">
        <v>82</v>
      </c>
      <c r="AE208" t="s" s="0">
        <v>82</v>
      </c>
      <c r="AF208" t="s" s="0">
        <v>82</v>
      </c>
      <c r="AG208" t="s" s="0">
        <v>4923</v>
      </c>
      <c r="AH208" t="s" s="0">
        <v>82</v>
      </c>
      <c r="AI208" t="s" s="0">
        <v>4924</v>
      </c>
      <c r="AJ208" t="s" s="0">
        <v>82</v>
      </c>
      <c r="AK208" t="s" s="0">
        <v>82</v>
      </c>
      <c r="AL208" t="s" s="0">
        <v>736</v>
      </c>
      <c r="AM208" t="s" s="0">
        <v>77</v>
      </c>
      <c r="AN208" t="s" s="0">
        <v>77</v>
      </c>
      <c r="AO208" t="s" s="0">
        <v>235</v>
      </c>
      <c r="AP208" t="s" s="0">
        <v>235</v>
      </c>
      <c r="AQ208" t="s" s="0">
        <v>4925</v>
      </c>
      <c r="AR208" t="s" s="0">
        <v>475</v>
      </c>
      <c r="AS208" t="s" s="0">
        <v>4926</v>
      </c>
      <c r="AT208" t="s" s="0">
        <v>82</v>
      </c>
      <c r="AU208" t="s" s="0">
        <v>4927</v>
      </c>
      <c r="AV208" t="s" s="0">
        <v>82</v>
      </c>
      <c r="AW208" t="s" s="0">
        <v>4928</v>
      </c>
      <c r="AX208" t="s" s="0">
        <v>4929</v>
      </c>
      <c r="AY208" t="s" s="0">
        <v>4930</v>
      </c>
      <c r="AZ208" t="s" s="0">
        <v>179</v>
      </c>
      <c r="BA208" t="s" s="0">
        <v>148</v>
      </c>
      <c r="BB208" t="s" s="0">
        <v>82</v>
      </c>
      <c r="BC208" t="s" s="0">
        <v>82</v>
      </c>
      <c r="BD208" t="s" s="0">
        <v>82</v>
      </c>
      <c r="BE208" t="s" s="0">
        <v>82</v>
      </c>
      <c r="BF208" t="s" s="0">
        <v>82</v>
      </c>
      <c r="BG208" t="s" s="0">
        <v>82</v>
      </c>
      <c r="BH208" t="s" s="0">
        <v>82</v>
      </c>
      <c r="BI208" t="s" s="0">
        <v>4931</v>
      </c>
      <c r="BJ208" t="s" s="0">
        <v>4932</v>
      </c>
      <c r="BK208" t="s" s="413">
        <f>HYPERLINK("http://dx.doi.org/10.7717/peerj-cs.3853","http://dx.doi.org/10.7717/peerj-cs.3853")</f>
        <v>4933</v>
      </c>
      <c r="BL208" t="s" s="0">
        <v>82</v>
      </c>
      <c r="BM208" t="s" s="0">
        <v>3404</v>
      </c>
      <c r="BN208" t="s" s="0">
        <v>331</v>
      </c>
      <c r="BO208" t="s" s="0">
        <v>4934</v>
      </c>
      <c r="BP208" t="s" s="0">
        <v>309</v>
      </c>
      <c r="BQ208" t="s" s="0">
        <v>4935</v>
      </c>
      <c r="BR208" t="s" s="0">
        <v>82</v>
      </c>
      <c r="BS208" t="s" s="0">
        <v>4936</v>
      </c>
      <c r="BT208" t="s" s="414">
        <f>HYPERLINK("https://www.webofscience.com/wos/woscc/full-record/WOS:001778786100001","View Record in Web of Science")</f>
        <v>120</v>
      </c>
      <c r="BU208" t="s" s="0">
        <v>189</v>
      </c>
      <c r="BV208" t="s" s="0">
        <v>82</v>
      </c>
      <c r="BW208" t="s" s="0">
        <v>82</v>
      </c>
      <c r="BX208" t="s" s="0">
        <v>121</v>
      </c>
    </row>
    <row r="209">
      <c r="A209" t="s" s="0">
        <v>77</v>
      </c>
      <c r="B209" t="s" s="0">
        <v>77</v>
      </c>
      <c r="C209" t="s" s="0">
        <v>77</v>
      </c>
      <c r="D209" t="s" s="0">
        <v>77</v>
      </c>
      <c r="E209" t="s" s="0">
        <v>4937</v>
      </c>
      <c r="F209" t="s" s="0">
        <v>4938</v>
      </c>
      <c r="G209" t="s" s="0">
        <v>4939</v>
      </c>
      <c r="H209" t="s" s="0">
        <v>82</v>
      </c>
      <c r="I209" t="s" s="0">
        <v>460</v>
      </c>
      <c r="J209" t="s" s="0">
        <v>4940</v>
      </c>
      <c r="K209" t="s" s="0">
        <v>4941</v>
      </c>
      <c r="L209" t="s" s="0">
        <v>4942</v>
      </c>
      <c r="M209" t="s" s="0">
        <v>4943</v>
      </c>
      <c r="N209" t="s" s="0">
        <v>4944</v>
      </c>
      <c r="O209" t="s" s="0">
        <v>4945</v>
      </c>
      <c r="P209" t="s" s="0">
        <v>4946</v>
      </c>
      <c r="Q209" t="s" s="0">
        <v>88</v>
      </c>
      <c r="R209" t="s" s="0">
        <v>82</v>
      </c>
      <c r="S209" t="s" s="0">
        <v>82</v>
      </c>
      <c r="T209" t="s" s="0">
        <v>82</v>
      </c>
      <c r="U209" t="s" s="0">
        <v>82</v>
      </c>
      <c r="V209" t="s" s="0">
        <v>4947</v>
      </c>
      <c r="W209" t="s" s="0">
        <v>4948</v>
      </c>
      <c r="X209" t="s" s="0">
        <v>82</v>
      </c>
      <c r="Y209" t="s" s="0">
        <v>82</v>
      </c>
      <c r="Z209" t="s" s="0">
        <v>91</v>
      </c>
      <c r="AA209" t="s" s="0">
        <v>92</v>
      </c>
      <c r="AB209" t="s" s="0">
        <v>82</v>
      </c>
      <c r="AC209" t="s" s="0">
        <v>82</v>
      </c>
      <c r="AD209" t="s" s="0">
        <v>82</v>
      </c>
      <c r="AE209" t="s" s="0">
        <v>82</v>
      </c>
      <c r="AF209" t="s" s="0">
        <v>82</v>
      </c>
      <c r="AG209" t="s" s="0">
        <v>4949</v>
      </c>
      <c r="AH209" t="s" s="0">
        <v>4950</v>
      </c>
      <c r="AI209" t="s" s="0">
        <v>82</v>
      </c>
      <c r="AJ209" t="s" s="0">
        <v>4951</v>
      </c>
      <c r="AK209" t="s" s="0">
        <v>82</v>
      </c>
      <c r="AL209" t="s" s="0">
        <v>1751</v>
      </c>
      <c r="AM209" t="s" s="0">
        <v>78</v>
      </c>
      <c r="AN209" t="s" s="0">
        <v>204</v>
      </c>
      <c r="AO209" t="s" s="0">
        <v>77</v>
      </c>
      <c r="AP209" t="s" s="0">
        <v>235</v>
      </c>
      <c r="AQ209" t="s" s="0">
        <v>418</v>
      </c>
      <c r="AR209" t="s" s="0">
        <v>419</v>
      </c>
      <c r="AS209" t="s" s="0">
        <v>420</v>
      </c>
      <c r="AT209" t="s" s="0">
        <v>82</v>
      </c>
      <c r="AU209" t="s" s="0">
        <v>4952</v>
      </c>
      <c r="AV209" t="s" s="0">
        <v>82</v>
      </c>
      <c r="AW209" t="s" s="0">
        <v>4948</v>
      </c>
      <c r="AX209" t="s" s="0">
        <v>4953</v>
      </c>
      <c r="AY209" t="s" s="0">
        <v>4954</v>
      </c>
      <c r="AZ209" t="s" s="0">
        <v>108</v>
      </c>
      <c r="BA209" t="s" s="0">
        <v>109</v>
      </c>
      <c r="BB209" t="s" s="0">
        <v>272</v>
      </c>
      <c r="BC209" t="s" s="0">
        <v>82</v>
      </c>
      <c r="BD209" t="s" s="0">
        <v>82</v>
      </c>
      <c r="BE209" t="s" s="0">
        <v>82</v>
      </c>
      <c r="BF209" t="s" s="0">
        <v>82</v>
      </c>
      <c r="BG209" t="s" s="0">
        <v>82</v>
      </c>
      <c r="BH209" t="s" s="0">
        <v>82</v>
      </c>
      <c r="BI209" t="s" s="0">
        <v>4955</v>
      </c>
      <c r="BJ209" t="s" s="0">
        <v>4956</v>
      </c>
      <c r="BK209" t="s" s="415">
        <f>HYPERLINK("http://dx.doi.org/10.3390/robotics14080102","http://dx.doi.org/10.3390/robotics14080102")</f>
        <v>4957</v>
      </c>
      <c r="BL209" t="s" s="0">
        <v>82</v>
      </c>
      <c r="BM209" t="s" s="0">
        <v>82</v>
      </c>
      <c r="BN209" t="s" s="0">
        <v>976</v>
      </c>
      <c r="BO209" t="s" s="0">
        <v>4953</v>
      </c>
      <c r="BP209" t="s" s="0">
        <v>4953</v>
      </c>
      <c r="BQ209" t="s" s="0">
        <v>4958</v>
      </c>
      <c r="BR209" t="s" s="0">
        <v>82</v>
      </c>
      <c r="BS209" t="s" s="0">
        <v>4959</v>
      </c>
      <c r="BT209" t="s" s="416">
        <f>HYPERLINK("https://www.webofscience.com/wos/woscc/full-record/WOS:001558426000001","View Record in Web of Science")</f>
        <v>120</v>
      </c>
      <c r="BU209" t="s" s="0">
        <v>189</v>
      </c>
      <c r="BV209" t="s" s="0">
        <v>82</v>
      </c>
      <c r="BW209" t="s" s="0">
        <v>82</v>
      </c>
      <c r="BX209" t="s" s="0">
        <v>121</v>
      </c>
    </row>
    <row r="210">
      <c r="A210" t="s" s="0">
        <v>77</v>
      </c>
      <c r="B210" t="s" s="0">
        <v>77</v>
      </c>
      <c r="C210" t="s" s="0">
        <v>77</v>
      </c>
      <c r="D210" t="s" s="0">
        <v>77</v>
      </c>
      <c r="E210" t="s" s="0">
        <v>4960</v>
      </c>
      <c r="F210" t="s" s="0">
        <v>4961</v>
      </c>
      <c r="G210" t="s" s="0">
        <v>4962</v>
      </c>
      <c r="H210" t="s" s="0">
        <v>82</v>
      </c>
      <c r="I210" t="s" s="0">
        <v>83</v>
      </c>
      <c r="J210" t="s" s="0">
        <v>4963</v>
      </c>
      <c r="K210" t="s" s="0">
        <v>4964</v>
      </c>
      <c r="L210" t="s" s="0">
        <v>4965</v>
      </c>
      <c r="M210" t="s" s="0">
        <v>4966</v>
      </c>
      <c r="N210" t="s" s="0">
        <v>4967</v>
      </c>
      <c r="O210" t="s" s="0">
        <v>4968</v>
      </c>
      <c r="P210" t="s" s="0">
        <v>4969</v>
      </c>
      <c r="Q210" t="s" s="0">
        <v>88</v>
      </c>
      <c r="R210" t="s" s="0">
        <v>82</v>
      </c>
      <c r="S210" t="s" s="0">
        <v>82</v>
      </c>
      <c r="T210" t="s" s="0">
        <v>82</v>
      </c>
      <c r="U210" t="s" s="0">
        <v>82</v>
      </c>
      <c r="V210" t="s" s="0">
        <v>4970</v>
      </c>
      <c r="W210" t="s" s="0">
        <v>1592</v>
      </c>
      <c r="X210" t="s" s="0">
        <v>82</v>
      </c>
      <c r="Y210" t="s" s="0">
        <v>82</v>
      </c>
      <c r="Z210" t="s" s="0">
        <v>91</v>
      </c>
      <c r="AA210" t="s" s="0">
        <v>92</v>
      </c>
      <c r="AB210" t="s" s="0">
        <v>82</v>
      </c>
      <c r="AC210" t="s" s="0">
        <v>82</v>
      </c>
      <c r="AD210" t="s" s="0">
        <v>82</v>
      </c>
      <c r="AE210" t="s" s="0">
        <v>82</v>
      </c>
      <c r="AF210" t="s" s="0">
        <v>82</v>
      </c>
      <c r="AG210" t="s" s="0">
        <v>82</v>
      </c>
      <c r="AH210" t="s" s="0">
        <v>4971</v>
      </c>
      <c r="AI210" t="s" s="0">
        <v>4972</v>
      </c>
      <c r="AJ210" t="s" s="0">
        <v>4973</v>
      </c>
      <c r="AK210" t="s" s="0">
        <v>82</v>
      </c>
      <c r="AL210" t="s" s="0">
        <v>1505</v>
      </c>
      <c r="AM210" t="s" s="0">
        <v>77</v>
      </c>
      <c r="AN210" t="s" s="0">
        <v>77</v>
      </c>
      <c r="AO210" t="s" s="0">
        <v>78</v>
      </c>
      <c r="AP210" t="s" s="0">
        <v>78</v>
      </c>
      <c r="AQ210" t="s" s="0">
        <v>172</v>
      </c>
      <c r="AR210" t="s" s="0">
        <v>173</v>
      </c>
      <c r="AS210" t="s" s="0">
        <v>174</v>
      </c>
      <c r="AT210" t="s" s="0">
        <v>82</v>
      </c>
      <c r="AU210" t="s" s="0">
        <v>1595</v>
      </c>
      <c r="AV210" t="s" s="0">
        <v>82</v>
      </c>
      <c r="AW210" t="s" s="0">
        <v>1596</v>
      </c>
      <c r="AX210" t="s" s="0">
        <v>1597</v>
      </c>
      <c r="AY210" t="s" s="0">
        <v>4974</v>
      </c>
      <c r="AZ210" t="s" s="0">
        <v>179</v>
      </c>
      <c r="BA210" t="s" s="0">
        <v>428</v>
      </c>
      <c r="BB210" t="s" s="0">
        <v>78</v>
      </c>
      <c r="BC210" t="s" s="0">
        <v>82</v>
      </c>
      <c r="BD210" t="s" s="0">
        <v>82</v>
      </c>
      <c r="BE210" t="s" s="0">
        <v>82</v>
      </c>
      <c r="BF210" t="s" s="0">
        <v>82</v>
      </c>
      <c r="BG210" t="s" s="0">
        <v>82</v>
      </c>
      <c r="BH210" t="s" s="0">
        <v>82</v>
      </c>
      <c r="BI210" t="s" s="0">
        <v>4975</v>
      </c>
      <c r="BJ210" t="s" s="0">
        <v>4976</v>
      </c>
      <c r="BK210" t="s" s="417">
        <f>HYPERLINK("http://dx.doi.org/10.1038/s41467-026-74207-5","http://dx.doi.org/10.1038/s41467-026-74207-5")</f>
        <v>4977</v>
      </c>
      <c r="BL210" t="s" s="0">
        <v>82</v>
      </c>
      <c r="BM210" t="s" s="0">
        <v>82</v>
      </c>
      <c r="BN210" t="s" s="0">
        <v>272</v>
      </c>
      <c r="BO210" t="s" s="0">
        <v>213</v>
      </c>
      <c r="BP210" t="s" s="0">
        <v>214</v>
      </c>
      <c r="BQ210" t="s" s="0">
        <v>4978</v>
      </c>
      <c r="BR210" t="s" s="0">
        <v>4979</v>
      </c>
      <c r="BS210" t="s" s="0">
        <v>4980</v>
      </c>
      <c r="BT210" t="s" s="418">
        <f>HYPERLINK("https://www.webofscience.com/wos/woscc/full-record/WOS:001834924400009","View Record in Web of Science")</f>
        <v>120</v>
      </c>
      <c r="BU210" t="s" s="0">
        <v>189</v>
      </c>
      <c r="BV210" t="s" s="0">
        <v>82</v>
      </c>
      <c r="BW210" t="s" s="0">
        <v>82</v>
      </c>
      <c r="BX210" t="s" s="0">
        <v>121</v>
      </c>
    </row>
    <row r="211">
      <c r="A211" t="s" s="0">
        <v>77</v>
      </c>
      <c r="B211" t="s" s="0">
        <v>77</v>
      </c>
      <c r="C211" t="s" s="0">
        <v>77</v>
      </c>
      <c r="D211" t="s" s="0">
        <v>77</v>
      </c>
      <c r="E211" t="s" s="0">
        <v>4981</v>
      </c>
      <c r="F211" t="s" s="0">
        <v>4982</v>
      </c>
      <c r="G211" t="s" s="0">
        <v>4983</v>
      </c>
      <c r="H211" t="s" s="0">
        <v>82</v>
      </c>
      <c r="I211" t="s" s="0">
        <v>83</v>
      </c>
      <c r="J211" t="s" s="0">
        <v>4984</v>
      </c>
      <c r="K211" t="s" s="0">
        <v>4985</v>
      </c>
      <c r="L211" t="s" s="0">
        <v>4986</v>
      </c>
      <c r="M211" t="s" s="0">
        <v>4987</v>
      </c>
      <c r="N211" t="s" s="0">
        <v>4988</v>
      </c>
      <c r="O211" t="s" s="0">
        <v>4989</v>
      </c>
      <c r="P211" t="s" s="0">
        <v>4990</v>
      </c>
      <c r="Q211" t="s" s="0">
        <v>88</v>
      </c>
      <c r="R211" t="s" s="0">
        <v>82</v>
      </c>
      <c r="S211" t="s" s="0">
        <v>82</v>
      </c>
      <c r="T211" t="s" s="0">
        <v>82</v>
      </c>
      <c r="U211" t="s" s="0">
        <v>82</v>
      </c>
      <c r="V211" t="s" s="0">
        <v>4991</v>
      </c>
      <c r="W211" t="s" s="0">
        <v>960</v>
      </c>
      <c r="X211" t="s" s="0">
        <v>82</v>
      </c>
      <c r="Y211" t="s" s="0">
        <v>82</v>
      </c>
      <c r="Z211" t="s" s="0">
        <v>91</v>
      </c>
      <c r="AA211" t="s" s="0">
        <v>92</v>
      </c>
      <c r="AB211" t="s" s="0">
        <v>82</v>
      </c>
      <c r="AC211" t="s" s="0">
        <v>82</v>
      </c>
      <c r="AD211" t="s" s="0">
        <v>82</v>
      </c>
      <c r="AE211" t="s" s="0">
        <v>82</v>
      </c>
      <c r="AF211" t="s" s="0">
        <v>82</v>
      </c>
      <c r="AG211" t="s" s="0">
        <v>4992</v>
      </c>
      <c r="AH211" t="s" s="0">
        <v>4993</v>
      </c>
      <c r="AI211" t="s" s="0">
        <v>82</v>
      </c>
      <c r="AJ211" t="s" s="0">
        <v>4994</v>
      </c>
      <c r="AK211" t="s" s="0">
        <v>82</v>
      </c>
      <c r="AL211" t="s" s="0">
        <v>1506</v>
      </c>
      <c r="AM211" t="s" s="0">
        <v>99</v>
      </c>
      <c r="AN211" t="s" s="0">
        <v>99</v>
      </c>
      <c r="AO211" t="s" s="0">
        <v>115</v>
      </c>
      <c r="AP211" t="s" s="0">
        <v>138</v>
      </c>
      <c r="AQ211" t="s" s="0">
        <v>964</v>
      </c>
      <c r="AR211" t="s" s="0">
        <v>965</v>
      </c>
      <c r="AS211" t="s" s="0">
        <v>966</v>
      </c>
      <c r="AT211" t="s" s="0">
        <v>967</v>
      </c>
      <c r="AU211" t="s" s="0">
        <v>968</v>
      </c>
      <c r="AV211" t="s" s="0">
        <v>82</v>
      </c>
      <c r="AW211" t="s" s="0">
        <v>969</v>
      </c>
      <c r="AX211" t="s" s="0">
        <v>970</v>
      </c>
      <c r="AY211" t="s" s="0">
        <v>2696</v>
      </c>
      <c r="AZ211" t="s" s="0">
        <v>179</v>
      </c>
      <c r="BA211" t="s" s="0">
        <v>2089</v>
      </c>
      <c r="BB211" t="s" s="0">
        <v>82</v>
      </c>
      <c r="BC211" t="s" s="0">
        <v>82</v>
      </c>
      <c r="BD211" t="s" s="0">
        <v>512</v>
      </c>
      <c r="BE211" t="s" s="0">
        <v>82</v>
      </c>
      <c r="BF211" t="s" s="0">
        <v>82</v>
      </c>
      <c r="BG211" t="s" s="0">
        <v>82</v>
      </c>
      <c r="BH211" t="s" s="0">
        <v>82</v>
      </c>
      <c r="BI211" t="s" s="0">
        <v>4995</v>
      </c>
      <c r="BJ211" t="s" s="0">
        <v>4996</v>
      </c>
      <c r="BK211" t="s" s="419">
        <f>HYPERLINK("http://dx.doi.org/10.1016/j.eswa.2025.130082","http://dx.doi.org/10.1016/j.eswa.2025.130082")</f>
        <v>4997</v>
      </c>
      <c r="BL211" t="s" s="0">
        <v>82</v>
      </c>
      <c r="BM211" t="s" s="0">
        <v>448</v>
      </c>
      <c r="BN211" t="s" s="0">
        <v>184</v>
      </c>
      <c r="BO211" t="s" s="0">
        <v>977</v>
      </c>
      <c r="BP211" t="s" s="0">
        <v>978</v>
      </c>
      <c r="BQ211" t="s" s="0">
        <v>4998</v>
      </c>
      <c r="BR211" t="s" s="0">
        <v>82</v>
      </c>
      <c r="BS211" t="s" s="0">
        <v>4999</v>
      </c>
      <c r="BT211" t="s" s="420">
        <f>HYPERLINK("https://www.webofscience.com/wos/woscc/full-record/WOS:001607937400002","View Record in Web of Science")</f>
        <v>120</v>
      </c>
      <c r="BU211" t="s" s="0">
        <v>82</v>
      </c>
      <c r="BV211" t="s" s="0">
        <v>82</v>
      </c>
      <c r="BW211" t="s" s="0">
        <v>82</v>
      </c>
      <c r="BX211" t="s" s="0">
        <v>121</v>
      </c>
    </row>
    <row r="212">
      <c r="A212" t="s" s="0">
        <v>77</v>
      </c>
      <c r="B212" t="s" s="0">
        <v>77</v>
      </c>
      <c r="C212" t="s" s="0">
        <v>78</v>
      </c>
      <c r="D212" t="s" s="0">
        <v>77</v>
      </c>
      <c r="E212" t="s" s="0">
        <v>5000</v>
      </c>
      <c r="F212" t="s" s="0">
        <v>5001</v>
      </c>
      <c r="G212" t="s" s="0">
        <v>5002</v>
      </c>
      <c r="H212" t="s" s="0">
        <v>82</v>
      </c>
      <c r="I212" t="s" s="0">
        <v>83</v>
      </c>
      <c r="J212" t="s" s="0">
        <v>5003</v>
      </c>
      <c r="K212" t="s" s="0">
        <v>5004</v>
      </c>
      <c r="L212" t="s" s="0">
        <v>82</v>
      </c>
      <c r="M212" t="s" s="0">
        <v>82</v>
      </c>
      <c r="N212" t="s" s="0">
        <v>82</v>
      </c>
      <c r="O212" t="s" s="0">
        <v>5005</v>
      </c>
      <c r="P212" t="s" s="0">
        <v>5006</v>
      </c>
      <c r="Q212" t="s" s="0">
        <v>88</v>
      </c>
      <c r="R212" t="s" s="0">
        <v>82</v>
      </c>
      <c r="S212" t="s" s="0">
        <v>82</v>
      </c>
      <c r="T212" t="s" s="0">
        <v>82</v>
      </c>
      <c r="U212" t="s" s="0">
        <v>82</v>
      </c>
      <c r="V212" t="s" s="0">
        <v>5007</v>
      </c>
      <c r="W212" t="s" s="0">
        <v>294</v>
      </c>
      <c r="X212" t="s" s="0">
        <v>82</v>
      </c>
      <c r="Y212" t="s" s="0">
        <v>82</v>
      </c>
      <c r="Z212" t="s" s="0">
        <v>91</v>
      </c>
      <c r="AA212" t="s" s="0">
        <v>92</v>
      </c>
      <c r="AB212" t="s" s="0">
        <v>82</v>
      </c>
      <c r="AC212" t="s" s="0">
        <v>82</v>
      </c>
      <c r="AD212" t="s" s="0">
        <v>82</v>
      </c>
      <c r="AE212" t="s" s="0">
        <v>82</v>
      </c>
      <c r="AF212" t="s" s="0">
        <v>82</v>
      </c>
      <c r="AG212" t="s" s="0">
        <v>5008</v>
      </c>
      <c r="AH212" t="s" s="0">
        <v>5009</v>
      </c>
      <c r="AI212" t="s" s="0">
        <v>5010</v>
      </c>
      <c r="AJ212" t="s" s="0">
        <v>82</v>
      </c>
      <c r="AK212" t="s" s="0">
        <v>82</v>
      </c>
      <c r="AL212" t="s" s="0">
        <v>5011</v>
      </c>
      <c r="AM212" t="s" s="0">
        <v>235</v>
      </c>
      <c r="AN212" t="s" s="0">
        <v>235</v>
      </c>
      <c r="AO212" t="s" s="0">
        <v>97</v>
      </c>
      <c r="AP212" t="s" s="0">
        <v>209</v>
      </c>
      <c r="AQ212" t="s" s="0">
        <v>296</v>
      </c>
      <c r="AR212" t="s" s="0">
        <v>297</v>
      </c>
      <c r="AS212" t="s" s="0">
        <v>298</v>
      </c>
      <c r="AT212" t="s" s="0">
        <v>299</v>
      </c>
      <c r="AU212" t="s" s="0">
        <v>300</v>
      </c>
      <c r="AV212" t="s" s="0">
        <v>82</v>
      </c>
      <c r="AW212" t="s" s="0">
        <v>294</v>
      </c>
      <c r="AX212" t="s" s="0">
        <v>301</v>
      </c>
      <c r="AY212" t="s" s="0">
        <v>5012</v>
      </c>
      <c r="AZ212" t="s" s="0">
        <v>179</v>
      </c>
      <c r="BA212" t="s" s="0">
        <v>5013</v>
      </c>
      <c r="BB212" t="s" s="0">
        <v>82</v>
      </c>
      <c r="BC212" t="s" s="0">
        <v>82</v>
      </c>
      <c r="BD212" t="s" s="0">
        <v>82</v>
      </c>
      <c r="BE212" t="s" s="0">
        <v>82</v>
      </c>
      <c r="BF212" t="s" s="0">
        <v>82</v>
      </c>
      <c r="BG212" t="s" s="0">
        <v>82</v>
      </c>
      <c r="BH212" t="s" s="0">
        <v>82</v>
      </c>
      <c r="BI212" t="s" s="0">
        <v>5014</v>
      </c>
      <c r="BJ212" t="s" s="0">
        <v>5015</v>
      </c>
      <c r="BK212" t="s" s="421">
        <f>HYPERLINK("http://dx.doi.org/10.1016/j.neucom.2025.131817","http://dx.doi.org/10.1016/j.neucom.2025.131817")</f>
        <v>5016</v>
      </c>
      <c r="BL212" t="s" s="0">
        <v>82</v>
      </c>
      <c r="BM212" t="s" s="0">
        <v>448</v>
      </c>
      <c r="BN212" t="s" s="0">
        <v>976</v>
      </c>
      <c r="BO212" t="s" s="0">
        <v>308</v>
      </c>
      <c r="BP212" t="s" s="0">
        <v>309</v>
      </c>
      <c r="BQ212" t="s" s="0">
        <v>5017</v>
      </c>
      <c r="BR212" t="s" s="0">
        <v>82</v>
      </c>
      <c r="BS212" t="s" s="0">
        <v>5018</v>
      </c>
      <c r="BT212" t="s" s="422">
        <f>HYPERLINK("https://www.webofscience.com/wos/woscc/full-record/WOS:001608619400012","View Record in Web of Science")</f>
        <v>120</v>
      </c>
      <c r="BU212" t="s" s="0">
        <v>82</v>
      </c>
      <c r="BV212" t="s" s="0">
        <v>82</v>
      </c>
      <c r="BW212" t="s" s="0">
        <v>82</v>
      </c>
      <c r="BX212" t="s" s="0">
        <v>121</v>
      </c>
    </row>
    <row r="213">
      <c r="A213" t="s" s="0">
        <v>77</v>
      </c>
      <c r="B213" t="s" s="0">
        <v>77</v>
      </c>
      <c r="C213" t="s" s="0">
        <v>77</v>
      </c>
      <c r="D213" t="s" s="0">
        <v>77</v>
      </c>
      <c r="E213" t="s" s="0">
        <v>5019</v>
      </c>
      <c r="F213" t="s" s="0">
        <v>5020</v>
      </c>
      <c r="G213" t="s" s="0">
        <v>5021</v>
      </c>
      <c r="H213" t="s" s="0">
        <v>82</v>
      </c>
      <c r="I213" t="s" s="0">
        <v>83</v>
      </c>
      <c r="J213" t="s" s="0">
        <v>5022</v>
      </c>
      <c r="K213" t="s" s="0">
        <v>5023</v>
      </c>
      <c r="L213" t="s" s="0">
        <v>82</v>
      </c>
      <c r="M213" t="s" s="0">
        <v>82</v>
      </c>
      <c r="N213" t="s" s="0">
        <v>5024</v>
      </c>
      <c r="O213" t="s" s="0">
        <v>5025</v>
      </c>
      <c r="P213" t="s" s="0">
        <v>5026</v>
      </c>
      <c r="Q213" t="s" s="0">
        <v>88</v>
      </c>
      <c r="R213" t="s" s="0">
        <v>82</v>
      </c>
      <c r="S213" t="s" s="0">
        <v>82</v>
      </c>
      <c r="T213" t="s" s="0">
        <v>82</v>
      </c>
      <c r="U213" t="s" s="0">
        <v>82</v>
      </c>
      <c r="V213" t="s" s="0">
        <v>5027</v>
      </c>
      <c r="W213" t="s" s="0">
        <v>1226</v>
      </c>
      <c r="X213" t="s" s="0">
        <v>82</v>
      </c>
      <c r="Y213" t="s" s="0">
        <v>82</v>
      </c>
      <c r="Z213" t="s" s="0">
        <v>91</v>
      </c>
      <c r="AA213" t="s" s="0">
        <v>908</v>
      </c>
      <c r="AB213" t="s" s="0">
        <v>82</v>
      </c>
      <c r="AC213" t="s" s="0">
        <v>82</v>
      </c>
      <c r="AD213" t="s" s="0">
        <v>82</v>
      </c>
      <c r="AE213" t="s" s="0">
        <v>82</v>
      </c>
      <c r="AF213" t="s" s="0">
        <v>82</v>
      </c>
      <c r="AG213" t="s" s="0">
        <v>5028</v>
      </c>
      <c r="AH213" t="s" s="0">
        <v>82</v>
      </c>
      <c r="AI213" t="s" s="0">
        <v>5029</v>
      </c>
      <c r="AJ213" t="s" s="0">
        <v>82</v>
      </c>
      <c r="AK213" t="s" s="0">
        <v>82</v>
      </c>
      <c r="AL213" t="s" s="0">
        <v>586</v>
      </c>
      <c r="AM213" t="s" s="0">
        <v>77</v>
      </c>
      <c r="AN213" t="s" s="0">
        <v>77</v>
      </c>
      <c r="AO213" t="s" s="0">
        <v>204</v>
      </c>
      <c r="AP213" t="s" s="0">
        <v>204</v>
      </c>
      <c r="AQ213" t="s" s="0">
        <v>795</v>
      </c>
      <c r="AR213" t="s" s="0">
        <v>796</v>
      </c>
      <c r="AS213" t="s" s="0">
        <v>797</v>
      </c>
      <c r="AT213" t="s" s="0">
        <v>1229</v>
      </c>
      <c r="AU213" t="s" s="0">
        <v>1230</v>
      </c>
      <c r="AV213" t="s" s="0">
        <v>82</v>
      </c>
      <c r="AW213" t="s" s="0">
        <v>1231</v>
      </c>
      <c r="AX213" t="s" s="0">
        <v>1232</v>
      </c>
      <c r="AY213" t="s" s="0">
        <v>82</v>
      </c>
      <c r="AZ213" t="s" s="0">
        <v>179</v>
      </c>
      <c r="BA213" t="s" s="0">
        <v>82</v>
      </c>
      <c r="BB213" t="s" s="0">
        <v>82</v>
      </c>
      <c r="BC213" t="s" s="0">
        <v>82</v>
      </c>
      <c r="BD213" t="s" s="0">
        <v>82</v>
      </c>
      <c r="BE213" t="s" s="0">
        <v>82</v>
      </c>
      <c r="BF213" t="s" s="0">
        <v>82</v>
      </c>
      <c r="BG213" t="s" s="0">
        <v>82</v>
      </c>
      <c r="BH213" t="s" s="0">
        <v>82</v>
      </c>
      <c r="BI213" t="s" s="0">
        <v>82</v>
      </c>
      <c r="BJ213" t="s" s="0">
        <v>5030</v>
      </c>
      <c r="BK213" t="s" s="423">
        <f>HYPERLINK("http://dx.doi.org/10.1007/s10278-026-02102-y","http://dx.doi.org/10.1007/s10278-026-02102-y")</f>
        <v>5031</v>
      </c>
      <c r="BL213" t="s" s="0">
        <v>82</v>
      </c>
      <c r="BM213" t="s" s="0">
        <v>716</v>
      </c>
      <c r="BN213" t="s" s="0">
        <v>184</v>
      </c>
      <c r="BO213" t="s" s="0">
        <v>717</v>
      </c>
      <c r="BP213" t="s" s="0">
        <v>717</v>
      </c>
      <c r="BQ213" t="s" s="0">
        <v>5032</v>
      </c>
      <c r="BR213" t="s" s="0">
        <v>5033</v>
      </c>
      <c r="BS213" t="s" s="0">
        <v>5034</v>
      </c>
      <c r="BT213" t="s" s="424">
        <f>HYPERLINK("https://www.webofscience.com/wos/woscc/full-record/WOS:001813087100001","View Record in Web of Science")</f>
        <v>120</v>
      </c>
      <c r="BU213" t="s" s="0">
        <v>82</v>
      </c>
      <c r="BV213" t="s" s="0">
        <v>82</v>
      </c>
      <c r="BW213" t="s" s="0">
        <v>82</v>
      </c>
      <c r="BX213" t="s" s="0">
        <v>121</v>
      </c>
    </row>
    <row r="214">
      <c r="A214" t="s" s="0">
        <v>77</v>
      </c>
      <c r="B214" t="s" s="0">
        <v>77</v>
      </c>
      <c r="C214" t="s" s="0">
        <v>77</v>
      </c>
      <c r="D214" t="s" s="0">
        <v>77</v>
      </c>
      <c r="E214" t="s" s="0">
        <v>5035</v>
      </c>
      <c r="F214" t="s" s="0">
        <v>5036</v>
      </c>
      <c r="G214" t="s" s="0">
        <v>5037</v>
      </c>
      <c r="H214" t="s" s="0">
        <v>82</v>
      </c>
      <c r="I214" t="s" s="0">
        <v>83</v>
      </c>
      <c r="J214" t="s" s="0">
        <v>5038</v>
      </c>
      <c r="K214" t="s" s="0">
        <v>5039</v>
      </c>
      <c r="L214" t="s" s="0">
        <v>5040</v>
      </c>
      <c r="M214" t="s" s="0">
        <v>5041</v>
      </c>
      <c r="N214" t="s" s="0">
        <v>5042</v>
      </c>
      <c r="O214" t="s" s="0">
        <v>5043</v>
      </c>
      <c r="P214" t="s" s="0">
        <v>5044</v>
      </c>
      <c r="Q214" t="s" s="0">
        <v>88</v>
      </c>
      <c r="R214" t="s" s="0">
        <v>82</v>
      </c>
      <c r="S214" t="s" s="0">
        <v>82</v>
      </c>
      <c r="T214" t="s" s="0">
        <v>82</v>
      </c>
      <c r="U214" t="s" s="0">
        <v>82</v>
      </c>
      <c r="V214" t="s" s="0">
        <v>5045</v>
      </c>
      <c r="W214" t="s" s="0">
        <v>5046</v>
      </c>
      <c r="X214" t="s" s="0">
        <v>82</v>
      </c>
      <c r="Y214" t="s" s="0">
        <v>82</v>
      </c>
      <c r="Z214" t="s" s="0">
        <v>91</v>
      </c>
      <c r="AA214" t="s" s="0">
        <v>92</v>
      </c>
      <c r="AB214" t="s" s="0">
        <v>82</v>
      </c>
      <c r="AC214" t="s" s="0">
        <v>82</v>
      </c>
      <c r="AD214" t="s" s="0">
        <v>82</v>
      </c>
      <c r="AE214" t="s" s="0">
        <v>82</v>
      </c>
      <c r="AF214" t="s" s="0">
        <v>82</v>
      </c>
      <c r="AG214" t="s" s="0">
        <v>5047</v>
      </c>
      <c r="AH214" t="s" s="0">
        <v>5048</v>
      </c>
      <c r="AI214" t="s" s="0">
        <v>5049</v>
      </c>
      <c r="AJ214" t="s" s="0">
        <v>82</v>
      </c>
      <c r="AK214" t="s" s="0">
        <v>82</v>
      </c>
      <c r="AL214" t="s" s="0">
        <v>1115</v>
      </c>
      <c r="AM214" t="s" s="0">
        <v>204</v>
      </c>
      <c r="AN214" t="s" s="0">
        <v>204</v>
      </c>
      <c r="AO214" t="s" s="0">
        <v>204</v>
      </c>
      <c r="AP214" t="s" s="0">
        <v>204</v>
      </c>
      <c r="AQ214" t="s" s="0">
        <v>503</v>
      </c>
      <c r="AR214" t="s" s="0">
        <v>504</v>
      </c>
      <c r="AS214" t="s" s="0">
        <v>505</v>
      </c>
      <c r="AT214" t="s" s="0">
        <v>5050</v>
      </c>
      <c r="AU214" t="s" s="0">
        <v>5051</v>
      </c>
      <c r="AV214" t="s" s="0">
        <v>82</v>
      </c>
      <c r="AW214" t="s" s="0">
        <v>5052</v>
      </c>
      <c r="AX214" t="s" s="0">
        <v>5053</v>
      </c>
      <c r="AY214" t="s" s="0">
        <v>3404</v>
      </c>
      <c r="AZ214" t="s" s="0">
        <v>179</v>
      </c>
      <c r="BA214" t="s" s="0">
        <v>3099</v>
      </c>
      <c r="BB214" t="s" s="0">
        <v>82</v>
      </c>
      <c r="BC214" t="s" s="0">
        <v>82</v>
      </c>
      <c r="BD214" t="s" s="0">
        <v>82</v>
      </c>
      <c r="BE214" t="s" s="0">
        <v>82</v>
      </c>
      <c r="BF214" t="s" s="0">
        <v>82</v>
      </c>
      <c r="BG214" t="s" s="0">
        <v>82</v>
      </c>
      <c r="BH214" t="s" s="0">
        <v>82</v>
      </c>
      <c r="BI214" t="s" s="0">
        <v>5054</v>
      </c>
      <c r="BJ214" t="s" s="0">
        <v>5055</v>
      </c>
      <c r="BK214" t="s" s="425">
        <f>HYPERLINK("http://dx.doi.org/10.1016/j.jdent.2026.106580","http://dx.doi.org/10.1016/j.jdent.2026.106580")</f>
        <v>5056</v>
      </c>
      <c r="BL214" t="s" s="0">
        <v>82</v>
      </c>
      <c r="BM214" t="s" s="0">
        <v>82</v>
      </c>
      <c r="BN214" t="s" s="0">
        <v>272</v>
      </c>
      <c r="BO214" t="s" s="0">
        <v>920</v>
      </c>
      <c r="BP214" t="s" s="0">
        <v>920</v>
      </c>
      <c r="BQ214" t="s" s="0">
        <v>5057</v>
      </c>
      <c r="BR214" t="s" s="0">
        <v>5058</v>
      </c>
      <c r="BS214" t="s" s="0">
        <v>5059</v>
      </c>
      <c r="BT214" t="s" s="426">
        <f>HYPERLINK("https://www.webofscience.com/wos/woscc/full-record/WOS:001701324800001","View Record in Web of Science")</f>
        <v>120</v>
      </c>
      <c r="BU214" t="s" s="0">
        <v>1972</v>
      </c>
      <c r="BV214" t="s" s="0">
        <v>82</v>
      </c>
      <c r="BW214" t="s" s="0">
        <v>82</v>
      </c>
      <c r="BX214" t="s" s="0">
        <v>121</v>
      </c>
    </row>
    <row r="215">
      <c r="A215" t="s" s="0">
        <v>77</v>
      </c>
      <c r="B215" t="s" s="0">
        <v>77</v>
      </c>
      <c r="C215" t="s" s="0">
        <v>77</v>
      </c>
      <c r="D215" t="s" s="0">
        <v>77</v>
      </c>
      <c r="E215" t="s" s="0">
        <v>5060</v>
      </c>
      <c r="F215" t="s" s="0">
        <v>5061</v>
      </c>
      <c r="G215" t="s" s="0">
        <v>5062</v>
      </c>
      <c r="H215" t="s" s="0">
        <v>82</v>
      </c>
      <c r="I215" t="s" s="0">
        <v>83</v>
      </c>
      <c r="J215" t="s" s="0">
        <v>5063</v>
      </c>
      <c r="K215" t="s" s="0">
        <v>5064</v>
      </c>
      <c r="L215" t="s" s="0">
        <v>82</v>
      </c>
      <c r="M215" t="s" s="0">
        <v>82</v>
      </c>
      <c r="N215" t="s" s="0">
        <v>82</v>
      </c>
      <c r="O215" t="s" s="0">
        <v>5065</v>
      </c>
      <c r="P215" t="s" s="0">
        <v>5066</v>
      </c>
      <c r="Q215" t="s" s="0">
        <v>88</v>
      </c>
      <c r="R215" t="s" s="0">
        <v>82</v>
      </c>
      <c r="S215" t="s" s="0">
        <v>82</v>
      </c>
      <c r="T215" t="s" s="0">
        <v>82</v>
      </c>
      <c r="U215" t="s" s="0">
        <v>82</v>
      </c>
      <c r="V215" t="s" s="0">
        <v>5067</v>
      </c>
      <c r="W215" t="s" s="0">
        <v>5068</v>
      </c>
      <c r="X215" t="s" s="0">
        <v>82</v>
      </c>
      <c r="Y215" t="s" s="0">
        <v>82</v>
      </c>
      <c r="Z215" t="s" s="0">
        <v>91</v>
      </c>
      <c r="AA215" t="s" s="0">
        <v>92</v>
      </c>
      <c r="AB215" t="s" s="0">
        <v>82</v>
      </c>
      <c r="AC215" t="s" s="0">
        <v>82</v>
      </c>
      <c r="AD215" t="s" s="0">
        <v>82</v>
      </c>
      <c r="AE215" t="s" s="0">
        <v>82</v>
      </c>
      <c r="AF215" t="s" s="0">
        <v>82</v>
      </c>
      <c r="AG215" t="s" s="0">
        <v>5069</v>
      </c>
      <c r="AH215" t="s" s="0">
        <v>82</v>
      </c>
      <c r="AI215" t="s" s="0">
        <v>5070</v>
      </c>
      <c r="AJ215" t="s" s="0">
        <v>5071</v>
      </c>
      <c r="AK215" t="s" s="0">
        <v>82</v>
      </c>
      <c r="AL215" t="s" s="0">
        <v>586</v>
      </c>
      <c r="AM215" t="s" s="0">
        <v>115</v>
      </c>
      <c r="AN215" t="s" s="0">
        <v>115</v>
      </c>
      <c r="AO215" t="s" s="0">
        <v>204</v>
      </c>
      <c r="AP215" t="s" s="0">
        <v>204</v>
      </c>
      <c r="AQ215" t="s" s="0">
        <v>2973</v>
      </c>
      <c r="AR215" t="s" s="0">
        <v>796</v>
      </c>
      <c r="AS215" t="s" s="0">
        <v>5072</v>
      </c>
      <c r="AT215" t="s" s="0">
        <v>5073</v>
      </c>
      <c r="AU215" t="s" s="0">
        <v>5074</v>
      </c>
      <c r="AV215" t="s" s="0">
        <v>82</v>
      </c>
      <c r="AW215" t="s" s="0">
        <v>5075</v>
      </c>
      <c r="AX215" t="s" s="0">
        <v>5076</v>
      </c>
      <c r="AY215" t="s" s="0">
        <v>634</v>
      </c>
      <c r="AZ215" t="s" s="0">
        <v>108</v>
      </c>
      <c r="BA215" t="s" s="0">
        <v>1505</v>
      </c>
      <c r="BB215" t="s" s="0">
        <v>307</v>
      </c>
      <c r="BC215" t="s" s="0">
        <v>82</v>
      </c>
      <c r="BD215" t="s" s="0">
        <v>82</v>
      </c>
      <c r="BE215" t="s" s="0">
        <v>82</v>
      </c>
      <c r="BF215" t="s" s="0">
        <v>82</v>
      </c>
      <c r="BG215" t="s" s="0">
        <v>5077</v>
      </c>
      <c r="BH215" t="s" s="0">
        <v>5078</v>
      </c>
      <c r="BI215" t="s" s="0">
        <v>82</v>
      </c>
      <c r="BJ215" t="s" s="0">
        <v>5079</v>
      </c>
      <c r="BK215" t="s" s="427">
        <f>HYPERLINK("http://dx.doi.org/10.1016/j.acra.2025.07.058","http://dx.doi.org/10.1016/j.acra.2025.07.058")</f>
        <v>5080</v>
      </c>
      <c r="BL215" t="s" s="0">
        <v>82</v>
      </c>
      <c r="BM215" t="s" s="0">
        <v>634</v>
      </c>
      <c r="BN215" t="s" s="0">
        <v>272</v>
      </c>
      <c r="BO215" t="s" s="0">
        <v>717</v>
      </c>
      <c r="BP215" t="s" s="0">
        <v>717</v>
      </c>
      <c r="BQ215" t="s" s="0">
        <v>5081</v>
      </c>
      <c r="BR215" t="s" s="0">
        <v>5082</v>
      </c>
      <c r="BS215" t="s" s="0">
        <v>5083</v>
      </c>
      <c r="BT215" t="s" s="428">
        <f>HYPERLINK("https://www.webofscience.com/wos/woscc/full-record/WOS:001615565000010","View Record in Web of Science")</f>
        <v>120</v>
      </c>
      <c r="BU215" t="s" s="0">
        <v>82</v>
      </c>
      <c r="BV215" t="s" s="0">
        <v>82</v>
      </c>
      <c r="BW215" t="s" s="0">
        <v>82</v>
      </c>
      <c r="BX215" t="s" s="0">
        <v>121</v>
      </c>
    </row>
    <row r="216">
      <c r="A216" t="s" s="0">
        <v>77</v>
      </c>
      <c r="B216" t="s" s="0">
        <v>77</v>
      </c>
      <c r="C216" t="s" s="0">
        <v>78</v>
      </c>
      <c r="D216" t="s" s="0">
        <v>77</v>
      </c>
      <c r="E216" t="s" s="0">
        <v>5084</v>
      </c>
      <c r="F216" t="s" s="0">
        <v>5085</v>
      </c>
      <c r="G216" t="s" s="0">
        <v>5086</v>
      </c>
      <c r="H216" t="s" s="0">
        <v>82</v>
      </c>
      <c r="I216" t="s" s="0">
        <v>460</v>
      </c>
      <c r="J216" t="s" s="0">
        <v>5087</v>
      </c>
      <c r="K216" t="s" s="0">
        <v>3018</v>
      </c>
      <c r="L216" t="s" s="0">
        <v>5088</v>
      </c>
      <c r="M216" t="s" s="0">
        <v>5089</v>
      </c>
      <c r="N216" t="s" s="0">
        <v>5090</v>
      </c>
      <c r="O216" t="s" s="0">
        <v>5091</v>
      </c>
      <c r="P216" t="s" s="0">
        <v>5092</v>
      </c>
      <c r="Q216" t="s" s="0">
        <v>88</v>
      </c>
      <c r="R216" t="s" s="0">
        <v>82</v>
      </c>
      <c r="S216" t="s" s="0">
        <v>82</v>
      </c>
      <c r="T216" t="s" s="0">
        <v>82</v>
      </c>
      <c r="U216" t="s" s="0">
        <v>82</v>
      </c>
      <c r="V216" t="s" s="0">
        <v>5093</v>
      </c>
      <c r="W216" t="s" s="0">
        <v>5094</v>
      </c>
      <c r="X216" t="s" s="0">
        <v>82</v>
      </c>
      <c r="Y216" t="s" s="0">
        <v>82</v>
      </c>
      <c r="Z216" t="s" s="0">
        <v>91</v>
      </c>
      <c r="AA216" t="s" s="0">
        <v>92</v>
      </c>
      <c r="AB216" t="s" s="0">
        <v>82</v>
      </c>
      <c r="AC216" t="s" s="0">
        <v>82</v>
      </c>
      <c r="AD216" t="s" s="0">
        <v>82</v>
      </c>
      <c r="AE216" t="s" s="0">
        <v>82</v>
      </c>
      <c r="AF216" t="s" s="0">
        <v>82</v>
      </c>
      <c r="AG216" t="s" s="0">
        <v>5095</v>
      </c>
      <c r="AH216" t="s" s="0">
        <v>5096</v>
      </c>
      <c r="AI216" t="s" s="0">
        <v>5097</v>
      </c>
      <c r="AJ216" t="s" s="0">
        <v>5098</v>
      </c>
      <c r="AK216" t="s" s="0">
        <v>82</v>
      </c>
      <c r="AL216" t="s" s="0">
        <v>502</v>
      </c>
      <c r="AM216" t="s" s="0">
        <v>235</v>
      </c>
      <c r="AN216" t="s" s="0">
        <v>235</v>
      </c>
      <c r="AO216" t="s" s="0">
        <v>204</v>
      </c>
      <c r="AP216" t="s" s="0">
        <v>97</v>
      </c>
      <c r="AQ216" t="s" s="0">
        <v>296</v>
      </c>
      <c r="AR216" t="s" s="0">
        <v>297</v>
      </c>
      <c r="AS216" t="s" s="0">
        <v>298</v>
      </c>
      <c r="AT216" t="s" s="0">
        <v>5099</v>
      </c>
      <c r="AU216" t="s" s="0">
        <v>82</v>
      </c>
      <c r="AV216" t="s" s="0">
        <v>82</v>
      </c>
      <c r="AW216" t="s" s="0">
        <v>5100</v>
      </c>
      <c r="AX216" t="s" s="0">
        <v>5101</v>
      </c>
      <c r="AY216" t="s" s="0">
        <v>1360</v>
      </c>
      <c r="AZ216" t="s" s="0">
        <v>179</v>
      </c>
      <c r="BA216" t="s" s="0">
        <v>97</v>
      </c>
      <c r="BB216" t="s" s="0">
        <v>78</v>
      </c>
      <c r="BC216" t="s" s="0">
        <v>82</v>
      </c>
      <c r="BD216" t="s" s="0">
        <v>82</v>
      </c>
      <c r="BE216" t="s" s="0">
        <v>82</v>
      </c>
      <c r="BF216" t="s" s="0">
        <v>82</v>
      </c>
      <c r="BG216" t="s" s="0">
        <v>82</v>
      </c>
      <c r="BH216" t="s" s="0">
        <v>82</v>
      </c>
      <c r="BI216" t="s" s="0">
        <v>5102</v>
      </c>
      <c r="BJ216" t="s" s="0">
        <v>5103</v>
      </c>
      <c r="BK216" t="s" s="429">
        <f>HYPERLINK("http://dx.doi.org/10.1016/j.xops.2025.100934","http://dx.doi.org/10.1016/j.xops.2025.100934")</f>
        <v>5104</v>
      </c>
      <c r="BL216" t="s" s="0">
        <v>82</v>
      </c>
      <c r="BM216" t="s" s="0">
        <v>448</v>
      </c>
      <c r="BN216" t="s" s="0">
        <v>272</v>
      </c>
      <c r="BO216" t="s" s="0">
        <v>396</v>
      </c>
      <c r="BP216" t="s" s="0">
        <v>396</v>
      </c>
      <c r="BQ216" t="s" s="0">
        <v>5105</v>
      </c>
      <c r="BR216" t="s" s="0">
        <v>5106</v>
      </c>
      <c r="BS216" t="s" s="0">
        <v>5107</v>
      </c>
      <c r="BT216" t="s" s="430">
        <f>HYPERLINK("https://www.webofscience.com/wos/woscc/full-record/WOS:001591461800001","View Record in Web of Science")</f>
        <v>120</v>
      </c>
      <c r="BU216" t="s" s="0">
        <v>189</v>
      </c>
      <c r="BV216" t="s" s="0">
        <v>82</v>
      </c>
      <c r="BW216" t="s" s="0">
        <v>82</v>
      </c>
      <c r="BX216" t="s" s="0">
        <v>121</v>
      </c>
    </row>
    <row r="217">
      <c r="A217" t="s" s="0">
        <v>77</v>
      </c>
      <c r="B217" t="s" s="0">
        <v>77</v>
      </c>
      <c r="C217" t="s" s="0">
        <v>77</v>
      </c>
      <c r="D217" t="s" s="0">
        <v>77</v>
      </c>
      <c r="E217" t="s" s="0">
        <v>5108</v>
      </c>
      <c r="F217" t="s" s="0">
        <v>5109</v>
      </c>
      <c r="G217" t="s" s="0">
        <v>5110</v>
      </c>
      <c r="H217" t="s" s="0">
        <v>82</v>
      </c>
      <c r="I217" t="s" s="0">
        <v>83</v>
      </c>
      <c r="J217" t="s" s="0">
        <v>5111</v>
      </c>
      <c r="K217" t="s" s="0">
        <v>5112</v>
      </c>
      <c r="L217" t="s" s="0">
        <v>5113</v>
      </c>
      <c r="M217" t="s" s="0">
        <v>5114</v>
      </c>
      <c r="N217" t="s" s="0">
        <v>5115</v>
      </c>
      <c r="O217" t="s" s="0">
        <v>5116</v>
      </c>
      <c r="P217" t="s" s="0">
        <v>5117</v>
      </c>
      <c r="Q217" t="s" s="0">
        <v>88</v>
      </c>
      <c r="R217" t="s" s="0">
        <v>82</v>
      </c>
      <c r="S217" t="s" s="0">
        <v>82</v>
      </c>
      <c r="T217" t="s" s="0">
        <v>82</v>
      </c>
      <c r="U217" t="s" s="0">
        <v>82</v>
      </c>
      <c r="V217" t="s" s="0">
        <v>5118</v>
      </c>
      <c r="W217" t="s" s="0">
        <v>4544</v>
      </c>
      <c r="X217" t="s" s="0">
        <v>82</v>
      </c>
      <c r="Y217" t="s" s="0">
        <v>82</v>
      </c>
      <c r="Z217" t="s" s="0">
        <v>91</v>
      </c>
      <c r="AA217" t="s" s="0">
        <v>92</v>
      </c>
      <c r="AB217" t="s" s="0">
        <v>82</v>
      </c>
      <c r="AC217" t="s" s="0">
        <v>82</v>
      </c>
      <c r="AD217" t="s" s="0">
        <v>82</v>
      </c>
      <c r="AE217" t="s" s="0">
        <v>82</v>
      </c>
      <c r="AF217" t="s" s="0">
        <v>82</v>
      </c>
      <c r="AG217" t="s" s="0">
        <v>5119</v>
      </c>
      <c r="AH217" t="s" s="0">
        <v>82</v>
      </c>
      <c r="AI217" t="s" s="0">
        <v>5120</v>
      </c>
      <c r="AJ217" t="s" s="0">
        <v>82</v>
      </c>
      <c r="AK217" t="s" s="0">
        <v>82</v>
      </c>
      <c r="AL217" t="s" s="0">
        <v>1004</v>
      </c>
      <c r="AM217" t="s" s="0">
        <v>77</v>
      </c>
      <c r="AN217" t="s" s="0">
        <v>77</v>
      </c>
      <c r="AO217" t="s" s="0">
        <v>235</v>
      </c>
      <c r="AP217" t="s" s="0">
        <v>235</v>
      </c>
      <c r="AQ217" t="s" s="0">
        <v>3001</v>
      </c>
      <c r="AR217" t="s" s="0">
        <v>3002</v>
      </c>
      <c r="AS217" t="s" s="0">
        <v>3003</v>
      </c>
      <c r="AT217" t="s" s="0">
        <v>82</v>
      </c>
      <c r="AU217" t="s" s="0">
        <v>4546</v>
      </c>
      <c r="AV217" t="s" s="0">
        <v>82</v>
      </c>
      <c r="AW217" t="s" s="0">
        <v>4547</v>
      </c>
      <c r="AX217" t="s" s="0">
        <v>4548</v>
      </c>
      <c r="AY217" t="s" s="0">
        <v>5121</v>
      </c>
      <c r="AZ217" t="s" s="0">
        <v>179</v>
      </c>
      <c r="BA217" t="s" s="0">
        <v>184</v>
      </c>
      <c r="BB217" t="s" s="0">
        <v>82</v>
      </c>
      <c r="BC217" t="s" s="0">
        <v>82</v>
      </c>
      <c r="BD217" t="s" s="0">
        <v>82</v>
      </c>
      <c r="BE217" t="s" s="0">
        <v>82</v>
      </c>
      <c r="BF217" t="s" s="0">
        <v>82</v>
      </c>
      <c r="BG217" t="s" s="0">
        <v>82</v>
      </c>
      <c r="BH217" t="s" s="0">
        <v>82</v>
      </c>
      <c r="BI217" t="s" s="0">
        <v>5122</v>
      </c>
      <c r="BJ217" t="s" s="0">
        <v>5123</v>
      </c>
      <c r="BK217" t="s" s="431">
        <f>HYPERLINK("http://dx.doi.org/10.3389/fmed.2026.1679203","http://dx.doi.org/10.3389/fmed.2026.1679203")</f>
        <v>5124</v>
      </c>
      <c r="BL217" t="s" s="0">
        <v>82</v>
      </c>
      <c r="BM217" t="s" s="0">
        <v>82</v>
      </c>
      <c r="BN217" t="s" s="0">
        <v>184</v>
      </c>
      <c r="BO217" t="s" s="0">
        <v>1803</v>
      </c>
      <c r="BP217" t="s" s="0">
        <v>1804</v>
      </c>
      <c r="BQ217" t="s" s="0">
        <v>5125</v>
      </c>
      <c r="BR217" t="s" s="0">
        <v>5126</v>
      </c>
      <c r="BS217" t="s" s="0">
        <v>5127</v>
      </c>
      <c r="BT217" t="s" s="432">
        <f>HYPERLINK("https://www.webofscience.com/wos/woscc/full-record/WOS:001678471800001","View Record in Web of Science")</f>
        <v>120</v>
      </c>
      <c r="BU217" t="s" s="0">
        <v>189</v>
      </c>
      <c r="BV217" t="s" s="0">
        <v>82</v>
      </c>
      <c r="BW217" t="s" s="0">
        <v>82</v>
      </c>
      <c r="BX217" t="s" s="0">
        <v>121</v>
      </c>
    </row>
    <row r="218">
      <c r="A218" t="s" s="0">
        <v>77</v>
      </c>
      <c r="B218" t="s" s="0">
        <v>77</v>
      </c>
      <c r="C218" t="s" s="0">
        <v>77</v>
      </c>
      <c r="D218" t="s" s="0">
        <v>77</v>
      </c>
      <c r="E218" t="s" s="0">
        <v>5128</v>
      </c>
      <c r="F218" t="s" s="0">
        <v>5129</v>
      </c>
      <c r="G218" t="s" s="0">
        <v>5130</v>
      </c>
      <c r="H218" t="s" s="0">
        <v>82</v>
      </c>
      <c r="I218" t="s" s="0">
        <v>460</v>
      </c>
      <c r="J218" t="s" s="0">
        <v>5131</v>
      </c>
      <c r="K218" t="s" s="0">
        <v>5132</v>
      </c>
      <c r="L218" t="s" s="0">
        <v>5133</v>
      </c>
      <c r="M218" t="s" s="0">
        <v>5134</v>
      </c>
      <c r="N218" t="s" s="0">
        <v>5135</v>
      </c>
      <c r="O218" t="s" s="0">
        <v>5136</v>
      </c>
      <c r="P218" t="s" s="0">
        <v>5137</v>
      </c>
      <c r="Q218" t="s" s="0">
        <v>88</v>
      </c>
      <c r="R218" t="s" s="0">
        <v>82</v>
      </c>
      <c r="S218" t="s" s="0">
        <v>82</v>
      </c>
      <c r="T218" t="s" s="0">
        <v>82</v>
      </c>
      <c r="U218" t="s" s="0">
        <v>82</v>
      </c>
      <c r="V218" t="s" s="0">
        <v>5138</v>
      </c>
      <c r="W218" t="s" s="0">
        <v>3134</v>
      </c>
      <c r="X218" t="s" s="0">
        <v>82</v>
      </c>
      <c r="Y218" t="s" s="0">
        <v>82</v>
      </c>
      <c r="Z218" t="s" s="0">
        <v>91</v>
      </c>
      <c r="AA218" t="s" s="0">
        <v>92</v>
      </c>
      <c r="AB218" t="s" s="0">
        <v>82</v>
      </c>
      <c r="AC218" t="s" s="0">
        <v>82</v>
      </c>
      <c r="AD218" t="s" s="0">
        <v>82</v>
      </c>
      <c r="AE218" t="s" s="0">
        <v>82</v>
      </c>
      <c r="AF218" t="s" s="0">
        <v>82</v>
      </c>
      <c r="AG218" t="s" s="0">
        <v>82</v>
      </c>
      <c r="AH218" t="s" s="0">
        <v>82</v>
      </c>
      <c r="AI218" t="s" s="0">
        <v>5139</v>
      </c>
      <c r="AJ218" t="s" s="0">
        <v>5140</v>
      </c>
      <c r="AK218" t="s" s="0">
        <v>82</v>
      </c>
      <c r="AL218" t="s" s="0">
        <v>416</v>
      </c>
      <c r="AM218" t="s" s="0">
        <v>77</v>
      </c>
      <c r="AN218" t="s" s="0">
        <v>77</v>
      </c>
      <c r="AO218" t="s" s="0">
        <v>204</v>
      </c>
      <c r="AP218" t="s" s="0">
        <v>204</v>
      </c>
      <c r="AQ218" t="s" s="0">
        <v>474</v>
      </c>
      <c r="AR218" t="s" s="0">
        <v>475</v>
      </c>
      <c r="AS218" t="s" s="0">
        <v>476</v>
      </c>
      <c r="AT218" t="s" s="0">
        <v>3136</v>
      </c>
      <c r="AU218" t="s" s="0">
        <v>82</v>
      </c>
      <c r="AV218" t="s" s="0">
        <v>82</v>
      </c>
      <c r="AW218" t="s" s="0">
        <v>3137</v>
      </c>
      <c r="AX218" t="s" s="0">
        <v>5141</v>
      </c>
      <c r="AY218" t="s" s="0">
        <v>5142</v>
      </c>
      <c r="AZ218" t="s" s="0">
        <v>179</v>
      </c>
      <c r="BA218" t="s" s="0">
        <v>97</v>
      </c>
      <c r="BB218" t="s" s="0">
        <v>78</v>
      </c>
      <c r="BC218" t="s" s="0">
        <v>82</v>
      </c>
      <c r="BD218" t="s" s="0">
        <v>82</v>
      </c>
      <c r="BE218" t="s" s="0">
        <v>82</v>
      </c>
      <c r="BF218" t="s" s="0">
        <v>82</v>
      </c>
      <c r="BG218" t="s" s="0">
        <v>82</v>
      </c>
      <c r="BH218" t="s" s="0">
        <v>82</v>
      </c>
      <c r="BI218" t="s" s="0">
        <v>5143</v>
      </c>
      <c r="BJ218" t="s" s="0">
        <v>5144</v>
      </c>
      <c r="BK218" t="s" s="433">
        <f>HYPERLINK("http://dx.doi.org/10.1038/s43856-026-01491-z","http://dx.doi.org/10.1038/s43856-026-01491-z")</f>
        <v>5145</v>
      </c>
      <c r="BL218" t="s" s="0">
        <v>82</v>
      </c>
      <c r="BM218" t="s" s="0">
        <v>829</v>
      </c>
      <c r="BN218" t="s" s="0">
        <v>184</v>
      </c>
      <c r="BO218" t="s" s="0">
        <v>3142</v>
      </c>
      <c r="BP218" t="s" s="0">
        <v>3143</v>
      </c>
      <c r="BQ218" t="s" s="0">
        <v>5146</v>
      </c>
      <c r="BR218" t="s" s="0">
        <v>5147</v>
      </c>
      <c r="BS218" t="s" s="0">
        <v>5148</v>
      </c>
      <c r="BT218" t="s" s="434">
        <f>HYPERLINK("https://www.webofscience.com/wos/woscc/full-record/WOS:001745110700004","View Record in Web of Science")</f>
        <v>120</v>
      </c>
      <c r="BU218" t="s" s="0">
        <v>335</v>
      </c>
      <c r="BV218" t="s" s="0">
        <v>82</v>
      </c>
      <c r="BW218" t="s" s="0">
        <v>82</v>
      </c>
      <c r="BX218" t="s" s="0">
        <v>121</v>
      </c>
    </row>
    <row r="219">
      <c r="A219" t="s" s="0">
        <v>77</v>
      </c>
      <c r="B219" t="s" s="0">
        <v>77</v>
      </c>
      <c r="C219" t="s" s="0">
        <v>77</v>
      </c>
      <c r="D219" t="s" s="0">
        <v>77</v>
      </c>
      <c r="E219" t="s" s="0">
        <v>5149</v>
      </c>
      <c r="F219" t="s" s="0">
        <v>5150</v>
      </c>
      <c r="G219" t="s" s="0">
        <v>5151</v>
      </c>
      <c r="H219" t="s" s="0">
        <v>82</v>
      </c>
      <c r="I219" t="s" s="0">
        <v>83</v>
      </c>
      <c r="J219" t="s" s="0">
        <v>5152</v>
      </c>
      <c r="K219" t="s" s="0">
        <v>5153</v>
      </c>
      <c r="L219" t="s" s="0">
        <v>5154</v>
      </c>
      <c r="M219" t="s" s="0">
        <v>5155</v>
      </c>
      <c r="N219" t="s" s="0">
        <v>5156</v>
      </c>
      <c r="O219" t="s" s="0">
        <v>5157</v>
      </c>
      <c r="P219" t="s" s="0">
        <v>5158</v>
      </c>
      <c r="Q219" t="s" s="0">
        <v>88</v>
      </c>
      <c r="R219" t="s" s="0">
        <v>82</v>
      </c>
      <c r="S219" t="s" s="0">
        <v>82</v>
      </c>
      <c r="T219" t="s" s="0">
        <v>82</v>
      </c>
      <c r="U219" t="s" s="0">
        <v>82</v>
      </c>
      <c r="V219" t="s" s="0">
        <v>5159</v>
      </c>
      <c r="W219" t="s" s="0">
        <v>201</v>
      </c>
      <c r="X219" t="s" s="0">
        <v>82</v>
      </c>
      <c r="Y219" t="s" s="0">
        <v>82</v>
      </c>
      <c r="Z219" t="s" s="0">
        <v>91</v>
      </c>
      <c r="AA219" t="s" s="0">
        <v>92</v>
      </c>
      <c r="AB219" t="s" s="0">
        <v>82</v>
      </c>
      <c r="AC219" t="s" s="0">
        <v>82</v>
      </c>
      <c r="AD219" t="s" s="0">
        <v>82</v>
      </c>
      <c r="AE219" t="s" s="0">
        <v>82</v>
      </c>
      <c r="AF219" t="s" s="0">
        <v>82</v>
      </c>
      <c r="AG219" t="s" s="0">
        <v>5160</v>
      </c>
      <c r="AH219" t="s" s="0">
        <v>82</v>
      </c>
      <c r="AI219" t="s" s="0">
        <v>5161</v>
      </c>
      <c r="AJ219" t="s" s="0">
        <v>5162</v>
      </c>
      <c r="AK219" t="s" s="0">
        <v>82</v>
      </c>
      <c r="AL219" t="s" s="0">
        <v>3185</v>
      </c>
      <c r="AM219" t="s" s="0">
        <v>78</v>
      </c>
      <c r="AN219" t="s" s="0">
        <v>78</v>
      </c>
      <c r="AO219" t="s" s="0">
        <v>77</v>
      </c>
      <c r="AP219" t="s" s="0">
        <v>77</v>
      </c>
      <c r="AQ219" t="s" s="0">
        <v>172</v>
      </c>
      <c r="AR219" t="s" s="0">
        <v>173</v>
      </c>
      <c r="AS219" t="s" s="0">
        <v>174</v>
      </c>
      <c r="AT219" t="s" s="0">
        <v>205</v>
      </c>
      <c r="AU219" t="s" s="0">
        <v>82</v>
      </c>
      <c r="AV219" t="s" s="0">
        <v>82</v>
      </c>
      <c r="AW219" t="s" s="0">
        <v>206</v>
      </c>
      <c r="AX219" t="s" s="0">
        <v>207</v>
      </c>
      <c r="AY219" t="s" s="0">
        <v>2507</v>
      </c>
      <c r="AZ219" t="s" s="0">
        <v>179</v>
      </c>
      <c r="BA219" t="s" s="0">
        <v>209</v>
      </c>
      <c r="BB219" t="s" s="0">
        <v>78</v>
      </c>
      <c r="BC219" t="s" s="0">
        <v>82</v>
      </c>
      <c r="BD219" t="s" s="0">
        <v>82</v>
      </c>
      <c r="BE219" t="s" s="0">
        <v>82</v>
      </c>
      <c r="BF219" t="s" s="0">
        <v>82</v>
      </c>
      <c r="BG219" t="s" s="0">
        <v>82</v>
      </c>
      <c r="BH219" t="s" s="0">
        <v>82</v>
      </c>
      <c r="BI219" t="s" s="0">
        <v>5163</v>
      </c>
      <c r="BJ219" t="s" s="0">
        <v>5164</v>
      </c>
      <c r="BK219" t="s" s="435">
        <f>HYPERLINK("http://dx.doi.org/10.1038/s41598-026-47871-2","http://dx.doi.org/10.1038/s41598-026-47871-2")</f>
        <v>5165</v>
      </c>
      <c r="BL219" t="s" s="0">
        <v>82</v>
      </c>
      <c r="BM219" t="s" s="0">
        <v>183</v>
      </c>
      <c r="BN219" t="s" s="0">
        <v>184</v>
      </c>
      <c r="BO219" t="s" s="0">
        <v>213</v>
      </c>
      <c r="BP219" t="s" s="0">
        <v>214</v>
      </c>
      <c r="BQ219" t="s" s="0">
        <v>5166</v>
      </c>
      <c r="BR219" t="s" s="0">
        <v>5167</v>
      </c>
      <c r="BS219" t="s" s="0">
        <v>5168</v>
      </c>
      <c r="BT219" t="s" s="436">
        <f>HYPERLINK("https://www.webofscience.com/wos/woscc/full-record/WOS:001795902900001","View Record in Web of Science")</f>
        <v>120</v>
      </c>
      <c r="BU219" t="s" s="0">
        <v>189</v>
      </c>
      <c r="BV219" t="s" s="0">
        <v>82</v>
      </c>
      <c r="BW219" t="s" s="0">
        <v>82</v>
      </c>
      <c r="BX219" t="s" s="0">
        <v>121</v>
      </c>
    </row>
    <row r="220">
      <c r="A220" t="s" s="0">
        <v>77</v>
      </c>
      <c r="B220" t="s" s="0">
        <v>77</v>
      </c>
      <c r="C220" t="s" s="0">
        <v>77</v>
      </c>
      <c r="D220" t="s" s="0">
        <v>77</v>
      </c>
      <c r="E220" t="s" s="0">
        <v>5169</v>
      </c>
      <c r="F220" t="s" s="0">
        <v>5170</v>
      </c>
      <c r="G220" t="s" s="0">
        <v>5171</v>
      </c>
      <c r="H220" t="s" s="0">
        <v>82</v>
      </c>
      <c r="I220" t="s" s="0">
        <v>83</v>
      </c>
      <c r="J220" t="s" s="0">
        <v>5172</v>
      </c>
      <c r="K220" t="s" s="0">
        <v>5173</v>
      </c>
      <c r="L220" t="s" s="0">
        <v>5174</v>
      </c>
      <c r="M220" t="s" s="0">
        <v>224</v>
      </c>
      <c r="N220" t="s" s="0">
        <v>5175</v>
      </c>
      <c r="O220" t="s" s="0">
        <v>5176</v>
      </c>
      <c r="P220" t="s" s="0">
        <v>5177</v>
      </c>
      <c r="Q220" t="s" s="0">
        <v>88</v>
      </c>
      <c r="R220" t="s" s="0">
        <v>82</v>
      </c>
      <c r="S220" t="s" s="0">
        <v>82</v>
      </c>
      <c r="T220" t="s" s="0">
        <v>82</v>
      </c>
      <c r="U220" t="s" s="0">
        <v>82</v>
      </c>
      <c r="V220" t="s" s="0">
        <v>5178</v>
      </c>
      <c r="W220" t="s" s="0">
        <v>790</v>
      </c>
      <c r="X220" t="s" s="0">
        <v>82</v>
      </c>
      <c r="Y220" t="s" s="0">
        <v>82</v>
      </c>
      <c r="Z220" t="s" s="0">
        <v>91</v>
      </c>
      <c r="AA220" t="s" s="0">
        <v>92</v>
      </c>
      <c r="AB220" t="s" s="0">
        <v>82</v>
      </c>
      <c r="AC220" t="s" s="0">
        <v>82</v>
      </c>
      <c r="AD220" t="s" s="0">
        <v>82</v>
      </c>
      <c r="AE220" t="s" s="0">
        <v>82</v>
      </c>
      <c r="AF220" t="s" s="0">
        <v>82</v>
      </c>
      <c r="AG220" t="s" s="0">
        <v>5179</v>
      </c>
      <c r="AH220" t="s" s="0">
        <v>82</v>
      </c>
      <c r="AI220" t="s" s="0">
        <v>5180</v>
      </c>
      <c r="AJ220" t="s" s="0">
        <v>5181</v>
      </c>
      <c r="AK220" t="s" s="0">
        <v>82</v>
      </c>
      <c r="AL220" t="s" s="0">
        <v>1575</v>
      </c>
      <c r="AM220" t="s" s="0">
        <v>77</v>
      </c>
      <c r="AN220" t="s" s="0">
        <v>77</v>
      </c>
      <c r="AO220" t="s" s="0">
        <v>204</v>
      </c>
      <c r="AP220" t="s" s="0">
        <v>204</v>
      </c>
      <c r="AQ220" t="s" s="0">
        <v>795</v>
      </c>
      <c r="AR220" t="s" s="0">
        <v>796</v>
      </c>
      <c r="AS220" t="s" s="0">
        <v>797</v>
      </c>
      <c r="AT220" t="s" s="0">
        <v>798</v>
      </c>
      <c r="AU220" t="s" s="0">
        <v>82</v>
      </c>
      <c r="AV220" t="s" s="0">
        <v>82</v>
      </c>
      <c r="AW220" t="s" s="0">
        <v>799</v>
      </c>
      <c r="AX220" t="s" s="0">
        <v>800</v>
      </c>
      <c r="AY220" t="s" s="0">
        <v>5182</v>
      </c>
      <c r="AZ220" t="s" s="0">
        <v>179</v>
      </c>
      <c r="BA220" t="s" s="0">
        <v>109</v>
      </c>
      <c r="BB220" t="s" s="0">
        <v>78</v>
      </c>
      <c r="BC220" t="s" s="0">
        <v>82</v>
      </c>
      <c r="BD220" t="s" s="0">
        <v>82</v>
      </c>
      <c r="BE220" t="s" s="0">
        <v>82</v>
      </c>
      <c r="BF220" t="s" s="0">
        <v>82</v>
      </c>
      <c r="BG220" t="s" s="0">
        <v>82</v>
      </c>
      <c r="BH220" t="s" s="0">
        <v>82</v>
      </c>
      <c r="BI220" t="s" s="0">
        <v>850</v>
      </c>
      <c r="BJ220" t="s" s="0">
        <v>5183</v>
      </c>
      <c r="BK220" t="s" s="437">
        <f>HYPERLINK("http://dx.doi.org/10.1007/s13755-026-00442-1","http://dx.doi.org/10.1007/s13755-026-00442-1")</f>
        <v>5184</v>
      </c>
      <c r="BL220" t="s" s="0">
        <v>82</v>
      </c>
      <c r="BM220" t="s" s="0">
        <v>82</v>
      </c>
      <c r="BN220" t="s" s="0">
        <v>209</v>
      </c>
      <c r="BO220" t="s" s="0">
        <v>805</v>
      </c>
      <c r="BP220" t="s" s="0">
        <v>805</v>
      </c>
      <c r="BQ220" t="s" s="0">
        <v>5185</v>
      </c>
      <c r="BR220" t="s" s="0">
        <v>5186</v>
      </c>
      <c r="BS220" t="s" s="0">
        <v>5187</v>
      </c>
      <c r="BT220" t="s" s="438">
        <f>HYPERLINK("https://www.webofscience.com/wos/woscc/full-record/WOS:001732133400001","View Record in Web of Science")</f>
        <v>120</v>
      </c>
      <c r="BU220" t="s" s="0">
        <v>809</v>
      </c>
      <c r="BV220" t="s" s="0">
        <v>82</v>
      </c>
      <c r="BW220" t="s" s="0">
        <v>82</v>
      </c>
      <c r="BX220" t="s" s="0">
        <v>121</v>
      </c>
    </row>
    <row r="221">
      <c r="A221" t="s" s="0">
        <v>77</v>
      </c>
      <c r="B221" t="s" s="0">
        <v>77</v>
      </c>
      <c r="C221" t="s" s="0">
        <v>204</v>
      </c>
      <c r="D221" t="s" s="0">
        <v>77</v>
      </c>
      <c r="E221" t="s" s="0">
        <v>5188</v>
      </c>
      <c r="F221" t="s" s="0">
        <v>5189</v>
      </c>
      <c r="G221" t="s" s="0">
        <v>5190</v>
      </c>
      <c r="H221" t="s" s="0">
        <v>82</v>
      </c>
      <c r="I221" t="s" s="0">
        <v>83</v>
      </c>
      <c r="J221" t="s" s="0">
        <v>5191</v>
      </c>
      <c r="K221" t="s" s="0">
        <v>5192</v>
      </c>
      <c r="L221" t="s" s="0">
        <v>5193</v>
      </c>
      <c r="M221" t="s" s="0">
        <v>5194</v>
      </c>
      <c r="N221" t="s" s="0">
        <v>5195</v>
      </c>
      <c r="O221" t="s" s="0">
        <v>5196</v>
      </c>
      <c r="P221" t="s" s="0">
        <v>5197</v>
      </c>
      <c r="Q221" t="s" s="0">
        <v>88</v>
      </c>
      <c r="R221" t="s" s="0">
        <v>82</v>
      </c>
      <c r="S221" t="s" s="0">
        <v>82</v>
      </c>
      <c r="T221" t="s" s="0">
        <v>82</v>
      </c>
      <c r="U221" t="s" s="0">
        <v>82</v>
      </c>
      <c r="V221" t="s" s="0">
        <v>5198</v>
      </c>
      <c r="W221" t="s" s="0">
        <v>347</v>
      </c>
      <c r="X221" t="s" s="0">
        <v>82</v>
      </c>
      <c r="Y221" t="s" s="0">
        <v>82</v>
      </c>
      <c r="Z221" t="s" s="0">
        <v>91</v>
      </c>
      <c r="AA221" t="s" s="0">
        <v>92</v>
      </c>
      <c r="AB221" t="s" s="0">
        <v>82</v>
      </c>
      <c r="AC221" t="s" s="0">
        <v>82</v>
      </c>
      <c r="AD221" t="s" s="0">
        <v>82</v>
      </c>
      <c r="AE221" t="s" s="0">
        <v>82</v>
      </c>
      <c r="AF221" t="s" s="0">
        <v>82</v>
      </c>
      <c r="AG221" t="s" s="0">
        <v>5199</v>
      </c>
      <c r="AH221" t="s" s="0">
        <v>3204</v>
      </c>
      <c r="AI221" t="s" s="0">
        <v>5200</v>
      </c>
      <c r="AJ221" t="s" s="0">
        <v>82</v>
      </c>
      <c r="AK221" t="s" s="0">
        <v>82</v>
      </c>
      <c r="AL221" t="s" s="0">
        <v>1751</v>
      </c>
      <c r="AM221" t="s" s="0">
        <v>110</v>
      </c>
      <c r="AN221" t="s" s="0">
        <v>110</v>
      </c>
      <c r="AO221" t="s" s="0">
        <v>97</v>
      </c>
      <c r="AP221" t="s" s="0">
        <v>97</v>
      </c>
      <c r="AQ221" t="s" s="0">
        <v>351</v>
      </c>
      <c r="AR221" t="s" s="0">
        <v>352</v>
      </c>
      <c r="AS221" t="s" s="0">
        <v>353</v>
      </c>
      <c r="AT221" t="s" s="0">
        <v>354</v>
      </c>
      <c r="AU221" t="s" s="0">
        <v>355</v>
      </c>
      <c r="AV221" t="s" s="0">
        <v>82</v>
      </c>
      <c r="AW221" t="s" s="0">
        <v>356</v>
      </c>
      <c r="AX221" t="s" s="0">
        <v>357</v>
      </c>
      <c r="AY221" t="s" s="0">
        <v>358</v>
      </c>
      <c r="AZ221" t="s" s="0">
        <v>179</v>
      </c>
      <c r="BA221" t="s" s="0">
        <v>359</v>
      </c>
      <c r="BB221" t="s" s="0">
        <v>82</v>
      </c>
      <c r="BC221" t="s" s="0">
        <v>82</v>
      </c>
      <c r="BD221" t="s" s="0">
        <v>82</v>
      </c>
      <c r="BE221" t="s" s="0">
        <v>82</v>
      </c>
      <c r="BF221" t="s" s="0">
        <v>82</v>
      </c>
      <c r="BG221" t="s" s="0">
        <v>82</v>
      </c>
      <c r="BH221" t="s" s="0">
        <v>82</v>
      </c>
      <c r="BI221" t="s" s="0">
        <v>5201</v>
      </c>
      <c r="BJ221" t="s" s="0">
        <v>5202</v>
      </c>
      <c r="BK221" t="s" s="439">
        <f>HYPERLINK("http://dx.doi.org/10.1016/j.jbi.2026.105017","http://dx.doi.org/10.1016/j.jbi.2026.105017")</f>
        <v>5203</v>
      </c>
      <c r="BL221" t="s" s="0">
        <v>82</v>
      </c>
      <c r="BM221" t="s" s="0">
        <v>82</v>
      </c>
      <c r="BN221" t="s" s="0">
        <v>148</v>
      </c>
      <c r="BO221" t="s" s="0">
        <v>364</v>
      </c>
      <c r="BP221" t="s" s="0">
        <v>365</v>
      </c>
      <c r="BQ221" t="s" s="0">
        <v>5204</v>
      </c>
      <c r="BR221" t="s" s="0">
        <v>5205</v>
      </c>
      <c r="BS221" t="s" s="0">
        <v>5206</v>
      </c>
      <c r="BT221" t="s" s="440">
        <f>HYPERLINK("https://www.webofscience.com/wos/woscc/full-record/WOS:001729794300001","View Record in Web of Science")</f>
        <v>120</v>
      </c>
      <c r="BU221" t="s" s="0">
        <v>82</v>
      </c>
      <c r="BV221" t="s" s="0">
        <v>82</v>
      </c>
      <c r="BW221" t="s" s="0">
        <v>82</v>
      </c>
      <c r="BX221" t="s" s="0">
        <v>121</v>
      </c>
    </row>
    <row r="222">
      <c r="A222" t="s" s="0">
        <v>77</v>
      </c>
      <c r="B222" t="s" s="0">
        <v>77</v>
      </c>
      <c r="C222" t="s" s="0">
        <v>77</v>
      </c>
      <c r="D222" t="s" s="0">
        <v>77</v>
      </c>
      <c r="E222" t="s" s="0">
        <v>5207</v>
      </c>
      <c r="F222" t="s" s="0">
        <v>5208</v>
      </c>
      <c r="G222" t="s" s="0">
        <v>5209</v>
      </c>
      <c r="H222" t="s" s="0">
        <v>82</v>
      </c>
      <c r="I222" t="s" s="0">
        <v>83</v>
      </c>
      <c r="J222" t="s" s="0">
        <v>5210</v>
      </c>
      <c r="K222" t="s" s="0">
        <v>5211</v>
      </c>
      <c r="L222" t="s" s="0">
        <v>82</v>
      </c>
      <c r="M222" t="s" s="0">
        <v>82</v>
      </c>
      <c r="N222" t="s" s="0">
        <v>2756</v>
      </c>
      <c r="O222" t="s" s="0">
        <v>5212</v>
      </c>
      <c r="P222" t="s" s="0">
        <v>5213</v>
      </c>
      <c r="Q222" t="s" s="0">
        <v>88</v>
      </c>
      <c r="R222" t="s" s="0">
        <v>82</v>
      </c>
      <c r="S222" t="s" s="0">
        <v>82</v>
      </c>
      <c r="T222" t="s" s="0">
        <v>82</v>
      </c>
      <c r="U222" t="s" s="0">
        <v>82</v>
      </c>
      <c r="V222" t="s" s="0">
        <v>5214</v>
      </c>
      <c r="W222" t="s" s="0">
        <v>1793</v>
      </c>
      <c r="X222" t="s" s="0">
        <v>82</v>
      </c>
      <c r="Y222" t="s" s="0">
        <v>82</v>
      </c>
      <c r="Z222" t="s" s="0">
        <v>91</v>
      </c>
      <c r="AA222" t="s" s="0">
        <v>92</v>
      </c>
      <c r="AB222" t="s" s="0">
        <v>82</v>
      </c>
      <c r="AC222" t="s" s="0">
        <v>82</v>
      </c>
      <c r="AD222" t="s" s="0">
        <v>82</v>
      </c>
      <c r="AE222" t="s" s="0">
        <v>82</v>
      </c>
      <c r="AF222" t="s" s="0">
        <v>82</v>
      </c>
      <c r="AG222" t="s" s="0">
        <v>5215</v>
      </c>
      <c r="AH222" t="s" s="0">
        <v>5216</v>
      </c>
      <c r="AI222" t="s" s="0">
        <v>5217</v>
      </c>
      <c r="AJ222" t="s" s="0">
        <v>82</v>
      </c>
      <c r="AK222" t="s" s="0">
        <v>82</v>
      </c>
      <c r="AL222" t="s" s="0">
        <v>586</v>
      </c>
      <c r="AM222" t="s" s="0">
        <v>77</v>
      </c>
      <c r="AN222" t="s" s="0">
        <v>77</v>
      </c>
      <c r="AO222" t="s" s="0">
        <v>77</v>
      </c>
      <c r="AP222" t="s" s="0">
        <v>77</v>
      </c>
      <c r="AQ222" t="s" s="0">
        <v>418</v>
      </c>
      <c r="AR222" t="s" s="0">
        <v>419</v>
      </c>
      <c r="AS222" t="s" s="0">
        <v>420</v>
      </c>
      <c r="AT222" t="s" s="0">
        <v>82</v>
      </c>
      <c r="AU222" t="s" s="0">
        <v>1797</v>
      </c>
      <c r="AV222" t="s" s="0">
        <v>82</v>
      </c>
      <c r="AW222" t="s" s="0">
        <v>1798</v>
      </c>
      <c r="AX222" t="s" s="0">
        <v>1799</v>
      </c>
      <c r="AY222" t="s" s="0">
        <v>716</v>
      </c>
      <c r="AZ222" t="s" s="0">
        <v>179</v>
      </c>
      <c r="BA222" t="s" s="0">
        <v>277</v>
      </c>
      <c r="BB222" t="s" s="0">
        <v>184</v>
      </c>
      <c r="BC222" t="s" s="0">
        <v>82</v>
      </c>
      <c r="BD222" t="s" s="0">
        <v>82</v>
      </c>
      <c r="BE222" t="s" s="0">
        <v>82</v>
      </c>
      <c r="BF222" t="s" s="0">
        <v>82</v>
      </c>
      <c r="BG222" t="s" s="0">
        <v>82</v>
      </c>
      <c r="BH222" t="s" s="0">
        <v>82</v>
      </c>
      <c r="BI222" t="s" s="0">
        <v>5218</v>
      </c>
      <c r="BJ222" t="s" s="0">
        <v>5219</v>
      </c>
      <c r="BK222" t="s" s="441">
        <f>HYPERLINK("http://dx.doi.org/10.3390/jcm15134932","http://dx.doi.org/10.3390/jcm15134932")</f>
        <v>5220</v>
      </c>
      <c r="BL222" t="s" s="0">
        <v>82</v>
      </c>
      <c r="BM222" t="s" s="0">
        <v>82</v>
      </c>
      <c r="BN222" t="s" s="0">
        <v>363</v>
      </c>
      <c r="BO222" t="s" s="0">
        <v>1803</v>
      </c>
      <c r="BP222" t="s" s="0">
        <v>1804</v>
      </c>
      <c r="BQ222" t="s" s="0">
        <v>5221</v>
      </c>
      <c r="BR222" t="s" s="0">
        <v>5222</v>
      </c>
      <c r="BS222" t="s" s="0">
        <v>5223</v>
      </c>
      <c r="BT222" t="s" s="442">
        <f>HYPERLINK("https://www.webofscience.com/wos/woscc/full-record/WOS:001818612300001","View Record in Web of Science")</f>
        <v>120</v>
      </c>
      <c r="BU222" t="s" s="0">
        <v>189</v>
      </c>
      <c r="BV222" t="s" s="0">
        <v>82</v>
      </c>
      <c r="BW222" t="s" s="0">
        <v>82</v>
      </c>
      <c r="BX222" t="s" s="0">
        <v>121</v>
      </c>
    </row>
    <row r="223">
      <c r="A223" t="s" s="0">
        <v>77</v>
      </c>
      <c r="B223" t="s" s="0">
        <v>77</v>
      </c>
      <c r="C223" t="s" s="0">
        <v>77</v>
      </c>
      <c r="D223" t="s" s="0">
        <v>77</v>
      </c>
      <c r="E223" t="s" s="0">
        <v>5224</v>
      </c>
      <c r="F223" t="s" s="0">
        <v>5225</v>
      </c>
      <c r="G223" t="s" s="0">
        <v>5226</v>
      </c>
      <c r="H223" t="s" s="0">
        <v>82</v>
      </c>
      <c r="I223" t="s" s="0">
        <v>83</v>
      </c>
      <c r="J223" t="s" s="0">
        <v>5227</v>
      </c>
      <c r="K223" t="s" s="0">
        <v>5228</v>
      </c>
      <c r="L223" t="s" s="0">
        <v>5229</v>
      </c>
      <c r="M223" t="s" s="0">
        <v>5230</v>
      </c>
      <c r="N223" t="s" s="0">
        <v>5231</v>
      </c>
      <c r="O223" t="s" s="0">
        <v>5232</v>
      </c>
      <c r="P223" t="s" s="0">
        <v>5233</v>
      </c>
      <c r="Q223" t="s" s="0">
        <v>88</v>
      </c>
      <c r="R223" t="s" s="0">
        <v>82</v>
      </c>
      <c r="S223" t="s" s="0">
        <v>82</v>
      </c>
      <c r="T223" t="s" s="0">
        <v>82</v>
      </c>
      <c r="U223" t="s" s="0">
        <v>82</v>
      </c>
      <c r="V223" t="s" s="0">
        <v>5234</v>
      </c>
      <c r="W223" t="s" s="0">
        <v>1770</v>
      </c>
      <c r="X223" t="s" s="0">
        <v>82</v>
      </c>
      <c r="Y223" t="s" s="0">
        <v>82</v>
      </c>
      <c r="Z223" t="s" s="0">
        <v>91</v>
      </c>
      <c r="AA223" t="s" s="0">
        <v>92</v>
      </c>
      <c r="AB223" t="s" s="0">
        <v>82</v>
      </c>
      <c r="AC223" t="s" s="0">
        <v>82</v>
      </c>
      <c r="AD223" t="s" s="0">
        <v>82</v>
      </c>
      <c r="AE223" t="s" s="0">
        <v>82</v>
      </c>
      <c r="AF223" t="s" s="0">
        <v>82</v>
      </c>
      <c r="AG223" t="s" s="0">
        <v>5235</v>
      </c>
      <c r="AH223" t="s" s="0">
        <v>82</v>
      </c>
      <c r="AI223" t="s" s="0">
        <v>5236</v>
      </c>
      <c r="AJ223" t="s" s="0">
        <v>82</v>
      </c>
      <c r="AK223" t="s" s="0">
        <v>82</v>
      </c>
      <c r="AL223" t="s" s="0">
        <v>502</v>
      </c>
      <c r="AM223" t="s" s="0">
        <v>110</v>
      </c>
      <c r="AN223" t="s" s="0">
        <v>110</v>
      </c>
      <c r="AO223" t="s" s="0">
        <v>98</v>
      </c>
      <c r="AP223" t="s" s="0">
        <v>1687</v>
      </c>
      <c r="AQ223" t="s" s="0">
        <v>296</v>
      </c>
      <c r="AR223" t="s" s="0">
        <v>297</v>
      </c>
      <c r="AS223" t="s" s="0">
        <v>298</v>
      </c>
      <c r="AT223" t="s" s="0">
        <v>1775</v>
      </c>
      <c r="AU223" t="s" s="0">
        <v>1776</v>
      </c>
      <c r="AV223" t="s" s="0">
        <v>82</v>
      </c>
      <c r="AW223" t="s" s="0">
        <v>1770</v>
      </c>
      <c r="AX223" t="s" s="0">
        <v>1777</v>
      </c>
      <c r="AY223" t="s" s="0">
        <v>1688</v>
      </c>
      <c r="AZ223" t="s" s="0">
        <v>108</v>
      </c>
      <c r="BA223" t="s" s="0">
        <v>5237</v>
      </c>
      <c r="BB223" t="s" s="0">
        <v>82</v>
      </c>
      <c r="BC223" t="s" s="0">
        <v>82</v>
      </c>
      <c r="BD223" t="s" s="0">
        <v>82</v>
      </c>
      <c r="BE223" t="s" s="0">
        <v>82</v>
      </c>
      <c r="BF223" t="s" s="0">
        <v>82</v>
      </c>
      <c r="BG223" t="s" s="0">
        <v>82</v>
      </c>
      <c r="BH223" t="s" s="0">
        <v>82</v>
      </c>
      <c r="BI223" t="s" s="0">
        <v>5238</v>
      </c>
      <c r="BJ223" t="s" s="0">
        <v>5239</v>
      </c>
      <c r="BK223" t="s" s="443">
        <f>HYPERLINK("http://dx.doi.org/10.1016/j.displa.2025.103119","http://dx.doi.org/10.1016/j.displa.2025.103119")</f>
        <v>5240</v>
      </c>
      <c r="BL223" t="s" s="0">
        <v>82</v>
      </c>
      <c r="BM223" t="s" s="0">
        <v>611</v>
      </c>
      <c r="BN223" t="s" s="0">
        <v>307</v>
      </c>
      <c r="BO223" t="s" s="0">
        <v>1781</v>
      </c>
      <c r="BP223" t="s" s="0">
        <v>1782</v>
      </c>
      <c r="BQ223" t="s" s="0">
        <v>5241</v>
      </c>
      <c r="BR223" t="s" s="0">
        <v>82</v>
      </c>
      <c r="BS223" t="s" s="0">
        <v>5242</v>
      </c>
      <c r="BT223" t="s" s="444">
        <f>HYPERLINK("https://www.webofscience.com/wos/woscc/full-record/WOS:001513046400002","View Record in Web of Science")</f>
        <v>120</v>
      </c>
      <c r="BU223" t="s" s="0">
        <v>82</v>
      </c>
      <c r="BV223" t="s" s="0">
        <v>82</v>
      </c>
      <c r="BW223" t="s" s="0">
        <v>82</v>
      </c>
      <c r="BX223" t="s" s="0">
        <v>121</v>
      </c>
    </row>
    <row r="224">
      <c r="A224" t="s" s="0">
        <v>77</v>
      </c>
      <c r="B224" t="s" s="0">
        <v>77</v>
      </c>
      <c r="C224" t="s" s="0">
        <v>77</v>
      </c>
      <c r="D224" t="s" s="0">
        <v>77</v>
      </c>
      <c r="E224" t="s" s="0">
        <v>5243</v>
      </c>
      <c r="F224" t="s" s="0">
        <v>5244</v>
      </c>
      <c r="G224" t="s" s="0">
        <v>5245</v>
      </c>
      <c r="H224" t="s" s="0">
        <v>82</v>
      </c>
      <c r="I224" t="s" s="0">
        <v>83</v>
      </c>
      <c r="J224" t="s" s="0">
        <v>5246</v>
      </c>
      <c r="K224" t="s" s="0">
        <v>5247</v>
      </c>
      <c r="L224" t="s" s="0">
        <v>82</v>
      </c>
      <c r="M224" t="s" s="0">
        <v>82</v>
      </c>
      <c r="N224" t="s" s="0">
        <v>82</v>
      </c>
      <c r="O224" t="s" s="0">
        <v>5248</v>
      </c>
      <c r="P224" t="s" s="0">
        <v>5249</v>
      </c>
      <c r="Q224" t="s" s="0">
        <v>88</v>
      </c>
      <c r="R224" t="s" s="0">
        <v>82</v>
      </c>
      <c r="S224" t="s" s="0">
        <v>82</v>
      </c>
      <c r="T224" t="s" s="0">
        <v>82</v>
      </c>
      <c r="U224" t="s" s="0">
        <v>82</v>
      </c>
      <c r="V224" t="s" s="0">
        <v>5250</v>
      </c>
      <c r="W224" t="s" s="0">
        <v>5251</v>
      </c>
      <c r="X224" t="s" s="0">
        <v>82</v>
      </c>
      <c r="Y224" t="s" s="0">
        <v>82</v>
      </c>
      <c r="Z224" t="s" s="0">
        <v>91</v>
      </c>
      <c r="AA224" t="s" s="0">
        <v>908</v>
      </c>
      <c r="AB224" t="s" s="0">
        <v>82</v>
      </c>
      <c r="AC224" t="s" s="0">
        <v>82</v>
      </c>
      <c r="AD224" t="s" s="0">
        <v>82</v>
      </c>
      <c r="AE224" t="s" s="0">
        <v>82</v>
      </c>
      <c r="AF224" t="s" s="0">
        <v>82</v>
      </c>
      <c r="AG224" t="s" s="0">
        <v>5252</v>
      </c>
      <c r="AH224" t="s" s="0">
        <v>5253</v>
      </c>
      <c r="AI224" t="s" s="0">
        <v>5254</v>
      </c>
      <c r="AJ224" t="s" s="0">
        <v>82</v>
      </c>
      <c r="AK224" t="s" s="0">
        <v>82</v>
      </c>
      <c r="AL224" t="s" s="0">
        <v>139</v>
      </c>
      <c r="AM224" t="s" s="0">
        <v>77</v>
      </c>
      <c r="AN224" t="s" s="0">
        <v>77</v>
      </c>
      <c r="AO224" t="s" s="0">
        <v>77</v>
      </c>
      <c r="AP224" t="s" s="0">
        <v>77</v>
      </c>
      <c r="AQ224" t="s" s="0">
        <v>795</v>
      </c>
      <c r="AR224" t="s" s="0">
        <v>796</v>
      </c>
      <c r="AS224" t="s" s="0">
        <v>797</v>
      </c>
      <c r="AT224" t="s" s="0">
        <v>5255</v>
      </c>
      <c r="AU224" t="s" s="0">
        <v>5256</v>
      </c>
      <c r="AV224" t="s" s="0">
        <v>82</v>
      </c>
      <c r="AW224" t="s" s="0">
        <v>5257</v>
      </c>
      <c r="AX224" t="s" s="0">
        <v>5258</v>
      </c>
      <c r="AY224" t="s" s="0">
        <v>82</v>
      </c>
      <c r="AZ224" t="s" s="0">
        <v>179</v>
      </c>
      <c r="BA224" t="s" s="0">
        <v>82</v>
      </c>
      <c r="BB224" t="s" s="0">
        <v>82</v>
      </c>
      <c r="BC224" t="s" s="0">
        <v>82</v>
      </c>
      <c r="BD224" t="s" s="0">
        <v>82</v>
      </c>
      <c r="BE224" t="s" s="0">
        <v>82</v>
      </c>
      <c r="BF224" t="s" s="0">
        <v>82</v>
      </c>
      <c r="BG224" t="s" s="0">
        <v>82</v>
      </c>
      <c r="BH224" t="s" s="0">
        <v>82</v>
      </c>
      <c r="BI224" t="s" s="0">
        <v>82</v>
      </c>
      <c r="BJ224" t="s" s="0">
        <v>5259</v>
      </c>
      <c r="BK224" t="s" s="445">
        <f>HYPERLINK("http://dx.doi.org/10.1007/s00256-026-05322-z","http://dx.doi.org/10.1007/s00256-026-05322-z")</f>
        <v>5260</v>
      </c>
      <c r="BL224" t="s" s="0">
        <v>82</v>
      </c>
      <c r="BM224" t="s" s="0">
        <v>716</v>
      </c>
      <c r="BN224" t="s" s="0">
        <v>307</v>
      </c>
      <c r="BO224" t="s" s="0">
        <v>5261</v>
      </c>
      <c r="BP224" t="s" s="0">
        <v>5261</v>
      </c>
      <c r="BQ224" t="s" s="0">
        <v>5262</v>
      </c>
      <c r="BR224" t="s" s="0">
        <v>5263</v>
      </c>
      <c r="BS224" t="s" s="0">
        <v>5264</v>
      </c>
      <c r="BT224" t="s" s="446">
        <f>HYPERLINK("https://www.webofscience.com/wos/woscc/full-record/WOS:001830779600001","View Record in Web of Science")</f>
        <v>120</v>
      </c>
      <c r="BU224" t="s" s="0">
        <v>82</v>
      </c>
      <c r="BV224" t="s" s="0">
        <v>82</v>
      </c>
      <c r="BW224" t="s" s="0">
        <v>82</v>
      </c>
      <c r="BX224" t="s" s="0">
        <v>121</v>
      </c>
    </row>
    <row r="225">
      <c r="A225" t="s" s="0">
        <v>77</v>
      </c>
      <c r="B225" t="s" s="0">
        <v>77</v>
      </c>
      <c r="C225" t="s" s="0">
        <v>77</v>
      </c>
      <c r="D225" t="s" s="0">
        <v>77</v>
      </c>
      <c r="E225" t="s" s="0">
        <v>5265</v>
      </c>
      <c r="F225" t="s" s="0">
        <v>5266</v>
      </c>
      <c r="G225" t="s" s="0">
        <v>5267</v>
      </c>
      <c r="H225" t="s" s="0">
        <v>82</v>
      </c>
      <c r="I225" t="s" s="0">
        <v>83</v>
      </c>
      <c r="J225" t="s" s="0">
        <v>5268</v>
      </c>
      <c r="K225" t="s" s="0">
        <v>5269</v>
      </c>
      <c r="L225" t="s" s="0">
        <v>82</v>
      </c>
      <c r="M225" t="s" s="0">
        <v>82</v>
      </c>
      <c r="N225" t="s" s="0">
        <v>82</v>
      </c>
      <c r="O225" t="s" s="0">
        <v>5270</v>
      </c>
      <c r="P225" t="s" s="0">
        <v>82</v>
      </c>
      <c r="Q225" t="s" s="0">
        <v>88</v>
      </c>
      <c r="R225" t="s" s="0">
        <v>82</v>
      </c>
      <c r="S225" t="s" s="0">
        <v>82</v>
      </c>
      <c r="T225" t="s" s="0">
        <v>82</v>
      </c>
      <c r="U225" t="s" s="0">
        <v>82</v>
      </c>
      <c r="V225" t="s" s="0">
        <v>5271</v>
      </c>
      <c r="W225" t="s" s="0">
        <v>3157</v>
      </c>
      <c r="X225" t="s" s="0">
        <v>82</v>
      </c>
      <c r="Y225" t="s" s="0">
        <v>82</v>
      </c>
      <c r="Z225" t="s" s="0">
        <v>91</v>
      </c>
      <c r="AA225" t="s" s="0">
        <v>92</v>
      </c>
      <c r="AB225" t="s" s="0">
        <v>82</v>
      </c>
      <c r="AC225" t="s" s="0">
        <v>82</v>
      </c>
      <c r="AD225" t="s" s="0">
        <v>82</v>
      </c>
      <c r="AE225" t="s" s="0">
        <v>82</v>
      </c>
      <c r="AF225" t="s" s="0">
        <v>82</v>
      </c>
      <c r="AG225" t="s" s="0">
        <v>5272</v>
      </c>
      <c r="AH225" t="s" s="0">
        <v>5273</v>
      </c>
      <c r="AI225" t="s" s="0">
        <v>5274</v>
      </c>
      <c r="AJ225" t="s" s="0">
        <v>82</v>
      </c>
      <c r="AK225" t="s" s="0">
        <v>82</v>
      </c>
      <c r="AL225" t="s" s="0">
        <v>1504</v>
      </c>
      <c r="AM225" t="s" s="0">
        <v>204</v>
      </c>
      <c r="AN225" t="s" s="0">
        <v>204</v>
      </c>
      <c r="AO225" t="s" s="0">
        <v>235</v>
      </c>
      <c r="AP225" t="s" s="0">
        <v>235</v>
      </c>
      <c r="AQ225" t="s" s="0">
        <v>418</v>
      </c>
      <c r="AR225" t="s" s="0">
        <v>419</v>
      </c>
      <c r="AS225" t="s" s="0">
        <v>420</v>
      </c>
      <c r="AT225" t="s" s="0">
        <v>82</v>
      </c>
      <c r="AU225" t="s" s="0">
        <v>3162</v>
      </c>
      <c r="AV225" t="s" s="0">
        <v>82</v>
      </c>
      <c r="AW225" t="s" s="0">
        <v>3157</v>
      </c>
      <c r="AX225" t="s" s="0">
        <v>3163</v>
      </c>
      <c r="AY225" t="s" s="0">
        <v>1821</v>
      </c>
      <c r="AZ225" t="s" s="0">
        <v>179</v>
      </c>
      <c r="BA225" t="s" s="0">
        <v>209</v>
      </c>
      <c r="BB225" t="s" s="0">
        <v>99</v>
      </c>
      <c r="BC225" t="s" s="0">
        <v>82</v>
      </c>
      <c r="BD225" t="s" s="0">
        <v>82</v>
      </c>
      <c r="BE225" t="s" s="0">
        <v>82</v>
      </c>
      <c r="BF225" t="s" s="0">
        <v>82</v>
      </c>
      <c r="BG225" t="s" s="0">
        <v>82</v>
      </c>
      <c r="BH225" t="s" s="0">
        <v>82</v>
      </c>
      <c r="BI225" t="s" s="0">
        <v>5275</v>
      </c>
      <c r="BJ225" t="s" s="0">
        <v>5276</v>
      </c>
      <c r="BK225" t="s" s="447">
        <f>HYPERLINK("http://dx.doi.org/10.3390/diagnostics16030476","http://dx.doi.org/10.3390/diagnostics16030476")</f>
        <v>5277</v>
      </c>
      <c r="BL225" t="s" s="0">
        <v>82</v>
      </c>
      <c r="BM225" t="s" s="0">
        <v>82</v>
      </c>
      <c r="BN225" t="s" s="0">
        <v>209</v>
      </c>
      <c r="BO225" t="s" s="0">
        <v>1803</v>
      </c>
      <c r="BP225" t="s" s="0">
        <v>1804</v>
      </c>
      <c r="BQ225" t="s" s="0">
        <v>5278</v>
      </c>
      <c r="BR225" t="s" s="0">
        <v>5279</v>
      </c>
      <c r="BS225" t="s" s="0">
        <v>5280</v>
      </c>
      <c r="BT225" t="s" s="448">
        <f>HYPERLINK("https://www.webofscience.com/wos/woscc/full-record/WOS:001688240700001","View Record in Web of Science")</f>
        <v>120</v>
      </c>
      <c r="BU225" t="s" s="0">
        <v>189</v>
      </c>
      <c r="BV225" t="s" s="0">
        <v>82</v>
      </c>
      <c r="BW225" t="s" s="0">
        <v>82</v>
      </c>
      <c r="BX225" t="s" s="0">
        <v>121</v>
      </c>
    </row>
    <row r="226">
      <c r="A226" t="s" s="0">
        <v>77</v>
      </c>
      <c r="B226" t="s" s="0">
        <v>77</v>
      </c>
      <c r="C226" t="s" s="0">
        <v>77</v>
      </c>
      <c r="D226" t="s" s="0">
        <v>77</v>
      </c>
      <c r="E226" t="s" s="0">
        <v>5281</v>
      </c>
      <c r="F226" t="s" s="0">
        <v>5282</v>
      </c>
      <c r="G226" t="s" s="0">
        <v>5283</v>
      </c>
      <c r="H226" t="s" s="0">
        <v>82</v>
      </c>
      <c r="I226" t="s" s="0">
        <v>83</v>
      </c>
      <c r="J226" t="s" s="0">
        <v>5284</v>
      </c>
      <c r="K226" t="s" s="0">
        <v>5285</v>
      </c>
      <c r="L226" t="s" s="0">
        <v>5286</v>
      </c>
      <c r="M226" t="s" s="0">
        <v>5287</v>
      </c>
      <c r="N226" t="s" s="0">
        <v>5288</v>
      </c>
      <c r="O226" t="s" s="0">
        <v>5289</v>
      </c>
      <c r="P226" t="s" s="0">
        <v>5290</v>
      </c>
      <c r="Q226" t="s" s="0">
        <v>88</v>
      </c>
      <c r="R226" t="s" s="0">
        <v>82</v>
      </c>
      <c r="S226" t="s" s="0">
        <v>82</v>
      </c>
      <c r="T226" t="s" s="0">
        <v>82</v>
      </c>
      <c r="U226" t="s" s="0">
        <v>82</v>
      </c>
      <c r="V226" t="s" s="0">
        <v>5291</v>
      </c>
      <c r="W226" t="s" s="0">
        <v>820</v>
      </c>
      <c r="X226" t="s" s="0">
        <v>82</v>
      </c>
      <c r="Y226" t="s" s="0">
        <v>82</v>
      </c>
      <c r="Z226" t="s" s="0">
        <v>91</v>
      </c>
      <c r="AA226" t="s" s="0">
        <v>92</v>
      </c>
      <c r="AB226" t="s" s="0">
        <v>82</v>
      </c>
      <c r="AC226" t="s" s="0">
        <v>82</v>
      </c>
      <c r="AD226" t="s" s="0">
        <v>82</v>
      </c>
      <c r="AE226" t="s" s="0">
        <v>82</v>
      </c>
      <c r="AF226" t="s" s="0">
        <v>82</v>
      </c>
      <c r="AG226" t="s" s="0">
        <v>5292</v>
      </c>
      <c r="AH226" t="s" s="0">
        <v>5293</v>
      </c>
      <c r="AI226" t="s" s="0">
        <v>82</v>
      </c>
      <c r="AJ226" t="s" s="0">
        <v>82</v>
      </c>
      <c r="AK226" t="s" s="0">
        <v>82</v>
      </c>
      <c r="AL226" t="s" s="0">
        <v>1115</v>
      </c>
      <c r="AM226" t="s" s="0">
        <v>77</v>
      </c>
      <c r="AN226" t="s" s="0">
        <v>77</v>
      </c>
      <c r="AO226" t="s" s="0">
        <v>78</v>
      </c>
      <c r="AP226" t="s" s="0">
        <v>78</v>
      </c>
      <c r="AQ226" t="s" s="0">
        <v>100</v>
      </c>
      <c r="AR226" t="s" s="0">
        <v>101</v>
      </c>
      <c r="AS226" t="s" s="0">
        <v>102</v>
      </c>
      <c r="AT226" t="s" s="0">
        <v>825</v>
      </c>
      <c r="AU226" t="s" s="0">
        <v>826</v>
      </c>
      <c r="AV226" t="s" s="0">
        <v>82</v>
      </c>
      <c r="AW226" t="s" s="0">
        <v>827</v>
      </c>
      <c r="AX226" t="s" s="0">
        <v>828</v>
      </c>
      <c r="AY226" t="s" s="0">
        <v>270</v>
      </c>
      <c r="AZ226" t="s" s="0">
        <v>179</v>
      </c>
      <c r="BA226" t="s" s="0">
        <v>586</v>
      </c>
      <c r="BB226" t="s" s="0">
        <v>272</v>
      </c>
      <c r="BC226" t="s" s="0">
        <v>82</v>
      </c>
      <c r="BD226" t="s" s="0">
        <v>82</v>
      </c>
      <c r="BE226" t="s" s="0">
        <v>82</v>
      </c>
      <c r="BF226" t="s" s="0">
        <v>82</v>
      </c>
      <c r="BG226" t="s" s="0">
        <v>5294</v>
      </c>
      <c r="BH226" t="s" s="0">
        <v>5295</v>
      </c>
      <c r="BI226" t="s" s="0">
        <v>82</v>
      </c>
      <c r="BJ226" t="s" s="0">
        <v>5296</v>
      </c>
      <c r="BK226" t="s" s="449">
        <f>HYPERLINK("http://dx.doi.org/10.1109/JBHI.2026.3663420","http://dx.doi.org/10.1109/JBHI.2026.3663420")</f>
        <v>5297</v>
      </c>
      <c r="BL226" t="s" s="0">
        <v>82</v>
      </c>
      <c r="BM226" t="s" s="0">
        <v>82</v>
      </c>
      <c r="BN226" t="s" s="0">
        <v>363</v>
      </c>
      <c r="BO226" t="s" s="0">
        <v>834</v>
      </c>
      <c r="BP226" t="s" s="0">
        <v>835</v>
      </c>
      <c r="BQ226" t="s" s="0">
        <v>5298</v>
      </c>
      <c r="BR226" t="s" s="0">
        <v>5299</v>
      </c>
      <c r="BS226" t="s" s="0">
        <v>5300</v>
      </c>
      <c r="BT226" t="s" s="450">
        <f>HYPERLINK("https://www.webofscience.com/wos/woscc/full-record/WOS:001841939400025","View Record in Web of Science")</f>
        <v>120</v>
      </c>
      <c r="BU226" t="s" s="0">
        <v>82</v>
      </c>
      <c r="BV226" t="s" s="0">
        <v>82</v>
      </c>
      <c r="BW226" t="s" s="0">
        <v>82</v>
      </c>
      <c r="BX226" t="s" s="0">
        <v>121</v>
      </c>
    </row>
    <row r="227">
      <c r="A227" t="s" s="0">
        <v>77</v>
      </c>
      <c r="B227" t="s" s="0">
        <v>77</v>
      </c>
      <c r="C227" t="s" s="0">
        <v>77</v>
      </c>
      <c r="D227" t="s" s="0">
        <v>77</v>
      </c>
      <c r="E227" t="s" s="0">
        <v>5301</v>
      </c>
      <c r="F227" t="s" s="0">
        <v>5302</v>
      </c>
      <c r="G227" t="s" s="0">
        <v>5303</v>
      </c>
      <c r="H227" t="s" s="0">
        <v>82</v>
      </c>
      <c r="I227" t="s" s="0">
        <v>83</v>
      </c>
      <c r="J227" t="s" s="0">
        <v>5304</v>
      </c>
      <c r="K227" t="s" s="0">
        <v>5305</v>
      </c>
      <c r="L227" t="s" s="0">
        <v>82</v>
      </c>
      <c r="M227" t="s" s="0">
        <v>82</v>
      </c>
      <c r="N227" t="s" s="0">
        <v>82</v>
      </c>
      <c r="O227" t="s" s="0">
        <v>5306</v>
      </c>
      <c r="P227" t="s" s="0">
        <v>5307</v>
      </c>
      <c r="Q227" t="s" s="0">
        <v>88</v>
      </c>
      <c r="R227" t="s" s="0">
        <v>82</v>
      </c>
      <c r="S227" t="s" s="0">
        <v>82</v>
      </c>
      <c r="T227" t="s" s="0">
        <v>82</v>
      </c>
      <c r="U227" t="s" s="0">
        <v>82</v>
      </c>
      <c r="V227" t="s" s="0">
        <v>5308</v>
      </c>
      <c r="W227" t="s" s="0">
        <v>5309</v>
      </c>
      <c r="X227" t="s" s="0">
        <v>82</v>
      </c>
      <c r="Y227" t="s" s="0">
        <v>82</v>
      </c>
      <c r="Z227" t="s" s="0">
        <v>91</v>
      </c>
      <c r="AA227" t="s" s="0">
        <v>92</v>
      </c>
      <c r="AB227" t="s" s="0">
        <v>82</v>
      </c>
      <c r="AC227" t="s" s="0">
        <v>82</v>
      </c>
      <c r="AD227" t="s" s="0">
        <v>82</v>
      </c>
      <c r="AE227" t="s" s="0">
        <v>82</v>
      </c>
      <c r="AF227" t="s" s="0">
        <v>82</v>
      </c>
      <c r="AG227" t="s" s="0">
        <v>5310</v>
      </c>
      <c r="AH227" t="s" s="0">
        <v>82</v>
      </c>
      <c r="AI227" t="s" s="0">
        <v>82</v>
      </c>
      <c r="AJ227" t="s" s="0">
        <v>82</v>
      </c>
      <c r="AK227" t="s" s="0">
        <v>82</v>
      </c>
      <c r="AL227" t="s" s="0">
        <v>1532</v>
      </c>
      <c r="AM227" t="s" s="0">
        <v>77</v>
      </c>
      <c r="AN227" t="s" s="0">
        <v>77</v>
      </c>
      <c r="AO227" t="s" s="0">
        <v>78</v>
      </c>
      <c r="AP227" t="s" s="0">
        <v>78</v>
      </c>
      <c r="AQ227" t="s" s="0">
        <v>605</v>
      </c>
      <c r="AR227" t="s" s="0">
        <v>606</v>
      </c>
      <c r="AS227" t="s" s="0">
        <v>607</v>
      </c>
      <c r="AT227" t="s" s="0">
        <v>5311</v>
      </c>
      <c r="AU227" t="s" s="0">
        <v>5312</v>
      </c>
      <c r="AV227" t="s" s="0">
        <v>82</v>
      </c>
      <c r="AW227" t="s" s="0">
        <v>5313</v>
      </c>
      <c r="AX227" t="s" s="0">
        <v>5314</v>
      </c>
      <c r="AY227" t="s" s="0">
        <v>270</v>
      </c>
      <c r="AZ227" t="s" s="0">
        <v>179</v>
      </c>
      <c r="BA227" t="s" s="0">
        <v>1004</v>
      </c>
      <c r="BB227" t="s" s="0">
        <v>272</v>
      </c>
      <c r="BC227" t="s" s="0">
        <v>82</v>
      </c>
      <c r="BD227" t="s" s="0">
        <v>82</v>
      </c>
      <c r="BE227" t="s" s="0">
        <v>82</v>
      </c>
      <c r="BF227" t="s" s="0">
        <v>82</v>
      </c>
      <c r="BG227" t="s" s="0">
        <v>5315</v>
      </c>
      <c r="BH227" t="s" s="0">
        <v>5316</v>
      </c>
      <c r="BI227" t="s" s="0">
        <v>82</v>
      </c>
      <c r="BJ227" t="s" s="0">
        <v>5317</v>
      </c>
      <c r="BK227" t="s" s="451">
        <f>HYPERLINK("http://dx.doi.org/10.1002/ase.70256","http://dx.doi.org/10.1002/ase.70256")</f>
        <v>5318</v>
      </c>
      <c r="BL227" t="s" s="0">
        <v>82</v>
      </c>
      <c r="BM227" t="s" s="0">
        <v>3404</v>
      </c>
      <c r="BN227" t="s" s="0">
        <v>148</v>
      </c>
      <c r="BO227" t="s" s="0">
        <v>5319</v>
      </c>
      <c r="BP227" t="s" s="0">
        <v>5320</v>
      </c>
      <c r="BQ227" t="s" s="0">
        <v>5321</v>
      </c>
      <c r="BR227" t="s" s="0">
        <v>5322</v>
      </c>
      <c r="BS227" t="s" s="0">
        <v>5323</v>
      </c>
      <c r="BT227" t="s" s="452">
        <f>HYPERLINK("https://www.webofscience.com/wos/woscc/full-record/WOS:001764564900001","View Record in Web of Science")</f>
        <v>120</v>
      </c>
      <c r="BU227" t="s" s="0">
        <v>924</v>
      </c>
      <c r="BV227" t="s" s="0">
        <v>82</v>
      </c>
      <c r="BW227" t="s" s="0">
        <v>82</v>
      </c>
      <c r="BX227" t="s" s="0">
        <v>121</v>
      </c>
    </row>
    <row r="228">
      <c r="A228" t="s" s="0">
        <v>77</v>
      </c>
      <c r="B228" t="s" s="0">
        <v>77</v>
      </c>
      <c r="C228" t="s" s="0">
        <v>77</v>
      </c>
      <c r="D228" t="s" s="0">
        <v>77</v>
      </c>
      <c r="E228" t="s" s="0">
        <v>5324</v>
      </c>
      <c r="F228" t="s" s="0">
        <v>5325</v>
      </c>
      <c r="G228" t="s" s="0">
        <v>5326</v>
      </c>
      <c r="H228" t="s" s="0">
        <v>82</v>
      </c>
      <c r="I228" t="s" s="0">
        <v>83</v>
      </c>
      <c r="J228" t="s" s="0">
        <v>5327</v>
      </c>
      <c r="K228" t="s" s="0">
        <v>5328</v>
      </c>
      <c r="L228" t="s" s="0">
        <v>5329</v>
      </c>
      <c r="M228" t="s" s="0">
        <v>5330</v>
      </c>
      <c r="N228" t="s" s="0">
        <v>5331</v>
      </c>
      <c r="O228" t="s" s="0">
        <v>5332</v>
      </c>
      <c r="P228" t="s" s="0">
        <v>5333</v>
      </c>
      <c r="Q228" t="s" s="0">
        <v>88</v>
      </c>
      <c r="R228" t="s" s="0">
        <v>82</v>
      </c>
      <c r="S228" t="s" s="0">
        <v>82</v>
      </c>
      <c r="T228" t="s" s="0">
        <v>82</v>
      </c>
      <c r="U228" t="s" s="0">
        <v>82</v>
      </c>
      <c r="V228" t="s" s="0">
        <v>5334</v>
      </c>
      <c r="W228" t="s" s="0">
        <v>820</v>
      </c>
      <c r="X228" t="s" s="0">
        <v>82</v>
      </c>
      <c r="Y228" t="s" s="0">
        <v>82</v>
      </c>
      <c r="Z228" t="s" s="0">
        <v>91</v>
      </c>
      <c r="AA228" t="s" s="0">
        <v>92</v>
      </c>
      <c r="AB228" t="s" s="0">
        <v>82</v>
      </c>
      <c r="AC228" t="s" s="0">
        <v>82</v>
      </c>
      <c r="AD228" t="s" s="0">
        <v>82</v>
      </c>
      <c r="AE228" t="s" s="0">
        <v>82</v>
      </c>
      <c r="AF228" t="s" s="0">
        <v>82</v>
      </c>
      <c r="AG228" t="s" s="0">
        <v>5335</v>
      </c>
      <c r="AH228" t="s" s="0">
        <v>5336</v>
      </c>
      <c r="AI228" t="s" s="0">
        <v>5337</v>
      </c>
      <c r="AJ228" t="s" s="0">
        <v>82</v>
      </c>
      <c r="AK228" t="s" s="0">
        <v>82</v>
      </c>
      <c r="AL228" t="s" s="0">
        <v>5338</v>
      </c>
      <c r="AM228" t="s" s="0">
        <v>78</v>
      </c>
      <c r="AN228" t="s" s="0">
        <v>78</v>
      </c>
      <c r="AO228" t="s" s="0">
        <v>98</v>
      </c>
      <c r="AP228" t="s" s="0">
        <v>115</v>
      </c>
      <c r="AQ228" t="s" s="0">
        <v>100</v>
      </c>
      <c r="AR228" t="s" s="0">
        <v>101</v>
      </c>
      <c r="AS228" t="s" s="0">
        <v>102</v>
      </c>
      <c r="AT228" t="s" s="0">
        <v>825</v>
      </c>
      <c r="AU228" t="s" s="0">
        <v>826</v>
      </c>
      <c r="AV228" t="s" s="0">
        <v>82</v>
      </c>
      <c r="AW228" t="s" s="0">
        <v>827</v>
      </c>
      <c r="AX228" t="s" s="0">
        <v>828</v>
      </c>
      <c r="AY228" t="s" s="0">
        <v>240</v>
      </c>
      <c r="AZ228" t="s" s="0">
        <v>179</v>
      </c>
      <c r="BA228" t="s" s="0">
        <v>586</v>
      </c>
      <c r="BB228" t="s" s="0">
        <v>204</v>
      </c>
      <c r="BC228" t="s" s="0">
        <v>82</v>
      </c>
      <c r="BD228" t="s" s="0">
        <v>82</v>
      </c>
      <c r="BE228" t="s" s="0">
        <v>82</v>
      </c>
      <c r="BF228" t="s" s="0">
        <v>82</v>
      </c>
      <c r="BG228" t="s" s="0">
        <v>5339</v>
      </c>
      <c r="BH228" t="s" s="0">
        <v>5340</v>
      </c>
      <c r="BI228" t="s" s="0">
        <v>82</v>
      </c>
      <c r="BJ228" t="s" s="0">
        <v>5341</v>
      </c>
      <c r="BK228" t="s" s="453">
        <f>HYPERLINK("http://dx.doi.org/10.1109/JBHI.2025.3609739","http://dx.doi.org/10.1109/JBHI.2025.3609739")</f>
        <v>5342</v>
      </c>
      <c r="BL228" t="s" s="0">
        <v>82</v>
      </c>
      <c r="BM228" t="s" s="0">
        <v>82</v>
      </c>
      <c r="BN228" t="s" s="0">
        <v>109</v>
      </c>
      <c r="BO228" t="s" s="0">
        <v>834</v>
      </c>
      <c r="BP228" t="s" s="0">
        <v>835</v>
      </c>
      <c r="BQ228" t="s" s="0">
        <v>5343</v>
      </c>
      <c r="BR228" t="s" s="0">
        <v>5344</v>
      </c>
      <c r="BS228" t="s" s="0">
        <v>5345</v>
      </c>
      <c r="BT228" t="s" s="454">
        <f>HYPERLINK("https://www.webofscience.com/wos/woscc/full-record/WOS:001684934200029","View Record in Web of Science")</f>
        <v>120</v>
      </c>
      <c r="BU228" t="s" s="0">
        <v>82</v>
      </c>
      <c r="BV228" t="s" s="0">
        <v>82</v>
      </c>
      <c r="BW228" t="s" s="0">
        <v>82</v>
      </c>
      <c r="BX228" t="s" s="0">
        <v>121</v>
      </c>
    </row>
    <row r="229">
      <c r="A229" t="s" s="0">
        <v>77</v>
      </c>
      <c r="B229" t="s" s="0">
        <v>77</v>
      </c>
      <c r="C229" t="s" s="0">
        <v>110</v>
      </c>
      <c r="D229" t="s" s="0">
        <v>77</v>
      </c>
      <c r="E229" t="s" s="0">
        <v>5346</v>
      </c>
      <c r="F229" t="s" s="0">
        <v>5347</v>
      </c>
      <c r="G229" t="s" s="0">
        <v>5348</v>
      </c>
      <c r="H229" t="s" s="0">
        <v>82</v>
      </c>
      <c r="I229" t="s" s="0">
        <v>83</v>
      </c>
      <c r="J229" t="s" s="0">
        <v>5349</v>
      </c>
      <c r="K229" t="s" s="0">
        <v>5350</v>
      </c>
      <c r="L229" t="s" s="0">
        <v>5351</v>
      </c>
      <c r="M229" t="s" s="0">
        <v>5352</v>
      </c>
      <c r="N229" t="s" s="0">
        <v>82</v>
      </c>
      <c r="O229" t="s" s="0">
        <v>5353</v>
      </c>
      <c r="P229" t="s" s="0">
        <v>5354</v>
      </c>
      <c r="Q229" t="s" s="0">
        <v>88</v>
      </c>
      <c r="R229" t="s" s="0">
        <v>82</v>
      </c>
      <c r="S229" t="s" s="0">
        <v>82</v>
      </c>
      <c r="T229" t="s" s="0">
        <v>82</v>
      </c>
      <c r="U229" t="s" s="0">
        <v>82</v>
      </c>
      <c r="V229" t="s" s="0">
        <v>5355</v>
      </c>
      <c r="W229" t="s" s="0">
        <v>347</v>
      </c>
      <c r="X229" t="s" s="0">
        <v>82</v>
      </c>
      <c r="Y229" t="s" s="0">
        <v>82</v>
      </c>
      <c r="Z229" t="s" s="0">
        <v>91</v>
      </c>
      <c r="AA229" t="s" s="0">
        <v>92</v>
      </c>
      <c r="AB229" t="s" s="0">
        <v>82</v>
      </c>
      <c r="AC229" t="s" s="0">
        <v>82</v>
      </c>
      <c r="AD229" t="s" s="0">
        <v>82</v>
      </c>
      <c r="AE229" t="s" s="0">
        <v>82</v>
      </c>
      <c r="AF229" t="s" s="0">
        <v>82</v>
      </c>
      <c r="AG229" t="s" s="0">
        <v>5356</v>
      </c>
      <c r="AH229" t="s" s="0">
        <v>5357</v>
      </c>
      <c r="AI229" t="s" s="0">
        <v>5358</v>
      </c>
      <c r="AJ229" t="s" s="0">
        <v>5359</v>
      </c>
      <c r="AK229" t="s" s="0">
        <v>82</v>
      </c>
      <c r="AL229" t="s" s="0">
        <v>1506</v>
      </c>
      <c r="AM229" t="s" s="0">
        <v>272</v>
      </c>
      <c r="AN229" t="s" s="0">
        <v>115</v>
      </c>
      <c r="AO229" t="s" s="0">
        <v>99</v>
      </c>
      <c r="AP229" t="s" s="0">
        <v>115</v>
      </c>
      <c r="AQ229" t="s" s="0">
        <v>351</v>
      </c>
      <c r="AR229" t="s" s="0">
        <v>352</v>
      </c>
      <c r="AS229" t="s" s="0">
        <v>353</v>
      </c>
      <c r="AT229" t="s" s="0">
        <v>354</v>
      </c>
      <c r="AU229" t="s" s="0">
        <v>355</v>
      </c>
      <c r="AV229" t="s" s="0">
        <v>82</v>
      </c>
      <c r="AW229" t="s" s="0">
        <v>356</v>
      </c>
      <c r="AX229" t="s" s="0">
        <v>357</v>
      </c>
      <c r="AY229" t="s" s="0">
        <v>634</v>
      </c>
      <c r="AZ229" t="s" s="0">
        <v>108</v>
      </c>
      <c r="BA229" t="s" s="0">
        <v>3054</v>
      </c>
      <c r="BB229" t="s" s="0">
        <v>82</v>
      </c>
      <c r="BC229" t="s" s="0">
        <v>82</v>
      </c>
      <c r="BD229" t="s" s="0">
        <v>82</v>
      </c>
      <c r="BE229" t="s" s="0">
        <v>82</v>
      </c>
      <c r="BF229" t="s" s="0">
        <v>82</v>
      </c>
      <c r="BG229" t="s" s="0">
        <v>82</v>
      </c>
      <c r="BH229" t="s" s="0">
        <v>82</v>
      </c>
      <c r="BI229" t="s" s="0">
        <v>5360</v>
      </c>
      <c r="BJ229" t="s" s="0">
        <v>5361</v>
      </c>
      <c r="BK229" t="s" s="455">
        <f>HYPERLINK("http://dx.doi.org/10.1016/j.jbi.2025.104930","http://dx.doi.org/10.1016/j.jbi.2025.104930")</f>
        <v>5362</v>
      </c>
      <c r="BL229" t="s" s="0">
        <v>82</v>
      </c>
      <c r="BM229" t="s" s="0">
        <v>448</v>
      </c>
      <c r="BN229" t="s" s="0">
        <v>307</v>
      </c>
      <c r="BO229" t="s" s="0">
        <v>364</v>
      </c>
      <c r="BP229" t="s" s="0">
        <v>365</v>
      </c>
      <c r="BQ229" t="s" s="0">
        <v>5363</v>
      </c>
      <c r="BR229" t="s" s="0">
        <v>5364</v>
      </c>
      <c r="BS229" t="s" s="0">
        <v>5365</v>
      </c>
      <c r="BT229" t="s" s="456">
        <f>HYPERLINK("https://www.webofscience.com/wos/woscc/full-record/WOS:001612212500001","View Record in Web of Science")</f>
        <v>120</v>
      </c>
      <c r="BU229" t="s" s="0">
        <v>519</v>
      </c>
      <c r="BV229" t="s" s="0">
        <v>82</v>
      </c>
      <c r="BW229" t="s" s="0">
        <v>82</v>
      </c>
      <c r="BX229" t="s" s="0">
        <v>121</v>
      </c>
    </row>
    <row r="230">
      <c r="A230" t="s" s="0">
        <v>77</v>
      </c>
      <c r="B230" t="s" s="0">
        <v>77</v>
      </c>
      <c r="C230" t="s" s="0">
        <v>77</v>
      </c>
      <c r="D230" t="s" s="0">
        <v>77</v>
      </c>
      <c r="E230" t="s" s="0">
        <v>5366</v>
      </c>
      <c r="F230" t="s" s="0">
        <v>5367</v>
      </c>
      <c r="G230" t="s" s="0">
        <v>5368</v>
      </c>
      <c r="H230" t="s" s="0">
        <v>82</v>
      </c>
      <c r="I230" t="s" s="0">
        <v>1284</v>
      </c>
      <c r="J230" t="s" s="0">
        <v>5369</v>
      </c>
      <c r="K230" t="s" s="0">
        <v>5370</v>
      </c>
      <c r="L230" t="s" s="0">
        <v>5371</v>
      </c>
      <c r="M230" t="s" s="0">
        <v>5372</v>
      </c>
      <c r="N230" t="s" s="0">
        <v>5373</v>
      </c>
      <c r="O230" t="s" s="0">
        <v>5374</v>
      </c>
      <c r="P230" t="s" s="0">
        <v>5375</v>
      </c>
      <c r="Q230" t="s" s="0">
        <v>88</v>
      </c>
      <c r="R230" t="s" s="0">
        <v>82</v>
      </c>
      <c r="S230" t="s" s="0">
        <v>82</v>
      </c>
      <c r="T230" t="s" s="0">
        <v>82</v>
      </c>
      <c r="U230" t="s" s="0">
        <v>82</v>
      </c>
      <c r="V230" t="s" s="0">
        <v>5376</v>
      </c>
      <c r="W230" t="s" s="0">
        <v>3371</v>
      </c>
      <c r="X230" t="s" s="0">
        <v>82</v>
      </c>
      <c r="Y230" t="s" s="0">
        <v>82</v>
      </c>
      <c r="Z230" t="s" s="0">
        <v>91</v>
      </c>
      <c r="AA230" t="s" s="0">
        <v>92</v>
      </c>
      <c r="AB230" t="s" s="0">
        <v>82</v>
      </c>
      <c r="AC230" t="s" s="0">
        <v>82</v>
      </c>
      <c r="AD230" t="s" s="0">
        <v>82</v>
      </c>
      <c r="AE230" t="s" s="0">
        <v>82</v>
      </c>
      <c r="AF230" t="s" s="0">
        <v>82</v>
      </c>
      <c r="AG230" t="s" s="0">
        <v>5377</v>
      </c>
      <c r="AH230" t="s" s="0">
        <v>82</v>
      </c>
      <c r="AI230" t="s" s="0">
        <v>82</v>
      </c>
      <c r="AJ230" t="s" s="0">
        <v>82</v>
      </c>
      <c r="AK230" t="s" s="0">
        <v>82</v>
      </c>
      <c r="AL230" t="s" s="0">
        <v>417</v>
      </c>
      <c r="AM230" t="s" s="0">
        <v>77</v>
      </c>
      <c r="AN230" t="s" s="0">
        <v>77</v>
      </c>
      <c r="AO230" t="s" s="0">
        <v>77</v>
      </c>
      <c r="AP230" t="s" s="0">
        <v>77</v>
      </c>
      <c r="AQ230" t="s" s="0">
        <v>3375</v>
      </c>
      <c r="AR230" t="s" s="0">
        <v>475</v>
      </c>
      <c r="AS230" t="s" s="0">
        <v>3376</v>
      </c>
      <c r="AT230" t="s" s="0">
        <v>3377</v>
      </c>
      <c r="AU230" t="s" s="0">
        <v>82</v>
      </c>
      <c r="AV230" t="s" s="0">
        <v>82</v>
      </c>
      <c r="AW230" t="s" s="0">
        <v>3378</v>
      </c>
      <c r="AX230" t="s" s="0">
        <v>3379</v>
      </c>
      <c r="AY230" t="s" s="0">
        <v>179</v>
      </c>
      <c r="AZ230" t="s" s="0">
        <v>179</v>
      </c>
      <c r="BA230" t="s" s="0">
        <v>148</v>
      </c>
      <c r="BB230" t="s" s="0">
        <v>82</v>
      </c>
      <c r="BC230" t="s" s="0">
        <v>82</v>
      </c>
      <c r="BD230" t="s" s="0">
        <v>82</v>
      </c>
      <c r="BE230" t="s" s="0">
        <v>82</v>
      </c>
      <c r="BF230" t="s" s="0">
        <v>82</v>
      </c>
      <c r="BG230" t="s" s="0">
        <v>82</v>
      </c>
      <c r="BH230" t="s" s="0">
        <v>82</v>
      </c>
      <c r="BI230" t="s" s="0">
        <v>5378</v>
      </c>
      <c r="BJ230" t="s" s="0">
        <v>5379</v>
      </c>
      <c r="BK230" t="s" s="457">
        <f>HYPERLINK("http://dx.doi.org/10.1177/20552076261473729","http://dx.doi.org/10.1177/20552076261473729")</f>
        <v>5380</v>
      </c>
      <c r="BL230" t="s" s="0">
        <v>82</v>
      </c>
      <c r="BM230" t="s" s="0">
        <v>82</v>
      </c>
      <c r="BN230" t="s" s="0">
        <v>148</v>
      </c>
      <c r="BO230" t="s" s="0">
        <v>3383</v>
      </c>
      <c r="BP230" t="s" s="0">
        <v>3384</v>
      </c>
      <c r="BQ230" t="s" s="0">
        <v>5381</v>
      </c>
      <c r="BR230" t="s" s="0">
        <v>5382</v>
      </c>
      <c r="BS230" t="s" s="0">
        <v>5383</v>
      </c>
      <c r="BT230" t="s" s="458">
        <f>HYPERLINK("https://www.webofscience.com/wos/woscc/full-record/WOS:001829585600001","View Record in Web of Science")</f>
        <v>120</v>
      </c>
      <c r="BU230" t="s" s="0">
        <v>189</v>
      </c>
      <c r="BV230" t="s" s="0">
        <v>82</v>
      </c>
      <c r="BW230" t="s" s="0">
        <v>82</v>
      </c>
      <c r="BX230" t="s" s="0">
        <v>121</v>
      </c>
    </row>
    <row r="231">
      <c r="A231" t="s" s="0">
        <v>77</v>
      </c>
      <c r="B231" t="s" s="0">
        <v>77</v>
      </c>
      <c r="C231" t="s" s="0">
        <v>77</v>
      </c>
      <c r="D231" t="s" s="0">
        <v>77</v>
      </c>
      <c r="E231" t="s" s="0">
        <v>5384</v>
      </c>
      <c r="F231" t="s" s="0">
        <v>5385</v>
      </c>
      <c r="G231" t="s" s="0">
        <v>5386</v>
      </c>
      <c r="H231" t="s" s="0">
        <v>82</v>
      </c>
      <c r="I231" t="s" s="0">
        <v>83</v>
      </c>
      <c r="J231" t="s" s="0">
        <v>5387</v>
      </c>
      <c r="K231" t="s" s="0">
        <v>5388</v>
      </c>
      <c r="L231" t="s" s="0">
        <v>82</v>
      </c>
      <c r="M231" t="s" s="0">
        <v>82</v>
      </c>
      <c r="N231" t="s" s="0">
        <v>5389</v>
      </c>
      <c r="O231" t="s" s="0">
        <v>5390</v>
      </c>
      <c r="P231" t="s" s="0">
        <v>5391</v>
      </c>
      <c r="Q231" t="s" s="0">
        <v>88</v>
      </c>
      <c r="R231" t="s" s="0">
        <v>82</v>
      </c>
      <c r="S231" t="s" s="0">
        <v>82</v>
      </c>
      <c r="T231" t="s" s="0">
        <v>82</v>
      </c>
      <c r="U231" t="s" s="0">
        <v>82</v>
      </c>
      <c r="V231" t="s" s="0">
        <v>5392</v>
      </c>
      <c r="W231" t="s" s="0">
        <v>5393</v>
      </c>
      <c r="X231" t="s" s="0">
        <v>82</v>
      </c>
      <c r="Y231" t="s" s="0">
        <v>82</v>
      </c>
      <c r="Z231" t="s" s="0">
        <v>91</v>
      </c>
      <c r="AA231" t="s" s="0">
        <v>908</v>
      </c>
      <c r="AB231" t="s" s="0">
        <v>82</v>
      </c>
      <c r="AC231" t="s" s="0">
        <v>82</v>
      </c>
      <c r="AD231" t="s" s="0">
        <v>82</v>
      </c>
      <c r="AE231" t="s" s="0">
        <v>82</v>
      </c>
      <c r="AF231" t="s" s="0">
        <v>82</v>
      </c>
      <c r="AG231" t="s" s="0">
        <v>5394</v>
      </c>
      <c r="AH231" t="s" s="0">
        <v>5395</v>
      </c>
      <c r="AI231" t="s" s="0">
        <v>5396</v>
      </c>
      <c r="AJ231" t="s" s="0">
        <v>5397</v>
      </c>
      <c r="AK231" t="s" s="0">
        <v>82</v>
      </c>
      <c r="AL231" t="s" s="0">
        <v>1505</v>
      </c>
      <c r="AM231" t="s" s="0">
        <v>77</v>
      </c>
      <c r="AN231" t="s" s="0">
        <v>77</v>
      </c>
      <c r="AO231" t="s" s="0">
        <v>204</v>
      </c>
      <c r="AP231" t="s" s="0">
        <v>204</v>
      </c>
      <c r="AQ231" t="s" s="0">
        <v>795</v>
      </c>
      <c r="AR231" t="s" s="0">
        <v>796</v>
      </c>
      <c r="AS231" t="s" s="0">
        <v>797</v>
      </c>
      <c r="AT231" t="s" s="0">
        <v>5398</v>
      </c>
      <c r="AU231" t="s" s="0">
        <v>5399</v>
      </c>
      <c r="AV231" t="s" s="0">
        <v>82</v>
      </c>
      <c r="AW231" t="s" s="0">
        <v>5393</v>
      </c>
      <c r="AX231" t="s" s="0">
        <v>5400</v>
      </c>
      <c r="AY231" t="s" s="0">
        <v>82</v>
      </c>
      <c r="AZ231" t="s" s="0">
        <v>179</v>
      </c>
      <c r="BA231" t="s" s="0">
        <v>82</v>
      </c>
      <c r="BB231" t="s" s="0">
        <v>82</v>
      </c>
      <c r="BC231" t="s" s="0">
        <v>82</v>
      </c>
      <c r="BD231" t="s" s="0">
        <v>82</v>
      </c>
      <c r="BE231" t="s" s="0">
        <v>82</v>
      </c>
      <c r="BF231" t="s" s="0">
        <v>82</v>
      </c>
      <c r="BG231" t="s" s="0">
        <v>82</v>
      </c>
      <c r="BH231" t="s" s="0">
        <v>82</v>
      </c>
      <c r="BI231" t="s" s="0">
        <v>82</v>
      </c>
      <c r="BJ231" t="s" s="0">
        <v>5401</v>
      </c>
      <c r="BK231" t="s" s="459">
        <f>HYPERLINK("http://dx.doi.org/10.1007/s00234-026-04084-8","http://dx.doi.org/10.1007/s00234-026-04084-8")</f>
        <v>5402</v>
      </c>
      <c r="BL231" t="s" s="0">
        <v>82</v>
      </c>
      <c r="BM231" t="s" s="0">
        <v>358</v>
      </c>
      <c r="BN231" t="s" s="0">
        <v>184</v>
      </c>
      <c r="BO231" t="s" s="0">
        <v>5403</v>
      </c>
      <c r="BP231" t="s" s="0">
        <v>5404</v>
      </c>
      <c r="BQ231" t="s" s="0">
        <v>5405</v>
      </c>
      <c r="BR231" t="s" s="0">
        <v>5406</v>
      </c>
      <c r="BS231" t="s" s="0">
        <v>5407</v>
      </c>
      <c r="BT231" t="s" s="460">
        <f>HYPERLINK("https://www.webofscience.com/wos/woscc/full-record/WOS:001805248400001","View Record in Web of Science")</f>
        <v>120</v>
      </c>
      <c r="BU231" t="s" s="0">
        <v>82</v>
      </c>
      <c r="BV231" t="s" s="0">
        <v>82</v>
      </c>
      <c r="BW231" t="s" s="0">
        <v>82</v>
      </c>
      <c r="BX231" t="s" s="0">
        <v>121</v>
      </c>
    </row>
    <row r="232">
      <c r="A232" t="s" s="0">
        <v>77</v>
      </c>
      <c r="B232" t="s" s="0">
        <v>77</v>
      </c>
      <c r="C232" t="s" s="0">
        <v>204</v>
      </c>
      <c r="D232" t="s" s="0">
        <v>77</v>
      </c>
      <c r="E232" t="s" s="0">
        <v>5408</v>
      </c>
      <c r="F232" t="s" s="0">
        <v>5409</v>
      </c>
      <c r="G232" t="s" s="0">
        <v>5410</v>
      </c>
      <c r="H232" t="s" s="0">
        <v>82</v>
      </c>
      <c r="I232" t="s" s="0">
        <v>83</v>
      </c>
      <c r="J232" t="s" s="0">
        <v>5411</v>
      </c>
      <c r="K232" t="s" s="0">
        <v>5412</v>
      </c>
      <c r="L232" t="s" s="0">
        <v>82</v>
      </c>
      <c r="M232" t="s" s="0">
        <v>82</v>
      </c>
      <c r="N232" t="s" s="0">
        <v>82</v>
      </c>
      <c r="O232" t="s" s="0">
        <v>5413</v>
      </c>
      <c r="P232" t="s" s="0">
        <v>5414</v>
      </c>
      <c r="Q232" t="s" s="0">
        <v>88</v>
      </c>
      <c r="R232" t="s" s="0">
        <v>82</v>
      </c>
      <c r="S232" t="s" s="0">
        <v>82</v>
      </c>
      <c r="T232" t="s" s="0">
        <v>82</v>
      </c>
      <c r="U232" t="s" s="0">
        <v>82</v>
      </c>
      <c r="V232" t="s" s="0">
        <v>5415</v>
      </c>
      <c r="W232" t="s" s="0">
        <v>5068</v>
      </c>
      <c r="X232" t="s" s="0">
        <v>82</v>
      </c>
      <c r="Y232" t="s" s="0">
        <v>82</v>
      </c>
      <c r="Z232" t="s" s="0">
        <v>91</v>
      </c>
      <c r="AA232" t="s" s="0">
        <v>92</v>
      </c>
      <c r="AB232" t="s" s="0">
        <v>82</v>
      </c>
      <c r="AC232" t="s" s="0">
        <v>82</v>
      </c>
      <c r="AD232" t="s" s="0">
        <v>82</v>
      </c>
      <c r="AE232" t="s" s="0">
        <v>82</v>
      </c>
      <c r="AF232" t="s" s="0">
        <v>82</v>
      </c>
      <c r="AG232" t="s" s="0">
        <v>5416</v>
      </c>
      <c r="AH232" t="s" s="0">
        <v>82</v>
      </c>
      <c r="AI232" t="s" s="0">
        <v>5417</v>
      </c>
      <c r="AJ232" t="s" s="0">
        <v>5418</v>
      </c>
      <c r="AK232" t="s" s="0">
        <v>82</v>
      </c>
      <c r="AL232" t="s" s="0">
        <v>428</v>
      </c>
      <c r="AM232" t="s" s="0">
        <v>109</v>
      </c>
      <c r="AN232" t="s" s="0">
        <v>277</v>
      </c>
      <c r="AO232" t="s" s="0">
        <v>78</v>
      </c>
      <c r="AP232" t="s" s="0">
        <v>272</v>
      </c>
      <c r="AQ232" t="s" s="0">
        <v>2973</v>
      </c>
      <c r="AR232" t="s" s="0">
        <v>796</v>
      </c>
      <c r="AS232" t="s" s="0">
        <v>5072</v>
      </c>
      <c r="AT232" t="s" s="0">
        <v>5073</v>
      </c>
      <c r="AU232" t="s" s="0">
        <v>5074</v>
      </c>
      <c r="AV232" t="s" s="0">
        <v>82</v>
      </c>
      <c r="AW232" t="s" s="0">
        <v>5075</v>
      </c>
      <c r="AX232" t="s" s="0">
        <v>5076</v>
      </c>
      <c r="AY232" t="s" s="0">
        <v>2725</v>
      </c>
      <c r="AZ232" t="s" s="0">
        <v>108</v>
      </c>
      <c r="BA232" t="s" s="0">
        <v>1505</v>
      </c>
      <c r="BB232" t="s" s="0">
        <v>110</v>
      </c>
      <c r="BC232" t="s" s="0">
        <v>82</v>
      </c>
      <c r="BD232" t="s" s="0">
        <v>82</v>
      </c>
      <c r="BE232" t="s" s="0">
        <v>82</v>
      </c>
      <c r="BF232" t="s" s="0">
        <v>82</v>
      </c>
      <c r="BG232" t="s" s="0">
        <v>5419</v>
      </c>
      <c r="BH232" t="s" s="0">
        <v>5420</v>
      </c>
      <c r="BI232" t="s" s="0">
        <v>82</v>
      </c>
      <c r="BJ232" t="s" s="0">
        <v>5421</v>
      </c>
      <c r="BK232" t="s" s="461">
        <f>HYPERLINK("http://dx.doi.org/10.1016/j.acra.2024.10.035","http://dx.doi.org/10.1016/j.acra.2024.10.035")</f>
        <v>5422</v>
      </c>
      <c r="BL232" t="s" s="0">
        <v>82</v>
      </c>
      <c r="BM232" t="s" s="0">
        <v>1077</v>
      </c>
      <c r="BN232" t="s" s="0">
        <v>272</v>
      </c>
      <c r="BO232" t="s" s="0">
        <v>717</v>
      </c>
      <c r="BP232" t="s" s="0">
        <v>717</v>
      </c>
      <c r="BQ232" t="s" s="0">
        <v>5423</v>
      </c>
      <c r="BR232" t="s" s="0">
        <v>5424</v>
      </c>
      <c r="BS232" t="s" s="0">
        <v>5425</v>
      </c>
      <c r="BT232" t="s" s="462">
        <f>HYPERLINK("https://www.webofscience.com/wos/woscc/full-record/WOS:001476992800001","View Record in Web of Science")</f>
        <v>120</v>
      </c>
      <c r="BU232" t="s" s="0">
        <v>82</v>
      </c>
      <c r="BV232" t="s" s="0">
        <v>82</v>
      </c>
      <c r="BW232" t="s" s="0">
        <v>82</v>
      </c>
      <c r="BX232" t="s" s="0">
        <v>121</v>
      </c>
    </row>
    <row r="233">
      <c r="A233" t="s" s="0">
        <v>77</v>
      </c>
      <c r="B233" t="s" s="0">
        <v>77</v>
      </c>
      <c r="C233" t="s" s="0">
        <v>77</v>
      </c>
      <c r="D233" t="s" s="0">
        <v>77</v>
      </c>
      <c r="E233" t="s" s="0">
        <v>5426</v>
      </c>
      <c r="F233" t="s" s="0">
        <v>5427</v>
      </c>
      <c r="G233" t="s" s="0">
        <v>5428</v>
      </c>
      <c r="H233" t="s" s="0">
        <v>82</v>
      </c>
      <c r="I233" t="s" s="0">
        <v>1284</v>
      </c>
      <c r="J233" t="s" s="0">
        <v>5429</v>
      </c>
      <c r="K233" t="s" s="0">
        <v>5430</v>
      </c>
      <c r="L233" t="s" s="0">
        <v>5431</v>
      </c>
      <c r="M233" t="s" s="0">
        <v>5432</v>
      </c>
      <c r="N233" t="s" s="0">
        <v>5433</v>
      </c>
      <c r="O233" t="s" s="0">
        <v>5434</v>
      </c>
      <c r="P233" t="s" s="0">
        <v>5435</v>
      </c>
      <c r="Q233" t="s" s="0">
        <v>88</v>
      </c>
      <c r="R233" t="s" s="0">
        <v>82</v>
      </c>
      <c r="S233" t="s" s="0">
        <v>82</v>
      </c>
      <c r="T233" t="s" s="0">
        <v>82</v>
      </c>
      <c r="U233" t="s" s="0">
        <v>82</v>
      </c>
      <c r="V233" t="s" s="0">
        <v>5436</v>
      </c>
      <c r="W233" t="s" s="0">
        <v>5437</v>
      </c>
      <c r="X233" t="s" s="0">
        <v>82</v>
      </c>
      <c r="Y233" t="s" s="0">
        <v>82</v>
      </c>
      <c r="Z233" t="s" s="0">
        <v>91</v>
      </c>
      <c r="AA233" t="s" s="0">
        <v>92</v>
      </c>
      <c r="AB233" t="s" s="0">
        <v>82</v>
      </c>
      <c r="AC233" t="s" s="0">
        <v>82</v>
      </c>
      <c r="AD233" t="s" s="0">
        <v>82</v>
      </c>
      <c r="AE233" t="s" s="0">
        <v>82</v>
      </c>
      <c r="AF233" t="s" s="0">
        <v>82</v>
      </c>
      <c r="AG233" t="s" s="0">
        <v>5438</v>
      </c>
      <c r="AH233" t="s" s="0">
        <v>82</v>
      </c>
      <c r="AI233" t="s" s="0">
        <v>82</v>
      </c>
      <c r="AJ233" t="s" s="0">
        <v>82</v>
      </c>
      <c r="AK233" t="s" s="0">
        <v>82</v>
      </c>
      <c r="AL233" t="s" s="0">
        <v>1273</v>
      </c>
      <c r="AM233" t="s" s="0">
        <v>77</v>
      </c>
      <c r="AN233" t="s" s="0">
        <v>77</v>
      </c>
      <c r="AO233" t="s" s="0">
        <v>77</v>
      </c>
      <c r="AP233" t="s" s="0">
        <v>77</v>
      </c>
      <c r="AQ233" t="s" s="0">
        <v>383</v>
      </c>
      <c r="AR233" t="s" s="0">
        <v>384</v>
      </c>
      <c r="AS233" t="s" s="0">
        <v>385</v>
      </c>
      <c r="AT233" t="s" s="0">
        <v>5439</v>
      </c>
      <c r="AU233" t="s" s="0">
        <v>5440</v>
      </c>
      <c r="AV233" t="s" s="0">
        <v>82</v>
      </c>
      <c r="AW233" t="s" s="0">
        <v>5441</v>
      </c>
      <c r="AX233" t="s" s="0">
        <v>5442</v>
      </c>
      <c r="AY233" t="s" s="0">
        <v>270</v>
      </c>
      <c r="AZ233" t="s" s="0">
        <v>179</v>
      </c>
      <c r="BA233" t="s" s="0">
        <v>449</v>
      </c>
      <c r="BB233" t="s" s="0">
        <v>272</v>
      </c>
      <c r="BC233" t="s" s="0">
        <v>82</v>
      </c>
      <c r="BD233" t="s" s="0">
        <v>82</v>
      </c>
      <c r="BE233" t="s" s="0">
        <v>82</v>
      </c>
      <c r="BF233" t="s" s="0">
        <v>82</v>
      </c>
      <c r="BG233" t="s" s="0">
        <v>82</v>
      </c>
      <c r="BH233" t="s" s="0">
        <v>82</v>
      </c>
      <c r="BI233" t="s" s="0">
        <v>5443</v>
      </c>
      <c r="BJ233" t="s" s="0">
        <v>5444</v>
      </c>
      <c r="BK233" t="s" s="463">
        <f>HYPERLINK("http://dx.doi.org/10.1097/CIN.0000000000001485","http://dx.doi.org/10.1097/CIN.0000000000001485")</f>
        <v>5445</v>
      </c>
      <c r="BL233" t="s" s="0">
        <v>82</v>
      </c>
      <c r="BM233" t="s" s="0">
        <v>82</v>
      </c>
      <c r="BN233" t="s" s="0">
        <v>363</v>
      </c>
      <c r="BO233" t="s" s="0">
        <v>5446</v>
      </c>
      <c r="BP233" t="s" s="0">
        <v>5447</v>
      </c>
      <c r="BQ233" t="s" s="0">
        <v>5448</v>
      </c>
      <c r="BR233" t="s" s="0">
        <v>5449</v>
      </c>
      <c r="BS233" t="s" s="0">
        <v>5450</v>
      </c>
      <c r="BT233" t="s" s="464">
        <f>HYPERLINK("https://www.webofscience.com/wos/woscc/full-record/WOS:001844344900001","View Record in Web of Science")</f>
        <v>120</v>
      </c>
      <c r="BU233" t="s" s="0">
        <v>82</v>
      </c>
      <c r="BV233" t="s" s="0">
        <v>82</v>
      </c>
      <c r="BW233" t="s" s="0">
        <v>82</v>
      </c>
      <c r="BX233" t="s" s="0">
        <v>121</v>
      </c>
    </row>
    <row r="234">
      <c r="A234" t="s" s="0">
        <v>77</v>
      </c>
      <c r="B234" t="s" s="0">
        <v>77</v>
      </c>
      <c r="C234" t="s" s="0">
        <v>77</v>
      </c>
      <c r="D234" t="s" s="0">
        <v>77</v>
      </c>
      <c r="E234" t="s" s="0">
        <v>5451</v>
      </c>
      <c r="F234" t="s" s="0">
        <v>5452</v>
      </c>
      <c r="G234" t="s" s="0">
        <v>5453</v>
      </c>
      <c r="H234" t="s" s="0">
        <v>82</v>
      </c>
      <c r="I234" t="s" s="0">
        <v>83</v>
      </c>
      <c r="J234" t="s" s="0">
        <v>5454</v>
      </c>
      <c r="K234" t="s" s="0">
        <v>5455</v>
      </c>
      <c r="L234" t="s" s="0">
        <v>5456</v>
      </c>
      <c r="M234" t="s" s="0">
        <v>5457</v>
      </c>
      <c r="N234" t="s" s="0">
        <v>5458</v>
      </c>
      <c r="O234" t="s" s="0">
        <v>5459</v>
      </c>
      <c r="P234" t="s" s="0">
        <v>5460</v>
      </c>
      <c r="Q234" t="s" s="0">
        <v>88</v>
      </c>
      <c r="R234" t="s" s="0">
        <v>82</v>
      </c>
      <c r="S234" t="s" s="0">
        <v>82</v>
      </c>
      <c r="T234" t="s" s="0">
        <v>82</v>
      </c>
      <c r="U234" t="s" s="0">
        <v>82</v>
      </c>
      <c r="V234" t="s" s="0">
        <v>5461</v>
      </c>
      <c r="W234" t="s" s="0">
        <v>5462</v>
      </c>
      <c r="X234" t="s" s="0">
        <v>82</v>
      </c>
      <c r="Y234" t="s" s="0">
        <v>82</v>
      </c>
      <c r="Z234" t="s" s="0">
        <v>91</v>
      </c>
      <c r="AA234" t="s" s="0">
        <v>92</v>
      </c>
      <c r="AB234" t="s" s="0">
        <v>82</v>
      </c>
      <c r="AC234" t="s" s="0">
        <v>82</v>
      </c>
      <c r="AD234" t="s" s="0">
        <v>82</v>
      </c>
      <c r="AE234" t="s" s="0">
        <v>82</v>
      </c>
      <c r="AF234" t="s" s="0">
        <v>82</v>
      </c>
      <c r="AG234" t="s" s="0">
        <v>5463</v>
      </c>
      <c r="AH234" t="s" s="0">
        <v>82</v>
      </c>
      <c r="AI234" t="s" s="0">
        <v>5464</v>
      </c>
      <c r="AJ234" t="s" s="0">
        <v>5465</v>
      </c>
      <c r="AK234" t="s" s="0">
        <v>82</v>
      </c>
      <c r="AL234" t="s" s="0">
        <v>138</v>
      </c>
      <c r="AM234" t="s" s="0">
        <v>99</v>
      </c>
      <c r="AN234" t="s" s="0">
        <v>235</v>
      </c>
      <c r="AO234" t="s" s="0">
        <v>98</v>
      </c>
      <c r="AP234" t="s" s="0">
        <v>139</v>
      </c>
      <c r="AQ234" t="s" s="0">
        <v>5466</v>
      </c>
      <c r="AR234" t="s" s="0">
        <v>5467</v>
      </c>
      <c r="AS234" t="s" s="0">
        <v>5468</v>
      </c>
      <c r="AT234" t="s" s="0">
        <v>5469</v>
      </c>
      <c r="AU234" t="s" s="0">
        <v>5470</v>
      </c>
      <c r="AV234" t="s" s="0">
        <v>82</v>
      </c>
      <c r="AW234" t="s" s="0">
        <v>5471</v>
      </c>
      <c r="AX234" t="s" s="0">
        <v>5472</v>
      </c>
      <c r="AY234" t="s" s="0">
        <v>5473</v>
      </c>
      <c r="AZ234" t="s" s="0">
        <v>108</v>
      </c>
      <c r="BA234" t="s" s="0">
        <v>473</v>
      </c>
      <c r="BB234" t="s" s="0">
        <v>473</v>
      </c>
      <c r="BC234" t="s" s="0">
        <v>82</v>
      </c>
      <c r="BD234" t="s" s="0">
        <v>82</v>
      </c>
      <c r="BE234" t="s" s="0">
        <v>82</v>
      </c>
      <c r="BF234" t="s" s="0">
        <v>82</v>
      </c>
      <c r="BG234" t="s" s="0">
        <v>82</v>
      </c>
      <c r="BH234" t="s" s="0">
        <v>82</v>
      </c>
      <c r="BI234" t="s" s="0">
        <v>5474</v>
      </c>
      <c r="BJ234" t="s" s="0">
        <v>5475</v>
      </c>
      <c r="BK234" t="s" s="465">
        <f>HYPERLINK("http://dx.doi.org/10.3748/wjg.v31.i31.109948","http://dx.doi.org/10.3748/wjg.v31.i31.109948")</f>
        <v>5476</v>
      </c>
      <c r="BL234" t="s" s="0">
        <v>82</v>
      </c>
      <c r="BM234" t="s" s="0">
        <v>82</v>
      </c>
      <c r="BN234" t="s" s="0">
        <v>363</v>
      </c>
      <c r="BO234" t="s" s="0">
        <v>5477</v>
      </c>
      <c r="BP234" t="s" s="0">
        <v>5477</v>
      </c>
      <c r="BQ234" t="s" s="0">
        <v>5478</v>
      </c>
      <c r="BR234" t="s" s="0">
        <v>5479</v>
      </c>
      <c r="BS234" t="s" s="0">
        <v>5480</v>
      </c>
      <c r="BT234" t="s" s="466">
        <f>HYPERLINK("https://www.webofscience.com/wos/woscc/full-record/WOS:001558890600007","View Record in Web of Science")</f>
        <v>120</v>
      </c>
      <c r="BU234" t="s" s="0">
        <v>5481</v>
      </c>
      <c r="BV234" t="s" s="0">
        <v>82</v>
      </c>
      <c r="BW234" t="s" s="0">
        <v>82</v>
      </c>
      <c r="BX234" t="s" s="0">
        <v>121</v>
      </c>
    </row>
    <row r="235">
      <c r="A235" t="s" s="0">
        <v>77</v>
      </c>
      <c r="B235" t="s" s="0">
        <v>77</v>
      </c>
      <c r="C235" t="s" s="0">
        <v>78</v>
      </c>
      <c r="D235" t="s" s="0">
        <v>77</v>
      </c>
      <c r="E235" t="s" s="0">
        <v>5482</v>
      </c>
      <c r="F235" t="s" s="0">
        <v>5483</v>
      </c>
      <c r="G235" t="s" s="0">
        <v>5484</v>
      </c>
      <c r="H235" t="s" s="0">
        <v>82</v>
      </c>
      <c r="I235" t="s" s="0">
        <v>83</v>
      </c>
      <c r="J235" t="s" s="0">
        <v>5485</v>
      </c>
      <c r="K235" t="s" s="0">
        <v>5486</v>
      </c>
      <c r="L235" t="s" s="0">
        <v>5487</v>
      </c>
      <c r="M235" t="s" s="0">
        <v>5488</v>
      </c>
      <c r="N235" t="s" s="0">
        <v>5489</v>
      </c>
      <c r="O235" t="s" s="0">
        <v>5490</v>
      </c>
      <c r="P235" t="s" s="0">
        <v>5491</v>
      </c>
      <c r="Q235" t="s" s="0">
        <v>88</v>
      </c>
      <c r="R235" t="s" s="0">
        <v>82</v>
      </c>
      <c r="S235" t="s" s="0">
        <v>82</v>
      </c>
      <c r="T235" t="s" s="0">
        <v>82</v>
      </c>
      <c r="U235" t="s" s="0">
        <v>82</v>
      </c>
      <c r="V235" t="s" s="0">
        <v>5492</v>
      </c>
      <c r="W235" t="s" s="0">
        <v>936</v>
      </c>
      <c r="X235" t="s" s="0">
        <v>82</v>
      </c>
      <c r="Y235" t="s" s="0">
        <v>82</v>
      </c>
      <c r="Z235" t="s" s="0">
        <v>91</v>
      </c>
      <c r="AA235" t="s" s="0">
        <v>92</v>
      </c>
      <c r="AB235" t="s" s="0">
        <v>82</v>
      </c>
      <c r="AC235" t="s" s="0">
        <v>82</v>
      </c>
      <c r="AD235" t="s" s="0">
        <v>82</v>
      </c>
      <c r="AE235" t="s" s="0">
        <v>82</v>
      </c>
      <c r="AF235" t="s" s="0">
        <v>82</v>
      </c>
      <c r="AG235" t="s" s="0">
        <v>5493</v>
      </c>
      <c r="AH235" t="s" s="0">
        <v>82</v>
      </c>
      <c r="AI235" t="s" s="0">
        <v>5494</v>
      </c>
      <c r="AJ235" t="s" s="0">
        <v>5495</v>
      </c>
      <c r="AK235" t="s" s="0">
        <v>82</v>
      </c>
      <c r="AL235" t="s" s="0">
        <v>586</v>
      </c>
      <c r="AM235" t="s" s="0">
        <v>235</v>
      </c>
      <c r="AN235" t="s" s="0">
        <v>235</v>
      </c>
      <c r="AO235" t="s" s="0">
        <v>204</v>
      </c>
      <c r="AP235" t="s" s="0">
        <v>235</v>
      </c>
      <c r="AQ235" t="s" s="0">
        <v>795</v>
      </c>
      <c r="AR235" t="s" s="0">
        <v>796</v>
      </c>
      <c r="AS235" t="s" s="0">
        <v>797</v>
      </c>
      <c r="AT235" t="s" s="0">
        <v>940</v>
      </c>
      <c r="AU235" t="s" s="0">
        <v>941</v>
      </c>
      <c r="AV235" t="s" s="0">
        <v>82</v>
      </c>
      <c r="AW235" t="s" s="0">
        <v>942</v>
      </c>
      <c r="AX235" t="s" s="0">
        <v>943</v>
      </c>
      <c r="AY235" t="s" s="0">
        <v>240</v>
      </c>
      <c r="AZ235" t="s" s="0">
        <v>179</v>
      </c>
      <c r="BA235" t="s" s="0">
        <v>241</v>
      </c>
      <c r="BB235" t="s" s="0">
        <v>204</v>
      </c>
      <c r="BC235" t="s" s="0">
        <v>82</v>
      </c>
      <c r="BD235" t="s" s="0">
        <v>82</v>
      </c>
      <c r="BE235" t="s" s="0">
        <v>82</v>
      </c>
      <c r="BF235" t="s" s="0">
        <v>82</v>
      </c>
      <c r="BG235" t="s" s="0">
        <v>5496</v>
      </c>
      <c r="BH235" t="s" s="0">
        <v>5497</v>
      </c>
      <c r="BI235" t="s" s="0">
        <v>82</v>
      </c>
      <c r="BJ235" t="s" s="0">
        <v>5498</v>
      </c>
      <c r="BK235" t="s" s="467">
        <f>HYPERLINK("http://dx.doi.org/10.1007/s00330-025-11929-y","http://dx.doi.org/10.1007/s00330-025-11929-y")</f>
        <v>5499</v>
      </c>
      <c r="BL235" t="s" s="0">
        <v>82</v>
      </c>
      <c r="BM235" t="s" s="0">
        <v>5500</v>
      </c>
      <c r="BN235" t="s" s="0">
        <v>115</v>
      </c>
      <c r="BO235" t="s" s="0">
        <v>717</v>
      </c>
      <c r="BP235" t="s" s="0">
        <v>717</v>
      </c>
      <c r="BQ235" t="s" s="0">
        <v>5501</v>
      </c>
      <c r="BR235" t="s" s="0">
        <v>5502</v>
      </c>
      <c r="BS235" t="s" s="0">
        <v>5503</v>
      </c>
      <c r="BT235" t="s" s="468">
        <f>HYPERLINK("https://www.webofscience.com/wos/woscc/full-record/WOS:001551600800001","View Record in Web of Science")</f>
        <v>120</v>
      </c>
      <c r="BU235" t="s" s="0">
        <v>82</v>
      </c>
      <c r="BV235" t="s" s="0">
        <v>82</v>
      </c>
      <c r="BW235" t="s" s="0">
        <v>82</v>
      </c>
      <c r="BX235" t="s" s="0">
        <v>121</v>
      </c>
    </row>
    <row r="236">
      <c r="A236" t="s" s="0">
        <v>77</v>
      </c>
      <c r="B236" t="s" s="0">
        <v>77</v>
      </c>
      <c r="C236" t="s" s="0">
        <v>77</v>
      </c>
      <c r="D236" t="s" s="0">
        <v>77</v>
      </c>
      <c r="E236" t="s" s="0">
        <v>5504</v>
      </c>
      <c r="F236" t="s" s="0">
        <v>5505</v>
      </c>
      <c r="G236" t="s" s="0">
        <v>5506</v>
      </c>
      <c r="H236" t="s" s="0">
        <v>82</v>
      </c>
      <c r="I236" t="s" s="0">
        <v>460</v>
      </c>
      <c r="J236" t="s" s="0">
        <v>5507</v>
      </c>
      <c r="K236" t="s" s="0">
        <v>5508</v>
      </c>
      <c r="L236" t="s" s="0">
        <v>82</v>
      </c>
      <c r="M236" t="s" s="0">
        <v>82</v>
      </c>
      <c r="N236" t="s" s="0">
        <v>82</v>
      </c>
      <c r="O236" t="s" s="0">
        <v>5509</v>
      </c>
      <c r="P236" t="s" s="0">
        <v>5510</v>
      </c>
      <c r="Q236" t="s" s="0">
        <v>88</v>
      </c>
      <c r="R236" t="s" s="0">
        <v>82</v>
      </c>
      <c r="S236" t="s" s="0">
        <v>82</v>
      </c>
      <c r="T236" t="s" s="0">
        <v>82</v>
      </c>
      <c r="U236" t="s" s="0">
        <v>82</v>
      </c>
      <c r="V236" t="s" s="0">
        <v>5511</v>
      </c>
      <c r="W236" t="s" s="0">
        <v>992</v>
      </c>
      <c r="X236" t="s" s="0">
        <v>82</v>
      </c>
      <c r="Y236" t="s" s="0">
        <v>82</v>
      </c>
      <c r="Z236" t="s" s="0">
        <v>91</v>
      </c>
      <c r="AA236" t="s" s="0">
        <v>92</v>
      </c>
      <c r="AB236" t="s" s="0">
        <v>82</v>
      </c>
      <c r="AC236" t="s" s="0">
        <v>82</v>
      </c>
      <c r="AD236" t="s" s="0">
        <v>82</v>
      </c>
      <c r="AE236" t="s" s="0">
        <v>82</v>
      </c>
      <c r="AF236" t="s" s="0">
        <v>82</v>
      </c>
      <c r="AG236" t="s" s="0">
        <v>82</v>
      </c>
      <c r="AH236" t="s" s="0">
        <v>5512</v>
      </c>
      <c r="AI236" t="s" s="0">
        <v>5513</v>
      </c>
      <c r="AJ236" t="s" s="0">
        <v>5514</v>
      </c>
      <c r="AK236" t="s" s="0">
        <v>82</v>
      </c>
      <c r="AL236" t="s" s="0">
        <v>3185</v>
      </c>
      <c r="AM236" t="s" s="0">
        <v>78</v>
      </c>
      <c r="AN236" t="s" s="0">
        <v>78</v>
      </c>
      <c r="AO236" t="s" s="0">
        <v>99</v>
      </c>
      <c r="AP236" t="s" s="0">
        <v>99</v>
      </c>
      <c r="AQ236" t="s" s="0">
        <v>995</v>
      </c>
      <c r="AR236" t="s" s="0">
        <v>996</v>
      </c>
      <c r="AS236" t="s" s="0">
        <v>997</v>
      </c>
      <c r="AT236" t="s" s="0">
        <v>82</v>
      </c>
      <c r="AU236" t="s" s="0">
        <v>998</v>
      </c>
      <c r="AV236" t="s" s="0">
        <v>82</v>
      </c>
      <c r="AW236" t="s" s="0">
        <v>999</v>
      </c>
      <c r="AX236" t="s" s="0">
        <v>1000</v>
      </c>
      <c r="AY236" t="s" s="0">
        <v>5515</v>
      </c>
      <c r="AZ236" t="s" s="0">
        <v>179</v>
      </c>
      <c r="BA236" t="s" s="0">
        <v>110</v>
      </c>
      <c r="BB236" t="s" s="0">
        <v>78</v>
      </c>
      <c r="BC236" t="s" s="0">
        <v>82</v>
      </c>
      <c r="BD236" t="s" s="0">
        <v>82</v>
      </c>
      <c r="BE236" t="s" s="0">
        <v>82</v>
      </c>
      <c r="BF236" t="s" s="0">
        <v>82</v>
      </c>
      <c r="BG236" t="s" s="0">
        <v>82</v>
      </c>
      <c r="BH236" t="s" s="0">
        <v>82</v>
      </c>
      <c r="BI236" t="s" s="0">
        <v>5516</v>
      </c>
      <c r="BJ236" t="s" s="0">
        <v>5517</v>
      </c>
      <c r="BK236" t="s" s="469">
        <f>HYPERLINK("http://dx.doi.org/10.1371/journal.pdig.0001179","http://dx.doi.org/10.1371/journal.pdig.0001179")</f>
        <v>5518</v>
      </c>
      <c r="BL236" t="s" s="0">
        <v>82</v>
      </c>
      <c r="BM236" t="s" s="0">
        <v>82</v>
      </c>
      <c r="BN236" t="s" s="0">
        <v>184</v>
      </c>
      <c r="BO236" t="s" s="0">
        <v>185</v>
      </c>
      <c r="BP236" t="s" s="0">
        <v>185</v>
      </c>
      <c r="BQ236" t="s" s="0">
        <v>5519</v>
      </c>
      <c r="BR236" t="s" s="0">
        <v>5520</v>
      </c>
      <c r="BS236" t="s" s="0">
        <v>5521</v>
      </c>
      <c r="BT236" t="s" s="470">
        <f>HYPERLINK("https://www.webofscience.com/wos/woscc/full-record/WOS:001660541100004","View Record in Web of Science")</f>
        <v>120</v>
      </c>
      <c r="BU236" t="s" s="0">
        <v>189</v>
      </c>
      <c r="BV236" t="s" s="0">
        <v>82</v>
      </c>
      <c r="BW236" t="s" s="0">
        <v>82</v>
      </c>
      <c r="BX236" t="s" s="0">
        <v>121</v>
      </c>
    </row>
    <row r="237">
      <c r="A237" t="s" s="0">
        <v>77</v>
      </c>
      <c r="B237" t="s" s="0">
        <v>77</v>
      </c>
      <c r="C237" t="s" s="0">
        <v>77</v>
      </c>
      <c r="D237" t="s" s="0">
        <v>77</v>
      </c>
      <c r="E237" t="s" s="0">
        <v>5522</v>
      </c>
      <c r="F237" t="s" s="0">
        <v>5523</v>
      </c>
      <c r="G237" t="s" s="0">
        <v>5524</v>
      </c>
      <c r="H237" t="s" s="0">
        <v>82</v>
      </c>
      <c r="I237" t="s" s="0">
        <v>83</v>
      </c>
      <c r="J237" t="s" s="0">
        <v>5525</v>
      </c>
      <c r="K237" t="s" s="0">
        <v>5526</v>
      </c>
      <c r="L237" t="s" s="0">
        <v>5527</v>
      </c>
      <c r="M237" t="s" s="0">
        <v>5528</v>
      </c>
      <c r="N237" t="s" s="0">
        <v>5529</v>
      </c>
      <c r="O237" t="s" s="0">
        <v>5530</v>
      </c>
      <c r="P237" t="s" s="0">
        <v>5531</v>
      </c>
      <c r="Q237" t="s" s="0">
        <v>88</v>
      </c>
      <c r="R237" t="s" s="0">
        <v>82</v>
      </c>
      <c r="S237" t="s" s="0">
        <v>82</v>
      </c>
      <c r="T237" t="s" s="0">
        <v>82</v>
      </c>
      <c r="U237" t="s" s="0">
        <v>82</v>
      </c>
      <c r="V237" t="s" s="0">
        <v>5532</v>
      </c>
      <c r="W237" t="s" s="0">
        <v>1704</v>
      </c>
      <c r="X237" t="s" s="0">
        <v>82</v>
      </c>
      <c r="Y237" t="s" s="0">
        <v>82</v>
      </c>
      <c r="Z237" t="s" s="0">
        <v>91</v>
      </c>
      <c r="AA237" t="s" s="0">
        <v>92</v>
      </c>
      <c r="AB237" t="s" s="0">
        <v>82</v>
      </c>
      <c r="AC237" t="s" s="0">
        <v>82</v>
      </c>
      <c r="AD237" t="s" s="0">
        <v>82</v>
      </c>
      <c r="AE237" t="s" s="0">
        <v>82</v>
      </c>
      <c r="AF237" t="s" s="0">
        <v>82</v>
      </c>
      <c r="AG237" t="s" s="0">
        <v>5533</v>
      </c>
      <c r="AH237" t="s" s="0">
        <v>82</v>
      </c>
      <c r="AI237" t="s" s="0">
        <v>82</v>
      </c>
      <c r="AJ237" t="s" s="0">
        <v>82</v>
      </c>
      <c r="AK237" t="s" s="0">
        <v>82</v>
      </c>
      <c r="AL237" t="s" s="0">
        <v>447</v>
      </c>
      <c r="AM237" t="s" s="0">
        <v>99</v>
      </c>
      <c r="AN237" t="s" s="0">
        <v>99</v>
      </c>
      <c r="AO237" t="s" s="0">
        <v>204</v>
      </c>
      <c r="AP237" t="s" s="0">
        <v>204</v>
      </c>
      <c r="AQ237" t="s" s="0">
        <v>1708</v>
      </c>
      <c r="AR237" t="s" s="0">
        <v>796</v>
      </c>
      <c r="AS237" t="s" s="0">
        <v>1709</v>
      </c>
      <c r="AT237" t="s" s="0">
        <v>1710</v>
      </c>
      <c r="AU237" t="s" s="0">
        <v>1711</v>
      </c>
      <c r="AV237" t="s" s="0">
        <v>82</v>
      </c>
      <c r="AW237" t="s" s="0">
        <v>1712</v>
      </c>
      <c r="AX237" t="s" s="0">
        <v>1713</v>
      </c>
      <c r="AY237" t="s" s="0">
        <v>183</v>
      </c>
      <c r="AZ237" t="s" s="0">
        <v>179</v>
      </c>
      <c r="BA237" t="s" s="0">
        <v>892</v>
      </c>
      <c r="BB237" t="s" s="0">
        <v>235</v>
      </c>
      <c r="BC237" t="s" s="0">
        <v>82</v>
      </c>
      <c r="BD237" t="s" s="0">
        <v>82</v>
      </c>
      <c r="BE237" t="s" s="0">
        <v>82</v>
      </c>
      <c r="BF237" t="s" s="0">
        <v>82</v>
      </c>
      <c r="BG237" t="s" s="0">
        <v>82</v>
      </c>
      <c r="BH237" t="s" s="0">
        <v>82</v>
      </c>
      <c r="BI237" t="s" s="0">
        <v>3186</v>
      </c>
      <c r="BJ237" t="s" s="0">
        <v>5534</v>
      </c>
      <c r="BK237" t="s" s="471">
        <f>HYPERLINK("http://dx.doi.org/10.1145/3796722","http://dx.doi.org/10.1145/3796722")</f>
        <v>5535</v>
      </c>
      <c r="BL237" t="s" s="0">
        <v>82</v>
      </c>
      <c r="BM237" t="s" s="0">
        <v>82</v>
      </c>
      <c r="BN237" t="s" s="0">
        <v>139</v>
      </c>
      <c r="BO237" t="s" s="0">
        <v>1717</v>
      </c>
      <c r="BP237" t="s" s="0">
        <v>309</v>
      </c>
      <c r="BQ237" t="s" s="0">
        <v>5536</v>
      </c>
      <c r="BR237" t="s" s="0">
        <v>82</v>
      </c>
      <c r="BS237" t="s" s="0">
        <v>5537</v>
      </c>
      <c r="BT237" t="s" s="472">
        <f>HYPERLINK("https://www.webofscience.com/wos/woscc/full-record/WOS:001772908000001","View Record in Web of Science")</f>
        <v>120</v>
      </c>
      <c r="BU237" t="s" s="0">
        <v>519</v>
      </c>
      <c r="BV237" t="s" s="0">
        <v>82</v>
      </c>
      <c r="BW237" t="s" s="0">
        <v>82</v>
      </c>
      <c r="BX237" t="s" s="0">
        <v>121</v>
      </c>
    </row>
    <row r="238">
      <c r="A238" t="s" s="0">
        <v>77</v>
      </c>
      <c r="B238" t="s" s="0">
        <v>77</v>
      </c>
      <c r="C238" t="s" s="0">
        <v>77</v>
      </c>
      <c r="D238" t="s" s="0">
        <v>77</v>
      </c>
      <c r="E238" t="s" s="0">
        <v>5538</v>
      </c>
      <c r="F238" t="s" s="0">
        <v>5539</v>
      </c>
      <c r="G238" t="s" s="0">
        <v>5540</v>
      </c>
      <c r="H238" t="s" s="0">
        <v>82</v>
      </c>
      <c r="I238" t="s" s="0">
        <v>83</v>
      </c>
      <c r="J238" t="s" s="0">
        <v>5541</v>
      </c>
      <c r="K238" t="s" s="0">
        <v>5542</v>
      </c>
      <c r="L238" t="s" s="0">
        <v>5543</v>
      </c>
      <c r="M238" t="s" s="0">
        <v>5544</v>
      </c>
      <c r="N238" t="s" s="0">
        <v>5545</v>
      </c>
      <c r="O238" t="s" s="0">
        <v>5546</v>
      </c>
      <c r="P238" t="s" s="0">
        <v>5547</v>
      </c>
      <c r="Q238" t="s" s="0">
        <v>88</v>
      </c>
      <c r="R238" t="s" s="0">
        <v>82</v>
      </c>
      <c r="S238" t="s" s="0">
        <v>82</v>
      </c>
      <c r="T238" t="s" s="0">
        <v>82</v>
      </c>
      <c r="U238" t="s" s="0">
        <v>82</v>
      </c>
      <c r="V238" t="s" s="0">
        <v>5548</v>
      </c>
      <c r="W238" t="s" s="0">
        <v>3876</v>
      </c>
      <c r="X238" t="s" s="0">
        <v>82</v>
      </c>
      <c r="Y238" t="s" s="0">
        <v>82</v>
      </c>
      <c r="Z238" t="s" s="0">
        <v>91</v>
      </c>
      <c r="AA238" t="s" s="0">
        <v>92</v>
      </c>
      <c r="AB238" t="s" s="0">
        <v>82</v>
      </c>
      <c r="AC238" t="s" s="0">
        <v>82</v>
      </c>
      <c r="AD238" t="s" s="0">
        <v>82</v>
      </c>
      <c r="AE238" t="s" s="0">
        <v>82</v>
      </c>
      <c r="AF238" t="s" s="0">
        <v>82</v>
      </c>
      <c r="AG238" t="s" s="0">
        <v>5549</v>
      </c>
      <c r="AH238" t="s" s="0">
        <v>5550</v>
      </c>
      <c r="AI238" t="s" s="0">
        <v>82</v>
      </c>
      <c r="AJ238" t="s" s="0">
        <v>82</v>
      </c>
      <c r="AK238" t="s" s="0">
        <v>82</v>
      </c>
      <c r="AL238" t="s" s="0">
        <v>1532</v>
      </c>
      <c r="AM238" t="s" s="0">
        <v>77</v>
      </c>
      <c r="AN238" t="s" s="0">
        <v>77</v>
      </c>
      <c r="AO238" t="s" s="0">
        <v>77</v>
      </c>
      <c r="AP238" t="s" s="0">
        <v>77</v>
      </c>
      <c r="AQ238" t="s" s="0">
        <v>2973</v>
      </c>
      <c r="AR238" t="s" s="0">
        <v>796</v>
      </c>
      <c r="AS238" t="s" s="0">
        <v>2974</v>
      </c>
      <c r="AT238" t="s" s="0">
        <v>82</v>
      </c>
      <c r="AU238" t="s" s="0">
        <v>3879</v>
      </c>
      <c r="AV238" t="s" s="0">
        <v>82</v>
      </c>
      <c r="AW238" t="s" s="0">
        <v>3880</v>
      </c>
      <c r="AX238" t="s" s="0">
        <v>3881</v>
      </c>
      <c r="AY238" t="s" s="0">
        <v>3882</v>
      </c>
      <c r="AZ238" t="s" s="0">
        <v>179</v>
      </c>
      <c r="BA238" t="s" s="0">
        <v>277</v>
      </c>
      <c r="BB238" t="s" s="0">
        <v>235</v>
      </c>
      <c r="BC238" t="s" s="0">
        <v>82</v>
      </c>
      <c r="BD238" t="s" s="0">
        <v>82</v>
      </c>
      <c r="BE238" t="s" s="0">
        <v>82</v>
      </c>
      <c r="BF238" t="s" s="0">
        <v>82</v>
      </c>
      <c r="BG238" t="s" s="0">
        <v>82</v>
      </c>
      <c r="BH238" t="s" s="0">
        <v>82</v>
      </c>
      <c r="BI238" t="s" s="0">
        <v>5551</v>
      </c>
      <c r="BJ238" t="s" s="0">
        <v>5552</v>
      </c>
      <c r="BK238" t="s" s="473">
        <f>HYPERLINK("http://dx.doi.org/10.1016/j.apjo.2026.100352","http://dx.doi.org/10.1016/j.apjo.2026.100352")</f>
        <v>5553</v>
      </c>
      <c r="BL238" t="s" s="0">
        <v>82</v>
      </c>
      <c r="BM238" t="s" s="0">
        <v>82</v>
      </c>
      <c r="BN238" t="s" s="0">
        <v>272</v>
      </c>
      <c r="BO238" t="s" s="0">
        <v>396</v>
      </c>
      <c r="BP238" t="s" s="0">
        <v>396</v>
      </c>
      <c r="BQ238" t="s" s="0">
        <v>5554</v>
      </c>
      <c r="BR238" t="s" s="0">
        <v>5555</v>
      </c>
      <c r="BS238" t="s" s="0">
        <v>5556</v>
      </c>
      <c r="BT238" t="s" s="474">
        <f>HYPERLINK("https://www.webofscience.com/wos/woscc/full-record/WOS:001848318500001","View Record in Web of Science")</f>
        <v>120</v>
      </c>
      <c r="BU238" t="s" s="0">
        <v>335</v>
      </c>
      <c r="BV238" t="s" s="0">
        <v>82</v>
      </c>
      <c r="BW238" t="s" s="0">
        <v>82</v>
      </c>
      <c r="BX238" t="s" s="0">
        <v>121</v>
      </c>
    </row>
    <row r="239">
      <c r="A239" t="s" s="0">
        <v>77</v>
      </c>
      <c r="B239" t="s" s="0">
        <v>77</v>
      </c>
      <c r="C239" t="s" s="0">
        <v>78</v>
      </c>
      <c r="D239" t="s" s="0">
        <v>77</v>
      </c>
      <c r="E239" t="s" s="0">
        <v>5557</v>
      </c>
      <c r="F239" t="s" s="0">
        <v>5558</v>
      </c>
      <c r="G239" t="s" s="0">
        <v>5559</v>
      </c>
      <c r="H239" t="s" s="0">
        <v>82</v>
      </c>
      <c r="I239" t="s" s="0">
        <v>460</v>
      </c>
      <c r="J239" t="s" s="0">
        <v>5560</v>
      </c>
      <c r="K239" t="s" s="0">
        <v>4659</v>
      </c>
      <c r="L239" t="s" s="0">
        <v>82</v>
      </c>
      <c r="M239" t="s" s="0">
        <v>82</v>
      </c>
      <c r="N239" t="s" s="0">
        <v>82</v>
      </c>
      <c r="O239" t="s" s="0">
        <v>5561</v>
      </c>
      <c r="P239" t="s" s="0">
        <v>5562</v>
      </c>
      <c r="Q239" t="s" s="0">
        <v>88</v>
      </c>
      <c r="R239" t="s" s="0">
        <v>82</v>
      </c>
      <c r="S239" t="s" s="0">
        <v>82</v>
      </c>
      <c r="T239" t="s" s="0">
        <v>82</v>
      </c>
      <c r="U239" t="s" s="0">
        <v>82</v>
      </c>
      <c r="V239" t="s" s="0">
        <v>5563</v>
      </c>
      <c r="W239" t="s" s="0">
        <v>5094</v>
      </c>
      <c r="X239" t="s" s="0">
        <v>82</v>
      </c>
      <c r="Y239" t="s" s="0">
        <v>82</v>
      </c>
      <c r="Z239" t="s" s="0">
        <v>91</v>
      </c>
      <c r="AA239" t="s" s="0">
        <v>92</v>
      </c>
      <c r="AB239" t="s" s="0">
        <v>82</v>
      </c>
      <c r="AC239" t="s" s="0">
        <v>82</v>
      </c>
      <c r="AD239" t="s" s="0">
        <v>82</v>
      </c>
      <c r="AE239" t="s" s="0">
        <v>82</v>
      </c>
      <c r="AF239" t="s" s="0">
        <v>82</v>
      </c>
      <c r="AG239" t="s" s="0">
        <v>5564</v>
      </c>
      <c r="AH239" t="s" s="0">
        <v>4837</v>
      </c>
      <c r="AI239" t="s" s="0">
        <v>4668</v>
      </c>
      <c r="AJ239" t="s" s="0">
        <v>5565</v>
      </c>
      <c r="AK239" t="s" s="0">
        <v>82</v>
      </c>
      <c r="AL239" t="s" s="0">
        <v>147</v>
      </c>
      <c r="AM239" t="s" s="0">
        <v>97</v>
      </c>
      <c r="AN239" t="s" s="0">
        <v>97</v>
      </c>
      <c r="AO239" t="s" s="0">
        <v>77</v>
      </c>
      <c r="AP239" t="s" s="0">
        <v>204</v>
      </c>
      <c r="AQ239" t="s" s="0">
        <v>296</v>
      </c>
      <c r="AR239" t="s" s="0">
        <v>297</v>
      </c>
      <c r="AS239" t="s" s="0">
        <v>298</v>
      </c>
      <c r="AT239" t="s" s="0">
        <v>5099</v>
      </c>
      <c r="AU239" t="s" s="0">
        <v>82</v>
      </c>
      <c r="AV239" t="s" s="0">
        <v>82</v>
      </c>
      <c r="AW239" t="s" s="0">
        <v>5100</v>
      </c>
      <c r="AX239" t="s" s="0">
        <v>5101</v>
      </c>
      <c r="AY239" t="s" s="0">
        <v>5566</v>
      </c>
      <c r="AZ239" t="s" s="0">
        <v>179</v>
      </c>
      <c r="BA239" t="s" s="0">
        <v>97</v>
      </c>
      <c r="BB239" t="s" s="0">
        <v>78</v>
      </c>
      <c r="BC239" t="s" s="0">
        <v>82</v>
      </c>
      <c r="BD239" t="s" s="0">
        <v>82</v>
      </c>
      <c r="BE239" t="s" s="0">
        <v>82</v>
      </c>
      <c r="BF239" t="s" s="0">
        <v>82</v>
      </c>
      <c r="BG239" t="s" s="0">
        <v>82</v>
      </c>
      <c r="BH239" t="s" s="0">
        <v>82</v>
      </c>
      <c r="BI239" t="s" s="0">
        <v>5567</v>
      </c>
      <c r="BJ239" t="s" s="0">
        <v>5568</v>
      </c>
      <c r="BK239" t="s" s="475">
        <f>HYPERLINK("http://dx.doi.org/10.1016/j.xops.2025.100911","http://dx.doi.org/10.1016/j.xops.2025.100911")</f>
        <v>5569</v>
      </c>
      <c r="BL239" t="s" s="0">
        <v>82</v>
      </c>
      <c r="BM239" t="s" s="0">
        <v>107</v>
      </c>
      <c r="BN239" t="s" s="0">
        <v>363</v>
      </c>
      <c r="BO239" t="s" s="0">
        <v>396</v>
      </c>
      <c r="BP239" t="s" s="0">
        <v>396</v>
      </c>
      <c r="BQ239" t="s" s="0">
        <v>5570</v>
      </c>
      <c r="BR239" t="s" s="0">
        <v>5571</v>
      </c>
      <c r="BS239" t="s" s="0">
        <v>5572</v>
      </c>
      <c r="BT239" t="s" s="476">
        <f>HYPERLINK("https://www.webofscience.com/wos/woscc/full-record/WOS:001576792300002","View Record in Web of Science")</f>
        <v>120</v>
      </c>
      <c r="BU239" t="s" s="0">
        <v>189</v>
      </c>
      <c r="BV239" t="s" s="0">
        <v>82</v>
      </c>
      <c r="BW239" t="s" s="0">
        <v>82</v>
      </c>
      <c r="BX239" t="s" s="0">
        <v>121</v>
      </c>
    </row>
    <row r="240">
      <c r="A240" t="s" s="0">
        <v>77</v>
      </c>
      <c r="B240" t="s" s="0">
        <v>77</v>
      </c>
      <c r="C240" t="s" s="0">
        <v>77</v>
      </c>
      <c r="D240" t="s" s="0">
        <v>77</v>
      </c>
      <c r="E240" t="s" s="0">
        <v>5573</v>
      </c>
      <c r="F240" t="s" s="0">
        <v>5574</v>
      </c>
      <c r="G240" t="s" s="0">
        <v>5575</v>
      </c>
      <c r="H240" t="s" s="0">
        <v>82</v>
      </c>
      <c r="I240" t="s" s="0">
        <v>83</v>
      </c>
      <c r="J240" t="s" s="0">
        <v>5576</v>
      </c>
      <c r="K240" t="s" s="0">
        <v>5577</v>
      </c>
      <c r="L240" t="s" s="0">
        <v>82</v>
      </c>
      <c r="M240" t="s" s="0">
        <v>82</v>
      </c>
      <c r="N240" t="s" s="0">
        <v>82</v>
      </c>
      <c r="O240" t="s" s="0">
        <v>5578</v>
      </c>
      <c r="P240" t="s" s="0">
        <v>5579</v>
      </c>
      <c r="Q240" t="s" s="0">
        <v>88</v>
      </c>
      <c r="R240" t="s" s="0">
        <v>82</v>
      </c>
      <c r="S240" t="s" s="0">
        <v>82</v>
      </c>
      <c r="T240" t="s" s="0">
        <v>82</v>
      </c>
      <c r="U240" t="s" s="0">
        <v>82</v>
      </c>
      <c r="V240" t="s" s="0">
        <v>5580</v>
      </c>
      <c r="W240" t="s" s="0">
        <v>3322</v>
      </c>
      <c r="X240" t="s" s="0">
        <v>82</v>
      </c>
      <c r="Y240" t="s" s="0">
        <v>82</v>
      </c>
      <c r="Z240" t="s" s="0">
        <v>91</v>
      </c>
      <c r="AA240" t="s" s="0">
        <v>92</v>
      </c>
      <c r="AB240" t="s" s="0">
        <v>82</v>
      </c>
      <c r="AC240" t="s" s="0">
        <v>82</v>
      </c>
      <c r="AD240" t="s" s="0">
        <v>82</v>
      </c>
      <c r="AE240" t="s" s="0">
        <v>82</v>
      </c>
      <c r="AF240" t="s" s="0">
        <v>82</v>
      </c>
      <c r="AG240" t="s" s="0">
        <v>5581</v>
      </c>
      <c r="AH240" t="s" s="0">
        <v>5582</v>
      </c>
      <c r="AI240" t="s" s="0">
        <v>82</v>
      </c>
      <c r="AJ240" t="s" s="0">
        <v>5583</v>
      </c>
      <c r="AK240" t="s" s="0">
        <v>82</v>
      </c>
      <c r="AL240" t="s" s="0">
        <v>556</v>
      </c>
      <c r="AM240" t="s" s="0">
        <v>235</v>
      </c>
      <c r="AN240" t="s" s="0">
        <v>235</v>
      </c>
      <c r="AO240" t="s" s="0">
        <v>235</v>
      </c>
      <c r="AP240" t="s" s="0">
        <v>235</v>
      </c>
      <c r="AQ240" t="s" s="0">
        <v>2460</v>
      </c>
      <c r="AR240" t="s" s="0">
        <v>2461</v>
      </c>
      <c r="AS240" t="s" s="0">
        <v>2462</v>
      </c>
      <c r="AT240" t="s" s="0">
        <v>3324</v>
      </c>
      <c r="AU240" t="s" s="0">
        <v>3325</v>
      </c>
      <c r="AV240" t="s" s="0">
        <v>82</v>
      </c>
      <c r="AW240" t="s" s="0">
        <v>3326</v>
      </c>
      <c r="AX240" t="s" s="0">
        <v>3327</v>
      </c>
      <c r="AY240" t="s" s="0">
        <v>5584</v>
      </c>
      <c r="AZ240" t="s" s="0">
        <v>179</v>
      </c>
      <c r="BA240" t="s" s="0">
        <v>556</v>
      </c>
      <c r="BB240" t="s" s="0">
        <v>82</v>
      </c>
      <c r="BC240" t="s" s="0">
        <v>82</v>
      </c>
      <c r="BD240" t="s" s="0">
        <v>82</v>
      </c>
      <c r="BE240" t="s" s="0">
        <v>82</v>
      </c>
      <c r="BF240" t="s" s="0">
        <v>82</v>
      </c>
      <c r="BG240" t="s" s="0">
        <v>82</v>
      </c>
      <c r="BH240" t="s" s="0">
        <v>82</v>
      </c>
      <c r="BI240" t="s" s="0">
        <v>5585</v>
      </c>
      <c r="BJ240" t="s" s="0">
        <v>5586</v>
      </c>
      <c r="BK240" t="s" s="477">
        <f>HYPERLINK("http://dx.doi.org/10.2196/87193","http://dx.doi.org/10.2196/87193")</f>
        <v>5587</v>
      </c>
      <c r="BL240" t="s" s="0">
        <v>82</v>
      </c>
      <c r="BM240" t="s" s="0">
        <v>82</v>
      </c>
      <c r="BN240" t="s" s="0">
        <v>138</v>
      </c>
      <c r="BO240" t="s" s="0">
        <v>185</v>
      </c>
      <c r="BP240" t="s" s="0">
        <v>185</v>
      </c>
      <c r="BQ240" t="s" s="0">
        <v>5588</v>
      </c>
      <c r="BR240" t="s" s="0">
        <v>5589</v>
      </c>
      <c r="BS240" t="s" s="0">
        <v>5590</v>
      </c>
      <c r="BT240" t="s" s="478">
        <f>HYPERLINK("https://www.webofscience.com/wos/woscc/full-record/WOS:001682179600006","View Record in Web of Science")</f>
        <v>120</v>
      </c>
      <c r="BU240" t="s" s="0">
        <v>189</v>
      </c>
      <c r="BV240" t="s" s="0">
        <v>82</v>
      </c>
      <c r="BW240" t="s" s="0">
        <v>82</v>
      </c>
      <c r="BX240" t="s" s="0">
        <v>121</v>
      </c>
    </row>
    <row r="241">
      <c r="A241" t="s" s="0">
        <v>77</v>
      </c>
      <c r="B241" t="s" s="0">
        <v>77</v>
      </c>
      <c r="C241" t="s" s="0">
        <v>78</v>
      </c>
      <c r="D241" t="s" s="0">
        <v>77</v>
      </c>
      <c r="E241" t="s" s="0">
        <v>5591</v>
      </c>
      <c r="F241" t="s" s="0">
        <v>5592</v>
      </c>
      <c r="G241" t="s" s="0">
        <v>5593</v>
      </c>
      <c r="H241" t="s" s="0">
        <v>82</v>
      </c>
      <c r="I241" t="s" s="0">
        <v>460</v>
      </c>
      <c r="J241" t="s" s="0">
        <v>5594</v>
      </c>
      <c r="K241" t="s" s="0">
        <v>5595</v>
      </c>
      <c r="L241" t="s" s="0">
        <v>5596</v>
      </c>
      <c r="M241" t="s" s="0">
        <v>5596</v>
      </c>
      <c r="N241" t="s" s="0">
        <v>5597</v>
      </c>
      <c r="O241" t="s" s="0">
        <v>5598</v>
      </c>
      <c r="P241" t="s" s="0">
        <v>5599</v>
      </c>
      <c r="Q241" t="s" s="0">
        <v>88</v>
      </c>
      <c r="R241" t="s" s="0">
        <v>82</v>
      </c>
      <c r="S241" t="s" s="0">
        <v>82</v>
      </c>
      <c r="T241" t="s" s="0">
        <v>82</v>
      </c>
      <c r="U241" t="s" s="0">
        <v>82</v>
      </c>
      <c r="V241" t="s" s="0">
        <v>5600</v>
      </c>
      <c r="W241" t="s" s="0">
        <v>3134</v>
      </c>
      <c r="X241" t="s" s="0">
        <v>82</v>
      </c>
      <c r="Y241" t="s" s="0">
        <v>82</v>
      </c>
      <c r="Z241" t="s" s="0">
        <v>91</v>
      </c>
      <c r="AA241" t="s" s="0">
        <v>92</v>
      </c>
      <c r="AB241" t="s" s="0">
        <v>82</v>
      </c>
      <c r="AC241" t="s" s="0">
        <v>82</v>
      </c>
      <c r="AD241" t="s" s="0">
        <v>82</v>
      </c>
      <c r="AE241" t="s" s="0">
        <v>82</v>
      </c>
      <c r="AF241" t="s" s="0">
        <v>82</v>
      </c>
      <c r="AG241" t="s" s="0">
        <v>82</v>
      </c>
      <c r="AH241" t="s" s="0">
        <v>4837</v>
      </c>
      <c r="AI241" t="s" s="0">
        <v>5601</v>
      </c>
      <c r="AJ241" t="s" s="0">
        <v>5602</v>
      </c>
      <c r="AK241" t="s" s="0">
        <v>82</v>
      </c>
      <c r="AL241" t="s" s="0">
        <v>271</v>
      </c>
      <c r="AM241" t="s" s="0">
        <v>99</v>
      </c>
      <c r="AN241" t="s" s="0">
        <v>99</v>
      </c>
      <c r="AO241" t="s" s="0">
        <v>78</v>
      </c>
      <c r="AP241" t="s" s="0">
        <v>78</v>
      </c>
      <c r="AQ241" t="s" s="0">
        <v>474</v>
      </c>
      <c r="AR241" t="s" s="0">
        <v>475</v>
      </c>
      <c r="AS241" t="s" s="0">
        <v>2059</v>
      </c>
      <c r="AT241" t="s" s="0">
        <v>3136</v>
      </c>
      <c r="AU241" t="s" s="0">
        <v>82</v>
      </c>
      <c r="AV241" t="s" s="0">
        <v>82</v>
      </c>
      <c r="AW241" t="s" s="0">
        <v>3137</v>
      </c>
      <c r="AX241" t="s" s="0">
        <v>3138</v>
      </c>
      <c r="AY241" t="s" s="0">
        <v>5603</v>
      </c>
      <c r="AZ241" t="s" s="0">
        <v>179</v>
      </c>
      <c r="BA241" t="s" s="0">
        <v>97</v>
      </c>
      <c r="BB241" t="s" s="0">
        <v>78</v>
      </c>
      <c r="BC241" t="s" s="0">
        <v>82</v>
      </c>
      <c r="BD241" t="s" s="0">
        <v>82</v>
      </c>
      <c r="BE241" t="s" s="0">
        <v>82</v>
      </c>
      <c r="BF241" t="s" s="0">
        <v>82</v>
      </c>
      <c r="BG241" t="s" s="0">
        <v>82</v>
      </c>
      <c r="BH241" t="s" s="0">
        <v>82</v>
      </c>
      <c r="BI241" t="s" s="0">
        <v>4574</v>
      </c>
      <c r="BJ241" t="s" s="0">
        <v>5604</v>
      </c>
      <c r="BK241" t="s" s="479">
        <f>HYPERLINK("http://dx.doi.org/10.1038/s43856-026-01447-3","http://dx.doi.org/10.1038/s43856-026-01447-3")</f>
        <v>5605</v>
      </c>
      <c r="BL241" t="s" s="0">
        <v>82</v>
      </c>
      <c r="BM241" t="s" s="0">
        <v>82</v>
      </c>
      <c r="BN241" t="s" s="0">
        <v>148</v>
      </c>
      <c r="BO241" t="s" s="0">
        <v>3142</v>
      </c>
      <c r="BP241" t="s" s="0">
        <v>3143</v>
      </c>
      <c r="BQ241" t="s" s="0">
        <v>5606</v>
      </c>
      <c r="BR241" t="s" s="0">
        <v>5607</v>
      </c>
      <c r="BS241" t="s" s="0">
        <v>5608</v>
      </c>
      <c r="BT241" t="s" s="480">
        <f>HYPERLINK("https://www.webofscience.com/wos/woscc/full-record/WOS:001728989400001","View Record in Web of Science")</f>
        <v>120</v>
      </c>
      <c r="BU241" t="s" s="0">
        <v>189</v>
      </c>
      <c r="BV241" t="s" s="0">
        <v>82</v>
      </c>
      <c r="BW241" t="s" s="0">
        <v>82</v>
      </c>
      <c r="BX241" t="s" s="0">
        <v>121</v>
      </c>
    </row>
    <row r="242">
      <c r="A242" t="s" s="0">
        <v>77</v>
      </c>
      <c r="B242" t="s" s="0">
        <v>77</v>
      </c>
      <c r="C242" t="s" s="0">
        <v>77</v>
      </c>
      <c r="D242" t="s" s="0">
        <v>77</v>
      </c>
      <c r="E242" t="s" s="0">
        <v>5609</v>
      </c>
      <c r="F242" t="s" s="0">
        <v>5610</v>
      </c>
      <c r="G242" t="s" s="0">
        <v>5611</v>
      </c>
      <c r="H242" t="s" s="0">
        <v>82</v>
      </c>
      <c r="I242" t="s" s="0">
        <v>1284</v>
      </c>
      <c r="J242" t="s" s="0">
        <v>5612</v>
      </c>
      <c r="K242" t="s" s="0">
        <v>5613</v>
      </c>
      <c r="L242" t="s" s="0">
        <v>82</v>
      </c>
      <c r="M242" t="s" s="0">
        <v>82</v>
      </c>
      <c r="N242" t="s" s="0">
        <v>82</v>
      </c>
      <c r="O242" t="s" s="0">
        <v>5614</v>
      </c>
      <c r="P242" t="s" s="0">
        <v>5615</v>
      </c>
      <c r="Q242" t="s" s="0">
        <v>88</v>
      </c>
      <c r="R242" t="s" s="0">
        <v>82</v>
      </c>
      <c r="S242" t="s" s="0">
        <v>82</v>
      </c>
      <c r="T242" t="s" s="0">
        <v>82</v>
      </c>
      <c r="U242" t="s" s="0">
        <v>82</v>
      </c>
      <c r="V242" t="s" s="0">
        <v>5616</v>
      </c>
      <c r="W242" t="s" s="0">
        <v>5617</v>
      </c>
      <c r="X242" t="s" s="0">
        <v>82</v>
      </c>
      <c r="Y242" t="s" s="0">
        <v>82</v>
      </c>
      <c r="Z242" t="s" s="0">
        <v>91</v>
      </c>
      <c r="AA242" t="s" s="0">
        <v>92</v>
      </c>
      <c r="AB242" t="s" s="0">
        <v>82</v>
      </c>
      <c r="AC242" t="s" s="0">
        <v>82</v>
      </c>
      <c r="AD242" t="s" s="0">
        <v>82</v>
      </c>
      <c r="AE242" t="s" s="0">
        <v>82</v>
      </c>
      <c r="AF242" t="s" s="0">
        <v>82</v>
      </c>
      <c r="AG242" t="s" s="0">
        <v>5618</v>
      </c>
      <c r="AH242" t="s" s="0">
        <v>82</v>
      </c>
      <c r="AI242" t="s" s="0">
        <v>5619</v>
      </c>
      <c r="AJ242" t="s" s="0">
        <v>82</v>
      </c>
      <c r="AK242" t="s" s="0">
        <v>82</v>
      </c>
      <c r="AL242" t="s" s="0">
        <v>428</v>
      </c>
      <c r="AM242" t="s" s="0">
        <v>78</v>
      </c>
      <c r="AN242" t="s" s="0">
        <v>78</v>
      </c>
      <c r="AO242" t="s" s="0">
        <v>204</v>
      </c>
      <c r="AP242" t="s" s="0">
        <v>99</v>
      </c>
      <c r="AQ242" t="s" s="0">
        <v>1912</v>
      </c>
      <c r="AR242" t="s" s="0">
        <v>475</v>
      </c>
      <c r="AS242" t="s" s="0">
        <v>1913</v>
      </c>
      <c r="AT242" t="s" s="0">
        <v>82</v>
      </c>
      <c r="AU242" t="s" s="0">
        <v>5620</v>
      </c>
      <c r="AV242" t="s" s="0">
        <v>82</v>
      </c>
      <c r="AW242" t="s" s="0">
        <v>5621</v>
      </c>
      <c r="AX242" t="s" s="0">
        <v>5622</v>
      </c>
      <c r="AY242" t="s" s="0">
        <v>5623</v>
      </c>
      <c r="AZ242" t="s" s="0">
        <v>108</v>
      </c>
      <c r="BA242" t="s" s="0">
        <v>661</v>
      </c>
      <c r="BB242" t="s" s="0">
        <v>78</v>
      </c>
      <c r="BC242" t="s" s="0">
        <v>82</v>
      </c>
      <c r="BD242" t="s" s="0">
        <v>82</v>
      </c>
      <c r="BE242" t="s" s="0">
        <v>82</v>
      </c>
      <c r="BF242" t="s" s="0">
        <v>82</v>
      </c>
      <c r="BG242" t="s" s="0">
        <v>82</v>
      </c>
      <c r="BH242" t="s" s="0">
        <v>82</v>
      </c>
      <c r="BI242" t="s" s="0">
        <v>5624</v>
      </c>
      <c r="BJ242" t="s" s="0">
        <v>5625</v>
      </c>
      <c r="BK242" t="s" s="481">
        <f>HYPERLINK("http://dx.doi.org/10.1186/s12909-025-07938-6","http://dx.doi.org/10.1186/s12909-025-07938-6")</f>
        <v>5626</v>
      </c>
      <c r="BL242" t="s" s="0">
        <v>82</v>
      </c>
      <c r="BM242" t="s" s="0">
        <v>82</v>
      </c>
      <c r="BN242" t="s" s="0">
        <v>115</v>
      </c>
      <c r="BO242" t="s" s="0">
        <v>5627</v>
      </c>
      <c r="BP242" t="s" s="0">
        <v>5320</v>
      </c>
      <c r="BQ242" t="s" s="0">
        <v>5628</v>
      </c>
      <c r="BR242" t="s" s="0">
        <v>5629</v>
      </c>
      <c r="BS242" t="s" s="0">
        <v>5630</v>
      </c>
      <c r="BT242" t="s" s="482">
        <f>HYPERLINK("https://www.webofscience.com/wos/woscc/full-record/WOS:001591468500010","View Record in Web of Science")</f>
        <v>120</v>
      </c>
      <c r="BU242" t="s" s="0">
        <v>189</v>
      </c>
      <c r="BV242" t="s" s="0">
        <v>82</v>
      </c>
      <c r="BW242" t="s" s="0">
        <v>82</v>
      </c>
      <c r="BX242" t="s" s="0">
        <v>121</v>
      </c>
    </row>
    <row r="243">
      <c r="A243" t="s" s="0">
        <v>77</v>
      </c>
      <c r="B243" t="s" s="0">
        <v>77</v>
      </c>
      <c r="C243" t="s" s="0">
        <v>77</v>
      </c>
      <c r="D243" t="s" s="0">
        <v>77</v>
      </c>
      <c r="E243" t="s" s="0">
        <v>5631</v>
      </c>
      <c r="F243" t="s" s="0">
        <v>5632</v>
      </c>
      <c r="G243" t="s" s="0">
        <v>5633</v>
      </c>
      <c r="H243" t="s" s="0">
        <v>82</v>
      </c>
      <c r="I243" t="s" s="0">
        <v>460</v>
      </c>
      <c r="J243" t="s" s="0">
        <v>5634</v>
      </c>
      <c r="K243" t="s" s="0">
        <v>5635</v>
      </c>
      <c r="L243" t="s" s="0">
        <v>82</v>
      </c>
      <c r="M243" t="s" s="0">
        <v>82</v>
      </c>
      <c r="N243" t="s" s="0">
        <v>82</v>
      </c>
      <c r="O243" t="s" s="0">
        <v>5636</v>
      </c>
      <c r="P243" t="s" s="0">
        <v>5637</v>
      </c>
      <c r="Q243" t="s" s="0">
        <v>88</v>
      </c>
      <c r="R243" t="s" s="0">
        <v>82</v>
      </c>
      <c r="S243" t="s" s="0">
        <v>82</v>
      </c>
      <c r="T243" t="s" s="0">
        <v>82</v>
      </c>
      <c r="U243" t="s" s="0">
        <v>82</v>
      </c>
      <c r="V243" t="s" s="0">
        <v>5638</v>
      </c>
      <c r="W243" t="s" s="0">
        <v>5639</v>
      </c>
      <c r="X243" t="s" s="0">
        <v>82</v>
      </c>
      <c r="Y243" t="s" s="0">
        <v>82</v>
      </c>
      <c r="Z243" t="s" s="0">
        <v>91</v>
      </c>
      <c r="AA243" t="s" s="0">
        <v>92</v>
      </c>
      <c r="AB243" t="s" s="0">
        <v>82</v>
      </c>
      <c r="AC243" t="s" s="0">
        <v>82</v>
      </c>
      <c r="AD243" t="s" s="0">
        <v>82</v>
      </c>
      <c r="AE243" t="s" s="0">
        <v>82</v>
      </c>
      <c r="AF243" t="s" s="0">
        <v>82</v>
      </c>
      <c r="AG243" t="s" s="0">
        <v>5640</v>
      </c>
      <c r="AH243" t="s" s="0">
        <v>82</v>
      </c>
      <c r="AI243" t="s" s="0">
        <v>82</v>
      </c>
      <c r="AJ243" t="s" s="0">
        <v>82</v>
      </c>
      <c r="AK243" t="s" s="0">
        <v>82</v>
      </c>
      <c r="AL243" t="s" s="0">
        <v>963</v>
      </c>
      <c r="AM243" t="s" s="0">
        <v>77</v>
      </c>
      <c r="AN243" t="s" s="0">
        <v>77</v>
      </c>
      <c r="AO243" t="s" s="0">
        <v>77</v>
      </c>
      <c r="AP243" t="s" s="0">
        <v>77</v>
      </c>
      <c r="AQ243" t="s" s="0">
        <v>5641</v>
      </c>
      <c r="AR243" t="s" s="0">
        <v>5642</v>
      </c>
      <c r="AS243" t="s" s="0">
        <v>5643</v>
      </c>
      <c r="AT243" t="s" s="0">
        <v>5644</v>
      </c>
      <c r="AU243" t="s" s="0">
        <v>5645</v>
      </c>
      <c r="AV243" t="s" s="0">
        <v>82</v>
      </c>
      <c r="AW243" t="s" s="0">
        <v>5646</v>
      </c>
      <c r="AX243" t="s" s="0">
        <v>5647</v>
      </c>
      <c r="AY243" t="s" s="0">
        <v>1988</v>
      </c>
      <c r="AZ243" t="s" s="0">
        <v>179</v>
      </c>
      <c r="BA243" t="s" s="0">
        <v>96</v>
      </c>
      <c r="BB243" t="s" s="0">
        <v>235</v>
      </c>
      <c r="BC243" t="s" s="0">
        <v>82</v>
      </c>
      <c r="BD243" t="s" s="0">
        <v>82</v>
      </c>
      <c r="BE243" t="s" s="0">
        <v>82</v>
      </c>
      <c r="BF243" t="s" s="0">
        <v>82</v>
      </c>
      <c r="BG243" t="s" s="0">
        <v>82</v>
      </c>
      <c r="BH243" t="s" s="0">
        <v>82</v>
      </c>
      <c r="BI243" t="s" s="0">
        <v>5648</v>
      </c>
      <c r="BJ243" t="s" s="0">
        <v>5649</v>
      </c>
      <c r="BK243" t="s" s="483">
        <f>HYPERLINK("http://dx.doi.org/10.1016/j.ortho.2026.101216","http://dx.doi.org/10.1016/j.ortho.2026.101216")</f>
        <v>5650</v>
      </c>
      <c r="BL243" t="s" s="0">
        <v>82</v>
      </c>
      <c r="BM243" t="s" s="0">
        <v>82</v>
      </c>
      <c r="BN243" t="s" s="0">
        <v>115</v>
      </c>
      <c r="BO243" t="s" s="0">
        <v>920</v>
      </c>
      <c r="BP243" t="s" s="0">
        <v>920</v>
      </c>
      <c r="BQ243" t="s" s="0">
        <v>5651</v>
      </c>
      <c r="BR243" t="s" s="0">
        <v>5652</v>
      </c>
      <c r="BS243" t="s" s="0">
        <v>5653</v>
      </c>
      <c r="BT243" t="s" s="484">
        <f>HYPERLINK("https://www.webofscience.com/wos/woscc/full-record/WOS:001837302000001","View Record in Web of Science")</f>
        <v>120</v>
      </c>
      <c r="BU243" t="s" s="0">
        <v>82</v>
      </c>
      <c r="BV243" t="s" s="0">
        <v>82</v>
      </c>
      <c r="BW243" t="s" s="0">
        <v>82</v>
      </c>
      <c r="BX243" t="s" s="0">
        <v>121</v>
      </c>
    </row>
    <row r="244">
      <c r="A244" t="s" s="0">
        <v>77</v>
      </c>
      <c r="B244" t="s" s="0">
        <v>77</v>
      </c>
      <c r="C244" t="s" s="0">
        <v>77</v>
      </c>
      <c r="D244" t="s" s="0">
        <v>77</v>
      </c>
      <c r="E244" t="s" s="0">
        <v>5654</v>
      </c>
      <c r="F244" t="s" s="0">
        <v>5655</v>
      </c>
      <c r="G244" t="s" s="0">
        <v>5656</v>
      </c>
      <c r="H244" t="s" s="0">
        <v>82</v>
      </c>
      <c r="I244" t="s" s="0">
        <v>83</v>
      </c>
      <c r="J244" t="s" s="0">
        <v>5657</v>
      </c>
      <c r="K244" t="s" s="0">
        <v>5658</v>
      </c>
      <c r="L244" t="s" s="0">
        <v>82</v>
      </c>
      <c r="M244" t="s" s="0">
        <v>82</v>
      </c>
      <c r="N244" t="s" s="0">
        <v>82</v>
      </c>
      <c r="O244" t="s" s="0">
        <v>5659</v>
      </c>
      <c r="P244" t="s" s="0">
        <v>5660</v>
      </c>
      <c r="Q244" t="s" s="0">
        <v>88</v>
      </c>
      <c r="R244" t="s" s="0">
        <v>82</v>
      </c>
      <c r="S244" t="s" s="0">
        <v>82</v>
      </c>
      <c r="T244" t="s" s="0">
        <v>82</v>
      </c>
      <c r="U244" t="s" s="0">
        <v>82</v>
      </c>
      <c r="V244" t="s" s="0">
        <v>5661</v>
      </c>
      <c r="W244" t="s" s="0">
        <v>5662</v>
      </c>
      <c r="X244" t="s" s="0">
        <v>82</v>
      </c>
      <c r="Y244" t="s" s="0">
        <v>82</v>
      </c>
      <c r="Z244" t="s" s="0">
        <v>91</v>
      </c>
      <c r="AA244" t="s" s="0">
        <v>92</v>
      </c>
      <c r="AB244" t="s" s="0">
        <v>82</v>
      </c>
      <c r="AC244" t="s" s="0">
        <v>82</v>
      </c>
      <c r="AD244" t="s" s="0">
        <v>82</v>
      </c>
      <c r="AE244" t="s" s="0">
        <v>82</v>
      </c>
      <c r="AF244" t="s" s="0">
        <v>82</v>
      </c>
      <c r="AG244" t="s" s="0">
        <v>5663</v>
      </c>
      <c r="AH244" t="s" s="0">
        <v>82</v>
      </c>
      <c r="AI244" t="s" s="0">
        <v>82</v>
      </c>
      <c r="AJ244" t="s" s="0">
        <v>5664</v>
      </c>
      <c r="AK244" t="s" s="0">
        <v>82</v>
      </c>
      <c r="AL244" t="s" s="0">
        <v>794</v>
      </c>
      <c r="AM244" t="s" s="0">
        <v>77</v>
      </c>
      <c r="AN244" t="s" s="0">
        <v>77</v>
      </c>
      <c r="AO244" t="s" s="0">
        <v>77</v>
      </c>
      <c r="AP244" t="s" s="0">
        <v>77</v>
      </c>
      <c r="AQ244" t="s" s="0">
        <v>1912</v>
      </c>
      <c r="AR244" t="s" s="0">
        <v>475</v>
      </c>
      <c r="AS244" t="s" s="0">
        <v>1913</v>
      </c>
      <c r="AT244" t="s" s="0">
        <v>5665</v>
      </c>
      <c r="AU244" t="s" s="0">
        <v>82</v>
      </c>
      <c r="AV244" t="s" s="0">
        <v>82</v>
      </c>
      <c r="AW244" t="s" s="0">
        <v>5662</v>
      </c>
      <c r="AX244" t="s" s="0">
        <v>5666</v>
      </c>
      <c r="AY244" t="s" s="0">
        <v>5667</v>
      </c>
      <c r="AZ244" t="s" s="0">
        <v>179</v>
      </c>
      <c r="BA244" t="s" s="0">
        <v>331</v>
      </c>
      <c r="BB244" t="s" s="0">
        <v>78</v>
      </c>
      <c r="BC244" t="s" s="0">
        <v>82</v>
      </c>
      <c r="BD244" t="s" s="0">
        <v>82</v>
      </c>
      <c r="BE244" t="s" s="0">
        <v>82</v>
      </c>
      <c r="BF244" t="s" s="0">
        <v>82</v>
      </c>
      <c r="BG244" t="s" s="0">
        <v>82</v>
      </c>
      <c r="BH244" t="s" s="0">
        <v>82</v>
      </c>
      <c r="BI244" t="s" s="0">
        <v>5668</v>
      </c>
      <c r="BJ244" t="s" s="0">
        <v>5669</v>
      </c>
      <c r="BK244" t="s" s="485">
        <f>HYPERLINK("http://dx.doi.org/10.1186/s12903-026-08870-x","http://dx.doi.org/10.1186/s12903-026-08870-x")</f>
        <v>5670</v>
      </c>
      <c r="BL244" t="s" s="0">
        <v>82</v>
      </c>
      <c r="BM244" t="s" s="0">
        <v>82</v>
      </c>
      <c r="BN244" t="s" s="0">
        <v>277</v>
      </c>
      <c r="BO244" t="s" s="0">
        <v>920</v>
      </c>
      <c r="BP244" t="s" s="0">
        <v>920</v>
      </c>
      <c r="BQ244" t="s" s="0">
        <v>5671</v>
      </c>
      <c r="BR244" t="s" s="0">
        <v>5672</v>
      </c>
      <c r="BS244" t="s" s="0">
        <v>5673</v>
      </c>
      <c r="BT244" t="s" s="486">
        <f>HYPERLINK("https://www.webofscience.com/wos/woscc/full-record/WOS:001848747800003","View Record in Web of Science")</f>
        <v>120</v>
      </c>
      <c r="BU244" t="s" s="0">
        <v>189</v>
      </c>
      <c r="BV244" t="s" s="0">
        <v>82</v>
      </c>
      <c r="BW244" t="s" s="0">
        <v>82</v>
      </c>
      <c r="BX244" t="s" s="0">
        <v>121</v>
      </c>
    </row>
    <row r="245">
      <c r="A245" t="s" s="0">
        <v>78</v>
      </c>
      <c r="B245" t="s" s="0">
        <v>77</v>
      </c>
      <c r="C245" t="s" s="0">
        <v>77</v>
      </c>
      <c r="D245" t="s" s="0">
        <v>77</v>
      </c>
      <c r="E245" t="s" s="0">
        <v>5674</v>
      </c>
      <c r="F245" t="s" s="0">
        <v>5675</v>
      </c>
      <c r="G245" t="s" s="0">
        <v>5676</v>
      </c>
      <c r="H245" t="s" s="0">
        <v>82</v>
      </c>
      <c r="I245" t="s" s="0">
        <v>460</v>
      </c>
      <c r="J245" t="s" s="0">
        <v>5677</v>
      </c>
      <c r="K245" t="s" s="0">
        <v>5678</v>
      </c>
      <c r="L245" t="s" s="0">
        <v>82</v>
      </c>
      <c r="M245" t="s" s="0">
        <v>82</v>
      </c>
      <c r="N245" t="s" s="0">
        <v>82</v>
      </c>
      <c r="O245" t="s" s="0">
        <v>5679</v>
      </c>
      <c r="P245" t="s" s="0">
        <v>5680</v>
      </c>
      <c r="Q245" t="s" s="0">
        <v>88</v>
      </c>
      <c r="R245" t="s" s="0">
        <v>82</v>
      </c>
      <c r="S245" t="s" s="0">
        <v>82</v>
      </c>
      <c r="T245" t="s" s="0">
        <v>82</v>
      </c>
      <c r="U245" t="s" s="0">
        <v>82</v>
      </c>
      <c r="V245" t="s" s="0">
        <v>5681</v>
      </c>
      <c r="W245" t="s" s="0">
        <v>3134</v>
      </c>
      <c r="X245" t="s" s="0">
        <v>82</v>
      </c>
      <c r="Y245" t="s" s="0">
        <v>82</v>
      </c>
      <c r="Z245" t="s" s="0">
        <v>91</v>
      </c>
      <c r="AA245" t="s" s="0">
        <v>92</v>
      </c>
      <c r="AB245" t="s" s="0">
        <v>82</v>
      </c>
      <c r="AC245" t="s" s="0">
        <v>82</v>
      </c>
      <c r="AD245" t="s" s="0">
        <v>82</v>
      </c>
      <c r="AE245" t="s" s="0">
        <v>82</v>
      </c>
      <c r="AF245" t="s" s="0">
        <v>82</v>
      </c>
      <c r="AG245" t="s" s="0">
        <v>82</v>
      </c>
      <c r="AH245" t="s" s="0">
        <v>5682</v>
      </c>
      <c r="AI245" t="s" s="0">
        <v>5683</v>
      </c>
      <c r="AJ245" t="s" s="0">
        <v>5684</v>
      </c>
      <c r="AK245" t="s" s="0">
        <v>82</v>
      </c>
      <c r="AL245" t="s" s="0">
        <v>736</v>
      </c>
      <c r="AM245" t="s" s="0">
        <v>363</v>
      </c>
      <c r="AN245" t="s" s="0">
        <v>277</v>
      </c>
      <c r="AO245" t="s" s="0">
        <v>78</v>
      </c>
      <c r="AP245" t="s" s="0">
        <v>115</v>
      </c>
      <c r="AQ245" t="s" s="0">
        <v>474</v>
      </c>
      <c r="AR245" t="s" s="0">
        <v>475</v>
      </c>
      <c r="AS245" t="s" s="0">
        <v>2059</v>
      </c>
      <c r="AT245" t="s" s="0">
        <v>3136</v>
      </c>
      <c r="AU245" t="s" s="0">
        <v>82</v>
      </c>
      <c r="AV245" t="s" s="0">
        <v>82</v>
      </c>
      <c r="AW245" t="s" s="0">
        <v>3137</v>
      </c>
      <c r="AX245" t="s" s="0">
        <v>3138</v>
      </c>
      <c r="AY245" t="s" s="0">
        <v>5685</v>
      </c>
      <c r="AZ245" t="s" s="0">
        <v>108</v>
      </c>
      <c r="BA245" t="s" s="0">
        <v>110</v>
      </c>
      <c r="BB245" t="s" s="0">
        <v>78</v>
      </c>
      <c r="BC245" t="s" s="0">
        <v>82</v>
      </c>
      <c r="BD245" t="s" s="0">
        <v>82</v>
      </c>
      <c r="BE245" t="s" s="0">
        <v>82</v>
      </c>
      <c r="BF245" t="s" s="0">
        <v>82</v>
      </c>
      <c r="BG245" t="s" s="0">
        <v>82</v>
      </c>
      <c r="BH245" t="s" s="0">
        <v>82</v>
      </c>
      <c r="BI245" t="s" s="0">
        <v>5686</v>
      </c>
      <c r="BJ245" t="s" s="0">
        <v>5687</v>
      </c>
      <c r="BK245" t="s" s="487">
        <f>HYPERLINK("http://dx.doi.org/10.1038/s43856-025-01159-0","http://dx.doi.org/10.1038/s43856-025-01159-0")</f>
        <v>5688</v>
      </c>
      <c r="BL245" t="s" s="0">
        <v>82</v>
      </c>
      <c r="BM245" t="s" s="0">
        <v>82</v>
      </c>
      <c r="BN245" t="s" s="0">
        <v>148</v>
      </c>
      <c r="BO245" t="s" s="0">
        <v>3142</v>
      </c>
      <c r="BP245" t="s" s="0">
        <v>3143</v>
      </c>
      <c r="BQ245" t="s" s="0">
        <v>5689</v>
      </c>
      <c r="BR245" t="s" s="0">
        <v>5690</v>
      </c>
      <c r="BS245" t="s" s="0">
        <v>5691</v>
      </c>
      <c r="BT245" t="s" s="488">
        <f>HYPERLINK("https://www.webofscience.com/wos/woscc/full-record/WOS:001609118600002","View Record in Web of Science")</f>
        <v>120</v>
      </c>
      <c r="BU245" t="s" s="0">
        <v>189</v>
      </c>
      <c r="BV245" t="s" s="0">
        <v>82</v>
      </c>
      <c r="BW245" t="s" s="0">
        <v>82</v>
      </c>
      <c r="BX245" t="s" s="0">
        <v>121</v>
      </c>
    </row>
    <row r="246">
      <c r="A246" t="s" s="0">
        <v>77</v>
      </c>
      <c r="B246" t="s" s="0">
        <v>77</v>
      </c>
      <c r="C246" t="s" s="0">
        <v>77</v>
      </c>
      <c r="D246" t="s" s="0">
        <v>77</v>
      </c>
      <c r="E246" t="s" s="0">
        <v>5692</v>
      </c>
      <c r="F246" t="s" s="0">
        <v>5693</v>
      </c>
      <c r="G246" t="s" s="0">
        <v>5694</v>
      </c>
      <c r="H246" t="s" s="0">
        <v>82</v>
      </c>
      <c r="I246" t="s" s="0">
        <v>83</v>
      </c>
      <c r="J246" t="s" s="0">
        <v>5695</v>
      </c>
      <c r="K246" t="s" s="0">
        <v>5696</v>
      </c>
      <c r="L246" t="s" s="0">
        <v>82</v>
      </c>
      <c r="M246" t="s" s="0">
        <v>82</v>
      </c>
      <c r="N246" t="s" s="0">
        <v>2756</v>
      </c>
      <c r="O246" t="s" s="0">
        <v>5697</v>
      </c>
      <c r="P246" t="s" s="0">
        <v>5698</v>
      </c>
      <c r="Q246" t="s" s="0">
        <v>88</v>
      </c>
      <c r="R246" t="s" s="0">
        <v>82</v>
      </c>
      <c r="S246" t="s" s="0">
        <v>82</v>
      </c>
      <c r="T246" t="s" s="0">
        <v>82</v>
      </c>
      <c r="U246" t="s" s="0">
        <v>82</v>
      </c>
      <c r="V246" t="s" s="0">
        <v>5699</v>
      </c>
      <c r="W246" t="s" s="0">
        <v>3157</v>
      </c>
      <c r="X246" t="s" s="0">
        <v>82</v>
      </c>
      <c r="Y246" t="s" s="0">
        <v>82</v>
      </c>
      <c r="Z246" t="s" s="0">
        <v>91</v>
      </c>
      <c r="AA246" t="s" s="0">
        <v>92</v>
      </c>
      <c r="AB246" t="s" s="0">
        <v>82</v>
      </c>
      <c r="AC246" t="s" s="0">
        <v>82</v>
      </c>
      <c r="AD246" t="s" s="0">
        <v>82</v>
      </c>
      <c r="AE246" t="s" s="0">
        <v>82</v>
      </c>
      <c r="AF246" t="s" s="0">
        <v>82</v>
      </c>
      <c r="AG246" t="s" s="0">
        <v>5700</v>
      </c>
      <c r="AH246" t="s" s="0">
        <v>82</v>
      </c>
      <c r="AI246" t="s" s="0">
        <v>82</v>
      </c>
      <c r="AJ246" t="s" s="0">
        <v>82</v>
      </c>
      <c r="AK246" t="s" s="0">
        <v>82</v>
      </c>
      <c r="AL246" t="s" s="0">
        <v>586</v>
      </c>
      <c r="AM246" t="s" s="0">
        <v>77</v>
      </c>
      <c r="AN246" t="s" s="0">
        <v>77</v>
      </c>
      <c r="AO246" t="s" s="0">
        <v>77</v>
      </c>
      <c r="AP246" t="s" s="0">
        <v>77</v>
      </c>
      <c r="AQ246" t="s" s="0">
        <v>418</v>
      </c>
      <c r="AR246" t="s" s="0">
        <v>419</v>
      </c>
      <c r="AS246" t="s" s="0">
        <v>420</v>
      </c>
      <c r="AT246" t="s" s="0">
        <v>82</v>
      </c>
      <c r="AU246" t="s" s="0">
        <v>3162</v>
      </c>
      <c r="AV246" t="s" s="0">
        <v>82</v>
      </c>
      <c r="AW246" t="s" s="0">
        <v>3157</v>
      </c>
      <c r="AX246" t="s" s="0">
        <v>3163</v>
      </c>
      <c r="AY246" t="s" s="0">
        <v>716</v>
      </c>
      <c r="AZ246" t="s" s="0">
        <v>179</v>
      </c>
      <c r="BA246" t="s" s="0">
        <v>209</v>
      </c>
      <c r="BB246" t="s" s="0">
        <v>184</v>
      </c>
      <c r="BC246" t="s" s="0">
        <v>82</v>
      </c>
      <c r="BD246" t="s" s="0">
        <v>82</v>
      </c>
      <c r="BE246" t="s" s="0">
        <v>82</v>
      </c>
      <c r="BF246" t="s" s="0">
        <v>82</v>
      </c>
      <c r="BG246" t="s" s="0">
        <v>82</v>
      </c>
      <c r="BH246" t="s" s="0">
        <v>82</v>
      </c>
      <c r="BI246" t="s" s="0">
        <v>5701</v>
      </c>
      <c r="BJ246" t="s" s="0">
        <v>5702</v>
      </c>
      <c r="BK246" t="s" s="489">
        <f>HYPERLINK("http://dx.doi.org/10.3390/diagnostics16132131","http://dx.doi.org/10.3390/diagnostics16132131")</f>
        <v>5703</v>
      </c>
      <c r="BL246" t="s" s="0">
        <v>82</v>
      </c>
      <c r="BM246" t="s" s="0">
        <v>82</v>
      </c>
      <c r="BN246" t="s" s="0">
        <v>109</v>
      </c>
      <c r="BO246" t="s" s="0">
        <v>1803</v>
      </c>
      <c r="BP246" t="s" s="0">
        <v>1804</v>
      </c>
      <c r="BQ246" t="s" s="0">
        <v>5704</v>
      </c>
      <c r="BR246" t="s" s="0">
        <v>5705</v>
      </c>
      <c r="BS246" t="s" s="0">
        <v>5706</v>
      </c>
      <c r="BT246" t="s" s="490">
        <f>HYPERLINK("https://www.webofscience.com/wos/woscc/full-record/WOS:001817948400001","View Record in Web of Science")</f>
        <v>120</v>
      </c>
      <c r="BU246" t="s" s="0">
        <v>189</v>
      </c>
      <c r="BV246" t="s" s="0">
        <v>82</v>
      </c>
      <c r="BW246" t="s" s="0">
        <v>82</v>
      </c>
      <c r="BX246" t="s" s="0">
        <v>121</v>
      </c>
    </row>
    <row r="247">
      <c r="A247" t="s" s="0">
        <v>77</v>
      </c>
      <c r="B247" t="s" s="0">
        <v>77</v>
      </c>
      <c r="C247" t="s" s="0">
        <v>77</v>
      </c>
      <c r="D247" t="s" s="0">
        <v>77</v>
      </c>
      <c r="E247" t="s" s="0">
        <v>5707</v>
      </c>
      <c r="F247" t="s" s="0">
        <v>5708</v>
      </c>
      <c r="G247" t="s" s="0">
        <v>5709</v>
      </c>
      <c r="H247" t="s" s="0">
        <v>82</v>
      </c>
      <c r="I247" t="s" s="0">
        <v>83</v>
      </c>
      <c r="J247" t="s" s="0">
        <v>5710</v>
      </c>
      <c r="K247" t="s" s="0">
        <v>5711</v>
      </c>
      <c r="L247" t="s" s="0">
        <v>82</v>
      </c>
      <c r="M247" t="s" s="0">
        <v>82</v>
      </c>
      <c r="N247" t="s" s="0">
        <v>82</v>
      </c>
      <c r="O247" t="s" s="0">
        <v>5712</v>
      </c>
      <c r="P247" t="s" s="0">
        <v>5713</v>
      </c>
      <c r="Q247" t="s" s="0">
        <v>88</v>
      </c>
      <c r="R247" t="s" s="0">
        <v>82</v>
      </c>
      <c r="S247" t="s" s="0">
        <v>82</v>
      </c>
      <c r="T247" t="s" s="0">
        <v>82</v>
      </c>
      <c r="U247" t="s" s="0">
        <v>82</v>
      </c>
      <c r="V247" t="s" s="0">
        <v>5714</v>
      </c>
      <c r="W247" t="s" s="0">
        <v>5715</v>
      </c>
      <c r="X247" t="s" s="0">
        <v>82</v>
      </c>
      <c r="Y247" t="s" s="0">
        <v>82</v>
      </c>
      <c r="Z247" t="s" s="0">
        <v>91</v>
      </c>
      <c r="AA247" t="s" s="0">
        <v>92</v>
      </c>
      <c r="AB247" t="s" s="0">
        <v>82</v>
      </c>
      <c r="AC247" t="s" s="0">
        <v>82</v>
      </c>
      <c r="AD247" t="s" s="0">
        <v>82</v>
      </c>
      <c r="AE247" t="s" s="0">
        <v>82</v>
      </c>
      <c r="AF247" t="s" s="0">
        <v>82</v>
      </c>
      <c r="AG247" t="s" s="0">
        <v>5716</v>
      </c>
      <c r="AH247" t="s" s="0">
        <v>5717</v>
      </c>
      <c r="AI247" t="s" s="0">
        <v>82</v>
      </c>
      <c r="AJ247" t="s" s="0">
        <v>82</v>
      </c>
      <c r="AK247" t="s" s="0">
        <v>82</v>
      </c>
      <c r="AL247" t="s" s="0">
        <v>1273</v>
      </c>
      <c r="AM247" t="s" s="0">
        <v>77</v>
      </c>
      <c r="AN247" t="s" s="0">
        <v>77</v>
      </c>
      <c r="AO247" t="s" s="0">
        <v>77</v>
      </c>
      <c r="AP247" t="s" s="0">
        <v>77</v>
      </c>
      <c r="AQ247" t="s" s="0">
        <v>418</v>
      </c>
      <c r="AR247" t="s" s="0">
        <v>419</v>
      </c>
      <c r="AS247" t="s" s="0">
        <v>420</v>
      </c>
      <c r="AT247" t="s" s="0">
        <v>82</v>
      </c>
      <c r="AU247" t="s" s="0">
        <v>5718</v>
      </c>
      <c r="AV247" t="s" s="0">
        <v>82</v>
      </c>
      <c r="AW247" t="s" s="0">
        <v>5715</v>
      </c>
      <c r="AX247" t="s" s="0">
        <v>5719</v>
      </c>
      <c r="AY247" t="s" s="0">
        <v>1730</v>
      </c>
      <c r="AZ247" t="s" s="0">
        <v>179</v>
      </c>
      <c r="BA247" t="s" s="0">
        <v>209</v>
      </c>
      <c r="BB247" t="s" s="0">
        <v>235</v>
      </c>
      <c r="BC247" t="s" s="0">
        <v>82</v>
      </c>
      <c r="BD247" t="s" s="0">
        <v>82</v>
      </c>
      <c r="BE247" t="s" s="0">
        <v>82</v>
      </c>
      <c r="BF247" t="s" s="0">
        <v>82</v>
      </c>
      <c r="BG247" t="s" s="0">
        <v>82</v>
      </c>
      <c r="BH247" t="s" s="0">
        <v>82</v>
      </c>
      <c r="BI247" t="s" s="0">
        <v>5720</v>
      </c>
      <c r="BJ247" t="s" s="0">
        <v>5721</v>
      </c>
      <c r="BK247" t="s" s="491">
        <f>HYPERLINK("http://dx.doi.org/10.3390/life16040681","http://dx.doi.org/10.3390/life16040681")</f>
        <v>5722</v>
      </c>
      <c r="BL247" t="s" s="0">
        <v>82</v>
      </c>
      <c r="BM247" t="s" s="0">
        <v>183</v>
      </c>
      <c r="BN247" t="s" s="0">
        <v>428</v>
      </c>
      <c r="BO247" t="s" s="0">
        <v>5723</v>
      </c>
      <c r="BP247" t="s" s="0">
        <v>5724</v>
      </c>
      <c r="BQ247" t="s" s="0">
        <v>5725</v>
      </c>
      <c r="BR247" t="s" s="0">
        <v>5726</v>
      </c>
      <c r="BS247" t="s" s="0">
        <v>5727</v>
      </c>
      <c r="BT247" t="s" s="492">
        <f>HYPERLINK("https://www.webofscience.com/wos/woscc/full-record/WOS:001750838300001","View Record in Web of Science")</f>
        <v>120</v>
      </c>
      <c r="BU247" t="s" s="0">
        <v>189</v>
      </c>
      <c r="BV247" t="s" s="0">
        <v>82</v>
      </c>
      <c r="BW247" t="s" s="0">
        <v>82</v>
      </c>
      <c r="BX247" t="s" s="0">
        <v>121</v>
      </c>
    </row>
    <row r="248">
      <c r="A248" t="s" s="0">
        <v>77</v>
      </c>
      <c r="B248" t="s" s="0">
        <v>77</v>
      </c>
      <c r="C248" t="s" s="0">
        <v>77</v>
      </c>
      <c r="D248" t="s" s="0">
        <v>77</v>
      </c>
      <c r="E248" t="s" s="0">
        <v>5728</v>
      </c>
      <c r="F248" t="s" s="0">
        <v>5729</v>
      </c>
      <c r="G248" t="s" s="0">
        <v>5730</v>
      </c>
      <c r="H248" t="s" s="0">
        <v>82</v>
      </c>
      <c r="I248" t="s" s="0">
        <v>460</v>
      </c>
      <c r="J248" t="s" s="0">
        <v>5731</v>
      </c>
      <c r="K248" t="s" s="0">
        <v>5732</v>
      </c>
      <c r="L248" t="s" s="0">
        <v>5733</v>
      </c>
      <c r="M248" t="s" s="0">
        <v>5733</v>
      </c>
      <c r="N248" t="s" s="0">
        <v>5734</v>
      </c>
      <c r="O248" t="s" s="0">
        <v>5735</v>
      </c>
      <c r="P248" t="s" s="0">
        <v>5736</v>
      </c>
      <c r="Q248" t="s" s="0">
        <v>88</v>
      </c>
      <c r="R248" t="s" s="0">
        <v>82</v>
      </c>
      <c r="S248" t="s" s="0">
        <v>82</v>
      </c>
      <c r="T248" t="s" s="0">
        <v>82</v>
      </c>
      <c r="U248" t="s" s="0">
        <v>82</v>
      </c>
      <c r="V248" t="s" s="0">
        <v>5737</v>
      </c>
      <c r="W248" t="s" s="0">
        <v>5738</v>
      </c>
      <c r="X248" t="s" s="0">
        <v>82</v>
      </c>
      <c r="Y248" t="s" s="0">
        <v>82</v>
      </c>
      <c r="Z248" t="s" s="0">
        <v>91</v>
      </c>
      <c r="AA248" t="s" s="0">
        <v>92</v>
      </c>
      <c r="AB248" t="s" s="0">
        <v>82</v>
      </c>
      <c r="AC248" t="s" s="0">
        <v>82</v>
      </c>
      <c r="AD248" t="s" s="0">
        <v>82</v>
      </c>
      <c r="AE248" t="s" s="0">
        <v>82</v>
      </c>
      <c r="AF248" t="s" s="0">
        <v>82</v>
      </c>
      <c r="AG248" t="s" s="0">
        <v>5739</v>
      </c>
      <c r="AH248" t="s" s="0">
        <v>82</v>
      </c>
      <c r="AI248" t="s" s="0">
        <v>5740</v>
      </c>
      <c r="AJ248" t="s" s="0">
        <v>5741</v>
      </c>
      <c r="AK248" t="s" s="0">
        <v>82</v>
      </c>
      <c r="AL248" t="s" s="0">
        <v>824</v>
      </c>
      <c r="AM248" t="s" s="0">
        <v>78</v>
      </c>
      <c r="AN248" t="s" s="0">
        <v>78</v>
      </c>
      <c r="AO248" t="s" s="0">
        <v>235</v>
      </c>
      <c r="AP248" t="s" s="0">
        <v>110</v>
      </c>
      <c r="AQ248" t="s" s="0">
        <v>474</v>
      </c>
      <c r="AR248" t="s" s="0">
        <v>475</v>
      </c>
      <c r="AS248" t="s" s="0">
        <v>2059</v>
      </c>
      <c r="AT248" t="s" s="0">
        <v>5742</v>
      </c>
      <c r="AU248" t="s" s="0">
        <v>5743</v>
      </c>
      <c r="AV248" t="s" s="0">
        <v>82</v>
      </c>
      <c r="AW248" t="s" s="0">
        <v>5744</v>
      </c>
      <c r="AX248" t="s" s="0">
        <v>5745</v>
      </c>
      <c r="AY248" t="s" s="0">
        <v>829</v>
      </c>
      <c r="AZ248" t="s" s="0">
        <v>179</v>
      </c>
      <c r="BA248" t="s" s="0">
        <v>363</v>
      </c>
      <c r="BB248" t="s" s="0">
        <v>78</v>
      </c>
      <c r="BC248" t="s" s="0">
        <v>82</v>
      </c>
      <c r="BD248" t="s" s="0">
        <v>82</v>
      </c>
      <c r="BE248" t="s" s="0">
        <v>82</v>
      </c>
      <c r="BF248" t="s" s="0">
        <v>82</v>
      </c>
      <c r="BG248" t="s" s="0">
        <v>794</v>
      </c>
      <c r="BH248" t="s" s="0">
        <v>5746</v>
      </c>
      <c r="BI248" t="s" s="0">
        <v>82</v>
      </c>
      <c r="BJ248" t="s" s="0">
        <v>5747</v>
      </c>
      <c r="BK248" t="s" s="493">
        <f>HYPERLINK("http://dx.doi.org/10.1007/s41666-025-00224-6","http://dx.doi.org/10.1007/s41666-025-00224-6")</f>
        <v>5748</v>
      </c>
      <c r="BL248" t="s" s="0">
        <v>82</v>
      </c>
      <c r="BM248" t="s" s="0">
        <v>634</v>
      </c>
      <c r="BN248" t="s" s="0">
        <v>586</v>
      </c>
      <c r="BO248" t="s" s="0">
        <v>5749</v>
      </c>
      <c r="BP248" t="s" s="0">
        <v>5750</v>
      </c>
      <c r="BQ248" t="s" s="0">
        <v>5751</v>
      </c>
      <c r="BR248" t="s" s="0">
        <v>5752</v>
      </c>
      <c r="BS248" t="s" s="0">
        <v>5753</v>
      </c>
      <c r="BT248" t="s" s="494">
        <f>HYPERLINK("https://www.webofscience.com/wos/woscc/full-record/WOS:001616958000001","View Record in Web of Science")</f>
        <v>120</v>
      </c>
      <c r="BU248" t="s" s="0">
        <v>924</v>
      </c>
      <c r="BV248" t="s" s="0">
        <v>82</v>
      </c>
      <c r="BW248" t="s" s="0">
        <v>82</v>
      </c>
      <c r="BX248" t="s" s="0">
        <v>121</v>
      </c>
    </row>
    <row r="249">
      <c r="A249" t="s" s="0">
        <v>77</v>
      </c>
      <c r="B249" t="s" s="0">
        <v>77</v>
      </c>
      <c r="C249" t="s" s="0">
        <v>77</v>
      </c>
      <c r="D249" t="s" s="0">
        <v>77</v>
      </c>
      <c r="E249" t="s" s="0">
        <v>5754</v>
      </c>
      <c r="F249" t="s" s="0">
        <v>5755</v>
      </c>
      <c r="G249" t="s" s="0">
        <v>5756</v>
      </c>
      <c r="H249" t="s" s="0">
        <v>82</v>
      </c>
      <c r="I249" t="s" s="0">
        <v>83</v>
      </c>
      <c r="J249" t="s" s="0">
        <v>5757</v>
      </c>
      <c r="K249" t="s" s="0">
        <v>5758</v>
      </c>
      <c r="L249" t="s" s="0">
        <v>82</v>
      </c>
      <c r="M249" t="s" s="0">
        <v>82</v>
      </c>
      <c r="N249" t="s" s="0">
        <v>82</v>
      </c>
      <c r="O249" t="s" s="0">
        <v>5759</v>
      </c>
      <c r="P249" t="s" s="0">
        <v>5760</v>
      </c>
      <c r="Q249" t="s" s="0">
        <v>88</v>
      </c>
      <c r="R249" t="s" s="0">
        <v>82</v>
      </c>
      <c r="S249" t="s" s="0">
        <v>82</v>
      </c>
      <c r="T249" t="s" s="0">
        <v>82</v>
      </c>
      <c r="U249" t="s" s="0">
        <v>82</v>
      </c>
      <c r="V249" t="s" s="0">
        <v>5761</v>
      </c>
      <c r="W249" t="s" s="0">
        <v>3157</v>
      </c>
      <c r="X249" t="s" s="0">
        <v>82</v>
      </c>
      <c r="Y249" t="s" s="0">
        <v>82</v>
      </c>
      <c r="Z249" t="s" s="0">
        <v>91</v>
      </c>
      <c r="AA249" t="s" s="0">
        <v>92</v>
      </c>
      <c r="AB249" t="s" s="0">
        <v>82</v>
      </c>
      <c r="AC249" t="s" s="0">
        <v>82</v>
      </c>
      <c r="AD249" t="s" s="0">
        <v>82</v>
      </c>
      <c r="AE249" t="s" s="0">
        <v>82</v>
      </c>
      <c r="AF249" t="s" s="0">
        <v>82</v>
      </c>
      <c r="AG249" t="s" s="0">
        <v>5762</v>
      </c>
      <c r="AH249" t="s" s="0">
        <v>82</v>
      </c>
      <c r="AI249" t="s" s="0">
        <v>5763</v>
      </c>
      <c r="AJ249" t="s" s="0">
        <v>82</v>
      </c>
      <c r="AK249" t="s" s="0">
        <v>82</v>
      </c>
      <c r="AL249" t="s" s="0">
        <v>473</v>
      </c>
      <c r="AM249" t="s" s="0">
        <v>77</v>
      </c>
      <c r="AN249" t="s" s="0">
        <v>77</v>
      </c>
      <c r="AO249" t="s" s="0">
        <v>77</v>
      </c>
      <c r="AP249" t="s" s="0">
        <v>77</v>
      </c>
      <c r="AQ249" t="s" s="0">
        <v>418</v>
      </c>
      <c r="AR249" t="s" s="0">
        <v>419</v>
      </c>
      <c r="AS249" t="s" s="0">
        <v>420</v>
      </c>
      <c r="AT249" t="s" s="0">
        <v>82</v>
      </c>
      <c r="AU249" t="s" s="0">
        <v>3162</v>
      </c>
      <c r="AV249" t="s" s="0">
        <v>82</v>
      </c>
      <c r="AW249" t="s" s="0">
        <v>3157</v>
      </c>
      <c r="AX249" t="s" s="0">
        <v>3163</v>
      </c>
      <c r="AY249" t="s" s="0">
        <v>5764</v>
      </c>
      <c r="AZ249" t="s" s="0">
        <v>179</v>
      </c>
      <c r="BA249" t="s" s="0">
        <v>209</v>
      </c>
      <c r="BB249" t="s" s="0">
        <v>307</v>
      </c>
      <c r="BC249" t="s" s="0">
        <v>82</v>
      </c>
      <c r="BD249" t="s" s="0">
        <v>82</v>
      </c>
      <c r="BE249" t="s" s="0">
        <v>82</v>
      </c>
      <c r="BF249" t="s" s="0">
        <v>82</v>
      </c>
      <c r="BG249" t="s" s="0">
        <v>82</v>
      </c>
      <c r="BH249" t="s" s="0">
        <v>82</v>
      </c>
      <c r="BI249" t="s" s="0">
        <v>5765</v>
      </c>
      <c r="BJ249" t="s" s="0">
        <v>5766</v>
      </c>
      <c r="BK249" t="s" s="495">
        <f>HYPERLINK("http://dx.doi.org/10.3390/diagnostics16111602","http://dx.doi.org/10.3390/diagnostics16111602")</f>
        <v>5767</v>
      </c>
      <c r="BL249" t="s" s="0">
        <v>82</v>
      </c>
      <c r="BM249" t="s" s="0">
        <v>3404</v>
      </c>
      <c r="BN249" t="s" s="0">
        <v>472</v>
      </c>
      <c r="BO249" t="s" s="0">
        <v>1803</v>
      </c>
      <c r="BP249" t="s" s="0">
        <v>1804</v>
      </c>
      <c r="BQ249" t="s" s="0">
        <v>5768</v>
      </c>
      <c r="BR249" t="s" s="0">
        <v>5769</v>
      </c>
      <c r="BS249" t="s" s="0">
        <v>5770</v>
      </c>
      <c r="BT249" t="s" s="496">
        <f>HYPERLINK("https://www.webofscience.com/wos/woscc/full-record/WOS:001790700000001","View Record in Web of Science")</f>
        <v>120</v>
      </c>
      <c r="BU249" t="s" s="0">
        <v>189</v>
      </c>
      <c r="BV249" t="s" s="0">
        <v>82</v>
      </c>
      <c r="BW249" t="s" s="0">
        <v>82</v>
      </c>
      <c r="BX249" t="s" s="0">
        <v>121</v>
      </c>
    </row>
    <row r="250">
      <c r="A250" t="s" s="0">
        <v>77</v>
      </c>
      <c r="B250" t="s" s="0">
        <v>77</v>
      </c>
      <c r="C250" t="s" s="0">
        <v>77</v>
      </c>
      <c r="D250" t="s" s="0">
        <v>77</v>
      </c>
      <c r="E250" t="s" s="0">
        <v>5771</v>
      </c>
      <c r="F250" t="s" s="0">
        <v>5772</v>
      </c>
      <c r="G250" t="s" s="0">
        <v>5773</v>
      </c>
      <c r="H250" t="s" s="0">
        <v>82</v>
      </c>
      <c r="I250" t="s" s="0">
        <v>83</v>
      </c>
      <c r="J250" t="s" s="0">
        <v>5774</v>
      </c>
      <c r="K250" t="s" s="0">
        <v>5775</v>
      </c>
      <c r="L250" t="s" s="0">
        <v>5776</v>
      </c>
      <c r="M250" t="s" s="0">
        <v>5777</v>
      </c>
      <c r="N250" t="s" s="0">
        <v>5778</v>
      </c>
      <c r="O250" t="s" s="0">
        <v>5779</v>
      </c>
      <c r="P250" t="s" s="0">
        <v>5780</v>
      </c>
      <c r="Q250" t="s" s="0">
        <v>88</v>
      </c>
      <c r="R250" t="s" s="0">
        <v>82</v>
      </c>
      <c r="S250" t="s" s="0">
        <v>82</v>
      </c>
      <c r="T250" t="s" s="0">
        <v>82</v>
      </c>
      <c r="U250" t="s" s="0">
        <v>82</v>
      </c>
      <c r="V250" t="s" s="0">
        <v>5781</v>
      </c>
      <c r="W250" t="s" s="0">
        <v>5782</v>
      </c>
      <c r="X250" t="s" s="0">
        <v>82</v>
      </c>
      <c r="Y250" t="s" s="0">
        <v>82</v>
      </c>
      <c r="Z250" t="s" s="0">
        <v>91</v>
      </c>
      <c r="AA250" t="s" s="0">
        <v>92</v>
      </c>
      <c r="AB250" t="s" s="0">
        <v>82</v>
      </c>
      <c r="AC250" t="s" s="0">
        <v>82</v>
      </c>
      <c r="AD250" t="s" s="0">
        <v>82</v>
      </c>
      <c r="AE250" t="s" s="0">
        <v>82</v>
      </c>
      <c r="AF250" t="s" s="0">
        <v>82</v>
      </c>
      <c r="AG250" t="s" s="0">
        <v>5783</v>
      </c>
      <c r="AH250" t="s" s="0">
        <v>82</v>
      </c>
      <c r="AI250" t="s" s="0">
        <v>5784</v>
      </c>
      <c r="AJ250" t="s" s="0">
        <v>82</v>
      </c>
      <c r="AK250" t="s" s="0">
        <v>82</v>
      </c>
      <c r="AL250" t="s" s="0">
        <v>391</v>
      </c>
      <c r="AM250" t="s" s="0">
        <v>235</v>
      </c>
      <c r="AN250" t="s" s="0">
        <v>235</v>
      </c>
      <c r="AO250" t="s" s="0">
        <v>78</v>
      </c>
      <c r="AP250" t="s" s="0">
        <v>78</v>
      </c>
      <c r="AQ250" t="s" s="0">
        <v>5785</v>
      </c>
      <c r="AR250" t="s" s="0">
        <v>3695</v>
      </c>
      <c r="AS250" t="s" s="0">
        <v>5786</v>
      </c>
      <c r="AT250" t="s" s="0">
        <v>5787</v>
      </c>
      <c r="AU250" t="s" s="0">
        <v>5788</v>
      </c>
      <c r="AV250" t="s" s="0">
        <v>82</v>
      </c>
      <c r="AW250" t="s" s="0">
        <v>5789</v>
      </c>
      <c r="AX250" t="s" s="0">
        <v>5790</v>
      </c>
      <c r="AY250" t="s" s="0">
        <v>829</v>
      </c>
      <c r="AZ250" t="s" s="0">
        <v>179</v>
      </c>
      <c r="BA250" t="s" s="0">
        <v>472</v>
      </c>
      <c r="BB250" t="s" s="0">
        <v>99</v>
      </c>
      <c r="BC250" t="s" s="0">
        <v>82</v>
      </c>
      <c r="BD250" t="s" s="0">
        <v>82</v>
      </c>
      <c r="BE250" t="s" s="0">
        <v>82</v>
      </c>
      <c r="BF250" t="s" s="0">
        <v>82</v>
      </c>
      <c r="BG250" t="s" s="0">
        <v>5791</v>
      </c>
      <c r="BH250" t="s" s="0">
        <v>3543</v>
      </c>
      <c r="BI250" t="s" s="0">
        <v>82</v>
      </c>
      <c r="BJ250" t="s" s="0">
        <v>5792</v>
      </c>
      <c r="BK250" t="s" s="497">
        <f>HYPERLINK("http://dx.doi.org/10.3348/kjr.2025.1045","http://dx.doi.org/10.3348/kjr.2025.1045")</f>
        <v>5793</v>
      </c>
      <c r="BL250" t="s" s="0">
        <v>82</v>
      </c>
      <c r="BM250" t="s" s="0">
        <v>82</v>
      </c>
      <c r="BN250" t="s" s="0">
        <v>184</v>
      </c>
      <c r="BO250" t="s" s="0">
        <v>717</v>
      </c>
      <c r="BP250" t="s" s="0">
        <v>717</v>
      </c>
      <c r="BQ250" t="s" s="0">
        <v>5794</v>
      </c>
      <c r="BR250" t="s" s="0">
        <v>5795</v>
      </c>
      <c r="BS250" t="s" s="0">
        <v>5796</v>
      </c>
      <c r="BT250" t="s" s="498">
        <f>HYPERLINK("https://www.webofscience.com/wos/woscc/full-record/WOS:001699173100005","View Record in Web of Science")</f>
        <v>120</v>
      </c>
      <c r="BU250" t="s" s="0">
        <v>924</v>
      </c>
      <c r="BV250" t="s" s="0">
        <v>82</v>
      </c>
      <c r="BW250" t="s" s="0">
        <v>82</v>
      </c>
      <c r="BX250" t="s" s="0">
        <v>121</v>
      </c>
    </row>
    <row r="251">
      <c r="A251" t="s" s="0">
        <v>77</v>
      </c>
      <c r="B251" t="s" s="0">
        <v>77</v>
      </c>
      <c r="C251" t="s" s="0">
        <v>77</v>
      </c>
      <c r="D251" t="s" s="0">
        <v>77</v>
      </c>
      <c r="E251" t="s" s="0">
        <v>5797</v>
      </c>
      <c r="F251" t="s" s="0">
        <v>5798</v>
      </c>
      <c r="G251" t="s" s="0">
        <v>5799</v>
      </c>
      <c r="H251" t="s" s="0">
        <v>82</v>
      </c>
      <c r="I251" t="s" s="0">
        <v>83</v>
      </c>
      <c r="J251" t="s" s="0">
        <v>5038</v>
      </c>
      <c r="K251" t="s" s="0">
        <v>5039</v>
      </c>
      <c r="L251" t="s" s="0">
        <v>5800</v>
      </c>
      <c r="M251" t="s" s="0">
        <v>5800</v>
      </c>
      <c r="N251" t="s" s="0">
        <v>5801</v>
      </c>
      <c r="O251" t="s" s="0">
        <v>5802</v>
      </c>
      <c r="P251" t="s" s="0">
        <v>5803</v>
      </c>
      <c r="Q251" t="s" s="0">
        <v>88</v>
      </c>
      <c r="R251" t="s" s="0">
        <v>82</v>
      </c>
      <c r="S251" t="s" s="0">
        <v>82</v>
      </c>
      <c r="T251" t="s" s="0">
        <v>82</v>
      </c>
      <c r="U251" t="s" s="0">
        <v>82</v>
      </c>
      <c r="V251" t="s" s="0">
        <v>5804</v>
      </c>
      <c r="W251" t="s" s="0">
        <v>5805</v>
      </c>
      <c r="X251" t="s" s="0">
        <v>82</v>
      </c>
      <c r="Y251" t="s" s="0">
        <v>82</v>
      </c>
      <c r="Z251" t="s" s="0">
        <v>91</v>
      </c>
      <c r="AA251" t="s" s="0">
        <v>92</v>
      </c>
      <c r="AB251" t="s" s="0">
        <v>82</v>
      </c>
      <c r="AC251" t="s" s="0">
        <v>82</v>
      </c>
      <c r="AD251" t="s" s="0">
        <v>82</v>
      </c>
      <c r="AE251" t="s" s="0">
        <v>82</v>
      </c>
      <c r="AF251" t="s" s="0">
        <v>82</v>
      </c>
      <c r="AG251" t="s" s="0">
        <v>5806</v>
      </c>
      <c r="AH251" t="s" s="0">
        <v>82</v>
      </c>
      <c r="AI251" t="s" s="0">
        <v>5807</v>
      </c>
      <c r="AJ251" t="s" s="0">
        <v>82</v>
      </c>
      <c r="AK251" t="s" s="0">
        <v>82</v>
      </c>
      <c r="AL251" t="s" s="0">
        <v>586</v>
      </c>
      <c r="AM251" t="s" s="0">
        <v>277</v>
      </c>
      <c r="AN251" t="s" s="0">
        <v>277</v>
      </c>
      <c r="AO251" t="s" s="0">
        <v>78</v>
      </c>
      <c r="AP251" t="s" s="0">
        <v>110</v>
      </c>
      <c r="AQ251" t="s" s="0">
        <v>5808</v>
      </c>
      <c r="AR251" t="s" s="0">
        <v>5809</v>
      </c>
      <c r="AS251" t="s" s="0">
        <v>5810</v>
      </c>
      <c r="AT251" t="s" s="0">
        <v>5811</v>
      </c>
      <c r="AU251" t="s" s="0">
        <v>5812</v>
      </c>
      <c r="AV251" t="s" s="0">
        <v>82</v>
      </c>
      <c r="AW251" t="s" s="0">
        <v>5813</v>
      </c>
      <c r="AX251" t="s" s="0">
        <v>5814</v>
      </c>
      <c r="AY251" t="s" s="0">
        <v>448</v>
      </c>
      <c r="AZ251" t="s" s="0">
        <v>108</v>
      </c>
      <c r="BA251" t="s" s="0">
        <v>963</v>
      </c>
      <c r="BB251" t="s" s="0">
        <v>235</v>
      </c>
      <c r="BC251" t="s" s="0">
        <v>82</v>
      </c>
      <c r="BD251" t="s" s="0">
        <v>82</v>
      </c>
      <c r="BE251" t="s" s="0">
        <v>82</v>
      </c>
      <c r="BF251" t="s" s="0">
        <v>82</v>
      </c>
      <c r="BG251" t="s" s="0">
        <v>5815</v>
      </c>
      <c r="BH251" t="s" s="0">
        <v>5816</v>
      </c>
      <c r="BI251" t="s" s="0">
        <v>82</v>
      </c>
      <c r="BJ251" t="s" s="0">
        <v>5817</v>
      </c>
      <c r="BK251" t="s" s="499">
        <f>HYPERLINK("http://dx.doi.org/10.1016/j.jds.2025.03.018","http://dx.doi.org/10.1016/j.jds.2025.03.018")</f>
        <v>5818</v>
      </c>
      <c r="BL251" t="s" s="0">
        <v>82</v>
      </c>
      <c r="BM251" t="s" s="0">
        <v>107</v>
      </c>
      <c r="BN251" t="s" s="0">
        <v>115</v>
      </c>
      <c r="BO251" t="s" s="0">
        <v>920</v>
      </c>
      <c r="BP251" t="s" s="0">
        <v>920</v>
      </c>
      <c r="BQ251" t="s" s="0">
        <v>5819</v>
      </c>
      <c r="BR251" t="s" s="0">
        <v>5820</v>
      </c>
      <c r="BS251" t="s" s="0">
        <v>5821</v>
      </c>
      <c r="BT251" t="s" s="500">
        <f>HYPERLINK("https://www.webofscience.com/wos/woscc/full-record/WOS:001584173700033","View Record in Web of Science")</f>
        <v>120</v>
      </c>
      <c r="BU251" t="s" s="0">
        <v>189</v>
      </c>
      <c r="BV251" t="s" s="0">
        <v>82</v>
      </c>
      <c r="BW251" t="s" s="0">
        <v>82</v>
      </c>
      <c r="BX251" t="s" s="0">
        <v>121</v>
      </c>
    </row>
    <row r="252">
      <c r="A252" t="s" s="0">
        <v>77</v>
      </c>
      <c r="B252" t="s" s="0">
        <v>77</v>
      </c>
      <c r="C252" t="s" s="0">
        <v>77</v>
      </c>
      <c r="D252" t="s" s="0">
        <v>77</v>
      </c>
      <c r="E252" t="s" s="0">
        <v>5822</v>
      </c>
      <c r="F252" t="s" s="0">
        <v>5823</v>
      </c>
      <c r="G252" t="s" s="0">
        <v>5824</v>
      </c>
      <c r="H252" t="s" s="0">
        <v>82</v>
      </c>
      <c r="I252" t="s" s="0">
        <v>83</v>
      </c>
      <c r="J252" t="s" s="0">
        <v>5825</v>
      </c>
      <c r="K252" t="s" s="0">
        <v>5826</v>
      </c>
      <c r="L252" t="s" s="0">
        <v>5827</v>
      </c>
      <c r="M252" t="s" s="0">
        <v>5828</v>
      </c>
      <c r="N252" t="s" s="0">
        <v>5829</v>
      </c>
      <c r="O252" t="s" s="0">
        <v>5830</v>
      </c>
      <c r="P252" t="s" s="0">
        <v>5831</v>
      </c>
      <c r="Q252" t="s" s="0">
        <v>88</v>
      </c>
      <c r="R252" t="s" s="0">
        <v>82</v>
      </c>
      <c r="S252" t="s" s="0">
        <v>82</v>
      </c>
      <c r="T252" t="s" s="0">
        <v>82</v>
      </c>
      <c r="U252" t="s" s="0">
        <v>82</v>
      </c>
      <c r="V252" t="s" s="0">
        <v>5832</v>
      </c>
      <c r="W252" t="s" s="0">
        <v>5462</v>
      </c>
      <c r="X252" t="s" s="0">
        <v>82</v>
      </c>
      <c r="Y252" t="s" s="0">
        <v>82</v>
      </c>
      <c r="Z252" t="s" s="0">
        <v>91</v>
      </c>
      <c r="AA252" t="s" s="0">
        <v>92</v>
      </c>
      <c r="AB252" t="s" s="0">
        <v>82</v>
      </c>
      <c r="AC252" t="s" s="0">
        <v>82</v>
      </c>
      <c r="AD252" t="s" s="0">
        <v>82</v>
      </c>
      <c r="AE252" t="s" s="0">
        <v>82</v>
      </c>
      <c r="AF252" t="s" s="0">
        <v>82</v>
      </c>
      <c r="AG252" t="s" s="0">
        <v>5833</v>
      </c>
      <c r="AH252" t="s" s="0">
        <v>82</v>
      </c>
      <c r="AI252" t="s" s="0">
        <v>5834</v>
      </c>
      <c r="AJ252" t="s" s="0">
        <v>82</v>
      </c>
      <c r="AK252" t="s" s="0">
        <v>82</v>
      </c>
      <c r="AL252" t="s" s="0">
        <v>763</v>
      </c>
      <c r="AM252" t="s" s="0">
        <v>77</v>
      </c>
      <c r="AN252" t="s" s="0">
        <v>77</v>
      </c>
      <c r="AO252" t="s" s="0">
        <v>78</v>
      </c>
      <c r="AP252" t="s" s="0">
        <v>78</v>
      </c>
      <c r="AQ252" t="s" s="0">
        <v>5466</v>
      </c>
      <c r="AR252" t="s" s="0">
        <v>5467</v>
      </c>
      <c r="AS252" t="s" s="0">
        <v>5468</v>
      </c>
      <c r="AT252" t="s" s="0">
        <v>5469</v>
      </c>
      <c r="AU252" t="s" s="0">
        <v>5470</v>
      </c>
      <c r="AV252" t="s" s="0">
        <v>82</v>
      </c>
      <c r="AW252" t="s" s="0">
        <v>5471</v>
      </c>
      <c r="AX252" t="s" s="0">
        <v>5472</v>
      </c>
      <c r="AY252" t="s" s="0">
        <v>5835</v>
      </c>
      <c r="AZ252" t="s" s="0">
        <v>179</v>
      </c>
      <c r="BA252" t="s" s="0">
        <v>1505</v>
      </c>
      <c r="BB252" t="s" s="0">
        <v>96</v>
      </c>
      <c r="BC252" t="s" s="0">
        <v>82</v>
      </c>
      <c r="BD252" t="s" s="0">
        <v>82</v>
      </c>
      <c r="BE252" t="s" s="0">
        <v>82</v>
      </c>
      <c r="BF252" t="s" s="0">
        <v>82</v>
      </c>
      <c r="BG252" t="s" s="0">
        <v>82</v>
      </c>
      <c r="BH252" t="s" s="0">
        <v>82</v>
      </c>
      <c r="BI252" t="s" s="0">
        <v>5836</v>
      </c>
      <c r="BJ252" t="s" s="0">
        <v>5837</v>
      </c>
      <c r="BK252" t="s" s="501">
        <f>HYPERLINK("http://dx.doi.org/10.3748/wjg.118690","http://dx.doi.org/10.3748/wjg.118690")</f>
        <v>5838</v>
      </c>
      <c r="BL252" t="s" s="0">
        <v>82</v>
      </c>
      <c r="BM252" t="s" s="0">
        <v>82</v>
      </c>
      <c r="BN252" t="s" s="0">
        <v>976</v>
      </c>
      <c r="BO252" t="s" s="0">
        <v>5477</v>
      </c>
      <c r="BP252" t="s" s="0">
        <v>5477</v>
      </c>
      <c r="BQ252" t="s" s="0">
        <v>5839</v>
      </c>
      <c r="BR252" t="s" s="0">
        <v>82</v>
      </c>
      <c r="BS252" t="s" s="0">
        <v>5840</v>
      </c>
      <c r="BT252" t="s" s="502">
        <f>HYPERLINK("https://www.webofscience.com/wos/woscc/full-record/WOS:001809817100002","View Record in Web of Science")</f>
        <v>120</v>
      </c>
      <c r="BU252" t="s" s="0">
        <v>82</v>
      </c>
      <c r="BV252" t="s" s="0">
        <v>82</v>
      </c>
      <c r="BW252" t="s" s="0">
        <v>82</v>
      </c>
      <c r="BX252" t="s" s="0">
        <v>121</v>
      </c>
    </row>
    <row r="253">
      <c r="A253" t="s" s="0">
        <v>77</v>
      </c>
      <c r="B253" t="s" s="0">
        <v>77</v>
      </c>
      <c r="C253" t="s" s="0">
        <v>77</v>
      </c>
      <c r="D253" t="s" s="0">
        <v>77</v>
      </c>
      <c r="E253" t="s" s="0">
        <v>5841</v>
      </c>
      <c r="F253" t="s" s="0">
        <v>5842</v>
      </c>
      <c r="G253" t="s" s="0">
        <v>5843</v>
      </c>
      <c r="H253" t="s" s="0">
        <v>82</v>
      </c>
      <c r="I253" t="s" s="0">
        <v>460</v>
      </c>
      <c r="J253" t="s" s="0">
        <v>5844</v>
      </c>
      <c r="K253" t="s" s="0">
        <v>5845</v>
      </c>
      <c r="L253" t="s" s="0">
        <v>5846</v>
      </c>
      <c r="M253" t="s" s="0">
        <v>5847</v>
      </c>
      <c r="N253" t="s" s="0">
        <v>5848</v>
      </c>
      <c r="O253" t="s" s="0">
        <v>5849</v>
      </c>
      <c r="P253" t="s" s="0">
        <v>5850</v>
      </c>
      <c r="Q253" t="s" s="0">
        <v>88</v>
      </c>
      <c r="R253" t="s" s="0">
        <v>82</v>
      </c>
      <c r="S253" t="s" s="0">
        <v>82</v>
      </c>
      <c r="T253" t="s" s="0">
        <v>82</v>
      </c>
      <c r="U253" t="s" s="0">
        <v>82</v>
      </c>
      <c r="V253" t="s" s="0">
        <v>5851</v>
      </c>
      <c r="W253" t="s" s="0">
        <v>3092</v>
      </c>
      <c r="X253" t="s" s="0">
        <v>82</v>
      </c>
      <c r="Y253" t="s" s="0">
        <v>82</v>
      </c>
      <c r="Z253" t="s" s="0">
        <v>91</v>
      </c>
      <c r="AA253" t="s" s="0">
        <v>92</v>
      </c>
      <c r="AB253" t="s" s="0">
        <v>82</v>
      </c>
      <c r="AC253" t="s" s="0">
        <v>82</v>
      </c>
      <c r="AD253" t="s" s="0">
        <v>82</v>
      </c>
      <c r="AE253" t="s" s="0">
        <v>82</v>
      </c>
      <c r="AF253" t="s" s="0">
        <v>82</v>
      </c>
      <c r="AG253" t="s" s="0">
        <v>5852</v>
      </c>
      <c r="AH253" t="s" s="0">
        <v>3761</v>
      </c>
      <c r="AI253" t="s" s="0">
        <v>82</v>
      </c>
      <c r="AJ253" t="s" s="0">
        <v>82</v>
      </c>
      <c r="AK253" t="s" s="0">
        <v>82</v>
      </c>
      <c r="AL253" t="s" s="0">
        <v>2321</v>
      </c>
      <c r="AM253" t="s" s="0">
        <v>77</v>
      </c>
      <c r="AN253" t="s" s="0">
        <v>77</v>
      </c>
      <c r="AO253" t="s" s="0">
        <v>204</v>
      </c>
      <c r="AP253" t="s" s="0">
        <v>204</v>
      </c>
      <c r="AQ253" t="s" s="0">
        <v>418</v>
      </c>
      <c r="AR253" t="s" s="0">
        <v>419</v>
      </c>
      <c r="AS253" t="s" s="0">
        <v>420</v>
      </c>
      <c r="AT253" t="s" s="0">
        <v>82</v>
      </c>
      <c r="AU253" t="s" s="0">
        <v>3095</v>
      </c>
      <c r="AV253" t="s" s="0">
        <v>82</v>
      </c>
      <c r="AW253" t="s" s="0">
        <v>3096</v>
      </c>
      <c r="AX253" t="s" s="0">
        <v>3097</v>
      </c>
      <c r="AY253" t="s" s="0">
        <v>5853</v>
      </c>
      <c r="AZ253" t="s" s="0">
        <v>179</v>
      </c>
      <c r="BA253" t="s" s="0">
        <v>148</v>
      </c>
      <c r="BB253" t="s" s="0">
        <v>99</v>
      </c>
      <c r="BC253" t="s" s="0">
        <v>82</v>
      </c>
      <c r="BD253" t="s" s="0">
        <v>82</v>
      </c>
      <c r="BE253" t="s" s="0">
        <v>82</v>
      </c>
      <c r="BF253" t="s" s="0">
        <v>82</v>
      </c>
      <c r="BG253" t="s" s="0">
        <v>82</v>
      </c>
      <c r="BH253" t="s" s="0">
        <v>82</v>
      </c>
      <c r="BI253" t="s" s="0">
        <v>3186</v>
      </c>
      <c r="BJ253" t="s" s="0">
        <v>5854</v>
      </c>
      <c r="BK253" t="s" s="503">
        <f>HYPERLINK("http://dx.doi.org/10.3390/jimaging12030111","http://dx.doi.org/10.3390/jimaging12030111")</f>
        <v>5855</v>
      </c>
      <c r="BL253" t="s" s="0">
        <v>82</v>
      </c>
      <c r="BM253" t="s" s="0">
        <v>82</v>
      </c>
      <c r="BN253" t="s" s="0">
        <v>139</v>
      </c>
      <c r="BO253" t="s" s="0">
        <v>3102</v>
      </c>
      <c r="BP253" t="s" s="0">
        <v>3102</v>
      </c>
      <c r="BQ253" t="s" s="0">
        <v>5856</v>
      </c>
      <c r="BR253" t="s" s="0">
        <v>5857</v>
      </c>
      <c r="BS253" t="s" s="0">
        <v>5858</v>
      </c>
      <c r="BT253" t="s" s="504">
        <f>HYPERLINK("https://www.webofscience.com/wos/woscc/full-record/WOS:001725739200001","View Record in Web of Science")</f>
        <v>120</v>
      </c>
      <c r="BU253" t="s" s="0">
        <v>189</v>
      </c>
      <c r="BV253" t="s" s="0">
        <v>82</v>
      </c>
      <c r="BW253" t="s" s="0">
        <v>82</v>
      </c>
      <c r="BX253" t="s" s="0">
        <v>121</v>
      </c>
    </row>
    <row r="254">
      <c r="A254" t="s" s="0">
        <v>77</v>
      </c>
      <c r="B254" t="s" s="0">
        <v>77</v>
      </c>
      <c r="C254" t="s" s="0">
        <v>77</v>
      </c>
      <c r="D254" t="s" s="0">
        <v>77</v>
      </c>
      <c r="E254" t="s" s="0">
        <v>5859</v>
      </c>
      <c r="F254" t="s" s="0">
        <v>5860</v>
      </c>
      <c r="G254" t="s" s="0">
        <v>5861</v>
      </c>
      <c r="H254" t="s" s="0">
        <v>82</v>
      </c>
      <c r="I254" t="s" s="0">
        <v>83</v>
      </c>
      <c r="J254" t="s" s="0">
        <v>5862</v>
      </c>
      <c r="K254" t="s" s="0">
        <v>5863</v>
      </c>
      <c r="L254" t="s" s="0">
        <v>5864</v>
      </c>
      <c r="M254" t="s" s="0">
        <v>5865</v>
      </c>
      <c r="N254" t="s" s="0">
        <v>5866</v>
      </c>
      <c r="O254" t="s" s="0">
        <v>5867</v>
      </c>
      <c r="P254" t="s" s="0">
        <v>5868</v>
      </c>
      <c r="Q254" t="s" s="0">
        <v>88</v>
      </c>
      <c r="R254" t="s" s="0">
        <v>82</v>
      </c>
      <c r="S254" t="s" s="0">
        <v>82</v>
      </c>
      <c r="T254" t="s" s="0">
        <v>82</v>
      </c>
      <c r="U254" t="s" s="0">
        <v>82</v>
      </c>
      <c r="V254" t="s" s="0">
        <v>5869</v>
      </c>
      <c r="W254" t="s" s="0">
        <v>2338</v>
      </c>
      <c r="X254" t="s" s="0">
        <v>82</v>
      </c>
      <c r="Y254" t="s" s="0">
        <v>82</v>
      </c>
      <c r="Z254" t="s" s="0">
        <v>91</v>
      </c>
      <c r="AA254" t="s" s="0">
        <v>908</v>
      </c>
      <c r="AB254" t="s" s="0">
        <v>82</v>
      </c>
      <c r="AC254" t="s" s="0">
        <v>82</v>
      </c>
      <c r="AD254" t="s" s="0">
        <v>82</v>
      </c>
      <c r="AE254" t="s" s="0">
        <v>82</v>
      </c>
      <c r="AF254" t="s" s="0">
        <v>82</v>
      </c>
      <c r="AG254" t="s" s="0">
        <v>5870</v>
      </c>
      <c r="AH254" t="s" s="0">
        <v>5871</v>
      </c>
      <c r="AI254" t="s" s="0">
        <v>82</v>
      </c>
      <c r="AJ254" t="s" s="0">
        <v>82</v>
      </c>
      <c r="AK254" t="s" s="0">
        <v>82</v>
      </c>
      <c r="AL254" t="s" s="0">
        <v>2225</v>
      </c>
      <c r="AM254" t="s" s="0">
        <v>77</v>
      </c>
      <c r="AN254" t="s" s="0">
        <v>77</v>
      </c>
      <c r="AO254" t="s" s="0">
        <v>78</v>
      </c>
      <c r="AP254" t="s" s="0">
        <v>78</v>
      </c>
      <c r="AQ254" t="s" s="0">
        <v>764</v>
      </c>
      <c r="AR254" t="s" s="0">
        <v>765</v>
      </c>
      <c r="AS254" t="s" s="0">
        <v>766</v>
      </c>
      <c r="AT254" t="s" s="0">
        <v>82</v>
      </c>
      <c r="AU254" t="s" s="0">
        <v>2342</v>
      </c>
      <c r="AV254" t="s" s="0">
        <v>82</v>
      </c>
      <c r="AW254" t="s" s="0">
        <v>2343</v>
      </c>
      <c r="AX254" t="s" s="0">
        <v>2344</v>
      </c>
      <c r="AY254" t="s" s="0">
        <v>82</v>
      </c>
      <c r="AZ254" t="s" s="0">
        <v>179</v>
      </c>
      <c r="BA254" t="s" s="0">
        <v>82</v>
      </c>
      <c r="BB254" t="s" s="0">
        <v>82</v>
      </c>
      <c r="BC254" t="s" s="0">
        <v>82</v>
      </c>
      <c r="BD254" t="s" s="0">
        <v>82</v>
      </c>
      <c r="BE254" t="s" s="0">
        <v>82</v>
      </c>
      <c r="BF254" t="s" s="0">
        <v>82</v>
      </c>
      <c r="BG254" t="s" s="0">
        <v>82</v>
      </c>
      <c r="BH254" t="s" s="0">
        <v>82</v>
      </c>
      <c r="BI254" t="s" s="0">
        <v>82</v>
      </c>
      <c r="BJ254" t="s" s="0">
        <v>5872</v>
      </c>
      <c r="BK254" t="s" s="505">
        <f>HYPERLINK("http://dx.doi.org/10.1002/aisy.70486","http://dx.doi.org/10.1002/aisy.70486")</f>
        <v>5873</v>
      </c>
      <c r="BL254" t="s" s="0">
        <v>82</v>
      </c>
      <c r="BM254" t="s" s="0">
        <v>716</v>
      </c>
      <c r="BN254" t="s" s="0">
        <v>963</v>
      </c>
      <c r="BO254" t="s" s="0">
        <v>2348</v>
      </c>
      <c r="BP254" t="s" s="0">
        <v>2349</v>
      </c>
      <c r="BQ254" t="s" s="0">
        <v>5874</v>
      </c>
      <c r="BR254" t="s" s="0">
        <v>82</v>
      </c>
      <c r="BS254" t="s" s="0">
        <v>5875</v>
      </c>
      <c r="BT254" t="s" s="506">
        <f>HYPERLINK("https://www.webofscience.com/wos/woscc/full-record/WOS:001828246100001","View Record in Web of Science")</f>
        <v>120</v>
      </c>
      <c r="BU254" t="s" s="0">
        <v>335</v>
      </c>
      <c r="BV254" t="s" s="0">
        <v>82</v>
      </c>
      <c r="BW254" t="s" s="0">
        <v>82</v>
      </c>
      <c r="BX254" t="s" s="0">
        <v>121</v>
      </c>
    </row>
    <row r="255">
      <c r="A255" t="s" s="0">
        <v>77</v>
      </c>
      <c r="B255" t="s" s="0">
        <v>77</v>
      </c>
      <c r="C255" t="s" s="0">
        <v>78</v>
      </c>
      <c r="D255" t="s" s="0">
        <v>77</v>
      </c>
      <c r="E255" t="s" s="0">
        <v>5876</v>
      </c>
      <c r="F255" t="s" s="0">
        <v>5877</v>
      </c>
      <c r="G255" t="s" s="0">
        <v>5878</v>
      </c>
      <c r="H255" t="s" s="0">
        <v>82</v>
      </c>
      <c r="I255" t="s" s="0">
        <v>460</v>
      </c>
      <c r="J255" t="s" s="0">
        <v>5879</v>
      </c>
      <c r="K255" t="s" s="0">
        <v>82</v>
      </c>
      <c r="L255" t="s" s="0">
        <v>5880</v>
      </c>
      <c r="M255" t="s" s="0">
        <v>5881</v>
      </c>
      <c r="N255" t="s" s="0">
        <v>5882</v>
      </c>
      <c r="O255" t="s" s="0">
        <v>5883</v>
      </c>
      <c r="P255" t="s" s="0">
        <v>5884</v>
      </c>
      <c r="Q255" t="s" s="0">
        <v>88</v>
      </c>
      <c r="R255" t="s" s="0">
        <v>82</v>
      </c>
      <c r="S255" t="s" s="0">
        <v>82</v>
      </c>
      <c r="T255" t="s" s="0">
        <v>82</v>
      </c>
      <c r="U255" t="s" s="0">
        <v>82</v>
      </c>
      <c r="V255" t="s" s="0">
        <v>5885</v>
      </c>
      <c r="W255" t="s" s="0">
        <v>1959</v>
      </c>
      <c r="X255" t="s" s="0">
        <v>82</v>
      </c>
      <c r="Y255" t="s" s="0">
        <v>82</v>
      </c>
      <c r="Z255" t="s" s="0">
        <v>91</v>
      </c>
      <c r="AA255" t="s" s="0">
        <v>92</v>
      </c>
      <c r="AB255" t="s" s="0">
        <v>82</v>
      </c>
      <c r="AC255" t="s" s="0">
        <v>82</v>
      </c>
      <c r="AD255" t="s" s="0">
        <v>82</v>
      </c>
      <c r="AE255" t="s" s="0">
        <v>82</v>
      </c>
      <c r="AF255" t="s" s="0">
        <v>82</v>
      </c>
      <c r="AG255" t="s" s="0">
        <v>5886</v>
      </c>
      <c r="AH255" t="s" s="0">
        <v>5887</v>
      </c>
      <c r="AI255" t="s" s="0">
        <v>5888</v>
      </c>
      <c r="AJ255" t="s" s="0">
        <v>5889</v>
      </c>
      <c r="AK255" t="s" s="0">
        <v>82</v>
      </c>
      <c r="AL255" t="s" s="0">
        <v>1867</v>
      </c>
      <c r="AM255" t="s" s="0">
        <v>209</v>
      </c>
      <c r="AN255" t="s" s="0">
        <v>428</v>
      </c>
      <c r="AO255" t="s" s="0">
        <v>77</v>
      </c>
      <c r="AP255" t="s" s="0">
        <v>363</v>
      </c>
      <c r="AQ255" t="s" s="0">
        <v>1708</v>
      </c>
      <c r="AR255" t="s" s="0">
        <v>796</v>
      </c>
      <c r="AS255" t="s" s="0">
        <v>1709</v>
      </c>
      <c r="AT255" t="s" s="0">
        <v>82</v>
      </c>
      <c r="AU255" t="s" s="0">
        <v>1964</v>
      </c>
      <c r="AV255" t="s" s="0">
        <v>82</v>
      </c>
      <c r="AW255" t="s" s="0">
        <v>1965</v>
      </c>
      <c r="AX255" t="s" s="0">
        <v>1966</v>
      </c>
      <c r="AY255" t="s" s="0">
        <v>3038</v>
      </c>
      <c r="AZ255" t="s" s="0">
        <v>146</v>
      </c>
      <c r="BA255" t="s" s="0">
        <v>272</v>
      </c>
      <c r="BB255" t="s" s="0">
        <v>204</v>
      </c>
      <c r="BC255" t="s" s="0">
        <v>82</v>
      </c>
      <c r="BD255" t="s" s="0">
        <v>82</v>
      </c>
      <c r="BE255" t="s" s="0">
        <v>82</v>
      </c>
      <c r="BF255" t="s" s="0">
        <v>82</v>
      </c>
      <c r="BG255" t="s" s="0">
        <v>82</v>
      </c>
      <c r="BH255" t="s" s="0">
        <v>82</v>
      </c>
      <c r="BI255" t="s" s="0">
        <v>802</v>
      </c>
      <c r="BJ255" t="s" s="0">
        <v>5890</v>
      </c>
      <c r="BK255" t="s" s="507">
        <f>HYPERLINK("http://dx.doi.org/10.1145/3659624","http://dx.doi.org/10.1145/3659624")</f>
        <v>5891</v>
      </c>
      <c r="BL255" t="s" s="0">
        <v>82</v>
      </c>
      <c r="BM255" t="s" s="0">
        <v>82</v>
      </c>
      <c r="BN255" t="s" s="0">
        <v>417</v>
      </c>
      <c r="BO255" t="s" s="0">
        <v>332</v>
      </c>
      <c r="BP255" t="s" s="0">
        <v>117</v>
      </c>
      <c r="BQ255" t="s" s="0">
        <v>5892</v>
      </c>
      <c r="BR255" t="s" s="0">
        <v>82</v>
      </c>
      <c r="BS255" t="s" s="0">
        <v>5893</v>
      </c>
      <c r="BT255" t="s" s="508">
        <f>HYPERLINK("https://www.webofscience.com/wos/woscc/full-record/WOS:001229316000031","View Record in Web of Science")</f>
        <v>120</v>
      </c>
      <c r="BU255" t="s" s="0">
        <v>82</v>
      </c>
      <c r="BV255" t="s" s="0">
        <v>82</v>
      </c>
      <c r="BW255" t="s" s="0">
        <v>82</v>
      </c>
      <c r="BX255" t="s" s="0">
        <v>121</v>
      </c>
    </row>
    <row r="256">
      <c r="A256" t="s" s="0">
        <v>77</v>
      </c>
      <c r="B256" t="s" s="0">
        <v>77</v>
      </c>
      <c r="C256" t="s" s="0">
        <v>77</v>
      </c>
      <c r="D256" t="s" s="0">
        <v>77</v>
      </c>
      <c r="E256" t="s" s="0">
        <v>5894</v>
      </c>
      <c r="F256" t="s" s="0">
        <v>5895</v>
      </c>
      <c r="G256" t="s" s="0">
        <v>5896</v>
      </c>
      <c r="H256" t="s" s="0">
        <v>82</v>
      </c>
      <c r="I256" t="s" s="0">
        <v>83</v>
      </c>
      <c r="J256" t="s" s="0">
        <v>5897</v>
      </c>
      <c r="K256" t="s" s="0">
        <v>5898</v>
      </c>
      <c r="L256" t="s" s="0">
        <v>82</v>
      </c>
      <c r="M256" t="s" s="0">
        <v>82</v>
      </c>
      <c r="N256" t="s" s="0">
        <v>82</v>
      </c>
      <c r="O256" t="s" s="0">
        <v>5899</v>
      </c>
      <c r="P256" t="s" s="0">
        <v>5900</v>
      </c>
      <c r="Q256" t="s" s="0">
        <v>88</v>
      </c>
      <c r="R256" t="s" s="0">
        <v>82</v>
      </c>
      <c r="S256" t="s" s="0">
        <v>82</v>
      </c>
      <c r="T256" t="s" s="0">
        <v>82</v>
      </c>
      <c r="U256" t="s" s="0">
        <v>82</v>
      </c>
      <c r="V256" t="s" s="0">
        <v>5901</v>
      </c>
      <c r="W256" t="s" s="0">
        <v>201</v>
      </c>
      <c r="X256" t="s" s="0">
        <v>82</v>
      </c>
      <c r="Y256" t="s" s="0">
        <v>82</v>
      </c>
      <c r="Z256" t="s" s="0">
        <v>91</v>
      </c>
      <c r="AA256" t="s" s="0">
        <v>92</v>
      </c>
      <c r="AB256" t="s" s="0">
        <v>82</v>
      </c>
      <c r="AC256" t="s" s="0">
        <v>82</v>
      </c>
      <c r="AD256" t="s" s="0">
        <v>82</v>
      </c>
      <c r="AE256" t="s" s="0">
        <v>82</v>
      </c>
      <c r="AF256" t="s" s="0">
        <v>82</v>
      </c>
      <c r="AG256" t="s" s="0">
        <v>5902</v>
      </c>
      <c r="AH256" t="s" s="0">
        <v>82</v>
      </c>
      <c r="AI256" t="s" s="0">
        <v>5903</v>
      </c>
      <c r="AJ256" t="s" s="0">
        <v>5904</v>
      </c>
      <c r="AK256" t="s" s="0">
        <v>82</v>
      </c>
      <c r="AL256" t="s" s="0">
        <v>763</v>
      </c>
      <c r="AM256" t="s" s="0">
        <v>78</v>
      </c>
      <c r="AN256" t="s" s="0">
        <v>78</v>
      </c>
      <c r="AO256" t="s" s="0">
        <v>77</v>
      </c>
      <c r="AP256" t="s" s="0">
        <v>77</v>
      </c>
      <c r="AQ256" t="s" s="0">
        <v>172</v>
      </c>
      <c r="AR256" t="s" s="0">
        <v>173</v>
      </c>
      <c r="AS256" t="s" s="0">
        <v>174</v>
      </c>
      <c r="AT256" t="s" s="0">
        <v>205</v>
      </c>
      <c r="AU256" t="s" s="0">
        <v>82</v>
      </c>
      <c r="AV256" t="s" s="0">
        <v>82</v>
      </c>
      <c r="AW256" t="s" s="0">
        <v>206</v>
      </c>
      <c r="AX256" t="s" s="0">
        <v>207</v>
      </c>
      <c r="AY256" t="s" s="0">
        <v>5905</v>
      </c>
      <c r="AZ256" t="s" s="0">
        <v>179</v>
      </c>
      <c r="BA256" t="s" s="0">
        <v>209</v>
      </c>
      <c r="BB256" t="s" s="0">
        <v>78</v>
      </c>
      <c r="BC256" t="s" s="0">
        <v>82</v>
      </c>
      <c r="BD256" t="s" s="0">
        <v>82</v>
      </c>
      <c r="BE256" t="s" s="0">
        <v>82</v>
      </c>
      <c r="BF256" t="s" s="0">
        <v>82</v>
      </c>
      <c r="BG256" t="s" s="0">
        <v>82</v>
      </c>
      <c r="BH256" t="s" s="0">
        <v>82</v>
      </c>
      <c r="BI256" t="s" s="0">
        <v>5906</v>
      </c>
      <c r="BJ256" t="s" s="0">
        <v>5907</v>
      </c>
      <c r="BK256" t="s" s="509">
        <f>HYPERLINK("http://dx.doi.org/10.1038/s41598-026-46333-z","http://dx.doi.org/10.1038/s41598-026-46333-z")</f>
        <v>5908</v>
      </c>
      <c r="BL256" t="s" s="0">
        <v>82</v>
      </c>
      <c r="BM256" t="s" s="0">
        <v>183</v>
      </c>
      <c r="BN256" t="s" s="0">
        <v>272</v>
      </c>
      <c r="BO256" t="s" s="0">
        <v>213</v>
      </c>
      <c r="BP256" t="s" s="0">
        <v>214</v>
      </c>
      <c r="BQ256" t="s" s="0">
        <v>5909</v>
      </c>
      <c r="BR256" t="s" s="0">
        <v>5910</v>
      </c>
      <c r="BS256" t="s" s="0">
        <v>5911</v>
      </c>
      <c r="BT256" t="s" s="510">
        <f>HYPERLINK("https://www.webofscience.com/wos/woscc/full-record/WOS:001736167900017","View Record in Web of Science")</f>
        <v>120</v>
      </c>
      <c r="BU256" t="s" s="0">
        <v>189</v>
      </c>
      <c r="BV256" t="s" s="0">
        <v>82</v>
      </c>
      <c r="BW256" t="s" s="0">
        <v>82</v>
      </c>
      <c r="BX256" t="s" s="0">
        <v>121</v>
      </c>
    </row>
    <row r="257">
      <c r="A257" t="s" s="0">
        <v>77</v>
      </c>
      <c r="B257" t="s" s="0">
        <v>77</v>
      </c>
      <c r="C257" t="s" s="0">
        <v>78</v>
      </c>
      <c r="D257" t="s" s="0">
        <v>77</v>
      </c>
      <c r="E257" t="s" s="0">
        <v>5912</v>
      </c>
      <c r="F257" t="s" s="0">
        <v>5913</v>
      </c>
      <c r="G257" t="s" s="0">
        <v>5914</v>
      </c>
      <c r="H257" t="s" s="0">
        <v>82</v>
      </c>
      <c r="I257" t="s" s="0">
        <v>83</v>
      </c>
      <c r="J257" t="s" s="0">
        <v>5915</v>
      </c>
      <c r="K257" t="s" s="0">
        <v>5916</v>
      </c>
      <c r="L257" t="s" s="0">
        <v>5917</v>
      </c>
      <c r="M257" t="s" s="0">
        <v>5917</v>
      </c>
      <c r="N257" t="s" s="0">
        <v>5918</v>
      </c>
      <c r="O257" t="s" s="0">
        <v>5919</v>
      </c>
      <c r="P257" t="s" s="0">
        <v>5920</v>
      </c>
      <c r="Q257" t="s" s="0">
        <v>88</v>
      </c>
      <c r="R257" t="s" s="0">
        <v>82</v>
      </c>
      <c r="S257" t="s" s="0">
        <v>82</v>
      </c>
      <c r="T257" t="s" s="0">
        <v>82</v>
      </c>
      <c r="U257" t="s" s="0">
        <v>82</v>
      </c>
      <c r="V257" t="s" s="0">
        <v>5921</v>
      </c>
      <c r="W257" t="s" s="0">
        <v>347</v>
      </c>
      <c r="X257" t="s" s="0">
        <v>82</v>
      </c>
      <c r="Y257" t="s" s="0">
        <v>82</v>
      </c>
      <c r="Z257" t="s" s="0">
        <v>91</v>
      </c>
      <c r="AA257" t="s" s="0">
        <v>92</v>
      </c>
      <c r="AB257" t="s" s="0">
        <v>82</v>
      </c>
      <c r="AC257" t="s" s="0">
        <v>82</v>
      </c>
      <c r="AD257" t="s" s="0">
        <v>82</v>
      </c>
      <c r="AE257" t="s" s="0">
        <v>82</v>
      </c>
      <c r="AF257" t="s" s="0">
        <v>82</v>
      </c>
      <c r="AG257" t="s" s="0">
        <v>5922</v>
      </c>
      <c r="AH257" t="s" s="0">
        <v>5923</v>
      </c>
      <c r="AI257" t="s" s="0">
        <v>82</v>
      </c>
      <c r="AJ257" t="s" s="0">
        <v>5924</v>
      </c>
      <c r="AK257" t="s" s="0">
        <v>82</v>
      </c>
      <c r="AL257" t="s" s="0">
        <v>203</v>
      </c>
      <c r="AM257" t="s" s="0">
        <v>78</v>
      </c>
      <c r="AN257" t="s" s="0">
        <v>78</v>
      </c>
      <c r="AO257" t="s" s="0">
        <v>77</v>
      </c>
      <c r="AP257" t="s" s="0">
        <v>307</v>
      </c>
      <c r="AQ257" t="s" s="0">
        <v>351</v>
      </c>
      <c r="AR257" t="s" s="0">
        <v>352</v>
      </c>
      <c r="AS257" t="s" s="0">
        <v>353</v>
      </c>
      <c r="AT257" t="s" s="0">
        <v>354</v>
      </c>
      <c r="AU257" t="s" s="0">
        <v>355</v>
      </c>
      <c r="AV257" t="s" s="0">
        <v>82</v>
      </c>
      <c r="AW257" t="s" s="0">
        <v>356</v>
      </c>
      <c r="AX257" t="s" s="0">
        <v>357</v>
      </c>
      <c r="AY257" t="s" s="0">
        <v>1688</v>
      </c>
      <c r="AZ257" t="s" s="0">
        <v>108</v>
      </c>
      <c r="BA257" t="s" s="0">
        <v>1689</v>
      </c>
      <c r="BB257" t="s" s="0">
        <v>82</v>
      </c>
      <c r="BC257" t="s" s="0">
        <v>82</v>
      </c>
      <c r="BD257" t="s" s="0">
        <v>82</v>
      </c>
      <c r="BE257" t="s" s="0">
        <v>82</v>
      </c>
      <c r="BF257" t="s" s="0">
        <v>82</v>
      </c>
      <c r="BG257" t="s" s="0">
        <v>82</v>
      </c>
      <c r="BH257" t="s" s="0">
        <v>82</v>
      </c>
      <c r="BI257" t="s" s="0">
        <v>5925</v>
      </c>
      <c r="BJ257" t="s" s="0">
        <v>5926</v>
      </c>
      <c r="BK257" t="s" s="511">
        <f>HYPERLINK("http://dx.doi.org/10.1016/j.jbi.2025.104945","http://dx.doi.org/10.1016/j.jbi.2025.104945")</f>
        <v>5927</v>
      </c>
      <c r="BL257" t="s" s="0">
        <v>82</v>
      </c>
      <c r="BM257" t="s" s="0">
        <v>634</v>
      </c>
      <c r="BN257" t="s" s="0">
        <v>148</v>
      </c>
      <c r="BO257" t="s" s="0">
        <v>364</v>
      </c>
      <c r="BP257" t="s" s="0">
        <v>365</v>
      </c>
      <c r="BQ257" t="s" s="0">
        <v>5928</v>
      </c>
      <c r="BR257" t="s" s="0">
        <v>5929</v>
      </c>
      <c r="BS257" t="s" s="0">
        <v>5930</v>
      </c>
      <c r="BT257" t="s" s="512">
        <f>HYPERLINK("https://www.webofscience.com/wos/woscc/full-record/WOS:001611346000001","View Record in Web of Science")</f>
        <v>120</v>
      </c>
      <c r="BU257" t="s" s="0">
        <v>1972</v>
      </c>
      <c r="BV257" t="s" s="0">
        <v>82</v>
      </c>
      <c r="BW257" t="s" s="0">
        <v>82</v>
      </c>
      <c r="BX257" t="s" s="0">
        <v>121</v>
      </c>
    </row>
    <row r="258">
      <c r="A258" t="s" s="0">
        <v>77</v>
      </c>
      <c r="B258" t="s" s="0">
        <v>77</v>
      </c>
      <c r="C258" t="s" s="0">
        <v>77</v>
      </c>
      <c r="D258" t="s" s="0">
        <v>77</v>
      </c>
      <c r="E258" t="s" s="0">
        <v>5931</v>
      </c>
      <c r="F258" t="s" s="0">
        <v>5932</v>
      </c>
      <c r="G258" t="s" s="0">
        <v>5933</v>
      </c>
      <c r="H258" t="s" s="0">
        <v>82</v>
      </c>
      <c r="I258" t="s" s="0">
        <v>83</v>
      </c>
      <c r="J258" t="s" s="0">
        <v>5934</v>
      </c>
      <c r="K258" t="s" s="0">
        <v>5696</v>
      </c>
      <c r="L258" t="s" s="0">
        <v>5935</v>
      </c>
      <c r="M258" t="s" s="0">
        <v>5935</v>
      </c>
      <c r="N258" t="s" s="0">
        <v>4522</v>
      </c>
      <c r="O258" t="s" s="0">
        <v>5936</v>
      </c>
      <c r="P258" t="s" s="0">
        <v>5698</v>
      </c>
      <c r="Q258" t="s" s="0">
        <v>88</v>
      </c>
      <c r="R258" t="s" s="0">
        <v>82</v>
      </c>
      <c r="S258" t="s" s="0">
        <v>82</v>
      </c>
      <c r="T258" t="s" s="0">
        <v>82</v>
      </c>
      <c r="U258" t="s" s="0">
        <v>82</v>
      </c>
      <c r="V258" t="s" s="0">
        <v>5937</v>
      </c>
      <c r="W258" t="s" s="0">
        <v>201</v>
      </c>
      <c r="X258" t="s" s="0">
        <v>82</v>
      </c>
      <c r="Y258" t="s" s="0">
        <v>82</v>
      </c>
      <c r="Z258" t="s" s="0">
        <v>91</v>
      </c>
      <c r="AA258" t="s" s="0">
        <v>92</v>
      </c>
      <c r="AB258" t="s" s="0">
        <v>82</v>
      </c>
      <c r="AC258" t="s" s="0">
        <v>82</v>
      </c>
      <c r="AD258" t="s" s="0">
        <v>82</v>
      </c>
      <c r="AE258" t="s" s="0">
        <v>82</v>
      </c>
      <c r="AF258" t="s" s="0">
        <v>82</v>
      </c>
      <c r="AG258" t="s" s="0">
        <v>82</v>
      </c>
      <c r="AH258" t="s" s="0">
        <v>82</v>
      </c>
      <c r="AI258" t="s" s="0">
        <v>82</v>
      </c>
      <c r="AJ258" t="s" s="0">
        <v>82</v>
      </c>
      <c r="AK258" t="s" s="0">
        <v>82</v>
      </c>
      <c r="AL258" t="s" s="0">
        <v>1505</v>
      </c>
      <c r="AM258" t="s" s="0">
        <v>78</v>
      </c>
      <c r="AN258" t="s" s="0">
        <v>78</v>
      </c>
      <c r="AO258" t="s" s="0">
        <v>77</v>
      </c>
      <c r="AP258" t="s" s="0">
        <v>77</v>
      </c>
      <c r="AQ258" t="s" s="0">
        <v>172</v>
      </c>
      <c r="AR258" t="s" s="0">
        <v>173</v>
      </c>
      <c r="AS258" t="s" s="0">
        <v>174</v>
      </c>
      <c r="AT258" t="s" s="0">
        <v>205</v>
      </c>
      <c r="AU258" t="s" s="0">
        <v>82</v>
      </c>
      <c r="AV258" t="s" s="0">
        <v>82</v>
      </c>
      <c r="AW258" t="s" s="0">
        <v>206</v>
      </c>
      <c r="AX258" t="s" s="0">
        <v>207</v>
      </c>
      <c r="AY258" t="s" s="0">
        <v>5938</v>
      </c>
      <c r="AZ258" t="s" s="0">
        <v>179</v>
      </c>
      <c r="BA258" t="s" s="0">
        <v>209</v>
      </c>
      <c r="BB258" t="s" s="0">
        <v>78</v>
      </c>
      <c r="BC258" t="s" s="0">
        <v>82</v>
      </c>
      <c r="BD258" t="s" s="0">
        <v>82</v>
      </c>
      <c r="BE258" t="s" s="0">
        <v>82</v>
      </c>
      <c r="BF258" t="s" s="0">
        <v>82</v>
      </c>
      <c r="BG258" t="s" s="0">
        <v>82</v>
      </c>
      <c r="BH258" t="s" s="0">
        <v>82</v>
      </c>
      <c r="BI258" t="s" s="0">
        <v>5939</v>
      </c>
      <c r="BJ258" t="s" s="0">
        <v>5940</v>
      </c>
      <c r="BK258" t="s" s="513">
        <f>HYPERLINK("http://dx.doi.org/10.1038/s41598-026-58763-w","http://dx.doi.org/10.1038/s41598-026-58763-w")</f>
        <v>5941</v>
      </c>
      <c r="BL258" t="s" s="0">
        <v>82</v>
      </c>
      <c r="BM258" t="s" s="0">
        <v>358</v>
      </c>
      <c r="BN258" t="s" s="0">
        <v>363</v>
      </c>
      <c r="BO258" t="s" s="0">
        <v>213</v>
      </c>
      <c r="BP258" t="s" s="0">
        <v>214</v>
      </c>
      <c r="BQ258" t="s" s="0">
        <v>5942</v>
      </c>
      <c r="BR258" t="s" s="0">
        <v>5943</v>
      </c>
      <c r="BS258" t="s" s="0">
        <v>5944</v>
      </c>
      <c r="BT258" t="s" s="514">
        <f>HYPERLINK("https://www.webofscience.com/wos/woscc/full-record/WOS:001796772800006","View Record in Web of Science")</f>
        <v>120</v>
      </c>
      <c r="BU258" t="s" s="0">
        <v>189</v>
      </c>
      <c r="BV258" t="s" s="0">
        <v>82</v>
      </c>
      <c r="BW258" t="s" s="0">
        <v>82</v>
      </c>
      <c r="BX258" t="s" s="0">
        <v>121</v>
      </c>
    </row>
    <row r="259">
      <c r="A259" t="s" s="0">
        <v>77</v>
      </c>
      <c r="B259" t="s" s="0">
        <v>77</v>
      </c>
      <c r="C259" t="s" s="0">
        <v>77</v>
      </c>
      <c r="D259" t="s" s="0">
        <v>77</v>
      </c>
      <c r="E259" t="s" s="0">
        <v>5945</v>
      </c>
      <c r="F259" t="s" s="0">
        <v>5946</v>
      </c>
      <c r="G259" t="s" s="0">
        <v>5947</v>
      </c>
      <c r="H259" t="s" s="0">
        <v>82</v>
      </c>
      <c r="I259" t="s" s="0">
        <v>83</v>
      </c>
      <c r="J259" t="s" s="0">
        <v>5948</v>
      </c>
      <c r="K259" t="s" s="0">
        <v>5039</v>
      </c>
      <c r="L259" t="s" s="0">
        <v>5800</v>
      </c>
      <c r="M259" t="s" s="0">
        <v>5800</v>
      </c>
      <c r="N259" t="s" s="0">
        <v>5801</v>
      </c>
      <c r="O259" t="s" s="0">
        <v>5949</v>
      </c>
      <c r="P259" t="s" s="0">
        <v>5044</v>
      </c>
      <c r="Q259" t="s" s="0">
        <v>88</v>
      </c>
      <c r="R259" t="s" s="0">
        <v>82</v>
      </c>
      <c r="S259" t="s" s="0">
        <v>82</v>
      </c>
      <c r="T259" t="s" s="0">
        <v>82</v>
      </c>
      <c r="U259" t="s" s="0">
        <v>82</v>
      </c>
      <c r="V259" t="s" s="0">
        <v>5950</v>
      </c>
      <c r="W259" t="s" s="0">
        <v>5951</v>
      </c>
      <c r="X259" t="s" s="0">
        <v>82</v>
      </c>
      <c r="Y259" t="s" s="0">
        <v>82</v>
      </c>
      <c r="Z259" t="s" s="0">
        <v>91</v>
      </c>
      <c r="AA259" t="s" s="0">
        <v>92</v>
      </c>
      <c r="AB259" t="s" s="0">
        <v>82</v>
      </c>
      <c r="AC259" t="s" s="0">
        <v>82</v>
      </c>
      <c r="AD259" t="s" s="0">
        <v>82</v>
      </c>
      <c r="AE259" t="s" s="0">
        <v>82</v>
      </c>
      <c r="AF259" t="s" s="0">
        <v>82</v>
      </c>
      <c r="AG259" t="s" s="0">
        <v>5952</v>
      </c>
      <c r="AH259" t="s" s="0">
        <v>4837</v>
      </c>
      <c r="AI259" t="s" s="0">
        <v>5049</v>
      </c>
      <c r="AJ259" t="s" s="0">
        <v>5953</v>
      </c>
      <c r="AK259" t="s" s="0">
        <v>82</v>
      </c>
      <c r="AL259" t="s" s="0">
        <v>556</v>
      </c>
      <c r="AM259" t="s" s="0">
        <v>98</v>
      </c>
      <c r="AN259" t="s" s="0">
        <v>98</v>
      </c>
      <c r="AO259" t="s" s="0">
        <v>78</v>
      </c>
      <c r="AP259" t="s" s="0">
        <v>98</v>
      </c>
      <c r="AQ259" t="s" s="0">
        <v>605</v>
      </c>
      <c r="AR259" t="s" s="0">
        <v>606</v>
      </c>
      <c r="AS259" t="s" s="0">
        <v>607</v>
      </c>
      <c r="AT259" t="s" s="0">
        <v>5954</v>
      </c>
      <c r="AU259" t="s" s="0">
        <v>5955</v>
      </c>
      <c r="AV259" t="s" s="0">
        <v>82</v>
      </c>
      <c r="AW259" t="s" s="0">
        <v>5956</v>
      </c>
      <c r="AX259" t="s" s="0">
        <v>5957</v>
      </c>
      <c r="AY259" t="s" s="0">
        <v>1360</v>
      </c>
      <c r="AZ259" t="s" s="0">
        <v>179</v>
      </c>
      <c r="BA259" t="s" s="0">
        <v>241</v>
      </c>
      <c r="BB259" t="s" s="0">
        <v>78</v>
      </c>
      <c r="BC259" t="s" s="0">
        <v>82</v>
      </c>
      <c r="BD259" t="s" s="0">
        <v>82</v>
      </c>
      <c r="BE259" t="s" s="0">
        <v>82</v>
      </c>
      <c r="BF259" t="s" s="0">
        <v>82</v>
      </c>
      <c r="BG259" t="s" s="0">
        <v>869</v>
      </c>
      <c r="BH259" t="s" s="0">
        <v>2547</v>
      </c>
      <c r="BI259" t="s" s="0">
        <v>82</v>
      </c>
      <c r="BJ259" t="s" s="0">
        <v>5958</v>
      </c>
      <c r="BK259" t="s" s="515">
        <f>HYPERLINK("http://dx.doi.org/10.1111/ipd.70029","http://dx.doi.org/10.1111/ipd.70029")</f>
        <v>5959</v>
      </c>
      <c r="BL259" t="s" s="0">
        <v>82</v>
      </c>
      <c r="BM259" t="s" s="0">
        <v>107</v>
      </c>
      <c r="BN259" t="s" s="0">
        <v>98</v>
      </c>
      <c r="BO259" t="s" s="0">
        <v>5960</v>
      </c>
      <c r="BP259" t="s" s="0">
        <v>5960</v>
      </c>
      <c r="BQ259" t="s" s="0">
        <v>5961</v>
      </c>
      <c r="BR259" t="s" s="0">
        <v>5962</v>
      </c>
      <c r="BS259" t="s" s="0">
        <v>5963</v>
      </c>
      <c r="BT259" t="s" s="516">
        <f>HYPERLINK("https://www.webofscience.com/wos/woscc/full-record/WOS:001572094000001","View Record in Web of Science")</f>
        <v>120</v>
      </c>
      <c r="BU259" t="s" s="0">
        <v>924</v>
      </c>
      <c r="BV259" t="s" s="0">
        <v>82</v>
      </c>
      <c r="BW259" t="s" s="0">
        <v>82</v>
      </c>
      <c r="BX259" t="s" s="0">
        <v>121</v>
      </c>
    </row>
    <row r="260">
      <c r="A260" t="s" s="0">
        <v>77</v>
      </c>
      <c r="B260" t="s" s="0">
        <v>77</v>
      </c>
      <c r="C260" t="s" s="0">
        <v>77</v>
      </c>
      <c r="D260" t="s" s="0">
        <v>77</v>
      </c>
      <c r="E260" t="s" s="0">
        <v>5964</v>
      </c>
      <c r="F260" t="s" s="0">
        <v>5965</v>
      </c>
      <c r="G260" t="s" s="0">
        <v>5966</v>
      </c>
      <c r="H260" t="s" s="0">
        <v>82</v>
      </c>
      <c r="I260" t="s" s="0">
        <v>460</v>
      </c>
      <c r="J260" t="s" s="0">
        <v>5967</v>
      </c>
      <c r="K260" t="s" s="0">
        <v>5968</v>
      </c>
      <c r="L260" t="s" s="0">
        <v>5969</v>
      </c>
      <c r="M260" t="s" s="0">
        <v>5970</v>
      </c>
      <c r="N260" t="s" s="0">
        <v>5971</v>
      </c>
      <c r="O260" t="s" s="0">
        <v>5972</v>
      </c>
      <c r="P260" t="s" s="0">
        <v>5973</v>
      </c>
      <c r="Q260" t="s" s="0">
        <v>88</v>
      </c>
      <c r="R260" t="s" s="0">
        <v>82</v>
      </c>
      <c r="S260" t="s" s="0">
        <v>82</v>
      </c>
      <c r="T260" t="s" s="0">
        <v>82</v>
      </c>
      <c r="U260" t="s" s="0">
        <v>82</v>
      </c>
      <c r="V260" t="s" s="0">
        <v>5974</v>
      </c>
      <c r="W260" t="s" s="0">
        <v>5975</v>
      </c>
      <c r="X260" t="s" s="0">
        <v>82</v>
      </c>
      <c r="Y260" t="s" s="0">
        <v>82</v>
      </c>
      <c r="Z260" t="s" s="0">
        <v>91</v>
      </c>
      <c r="AA260" t="s" s="0">
        <v>92</v>
      </c>
      <c r="AB260" t="s" s="0">
        <v>82</v>
      </c>
      <c r="AC260" t="s" s="0">
        <v>82</v>
      </c>
      <c r="AD260" t="s" s="0">
        <v>82</v>
      </c>
      <c r="AE260" t="s" s="0">
        <v>82</v>
      </c>
      <c r="AF260" t="s" s="0">
        <v>82</v>
      </c>
      <c r="AG260" t="s" s="0">
        <v>5976</v>
      </c>
      <c r="AH260" t="s" s="0">
        <v>5977</v>
      </c>
      <c r="AI260" t="s" s="0">
        <v>5978</v>
      </c>
      <c r="AJ260" t="s" s="0">
        <v>5979</v>
      </c>
      <c r="AK260" t="s" s="0">
        <v>82</v>
      </c>
      <c r="AL260" t="s" s="0">
        <v>1504</v>
      </c>
      <c r="AM260" t="s" s="0">
        <v>77</v>
      </c>
      <c r="AN260" t="s" s="0">
        <v>77</v>
      </c>
      <c r="AO260" t="s" s="0">
        <v>99</v>
      </c>
      <c r="AP260" t="s" s="0">
        <v>110</v>
      </c>
      <c r="AQ260" t="s" s="0">
        <v>5980</v>
      </c>
      <c r="AR260" t="s" s="0">
        <v>3695</v>
      </c>
      <c r="AS260" t="s" s="0">
        <v>5981</v>
      </c>
      <c r="AT260" t="s" s="0">
        <v>5982</v>
      </c>
      <c r="AU260" t="s" s="0">
        <v>5983</v>
      </c>
      <c r="AV260" t="s" s="0">
        <v>82</v>
      </c>
      <c r="AW260" t="s" s="0">
        <v>5984</v>
      </c>
      <c r="AX260" t="s" s="0">
        <v>5985</v>
      </c>
      <c r="AY260" t="s" s="0">
        <v>448</v>
      </c>
      <c r="AZ260" t="s" s="0">
        <v>108</v>
      </c>
      <c r="BA260" t="s" s="0">
        <v>473</v>
      </c>
      <c r="BB260" t="s" s="0">
        <v>235</v>
      </c>
      <c r="BC260" t="s" s="0">
        <v>82</v>
      </c>
      <c r="BD260" t="s" s="0">
        <v>82</v>
      </c>
      <c r="BE260" t="s" s="0">
        <v>82</v>
      </c>
      <c r="BF260" t="s" s="0">
        <v>82</v>
      </c>
      <c r="BG260" t="s" s="0">
        <v>5986</v>
      </c>
      <c r="BH260" t="s" s="0">
        <v>5987</v>
      </c>
      <c r="BI260" t="s" s="0">
        <v>82</v>
      </c>
      <c r="BJ260" t="s" s="0">
        <v>5988</v>
      </c>
      <c r="BK260" t="s" s="517">
        <f>HYPERLINK("http://dx.doi.org/10.4258/hir.2025.31.4.416","http://dx.doi.org/10.4258/hir.2025.31.4.416")</f>
        <v>5989</v>
      </c>
      <c r="BL260" t="s" s="0">
        <v>82</v>
      </c>
      <c r="BM260" t="s" s="0">
        <v>82</v>
      </c>
      <c r="BN260" t="s" s="0">
        <v>363</v>
      </c>
      <c r="BO260" t="s" s="0">
        <v>805</v>
      </c>
      <c r="BP260" t="s" s="0">
        <v>805</v>
      </c>
      <c r="BQ260" t="s" s="0">
        <v>5990</v>
      </c>
      <c r="BR260" t="s" s="0">
        <v>5991</v>
      </c>
      <c r="BS260" t="s" s="0">
        <v>5992</v>
      </c>
      <c r="BT260" t="s" s="518">
        <f>HYPERLINK("https://www.webofscience.com/wos/woscc/full-record/WOS:001620298200010","View Record in Web of Science")</f>
        <v>120</v>
      </c>
      <c r="BU260" t="s" s="0">
        <v>189</v>
      </c>
      <c r="BV260" t="s" s="0">
        <v>82</v>
      </c>
      <c r="BW260" t="s" s="0">
        <v>82</v>
      </c>
      <c r="BX260" t="s" s="0">
        <v>121</v>
      </c>
    </row>
    <row r="261">
      <c r="A261" t="s" s="0">
        <v>77</v>
      </c>
      <c r="B261" t="s" s="0">
        <v>77</v>
      </c>
      <c r="C261" t="s" s="0">
        <v>235</v>
      </c>
      <c r="D261" t="s" s="0">
        <v>77</v>
      </c>
      <c r="E261" t="s" s="0">
        <v>5993</v>
      </c>
      <c r="F261" t="s" s="0">
        <v>5994</v>
      </c>
      <c r="G261" t="s" s="0">
        <v>5995</v>
      </c>
      <c r="H261" t="s" s="0">
        <v>82</v>
      </c>
      <c r="I261" t="s" s="0">
        <v>83</v>
      </c>
      <c r="J261" t="s" s="0">
        <v>5996</v>
      </c>
      <c r="K261" t="s" s="0">
        <v>5997</v>
      </c>
      <c r="L261" t="s" s="0">
        <v>82</v>
      </c>
      <c r="M261" t="s" s="0">
        <v>82</v>
      </c>
      <c r="N261" t="s" s="0">
        <v>82</v>
      </c>
      <c r="O261" t="s" s="0">
        <v>5998</v>
      </c>
      <c r="P261" t="s" s="0">
        <v>5999</v>
      </c>
      <c r="Q261" t="s" s="0">
        <v>88</v>
      </c>
      <c r="R261" t="s" s="0">
        <v>82</v>
      </c>
      <c r="S261" t="s" s="0">
        <v>6000</v>
      </c>
      <c r="T261" t="s" s="0">
        <v>82</v>
      </c>
      <c r="U261" t="s" s="0">
        <v>82</v>
      </c>
      <c r="V261" t="s" s="0">
        <v>6001</v>
      </c>
      <c r="W261" t="s" s="0">
        <v>6002</v>
      </c>
      <c r="X261" t="s" s="0">
        <v>82</v>
      </c>
      <c r="Y261" t="s" s="0">
        <v>82</v>
      </c>
      <c r="Z261" t="s" s="0">
        <v>91</v>
      </c>
      <c r="AA261" t="s" s="0">
        <v>92</v>
      </c>
      <c r="AB261" t="s" s="0">
        <v>82</v>
      </c>
      <c r="AC261" t="s" s="0">
        <v>82</v>
      </c>
      <c r="AD261" t="s" s="0">
        <v>82</v>
      </c>
      <c r="AE261" t="s" s="0">
        <v>82</v>
      </c>
      <c r="AF261" t="s" s="0">
        <v>82</v>
      </c>
      <c r="AG261" t="s" s="0">
        <v>6003</v>
      </c>
      <c r="AH261" t="s" s="0">
        <v>82</v>
      </c>
      <c r="AI261" t="s" s="0">
        <v>6004</v>
      </c>
      <c r="AJ261" t="s" s="0">
        <v>6005</v>
      </c>
      <c r="AK261" t="s" s="0">
        <v>82</v>
      </c>
      <c r="AL261" t="s" s="0">
        <v>331</v>
      </c>
      <c r="AM261" t="s" s="0">
        <v>209</v>
      </c>
      <c r="AN261" t="s" s="0">
        <v>976</v>
      </c>
      <c r="AO261" t="s" s="0">
        <v>204</v>
      </c>
      <c r="AP261" t="s" s="0">
        <v>97</v>
      </c>
      <c r="AQ261" t="s" s="0">
        <v>6006</v>
      </c>
      <c r="AR261" t="s" s="0">
        <v>6007</v>
      </c>
      <c r="AS261" t="s" s="0">
        <v>6008</v>
      </c>
      <c r="AT261" t="s" s="0">
        <v>6009</v>
      </c>
      <c r="AU261" t="s" s="0">
        <v>82</v>
      </c>
      <c r="AV261" t="s" s="0">
        <v>82</v>
      </c>
      <c r="AW261" t="s" s="0">
        <v>6010</v>
      </c>
      <c r="AX261" t="s" s="0">
        <v>6011</v>
      </c>
      <c r="AY261" t="s" s="0">
        <v>448</v>
      </c>
      <c r="AZ261" t="s" s="0">
        <v>108</v>
      </c>
      <c r="BA261" t="s" s="0">
        <v>1707</v>
      </c>
      <c r="BB261" t="s" s="0">
        <v>363</v>
      </c>
      <c r="BC261" t="s" s="0">
        <v>82</v>
      </c>
      <c r="BD261" t="s" s="0">
        <v>82</v>
      </c>
      <c r="BE261" t="s" s="0">
        <v>82</v>
      </c>
      <c r="BF261" t="s" s="0">
        <v>82</v>
      </c>
      <c r="BG261" t="s" s="0">
        <v>6012</v>
      </c>
      <c r="BH261" t="s" s="0">
        <v>6013</v>
      </c>
      <c r="BI261" t="s" s="0">
        <v>82</v>
      </c>
      <c r="BJ261" t="s" s="0">
        <v>6014</v>
      </c>
      <c r="BK261" t="s" s="519">
        <f>HYPERLINK("http://dx.doi.org/10.1016/j.diii.2025.04.006","http://dx.doi.org/10.1016/j.diii.2025.04.006")</f>
        <v>6015</v>
      </c>
      <c r="BL261" t="s" s="0">
        <v>82</v>
      </c>
      <c r="BM261" t="s" s="0">
        <v>448</v>
      </c>
      <c r="BN261" t="s" s="0">
        <v>272</v>
      </c>
      <c r="BO261" t="s" s="0">
        <v>717</v>
      </c>
      <c r="BP261" t="s" s="0">
        <v>717</v>
      </c>
      <c r="BQ261" t="s" s="0">
        <v>6016</v>
      </c>
      <c r="BR261" t="s" s="0">
        <v>6017</v>
      </c>
      <c r="BS261" t="s" s="0">
        <v>6018</v>
      </c>
      <c r="BT261" t="s" s="520">
        <f>HYPERLINK("https://www.webofscience.com/wos/woscc/full-record/WOS:001592245600004","View Record in Web of Science")</f>
        <v>120</v>
      </c>
      <c r="BU261" t="s" s="0">
        <v>1972</v>
      </c>
      <c r="BV261" t="s" s="0">
        <v>82</v>
      </c>
      <c r="BW261" t="s" s="0">
        <v>82</v>
      </c>
      <c r="BX261" t="s" s="0">
        <v>121</v>
      </c>
    </row>
    <row r="262">
      <c r="A262" t="s" s="0">
        <v>77</v>
      </c>
      <c r="B262" t="s" s="0">
        <v>77</v>
      </c>
      <c r="C262" t="s" s="0">
        <v>77</v>
      </c>
      <c r="D262" t="s" s="0">
        <v>77</v>
      </c>
      <c r="E262" t="s" s="0">
        <v>6019</v>
      </c>
      <c r="F262" t="s" s="0">
        <v>6020</v>
      </c>
      <c r="G262" t="s" s="0">
        <v>6021</v>
      </c>
      <c r="H262" t="s" s="0">
        <v>82</v>
      </c>
      <c r="I262" t="s" s="0">
        <v>460</v>
      </c>
      <c r="J262" t="s" s="0">
        <v>6022</v>
      </c>
      <c r="K262" t="s" s="0">
        <v>6023</v>
      </c>
      <c r="L262" t="s" s="0">
        <v>82</v>
      </c>
      <c r="M262" t="s" s="0">
        <v>82</v>
      </c>
      <c r="N262" t="s" s="0">
        <v>2756</v>
      </c>
      <c r="O262" t="s" s="0">
        <v>6024</v>
      </c>
      <c r="P262" t="s" s="0">
        <v>6025</v>
      </c>
      <c r="Q262" t="s" s="0">
        <v>88</v>
      </c>
      <c r="R262" t="s" s="0">
        <v>82</v>
      </c>
      <c r="S262" t="s" s="0">
        <v>82</v>
      </c>
      <c r="T262" t="s" s="0">
        <v>82</v>
      </c>
      <c r="U262" t="s" s="0">
        <v>82</v>
      </c>
      <c r="V262" t="s" s="0">
        <v>6026</v>
      </c>
      <c r="W262" t="s" s="0">
        <v>6027</v>
      </c>
      <c r="X262" t="s" s="0">
        <v>82</v>
      </c>
      <c r="Y262" t="s" s="0">
        <v>82</v>
      </c>
      <c r="Z262" t="s" s="0">
        <v>91</v>
      </c>
      <c r="AA262" t="s" s="0">
        <v>92</v>
      </c>
      <c r="AB262" t="s" s="0">
        <v>82</v>
      </c>
      <c r="AC262" t="s" s="0">
        <v>82</v>
      </c>
      <c r="AD262" t="s" s="0">
        <v>82</v>
      </c>
      <c r="AE262" t="s" s="0">
        <v>82</v>
      </c>
      <c r="AF262" t="s" s="0">
        <v>82</v>
      </c>
      <c r="AG262" t="s" s="0">
        <v>6028</v>
      </c>
      <c r="AH262" t="s" s="0">
        <v>82</v>
      </c>
      <c r="AI262" t="s" s="0">
        <v>6029</v>
      </c>
      <c r="AJ262" t="s" s="0">
        <v>82</v>
      </c>
      <c r="AK262" t="s" s="0">
        <v>82</v>
      </c>
      <c r="AL262" t="s" s="0">
        <v>428</v>
      </c>
      <c r="AM262" t="s" s="0">
        <v>77</v>
      </c>
      <c r="AN262" t="s" s="0">
        <v>77</v>
      </c>
      <c r="AO262" t="s" s="0">
        <v>77</v>
      </c>
      <c r="AP262" t="s" s="0">
        <v>77</v>
      </c>
      <c r="AQ262" t="s" s="0">
        <v>418</v>
      </c>
      <c r="AR262" t="s" s="0">
        <v>419</v>
      </c>
      <c r="AS262" t="s" s="0">
        <v>420</v>
      </c>
      <c r="AT262" t="s" s="0">
        <v>82</v>
      </c>
      <c r="AU262" t="s" s="0">
        <v>6030</v>
      </c>
      <c r="AV262" t="s" s="0">
        <v>82</v>
      </c>
      <c r="AW262" t="s" s="0">
        <v>6031</v>
      </c>
      <c r="AX262" t="s" s="0">
        <v>6032</v>
      </c>
      <c r="AY262" t="s" s="0">
        <v>6033</v>
      </c>
      <c r="AZ262" t="s" s="0">
        <v>179</v>
      </c>
      <c r="BA262" t="s" s="0">
        <v>109</v>
      </c>
      <c r="BB262" t="s" s="0">
        <v>204</v>
      </c>
      <c r="BC262" t="s" s="0">
        <v>82</v>
      </c>
      <c r="BD262" t="s" s="0">
        <v>82</v>
      </c>
      <c r="BE262" t="s" s="0">
        <v>82</v>
      </c>
      <c r="BF262" t="s" s="0">
        <v>82</v>
      </c>
      <c r="BG262" t="s" s="0">
        <v>82</v>
      </c>
      <c r="BH262" t="s" s="0">
        <v>82</v>
      </c>
      <c r="BI262" t="s" s="0">
        <v>3213</v>
      </c>
      <c r="BJ262" t="s" s="0">
        <v>6034</v>
      </c>
      <c r="BK262" t="s" s="521">
        <f>HYPERLINK("http://dx.doi.org/10.3390/medsci14020315","http://dx.doi.org/10.3390/medsci14020315")</f>
        <v>6035</v>
      </c>
      <c r="BL262" t="s" s="0">
        <v>82</v>
      </c>
      <c r="BM262" t="s" s="0">
        <v>358</v>
      </c>
      <c r="BN262" t="s" s="0">
        <v>184</v>
      </c>
      <c r="BO262" t="s" s="0">
        <v>1803</v>
      </c>
      <c r="BP262" t="s" s="0">
        <v>1804</v>
      </c>
      <c r="BQ262" t="s" s="0">
        <v>6036</v>
      </c>
      <c r="BR262" t="s" s="0">
        <v>6037</v>
      </c>
      <c r="BS262" t="s" s="0">
        <v>6038</v>
      </c>
      <c r="BT262" t="s" s="522">
        <f>HYPERLINK("https://www.webofscience.com/wos/woscc/full-record/WOS:001804701500001","View Record in Web of Science")</f>
        <v>120</v>
      </c>
      <c r="BU262" t="s" s="0">
        <v>189</v>
      </c>
      <c r="BV262" t="s" s="0">
        <v>82</v>
      </c>
      <c r="BW262" t="s" s="0">
        <v>82</v>
      </c>
      <c r="BX262" t="s" s="0">
        <v>121</v>
      </c>
    </row>
    <row r="263">
      <c r="A263" t="s" s="0">
        <v>77</v>
      </c>
      <c r="B263" t="s" s="0">
        <v>77</v>
      </c>
      <c r="C263" t="s" s="0">
        <v>77</v>
      </c>
      <c r="D263" t="s" s="0">
        <v>77</v>
      </c>
      <c r="E263" t="s" s="0">
        <v>6039</v>
      </c>
      <c r="F263" t="s" s="0">
        <v>6040</v>
      </c>
      <c r="G263" t="s" s="0">
        <v>6041</v>
      </c>
      <c r="H263" t="s" s="0">
        <v>82</v>
      </c>
      <c r="I263" t="s" s="0">
        <v>83</v>
      </c>
      <c r="J263" t="s" s="0">
        <v>6042</v>
      </c>
      <c r="K263" t="s" s="0">
        <v>6043</v>
      </c>
      <c r="L263" t="s" s="0">
        <v>82</v>
      </c>
      <c r="M263" t="s" s="0">
        <v>82</v>
      </c>
      <c r="N263" t="s" s="0">
        <v>82</v>
      </c>
      <c r="O263" t="s" s="0">
        <v>6044</v>
      </c>
      <c r="P263" t="s" s="0">
        <v>6045</v>
      </c>
      <c r="Q263" t="s" s="0">
        <v>88</v>
      </c>
      <c r="R263" t="s" s="0">
        <v>82</v>
      </c>
      <c r="S263" t="s" s="0">
        <v>82</v>
      </c>
      <c r="T263" t="s" s="0">
        <v>82</v>
      </c>
      <c r="U263" t="s" s="0">
        <v>82</v>
      </c>
      <c r="V263" t="s" s="0">
        <v>6046</v>
      </c>
      <c r="W263" t="s" s="0">
        <v>6047</v>
      </c>
      <c r="X263" t="s" s="0">
        <v>82</v>
      </c>
      <c r="Y263" t="s" s="0">
        <v>82</v>
      </c>
      <c r="Z263" t="s" s="0">
        <v>91</v>
      </c>
      <c r="AA263" t="s" s="0">
        <v>908</v>
      </c>
      <c r="AB263" t="s" s="0">
        <v>82</v>
      </c>
      <c r="AC263" t="s" s="0">
        <v>82</v>
      </c>
      <c r="AD263" t="s" s="0">
        <v>82</v>
      </c>
      <c r="AE263" t="s" s="0">
        <v>82</v>
      </c>
      <c r="AF263" t="s" s="0">
        <v>82</v>
      </c>
      <c r="AG263" t="s" s="0">
        <v>6048</v>
      </c>
      <c r="AH263" t="s" s="0">
        <v>82</v>
      </c>
      <c r="AI263" t="s" s="0">
        <v>6049</v>
      </c>
      <c r="AJ263" t="s" s="0">
        <v>82</v>
      </c>
      <c r="AK263" t="s" s="0">
        <v>82</v>
      </c>
      <c r="AL263" t="s" s="0">
        <v>1504</v>
      </c>
      <c r="AM263" t="s" s="0">
        <v>77</v>
      </c>
      <c r="AN263" t="s" s="0">
        <v>77</v>
      </c>
      <c r="AO263" t="s" s="0">
        <v>78</v>
      </c>
      <c r="AP263" t="s" s="0">
        <v>78</v>
      </c>
      <c r="AQ263" t="s" s="0">
        <v>6050</v>
      </c>
      <c r="AR263" t="s" s="0">
        <v>475</v>
      </c>
      <c r="AS263" t="s" s="0">
        <v>6051</v>
      </c>
      <c r="AT263" t="s" s="0">
        <v>6052</v>
      </c>
      <c r="AU263" t="s" s="0">
        <v>6053</v>
      </c>
      <c r="AV263" t="s" s="0">
        <v>82</v>
      </c>
      <c r="AW263" t="s" s="0">
        <v>6054</v>
      </c>
      <c r="AX263" t="s" s="0">
        <v>6055</v>
      </c>
      <c r="AY263" t="s" s="0">
        <v>82</v>
      </c>
      <c r="AZ263" t="s" s="0">
        <v>179</v>
      </c>
      <c r="BA263" t="s" s="0">
        <v>82</v>
      </c>
      <c r="BB263" t="s" s="0">
        <v>82</v>
      </c>
      <c r="BC263" t="s" s="0">
        <v>82</v>
      </c>
      <c r="BD263" t="s" s="0">
        <v>82</v>
      </c>
      <c r="BE263" t="s" s="0">
        <v>82</v>
      </c>
      <c r="BF263" t="s" s="0">
        <v>82</v>
      </c>
      <c r="BG263" t="s" s="0">
        <v>82</v>
      </c>
      <c r="BH263" t="s" s="0">
        <v>82</v>
      </c>
      <c r="BI263" t="s" s="0">
        <v>82</v>
      </c>
      <c r="BJ263" t="s" s="0">
        <v>6056</v>
      </c>
      <c r="BK263" t="s" s="523">
        <f>HYPERLINK("http://dx.doi.org/10.1136/bjo-2025-328867","http://dx.doi.org/10.1136/bjo-2025-328867")</f>
        <v>6057</v>
      </c>
      <c r="BL263" t="s" s="0">
        <v>82</v>
      </c>
      <c r="BM263" t="s" s="0">
        <v>183</v>
      </c>
      <c r="BN263" t="s" s="0">
        <v>272</v>
      </c>
      <c r="BO263" t="s" s="0">
        <v>396</v>
      </c>
      <c r="BP263" t="s" s="0">
        <v>396</v>
      </c>
      <c r="BQ263" t="s" s="0">
        <v>6058</v>
      </c>
      <c r="BR263" t="s" s="0">
        <v>6059</v>
      </c>
      <c r="BS263" t="s" s="0">
        <v>6060</v>
      </c>
      <c r="BT263" t="s" s="524">
        <f>HYPERLINK("https://www.webofscience.com/wos/woscc/full-record/WOS:001736055100001","View Record in Web of Science")</f>
        <v>120</v>
      </c>
      <c r="BU263" t="s" s="0">
        <v>82</v>
      </c>
      <c r="BV263" t="s" s="0">
        <v>82</v>
      </c>
      <c r="BW263" t="s" s="0">
        <v>82</v>
      </c>
      <c r="BX263" t="s" s="0">
        <v>121</v>
      </c>
    </row>
    <row r="264">
      <c r="A264" t="s" s="0">
        <v>77</v>
      </c>
      <c r="B264" t="s" s="0">
        <v>77</v>
      </c>
      <c r="C264" t="s" s="0">
        <v>77</v>
      </c>
      <c r="D264" t="s" s="0">
        <v>77</v>
      </c>
      <c r="E264" t="s" s="0">
        <v>6061</v>
      </c>
      <c r="F264" t="s" s="0">
        <v>6062</v>
      </c>
      <c r="G264" t="s" s="0">
        <v>6063</v>
      </c>
      <c r="H264" t="s" s="0">
        <v>82</v>
      </c>
      <c r="I264" t="s" s="0">
        <v>460</v>
      </c>
      <c r="J264" t="s" s="0">
        <v>6064</v>
      </c>
      <c r="K264" t="s" s="0">
        <v>6065</v>
      </c>
      <c r="L264" t="s" s="0">
        <v>82</v>
      </c>
      <c r="M264" t="s" s="0">
        <v>82</v>
      </c>
      <c r="N264" t="s" s="0">
        <v>6066</v>
      </c>
      <c r="O264" t="s" s="0">
        <v>6067</v>
      </c>
      <c r="P264" t="s" s="0">
        <v>4524</v>
      </c>
      <c r="Q264" t="s" s="0">
        <v>88</v>
      </c>
      <c r="R264" t="s" s="0">
        <v>82</v>
      </c>
      <c r="S264" t="s" s="0">
        <v>82</v>
      </c>
      <c r="T264" t="s" s="0">
        <v>82</v>
      </c>
      <c r="U264" t="s" s="0">
        <v>82</v>
      </c>
      <c r="V264" t="s" s="0">
        <v>6068</v>
      </c>
      <c r="W264" t="s" s="0">
        <v>6069</v>
      </c>
      <c r="X264" t="s" s="0">
        <v>82</v>
      </c>
      <c r="Y264" t="s" s="0">
        <v>82</v>
      </c>
      <c r="Z264" t="s" s="0">
        <v>91</v>
      </c>
      <c r="AA264" t="s" s="0">
        <v>92</v>
      </c>
      <c r="AB264" t="s" s="0">
        <v>82</v>
      </c>
      <c r="AC264" t="s" s="0">
        <v>82</v>
      </c>
      <c r="AD264" t="s" s="0">
        <v>82</v>
      </c>
      <c r="AE264" t="s" s="0">
        <v>82</v>
      </c>
      <c r="AF264" t="s" s="0">
        <v>82</v>
      </c>
      <c r="AG264" t="s" s="0">
        <v>82</v>
      </c>
      <c r="AH264" t="s" s="0">
        <v>6070</v>
      </c>
      <c r="AI264" t="s" s="0">
        <v>82</v>
      </c>
      <c r="AJ264" t="s" s="0">
        <v>82</v>
      </c>
      <c r="AK264" t="s" s="0">
        <v>82</v>
      </c>
      <c r="AL264" t="s" s="0">
        <v>147</v>
      </c>
      <c r="AM264" t="s" s="0">
        <v>77</v>
      </c>
      <c r="AN264" t="s" s="0">
        <v>77</v>
      </c>
      <c r="AO264" t="s" s="0">
        <v>77</v>
      </c>
      <c r="AP264" t="s" s="0">
        <v>77</v>
      </c>
      <c r="AQ264" t="s" s="0">
        <v>1296</v>
      </c>
      <c r="AR264" t="s" s="0">
        <v>965</v>
      </c>
      <c r="AS264" t="s" s="0">
        <v>1297</v>
      </c>
      <c r="AT264" t="s" s="0">
        <v>82</v>
      </c>
      <c r="AU264" t="s" s="0">
        <v>6071</v>
      </c>
      <c r="AV264" t="s" s="0">
        <v>82</v>
      </c>
      <c r="AW264" t="s" s="0">
        <v>6072</v>
      </c>
      <c r="AX264" t="s" s="0">
        <v>6073</v>
      </c>
      <c r="AY264" t="s" s="0">
        <v>179</v>
      </c>
      <c r="AZ264" t="s" s="0">
        <v>179</v>
      </c>
      <c r="BA264" t="s" s="0">
        <v>272</v>
      </c>
      <c r="BB264" t="s" s="0">
        <v>82</v>
      </c>
      <c r="BC264" t="s" s="0">
        <v>82</v>
      </c>
      <c r="BD264" t="s" s="0">
        <v>82</v>
      </c>
      <c r="BE264" t="s" s="0">
        <v>82</v>
      </c>
      <c r="BF264" t="s" s="0">
        <v>82</v>
      </c>
      <c r="BG264" t="s" s="0">
        <v>82</v>
      </c>
      <c r="BH264" t="s" s="0">
        <v>82</v>
      </c>
      <c r="BI264" t="s" s="0">
        <v>6074</v>
      </c>
      <c r="BJ264" t="s" s="0">
        <v>6075</v>
      </c>
      <c r="BK264" t="s" s="525">
        <f>HYPERLINK("http://dx.doi.org/10.1093/asjof/ojag112","http://dx.doi.org/10.1093/asjof/ojag112")</f>
        <v>6076</v>
      </c>
      <c r="BL264" t="s" s="0">
        <v>82</v>
      </c>
      <c r="BM264" t="s" s="0">
        <v>82</v>
      </c>
      <c r="BN264" t="s" s="0">
        <v>148</v>
      </c>
      <c r="BO264" t="s" s="0">
        <v>3359</v>
      </c>
      <c r="BP264" t="s" s="0">
        <v>3359</v>
      </c>
      <c r="BQ264" t="s" s="0">
        <v>6077</v>
      </c>
      <c r="BR264" t="s" s="0">
        <v>6078</v>
      </c>
      <c r="BS264" t="s" s="0">
        <v>6079</v>
      </c>
      <c r="BT264" t="s" s="526">
        <f>HYPERLINK("https://www.webofscience.com/wos/woscc/full-record/WOS:001810780200001","View Record in Web of Science")</f>
        <v>120</v>
      </c>
      <c r="BU264" t="s" s="0">
        <v>189</v>
      </c>
      <c r="BV264" t="s" s="0">
        <v>82</v>
      </c>
      <c r="BW264" t="s" s="0">
        <v>82</v>
      </c>
      <c r="BX264" t="s" s="0">
        <v>121</v>
      </c>
    </row>
    <row r="265">
      <c r="A265" t="s" s="0">
        <v>77</v>
      </c>
      <c r="B265" t="s" s="0">
        <v>77</v>
      </c>
      <c r="C265" t="s" s="0">
        <v>77</v>
      </c>
      <c r="D265" t="s" s="0">
        <v>77</v>
      </c>
      <c r="E265" t="s" s="0">
        <v>6080</v>
      </c>
      <c r="F265" t="s" s="0">
        <v>6081</v>
      </c>
      <c r="G265" t="s" s="0">
        <v>6082</v>
      </c>
      <c r="H265" t="s" s="0">
        <v>82</v>
      </c>
      <c r="I265" t="s" s="0">
        <v>83</v>
      </c>
      <c r="J265" t="s" s="0">
        <v>6083</v>
      </c>
      <c r="K265" t="s" s="0">
        <v>6084</v>
      </c>
      <c r="L265" t="s" s="0">
        <v>6085</v>
      </c>
      <c r="M265" t="s" s="0">
        <v>6086</v>
      </c>
      <c r="N265" t="s" s="0">
        <v>6087</v>
      </c>
      <c r="O265" t="s" s="0">
        <v>6088</v>
      </c>
      <c r="P265" t="s" s="0">
        <v>6089</v>
      </c>
      <c r="Q265" t="s" s="0">
        <v>88</v>
      </c>
      <c r="R265" t="s" s="0">
        <v>82</v>
      </c>
      <c r="S265" t="s" s="0">
        <v>82</v>
      </c>
      <c r="T265" t="s" s="0">
        <v>82</v>
      </c>
      <c r="U265" t="s" s="0">
        <v>82</v>
      </c>
      <c r="V265" t="s" s="0">
        <v>6090</v>
      </c>
      <c r="W265" t="s" s="0">
        <v>3157</v>
      </c>
      <c r="X265" t="s" s="0">
        <v>82</v>
      </c>
      <c r="Y265" t="s" s="0">
        <v>82</v>
      </c>
      <c r="Z265" t="s" s="0">
        <v>91</v>
      </c>
      <c r="AA265" t="s" s="0">
        <v>92</v>
      </c>
      <c r="AB265" t="s" s="0">
        <v>82</v>
      </c>
      <c r="AC265" t="s" s="0">
        <v>82</v>
      </c>
      <c r="AD265" t="s" s="0">
        <v>82</v>
      </c>
      <c r="AE265" t="s" s="0">
        <v>82</v>
      </c>
      <c r="AF265" t="s" s="0">
        <v>82</v>
      </c>
      <c r="AG265" t="s" s="0">
        <v>6091</v>
      </c>
      <c r="AH265" t="s" s="0">
        <v>82</v>
      </c>
      <c r="AI265" t="s" s="0">
        <v>6092</v>
      </c>
      <c r="AJ265" t="s" s="0">
        <v>82</v>
      </c>
      <c r="AK265" t="s" s="0">
        <v>82</v>
      </c>
      <c r="AL265" t="s" s="0">
        <v>139</v>
      </c>
      <c r="AM265" t="s" s="0">
        <v>77</v>
      </c>
      <c r="AN265" t="s" s="0">
        <v>77</v>
      </c>
      <c r="AO265" t="s" s="0">
        <v>77</v>
      </c>
      <c r="AP265" t="s" s="0">
        <v>77</v>
      </c>
      <c r="AQ265" t="s" s="0">
        <v>418</v>
      </c>
      <c r="AR265" t="s" s="0">
        <v>419</v>
      </c>
      <c r="AS265" t="s" s="0">
        <v>420</v>
      </c>
      <c r="AT265" t="s" s="0">
        <v>82</v>
      </c>
      <c r="AU265" t="s" s="0">
        <v>3162</v>
      </c>
      <c r="AV265" t="s" s="0">
        <v>82</v>
      </c>
      <c r="AW265" t="s" s="0">
        <v>3157</v>
      </c>
      <c r="AX265" t="s" s="0">
        <v>3163</v>
      </c>
      <c r="AY265" t="s" s="0">
        <v>1917</v>
      </c>
      <c r="AZ265" t="s" s="0">
        <v>179</v>
      </c>
      <c r="BA265" t="s" s="0">
        <v>209</v>
      </c>
      <c r="BB265" t="s" s="0">
        <v>115</v>
      </c>
      <c r="BC265" t="s" s="0">
        <v>82</v>
      </c>
      <c r="BD265" t="s" s="0">
        <v>82</v>
      </c>
      <c r="BE265" t="s" s="0">
        <v>82</v>
      </c>
      <c r="BF265" t="s" s="0">
        <v>82</v>
      </c>
      <c r="BG265" t="s" s="0">
        <v>82</v>
      </c>
      <c r="BH265" t="s" s="0">
        <v>82</v>
      </c>
      <c r="BI265" t="s" s="0">
        <v>3594</v>
      </c>
      <c r="BJ265" t="s" s="0">
        <v>6093</v>
      </c>
      <c r="BK265" t="s" s="527">
        <f>HYPERLINK("http://dx.doi.org/10.3390/diagnostics16091258","http://dx.doi.org/10.3390/diagnostics16091258")</f>
        <v>6094</v>
      </c>
      <c r="BL265" t="s" s="0">
        <v>82</v>
      </c>
      <c r="BM265" t="s" s="0">
        <v>183</v>
      </c>
      <c r="BN265" t="s" s="0">
        <v>428</v>
      </c>
      <c r="BO265" t="s" s="0">
        <v>1803</v>
      </c>
      <c r="BP265" t="s" s="0">
        <v>1804</v>
      </c>
      <c r="BQ265" t="s" s="0">
        <v>6095</v>
      </c>
      <c r="BR265" t="s" s="0">
        <v>6096</v>
      </c>
      <c r="BS265" t="s" s="0">
        <v>6097</v>
      </c>
      <c r="BT265" t="s" s="528">
        <f>HYPERLINK("https://www.webofscience.com/wos/woscc/full-record/WOS:001764073400001","View Record in Web of Science")</f>
        <v>120</v>
      </c>
      <c r="BU265" t="s" s="0">
        <v>189</v>
      </c>
      <c r="BV265" t="s" s="0">
        <v>82</v>
      </c>
      <c r="BW265" t="s" s="0">
        <v>82</v>
      </c>
      <c r="BX265" t="s" s="0">
        <v>121</v>
      </c>
    </row>
    <row r="266">
      <c r="A266" t="s" s="0">
        <v>77</v>
      </c>
      <c r="B266" t="s" s="0">
        <v>77</v>
      </c>
      <c r="C266" t="s" s="0">
        <v>77</v>
      </c>
      <c r="D266" t="s" s="0">
        <v>77</v>
      </c>
      <c r="E266" t="s" s="0">
        <v>6098</v>
      </c>
      <c r="F266" t="s" s="0">
        <v>6099</v>
      </c>
      <c r="G266" t="s" s="0">
        <v>6100</v>
      </c>
      <c r="H266" t="s" s="0">
        <v>82</v>
      </c>
      <c r="I266" t="s" s="0">
        <v>1284</v>
      </c>
      <c r="J266" t="s" s="0">
        <v>6101</v>
      </c>
      <c r="K266" t="s" s="0">
        <v>6102</v>
      </c>
      <c r="L266" t="s" s="0">
        <v>82</v>
      </c>
      <c r="M266" t="s" s="0">
        <v>82</v>
      </c>
      <c r="N266" t="s" s="0">
        <v>82</v>
      </c>
      <c r="O266" t="s" s="0">
        <v>6103</v>
      </c>
      <c r="P266" t="s" s="0">
        <v>6104</v>
      </c>
      <c r="Q266" t="s" s="0">
        <v>88</v>
      </c>
      <c r="R266" t="s" s="0">
        <v>82</v>
      </c>
      <c r="S266" t="s" s="0">
        <v>82</v>
      </c>
      <c r="T266" t="s" s="0">
        <v>82</v>
      </c>
      <c r="U266" t="s" s="0">
        <v>82</v>
      </c>
      <c r="V266" t="s" s="0">
        <v>6105</v>
      </c>
      <c r="W266" t="s" s="0">
        <v>6106</v>
      </c>
      <c r="X266" t="s" s="0">
        <v>82</v>
      </c>
      <c r="Y266" t="s" s="0">
        <v>82</v>
      </c>
      <c r="Z266" t="s" s="0">
        <v>91</v>
      </c>
      <c r="AA266" t="s" s="0">
        <v>92</v>
      </c>
      <c r="AB266" t="s" s="0">
        <v>82</v>
      </c>
      <c r="AC266" t="s" s="0">
        <v>82</v>
      </c>
      <c r="AD266" t="s" s="0">
        <v>82</v>
      </c>
      <c r="AE266" t="s" s="0">
        <v>82</v>
      </c>
      <c r="AF266" t="s" s="0">
        <v>82</v>
      </c>
      <c r="AG266" t="s" s="0">
        <v>6107</v>
      </c>
      <c r="AH266" t="s" s="0">
        <v>82</v>
      </c>
      <c r="AI266" t="s" s="0">
        <v>82</v>
      </c>
      <c r="AJ266" t="s" s="0">
        <v>6108</v>
      </c>
      <c r="AK266" t="s" s="0">
        <v>82</v>
      </c>
      <c r="AL266" t="s" s="0">
        <v>115</v>
      </c>
      <c r="AM266" t="s" s="0">
        <v>77</v>
      </c>
      <c r="AN266" t="s" s="0">
        <v>77</v>
      </c>
      <c r="AO266" t="s" s="0">
        <v>235</v>
      </c>
      <c r="AP266" t="s" s="0">
        <v>235</v>
      </c>
      <c r="AQ266" t="s" s="0">
        <v>2460</v>
      </c>
      <c r="AR266" t="s" s="0">
        <v>2461</v>
      </c>
      <c r="AS266" t="s" s="0">
        <v>2462</v>
      </c>
      <c r="AT266" t="s" s="0">
        <v>82</v>
      </c>
      <c r="AU266" t="s" s="0">
        <v>6109</v>
      </c>
      <c r="AV266" t="s" s="0">
        <v>82</v>
      </c>
      <c r="AW266" t="s" s="0">
        <v>6106</v>
      </c>
      <c r="AX266" t="s" s="0">
        <v>6110</v>
      </c>
      <c r="AY266" t="s" s="0">
        <v>179</v>
      </c>
      <c r="AZ266" t="s" s="0">
        <v>179</v>
      </c>
      <c r="BA266" t="s" s="0">
        <v>115</v>
      </c>
      <c r="BB266" t="s" s="0">
        <v>82</v>
      </c>
      <c r="BC266" t="s" s="0">
        <v>82</v>
      </c>
      <c r="BD266" t="s" s="0">
        <v>82</v>
      </c>
      <c r="BE266" t="s" s="0">
        <v>82</v>
      </c>
      <c r="BF266" t="s" s="0">
        <v>82</v>
      </c>
      <c r="BG266" t="s" s="0">
        <v>82</v>
      </c>
      <c r="BH266" t="s" s="0">
        <v>82</v>
      </c>
      <c r="BI266" t="s" s="0">
        <v>6111</v>
      </c>
      <c r="BJ266" t="s" s="0">
        <v>6112</v>
      </c>
      <c r="BK266" t="s" s="529">
        <f>HYPERLINK("http://dx.doi.org/10.2196/77591","http://dx.doi.org/10.2196/77591")</f>
        <v>6113</v>
      </c>
      <c r="BL266" t="s" s="0">
        <v>82</v>
      </c>
      <c r="BM266" t="s" s="0">
        <v>82</v>
      </c>
      <c r="BN266" t="s" s="0">
        <v>110</v>
      </c>
      <c r="BO266" t="s" s="0">
        <v>6114</v>
      </c>
      <c r="BP266" t="s" s="0">
        <v>6115</v>
      </c>
      <c r="BQ266" t="s" s="0">
        <v>6116</v>
      </c>
      <c r="BR266" t="s" s="0">
        <v>6117</v>
      </c>
      <c r="BS266" t="s" s="0">
        <v>6118</v>
      </c>
      <c r="BT266" t="s" s="530">
        <f>HYPERLINK("https://www.webofscience.com/wos/woscc/full-record/WOS:001766157800001","View Record in Web of Science")</f>
        <v>120</v>
      </c>
      <c r="BU266" t="s" s="0">
        <v>189</v>
      </c>
      <c r="BV266" t="s" s="0">
        <v>82</v>
      </c>
      <c r="BW266" t="s" s="0">
        <v>82</v>
      </c>
      <c r="BX266" t="s" s="0">
        <v>121</v>
      </c>
    </row>
    <row r="267">
      <c r="A267" t="s" s="0">
        <v>77</v>
      </c>
      <c r="B267" t="s" s="0">
        <v>77</v>
      </c>
      <c r="C267" t="s" s="0">
        <v>77</v>
      </c>
      <c r="D267" t="s" s="0">
        <v>77</v>
      </c>
      <c r="E267" t="s" s="0">
        <v>6119</v>
      </c>
      <c r="F267" t="s" s="0">
        <v>6120</v>
      </c>
      <c r="G267" t="s" s="0">
        <v>6121</v>
      </c>
      <c r="H267" t="s" s="0">
        <v>82</v>
      </c>
      <c r="I267" t="s" s="0">
        <v>83</v>
      </c>
      <c r="J267" t="s" s="0">
        <v>6122</v>
      </c>
      <c r="K267" t="s" s="0">
        <v>6123</v>
      </c>
      <c r="L267" t="s" s="0">
        <v>6124</v>
      </c>
      <c r="M267" t="s" s="0">
        <v>6125</v>
      </c>
      <c r="N267" t="s" s="0">
        <v>6126</v>
      </c>
      <c r="O267" t="s" s="0">
        <v>6127</v>
      </c>
      <c r="P267" t="s" s="0">
        <v>6128</v>
      </c>
      <c r="Q267" t="s" s="0">
        <v>88</v>
      </c>
      <c r="R267" t="s" s="0">
        <v>82</v>
      </c>
      <c r="S267" t="s" s="0">
        <v>82</v>
      </c>
      <c r="T267" t="s" s="0">
        <v>82</v>
      </c>
      <c r="U267" t="s" s="0">
        <v>82</v>
      </c>
      <c r="V267" t="s" s="0">
        <v>6129</v>
      </c>
      <c r="W267" t="s" s="0">
        <v>960</v>
      </c>
      <c r="X267" t="s" s="0">
        <v>82</v>
      </c>
      <c r="Y267" t="s" s="0">
        <v>82</v>
      </c>
      <c r="Z267" t="s" s="0">
        <v>91</v>
      </c>
      <c r="AA267" t="s" s="0">
        <v>92</v>
      </c>
      <c r="AB267" t="s" s="0">
        <v>82</v>
      </c>
      <c r="AC267" t="s" s="0">
        <v>82</v>
      </c>
      <c r="AD267" t="s" s="0">
        <v>82</v>
      </c>
      <c r="AE267" t="s" s="0">
        <v>82</v>
      </c>
      <c r="AF267" t="s" s="0">
        <v>82</v>
      </c>
      <c r="AG267" t="s" s="0">
        <v>6130</v>
      </c>
      <c r="AH267" t="s" s="0">
        <v>82</v>
      </c>
      <c r="AI267" t="s" s="0">
        <v>6131</v>
      </c>
      <c r="AJ267" t="s" s="0">
        <v>82</v>
      </c>
      <c r="AK267" t="s" s="0">
        <v>82</v>
      </c>
      <c r="AL267" t="s" s="0">
        <v>3449</v>
      </c>
      <c r="AM267" t="s" s="0">
        <v>77</v>
      </c>
      <c r="AN267" t="s" s="0">
        <v>77</v>
      </c>
      <c r="AO267" t="s" s="0">
        <v>78</v>
      </c>
      <c r="AP267" t="s" s="0">
        <v>78</v>
      </c>
      <c r="AQ267" t="s" s="0">
        <v>964</v>
      </c>
      <c r="AR267" t="s" s="0">
        <v>965</v>
      </c>
      <c r="AS267" t="s" s="0">
        <v>966</v>
      </c>
      <c r="AT267" t="s" s="0">
        <v>967</v>
      </c>
      <c r="AU267" t="s" s="0">
        <v>968</v>
      </c>
      <c r="AV267" t="s" s="0">
        <v>82</v>
      </c>
      <c r="AW267" t="s" s="0">
        <v>969</v>
      </c>
      <c r="AX267" t="s" s="0">
        <v>970</v>
      </c>
      <c r="AY267" t="s" s="0">
        <v>3742</v>
      </c>
      <c r="AZ267" t="s" s="0">
        <v>1866</v>
      </c>
      <c r="BA267" t="s" s="0">
        <v>6132</v>
      </c>
      <c r="BB267" t="s" s="0">
        <v>82</v>
      </c>
      <c r="BC267" t="s" s="0">
        <v>82</v>
      </c>
      <c r="BD267" t="s" s="0">
        <v>1990</v>
      </c>
      <c r="BE267" t="s" s="0">
        <v>82</v>
      </c>
      <c r="BF267" t="s" s="0">
        <v>82</v>
      </c>
      <c r="BG267" t="s" s="0">
        <v>82</v>
      </c>
      <c r="BH267" t="s" s="0">
        <v>82</v>
      </c>
      <c r="BI267" t="s" s="0">
        <v>6133</v>
      </c>
      <c r="BJ267" t="s" s="0">
        <v>6134</v>
      </c>
      <c r="BK267" t="s" s="531">
        <f>HYPERLINK("http://dx.doi.org/10.1016/j.eswa.2026.133541","http://dx.doi.org/10.1016/j.eswa.2026.133541")</f>
        <v>6135</v>
      </c>
      <c r="BL267" t="s" s="0">
        <v>82</v>
      </c>
      <c r="BM267" t="s" s="0">
        <v>82</v>
      </c>
      <c r="BN267" t="s" s="0">
        <v>892</v>
      </c>
      <c r="BO267" t="s" s="0">
        <v>977</v>
      </c>
      <c r="BP267" t="s" s="0">
        <v>978</v>
      </c>
      <c r="BQ267" t="s" s="0">
        <v>6136</v>
      </c>
      <c r="BR267" t="s" s="0">
        <v>82</v>
      </c>
      <c r="BS267" t="s" s="0">
        <v>6137</v>
      </c>
      <c r="BT267" t="s" s="532">
        <f>HYPERLINK("https://www.webofscience.com/wos/woscc/full-record/WOS:001825590100001","View Record in Web of Science")</f>
        <v>120</v>
      </c>
      <c r="BU267" t="s" s="0">
        <v>82</v>
      </c>
      <c r="BV267" t="s" s="0">
        <v>82</v>
      </c>
      <c r="BW267" t="s" s="0">
        <v>82</v>
      </c>
      <c r="BX267" t="s" s="0">
        <v>121</v>
      </c>
    </row>
    <row r="268">
      <c r="A268" t="s" s="0">
        <v>77</v>
      </c>
      <c r="B268" t="s" s="0">
        <v>77</v>
      </c>
      <c r="C268" t="s" s="0">
        <v>78</v>
      </c>
      <c r="D268" t="s" s="0">
        <v>77</v>
      </c>
      <c r="E268" t="s" s="0">
        <v>6138</v>
      </c>
      <c r="F268" t="s" s="0">
        <v>6139</v>
      </c>
      <c r="G268" t="s" s="0">
        <v>6140</v>
      </c>
      <c r="H268" t="s" s="0">
        <v>82</v>
      </c>
      <c r="I268" t="s" s="0">
        <v>83</v>
      </c>
      <c r="J268" t="s" s="0">
        <v>6141</v>
      </c>
      <c r="K268" t="s" s="0">
        <v>6142</v>
      </c>
      <c r="L268" t="s" s="0">
        <v>6143</v>
      </c>
      <c r="M268" t="s" s="0">
        <v>6144</v>
      </c>
      <c r="N268" t="s" s="0">
        <v>6145</v>
      </c>
      <c r="O268" t="s" s="0">
        <v>6146</v>
      </c>
      <c r="P268" t="s" s="0">
        <v>82</v>
      </c>
      <c r="Q268" t="s" s="0">
        <v>88</v>
      </c>
      <c r="R268" t="s" s="0">
        <v>82</v>
      </c>
      <c r="S268" t="s" s="0">
        <v>82</v>
      </c>
      <c r="T268" t="s" s="0">
        <v>82</v>
      </c>
      <c r="U268" t="s" s="0">
        <v>82</v>
      </c>
      <c r="V268" t="s" s="0">
        <v>6147</v>
      </c>
      <c r="W268" t="s" s="0">
        <v>1065</v>
      </c>
      <c r="X268" t="s" s="0">
        <v>82</v>
      </c>
      <c r="Y268" t="s" s="0">
        <v>82</v>
      </c>
      <c r="Z268" t="s" s="0">
        <v>91</v>
      </c>
      <c r="AA268" t="s" s="0">
        <v>92</v>
      </c>
      <c r="AB268" t="s" s="0">
        <v>82</v>
      </c>
      <c r="AC268" t="s" s="0">
        <v>82</v>
      </c>
      <c r="AD268" t="s" s="0">
        <v>82</v>
      </c>
      <c r="AE268" t="s" s="0">
        <v>82</v>
      </c>
      <c r="AF268" t="s" s="0">
        <v>82</v>
      </c>
      <c r="AG268" t="s" s="0">
        <v>6148</v>
      </c>
      <c r="AH268" t="s" s="0">
        <v>82</v>
      </c>
      <c r="AI268" t="s" s="0">
        <v>6149</v>
      </c>
      <c r="AJ268" t="s" s="0">
        <v>6150</v>
      </c>
      <c r="AK268" t="s" s="0">
        <v>82</v>
      </c>
      <c r="AL268" t="s" s="0">
        <v>415</v>
      </c>
      <c r="AM268" t="s" s="0">
        <v>110</v>
      </c>
      <c r="AN268" t="s" s="0">
        <v>97</v>
      </c>
      <c r="AO268" t="s" s="0">
        <v>235</v>
      </c>
      <c r="AP268" t="s" s="0">
        <v>892</v>
      </c>
      <c r="AQ268" t="s" s="0">
        <v>100</v>
      </c>
      <c r="AR268" t="s" s="0">
        <v>101</v>
      </c>
      <c r="AS268" t="s" s="0">
        <v>102</v>
      </c>
      <c r="AT268" t="s" s="0">
        <v>1069</v>
      </c>
      <c r="AU268" t="s" s="0">
        <v>1070</v>
      </c>
      <c r="AV268" t="s" s="0">
        <v>82</v>
      </c>
      <c r="AW268" t="s" s="0">
        <v>1071</v>
      </c>
      <c r="AX268" t="s" s="0">
        <v>1072</v>
      </c>
      <c r="AY268" t="s" s="0">
        <v>448</v>
      </c>
      <c r="AZ268" t="s" s="0">
        <v>108</v>
      </c>
      <c r="BA268" t="s" s="0">
        <v>241</v>
      </c>
      <c r="BB268" t="s" s="0">
        <v>363</v>
      </c>
      <c r="BC268" t="s" s="0">
        <v>82</v>
      </c>
      <c r="BD268" t="s" s="0">
        <v>82</v>
      </c>
      <c r="BE268" t="s" s="0">
        <v>82</v>
      </c>
      <c r="BF268" t="s" s="0">
        <v>82</v>
      </c>
      <c r="BG268" t="s" s="0">
        <v>6151</v>
      </c>
      <c r="BH268" t="s" s="0">
        <v>6152</v>
      </c>
      <c r="BI268" t="s" s="0">
        <v>82</v>
      </c>
      <c r="BJ268" t="s" s="0">
        <v>6153</v>
      </c>
      <c r="BK268" t="s" s="533">
        <f>HYPERLINK("http://dx.doi.org/10.1109/TNNLS.2025.3587687","http://dx.doi.org/10.1109/TNNLS.2025.3587687")</f>
        <v>6154</v>
      </c>
      <c r="BL268" t="s" s="0">
        <v>82</v>
      </c>
      <c r="BM268" t="s" s="0">
        <v>5500</v>
      </c>
      <c r="BN268" t="s" s="0">
        <v>277</v>
      </c>
      <c r="BO268" t="s" s="0">
        <v>1078</v>
      </c>
      <c r="BP268" t="s" s="0">
        <v>279</v>
      </c>
      <c r="BQ268" t="s" s="0">
        <v>6155</v>
      </c>
      <c r="BR268" t="s" s="0">
        <v>6156</v>
      </c>
      <c r="BS268" t="s" s="0">
        <v>6157</v>
      </c>
      <c r="BT268" t="s" s="534">
        <f>HYPERLINK("https://www.webofscience.com/wos/woscc/full-record/WOS:001542544300001","View Record in Web of Science")</f>
        <v>120</v>
      </c>
      <c r="BU268" t="s" s="0">
        <v>82</v>
      </c>
      <c r="BV268" t="s" s="0">
        <v>82</v>
      </c>
      <c r="BW268" t="s" s="0">
        <v>82</v>
      </c>
      <c r="BX268" t="s" s="0">
        <v>121</v>
      </c>
    </row>
    <row r="269">
      <c r="A269" t="s" s="0">
        <v>77</v>
      </c>
      <c r="B269" t="s" s="0">
        <v>77</v>
      </c>
      <c r="C269" t="s" s="0">
        <v>77</v>
      </c>
      <c r="D269" t="s" s="0">
        <v>77</v>
      </c>
      <c r="E269" t="s" s="0">
        <v>6158</v>
      </c>
      <c r="F269" t="s" s="0">
        <v>6159</v>
      </c>
      <c r="G269" t="s" s="0">
        <v>6160</v>
      </c>
      <c r="H269" t="s" s="0">
        <v>82</v>
      </c>
      <c r="I269" t="s" s="0">
        <v>83</v>
      </c>
      <c r="J269" t="s" s="0">
        <v>6161</v>
      </c>
      <c r="K269" t="s" s="0">
        <v>6162</v>
      </c>
      <c r="L269" t="s" s="0">
        <v>82</v>
      </c>
      <c r="M269" t="s" s="0">
        <v>82</v>
      </c>
      <c r="N269" t="s" s="0">
        <v>82</v>
      </c>
      <c r="O269" t="s" s="0">
        <v>6163</v>
      </c>
      <c r="P269" t="s" s="0">
        <v>6164</v>
      </c>
      <c r="Q269" t="s" s="0">
        <v>88</v>
      </c>
      <c r="R269" t="s" s="0">
        <v>82</v>
      </c>
      <c r="S269" t="s" s="0">
        <v>82</v>
      </c>
      <c r="T269" t="s" s="0">
        <v>82</v>
      </c>
      <c r="U269" t="s" s="0">
        <v>82</v>
      </c>
      <c r="V269" t="s" s="0">
        <v>6165</v>
      </c>
      <c r="W269" t="s" s="0">
        <v>323</v>
      </c>
      <c r="X269" t="s" s="0">
        <v>82</v>
      </c>
      <c r="Y269" t="s" s="0">
        <v>82</v>
      </c>
      <c r="Z269" t="s" s="0">
        <v>91</v>
      </c>
      <c r="AA269" t="s" s="0">
        <v>92</v>
      </c>
      <c r="AB269" t="s" s="0">
        <v>82</v>
      </c>
      <c r="AC269" t="s" s="0">
        <v>82</v>
      </c>
      <c r="AD269" t="s" s="0">
        <v>82</v>
      </c>
      <c r="AE269" t="s" s="0">
        <v>82</v>
      </c>
      <c r="AF269" t="s" s="0">
        <v>82</v>
      </c>
      <c r="AG269" t="s" s="0">
        <v>6166</v>
      </c>
      <c r="AH269" t="s" s="0">
        <v>2972</v>
      </c>
      <c r="AI269" t="s" s="0">
        <v>82</v>
      </c>
      <c r="AJ269" t="s" s="0">
        <v>82</v>
      </c>
      <c r="AK269" t="s" s="0">
        <v>82</v>
      </c>
      <c r="AL269" t="s" s="0">
        <v>824</v>
      </c>
      <c r="AM269" t="s" s="0">
        <v>77</v>
      </c>
      <c r="AN269" t="s" s="0">
        <v>77</v>
      </c>
      <c r="AO269" t="s" s="0">
        <v>78</v>
      </c>
      <c r="AP269" t="s" s="0">
        <v>78</v>
      </c>
      <c r="AQ269" t="s" s="0">
        <v>100</v>
      </c>
      <c r="AR269" t="s" s="0">
        <v>101</v>
      </c>
      <c r="AS269" t="s" s="0">
        <v>102</v>
      </c>
      <c r="AT269" t="s" s="0">
        <v>325</v>
      </c>
      <c r="AU269" t="s" s="0">
        <v>82</v>
      </c>
      <c r="AV269" t="s" s="0">
        <v>82</v>
      </c>
      <c r="AW269" t="s" s="0">
        <v>323</v>
      </c>
      <c r="AX269" t="s" s="0">
        <v>326</v>
      </c>
      <c r="AY269" t="s" s="0">
        <v>179</v>
      </c>
      <c r="AZ269" t="s" s="0">
        <v>179</v>
      </c>
      <c r="BA269" t="s" s="0">
        <v>109</v>
      </c>
      <c r="BB269" t="s" s="0">
        <v>82</v>
      </c>
      <c r="BC269" t="s" s="0">
        <v>82</v>
      </c>
      <c r="BD269" t="s" s="0">
        <v>82</v>
      </c>
      <c r="BE269" t="s" s="0">
        <v>82</v>
      </c>
      <c r="BF269" t="s" s="0">
        <v>82</v>
      </c>
      <c r="BG269" t="s" s="0">
        <v>6167</v>
      </c>
      <c r="BH269" t="s" s="0">
        <v>6168</v>
      </c>
      <c r="BI269" t="s" s="0">
        <v>82</v>
      </c>
      <c r="BJ269" t="s" s="0">
        <v>6169</v>
      </c>
      <c r="BK269" t="s" s="535">
        <f>HYPERLINK("http://dx.doi.org/10.1109/ACCESS.2026.3684872","http://dx.doi.org/10.1109/ACCESS.2026.3684872")</f>
        <v>6170</v>
      </c>
      <c r="BL269" t="s" s="0">
        <v>82</v>
      </c>
      <c r="BM269" t="s" s="0">
        <v>82</v>
      </c>
      <c r="BN269" t="s" s="0">
        <v>307</v>
      </c>
      <c r="BO269" t="s" s="0">
        <v>332</v>
      </c>
      <c r="BP269" t="s" s="0">
        <v>117</v>
      </c>
      <c r="BQ269" t="s" s="0">
        <v>6171</v>
      </c>
      <c r="BR269" t="s" s="0">
        <v>82</v>
      </c>
      <c r="BS269" t="s" s="0">
        <v>6172</v>
      </c>
      <c r="BT269" t="s" s="536">
        <f>HYPERLINK("https://www.webofscience.com/wos/woscc/full-record/WOS:001765032000027","View Record in Web of Science")</f>
        <v>120</v>
      </c>
      <c r="BU269" t="s" s="0">
        <v>189</v>
      </c>
      <c r="BV269" t="s" s="0">
        <v>82</v>
      </c>
      <c r="BW269" t="s" s="0">
        <v>82</v>
      </c>
      <c r="BX269" t="s" s="0">
        <v>121</v>
      </c>
    </row>
    <row r="270">
      <c r="A270" t="s" s="0">
        <v>77</v>
      </c>
      <c r="B270" t="s" s="0">
        <v>77</v>
      </c>
      <c r="C270" t="s" s="0">
        <v>77</v>
      </c>
      <c r="D270" t="s" s="0">
        <v>77</v>
      </c>
      <c r="E270" t="s" s="0">
        <v>6173</v>
      </c>
      <c r="F270" t="s" s="0">
        <v>6174</v>
      </c>
      <c r="G270" t="s" s="0">
        <v>6175</v>
      </c>
      <c r="H270" t="s" s="0">
        <v>82</v>
      </c>
      <c r="I270" t="s" s="0">
        <v>83</v>
      </c>
      <c r="J270" t="s" s="0">
        <v>6176</v>
      </c>
      <c r="K270" t="s" s="0">
        <v>6177</v>
      </c>
      <c r="L270" t="s" s="0">
        <v>82</v>
      </c>
      <c r="M270" t="s" s="0">
        <v>82</v>
      </c>
      <c r="N270" t="s" s="0">
        <v>82</v>
      </c>
      <c r="O270" t="s" s="0">
        <v>6178</v>
      </c>
      <c r="P270" t="s" s="0">
        <v>6179</v>
      </c>
      <c r="Q270" t="s" s="0">
        <v>88</v>
      </c>
      <c r="R270" t="s" s="0">
        <v>82</v>
      </c>
      <c r="S270" t="s" s="0">
        <v>82</v>
      </c>
      <c r="T270" t="s" s="0">
        <v>82</v>
      </c>
      <c r="U270" t="s" s="0">
        <v>82</v>
      </c>
      <c r="V270" t="s" s="0">
        <v>6180</v>
      </c>
      <c r="W270" t="s" s="0">
        <v>6181</v>
      </c>
      <c r="X270" t="s" s="0">
        <v>82</v>
      </c>
      <c r="Y270" t="s" s="0">
        <v>82</v>
      </c>
      <c r="Z270" t="s" s="0">
        <v>91</v>
      </c>
      <c r="AA270" t="s" s="0">
        <v>92</v>
      </c>
      <c r="AB270" t="s" s="0">
        <v>82</v>
      </c>
      <c r="AC270" t="s" s="0">
        <v>82</v>
      </c>
      <c r="AD270" t="s" s="0">
        <v>82</v>
      </c>
      <c r="AE270" t="s" s="0">
        <v>82</v>
      </c>
      <c r="AF270" t="s" s="0">
        <v>82</v>
      </c>
      <c r="AG270" t="s" s="0">
        <v>6182</v>
      </c>
      <c r="AH270" t="s" s="0">
        <v>6183</v>
      </c>
      <c r="AI270" t="s" s="0">
        <v>6184</v>
      </c>
      <c r="AJ270" t="s" s="0">
        <v>6185</v>
      </c>
      <c r="AK270" t="s" s="0">
        <v>82</v>
      </c>
      <c r="AL270" t="s" s="0">
        <v>209</v>
      </c>
      <c r="AM270" t="s" s="0">
        <v>77</v>
      </c>
      <c r="AN270" t="s" s="0">
        <v>77</v>
      </c>
      <c r="AO270" t="s" s="0">
        <v>78</v>
      </c>
      <c r="AP270" t="s" s="0">
        <v>78</v>
      </c>
      <c r="AQ270" t="s" s="0">
        <v>3420</v>
      </c>
      <c r="AR270" t="s" s="0">
        <v>3421</v>
      </c>
      <c r="AS270" t="s" s="0">
        <v>6186</v>
      </c>
      <c r="AT270" t="s" s="0">
        <v>6187</v>
      </c>
      <c r="AU270" t="s" s="0">
        <v>6188</v>
      </c>
      <c r="AV270" t="s" s="0">
        <v>82</v>
      </c>
      <c r="AW270" t="s" s="0">
        <v>6189</v>
      </c>
      <c r="AX270" t="s" s="0">
        <v>6190</v>
      </c>
      <c r="AY270" t="s" s="0">
        <v>716</v>
      </c>
      <c r="AZ270" t="s" s="0">
        <v>179</v>
      </c>
      <c r="BA270" t="s" s="0">
        <v>1115</v>
      </c>
      <c r="BB270" t="s" s="0">
        <v>98</v>
      </c>
      <c r="BC270" t="s" s="0">
        <v>82</v>
      </c>
      <c r="BD270" t="s" s="0">
        <v>82</v>
      </c>
      <c r="BE270" t="s" s="0">
        <v>82</v>
      </c>
      <c r="BF270" t="s" s="0">
        <v>82</v>
      </c>
      <c r="BG270" t="s" s="0">
        <v>82</v>
      </c>
      <c r="BH270" t="s" s="0">
        <v>82</v>
      </c>
      <c r="BI270" t="s" s="0">
        <v>4233</v>
      </c>
      <c r="BJ270" t="s" s="0">
        <v>6191</v>
      </c>
      <c r="BK270" t="s" s="537">
        <f>HYPERLINK("http://dx.doi.org/10.1007/s00296-026-06205-1","http://dx.doi.org/10.1007/s00296-026-06205-1")</f>
        <v>6192</v>
      </c>
      <c r="BL270" t="s" s="0">
        <v>82</v>
      </c>
      <c r="BM270" t="s" s="0">
        <v>716</v>
      </c>
      <c r="BN270" t="s" s="0">
        <v>110</v>
      </c>
      <c r="BO270" t="s" s="0">
        <v>6193</v>
      </c>
      <c r="BP270" t="s" s="0">
        <v>6193</v>
      </c>
      <c r="BQ270" t="s" s="0">
        <v>6194</v>
      </c>
      <c r="BR270" t="s" s="0">
        <v>6195</v>
      </c>
      <c r="BS270" t="s" s="0">
        <v>6196</v>
      </c>
      <c r="BT270" t="s" s="538">
        <f>HYPERLINK("https://www.webofscience.com/wos/woscc/full-record/WOS:001815850500004","View Record in Web of Science")</f>
        <v>120</v>
      </c>
      <c r="BU270" t="s" s="0">
        <v>924</v>
      </c>
      <c r="BV270" t="s" s="0">
        <v>82</v>
      </c>
      <c r="BW270" t="s" s="0">
        <v>82</v>
      </c>
      <c r="BX270" t="s" s="0">
        <v>121</v>
      </c>
    </row>
    <row r="271">
      <c r="A271" t="s" s="0">
        <v>77</v>
      </c>
      <c r="B271" t="s" s="0">
        <v>77</v>
      </c>
      <c r="C271" t="s" s="0">
        <v>77</v>
      </c>
      <c r="D271" t="s" s="0">
        <v>77</v>
      </c>
      <c r="E271" t="s" s="0">
        <v>6197</v>
      </c>
      <c r="F271" t="s" s="0">
        <v>6198</v>
      </c>
      <c r="G271" t="s" s="0">
        <v>6199</v>
      </c>
      <c r="H271" t="s" s="0">
        <v>82</v>
      </c>
      <c r="I271" t="s" s="0">
        <v>83</v>
      </c>
      <c r="J271" t="s" s="0">
        <v>6200</v>
      </c>
      <c r="K271" t="s" s="0">
        <v>6201</v>
      </c>
      <c r="L271" t="s" s="0">
        <v>6202</v>
      </c>
      <c r="M271" t="s" s="0">
        <v>6202</v>
      </c>
      <c r="N271" t="s" s="0">
        <v>6203</v>
      </c>
      <c r="O271" t="s" s="0">
        <v>6204</v>
      </c>
      <c r="P271" t="s" s="0">
        <v>6205</v>
      </c>
      <c r="Q271" t="s" s="0">
        <v>88</v>
      </c>
      <c r="R271" t="s" s="0">
        <v>82</v>
      </c>
      <c r="S271" t="s" s="0">
        <v>82</v>
      </c>
      <c r="T271" t="s" s="0">
        <v>82</v>
      </c>
      <c r="U271" t="s" s="0">
        <v>82</v>
      </c>
      <c r="V271" t="s" s="0">
        <v>6206</v>
      </c>
      <c r="W271" t="s" s="0">
        <v>6207</v>
      </c>
      <c r="X271" t="s" s="0">
        <v>82</v>
      </c>
      <c r="Y271" t="s" s="0">
        <v>82</v>
      </c>
      <c r="Z271" t="s" s="0">
        <v>91</v>
      </c>
      <c r="AA271" t="s" s="0">
        <v>92</v>
      </c>
      <c r="AB271" t="s" s="0">
        <v>82</v>
      </c>
      <c r="AC271" t="s" s="0">
        <v>82</v>
      </c>
      <c r="AD271" t="s" s="0">
        <v>82</v>
      </c>
      <c r="AE271" t="s" s="0">
        <v>82</v>
      </c>
      <c r="AF271" t="s" s="0">
        <v>82</v>
      </c>
      <c r="AG271" t="s" s="0">
        <v>6208</v>
      </c>
      <c r="AH271" t="s" s="0">
        <v>82</v>
      </c>
      <c r="AI271" t="s" s="0">
        <v>6209</v>
      </c>
      <c r="AJ271" t="s" s="0">
        <v>82</v>
      </c>
      <c r="AK271" t="s" s="0">
        <v>82</v>
      </c>
      <c r="AL271" t="s" s="0">
        <v>140</v>
      </c>
      <c r="AM271" t="s" s="0">
        <v>77</v>
      </c>
      <c r="AN271" t="s" s="0">
        <v>77</v>
      </c>
      <c r="AO271" t="s" s="0">
        <v>77</v>
      </c>
      <c r="AP271" t="s" s="0">
        <v>77</v>
      </c>
      <c r="AQ271" t="s" s="0">
        <v>605</v>
      </c>
      <c r="AR271" t="s" s="0">
        <v>606</v>
      </c>
      <c r="AS271" t="s" s="0">
        <v>607</v>
      </c>
      <c r="AT271" t="s" s="0">
        <v>6210</v>
      </c>
      <c r="AU271" t="s" s="0">
        <v>6211</v>
      </c>
      <c r="AV271" t="s" s="0">
        <v>82</v>
      </c>
      <c r="AW271" t="s" s="0">
        <v>6212</v>
      </c>
      <c r="AX271" t="s" s="0">
        <v>6213</v>
      </c>
      <c r="AY271" t="s" s="0">
        <v>179</v>
      </c>
      <c r="AZ271" t="s" s="0">
        <v>179</v>
      </c>
      <c r="BA271" t="s" s="0">
        <v>179</v>
      </c>
      <c r="BB271" t="s" s="0">
        <v>78</v>
      </c>
      <c r="BC271" t="s" s="0">
        <v>82</v>
      </c>
      <c r="BD271" t="s" s="0">
        <v>82</v>
      </c>
      <c r="BE271" t="s" s="0">
        <v>82</v>
      </c>
      <c r="BF271" t="s" s="0">
        <v>82</v>
      </c>
      <c r="BG271" t="s" s="0">
        <v>82</v>
      </c>
      <c r="BH271" t="s" s="0">
        <v>82</v>
      </c>
      <c r="BI271" t="s" s="0">
        <v>6214</v>
      </c>
      <c r="BJ271" t="s" s="0">
        <v>6215</v>
      </c>
      <c r="BK271" t="s" s="539">
        <f>HYPERLINK("http://dx.doi.org/10.1155/int/6065038","http://dx.doi.org/10.1155/int/6065038")</f>
        <v>6216</v>
      </c>
      <c r="BL271" t="s" s="0">
        <v>82</v>
      </c>
      <c r="BM271" t="s" s="0">
        <v>82</v>
      </c>
      <c r="BN271" t="s" s="0">
        <v>138</v>
      </c>
      <c r="BO271" t="s" s="0">
        <v>308</v>
      </c>
      <c r="BP271" t="s" s="0">
        <v>309</v>
      </c>
      <c r="BQ271" t="s" s="0">
        <v>6217</v>
      </c>
      <c r="BR271" t="s" s="0">
        <v>82</v>
      </c>
      <c r="BS271" t="s" s="0">
        <v>6218</v>
      </c>
      <c r="BT271" t="s" s="540">
        <f>HYPERLINK("https://www.webofscience.com/wos/woscc/full-record/WOS:001840309000001","View Record in Web of Science")</f>
        <v>120</v>
      </c>
      <c r="BU271" t="s" s="0">
        <v>1972</v>
      </c>
      <c r="BV271" t="s" s="0">
        <v>82</v>
      </c>
      <c r="BW271" t="s" s="0">
        <v>82</v>
      </c>
      <c r="BX271" t="s" s="0">
        <v>121</v>
      </c>
    </row>
    <row r="272">
      <c r="A272" t="s" s="0">
        <v>77</v>
      </c>
      <c r="B272" t="s" s="0">
        <v>77</v>
      </c>
      <c r="C272" t="s" s="0">
        <v>77</v>
      </c>
      <c r="D272" t="s" s="0">
        <v>77</v>
      </c>
      <c r="E272" t="s" s="0">
        <v>6061</v>
      </c>
      <c r="F272" t="s" s="0">
        <v>6219</v>
      </c>
      <c r="G272" t="s" s="0">
        <v>6063</v>
      </c>
      <c r="H272" t="s" s="0">
        <v>82</v>
      </c>
      <c r="I272" t="s" s="0">
        <v>83</v>
      </c>
      <c r="J272" t="s" s="0">
        <v>6220</v>
      </c>
      <c r="K272" t="s" s="0">
        <v>6221</v>
      </c>
      <c r="L272" t="s" s="0">
        <v>82</v>
      </c>
      <c r="M272" t="s" s="0">
        <v>82</v>
      </c>
      <c r="N272" t="s" s="0">
        <v>82</v>
      </c>
      <c r="O272" t="s" s="0">
        <v>6222</v>
      </c>
      <c r="P272" t="s" s="0">
        <v>6223</v>
      </c>
      <c r="Q272" t="s" s="0">
        <v>88</v>
      </c>
      <c r="R272" t="s" s="0">
        <v>82</v>
      </c>
      <c r="S272" t="s" s="0">
        <v>82</v>
      </c>
      <c r="T272" t="s" s="0">
        <v>82</v>
      </c>
      <c r="U272" t="s" s="0">
        <v>82</v>
      </c>
      <c r="V272" t="s" s="0">
        <v>6224</v>
      </c>
      <c r="W272" t="s" s="0">
        <v>6225</v>
      </c>
      <c r="X272" t="s" s="0">
        <v>82</v>
      </c>
      <c r="Y272" t="s" s="0">
        <v>82</v>
      </c>
      <c r="Z272" t="s" s="0">
        <v>91</v>
      </c>
      <c r="AA272" t="s" s="0">
        <v>92</v>
      </c>
      <c r="AB272" t="s" s="0">
        <v>82</v>
      </c>
      <c r="AC272" t="s" s="0">
        <v>82</v>
      </c>
      <c r="AD272" t="s" s="0">
        <v>82</v>
      </c>
      <c r="AE272" t="s" s="0">
        <v>82</v>
      </c>
      <c r="AF272" t="s" s="0">
        <v>82</v>
      </c>
      <c r="AG272" t="s" s="0">
        <v>6226</v>
      </c>
      <c r="AH272" t="s" s="0">
        <v>82</v>
      </c>
      <c r="AI272" t="s" s="0">
        <v>82</v>
      </c>
      <c r="AJ272" t="s" s="0">
        <v>82</v>
      </c>
      <c r="AK272" t="s" s="0">
        <v>82</v>
      </c>
      <c r="AL272" t="s" s="0">
        <v>96</v>
      </c>
      <c r="AM272" t="s" s="0">
        <v>77</v>
      </c>
      <c r="AN272" t="s" s="0">
        <v>77</v>
      </c>
      <c r="AO272" t="s" s="0">
        <v>77</v>
      </c>
      <c r="AP272" t="s" s="0">
        <v>77</v>
      </c>
      <c r="AQ272" t="s" s="0">
        <v>503</v>
      </c>
      <c r="AR272" t="s" s="0">
        <v>504</v>
      </c>
      <c r="AS272" t="s" s="0">
        <v>505</v>
      </c>
      <c r="AT272" t="s" s="0">
        <v>6227</v>
      </c>
      <c r="AU272" t="s" s="0">
        <v>6228</v>
      </c>
      <c r="AV272" t="s" s="0">
        <v>82</v>
      </c>
      <c r="AW272" t="s" s="0">
        <v>6229</v>
      </c>
      <c r="AX272" t="s" s="0">
        <v>6230</v>
      </c>
      <c r="AY272" t="s" s="0">
        <v>270</v>
      </c>
      <c r="AZ272" t="s" s="0">
        <v>179</v>
      </c>
      <c r="BA272" t="s" s="0">
        <v>6231</v>
      </c>
      <c r="BB272" t="s" s="0">
        <v>82</v>
      </c>
      <c r="BC272" t="s" s="0">
        <v>82</v>
      </c>
      <c r="BD272" t="s" s="0">
        <v>82</v>
      </c>
      <c r="BE272" t="s" s="0">
        <v>82</v>
      </c>
      <c r="BF272" t="s" s="0">
        <v>82</v>
      </c>
      <c r="BG272" t="s" s="0">
        <v>6232</v>
      </c>
      <c r="BH272" t="s" s="0">
        <v>6233</v>
      </c>
      <c r="BI272" t="s" s="0">
        <v>82</v>
      </c>
      <c r="BJ272" t="s" s="0">
        <v>6234</v>
      </c>
      <c r="BK272" t="s" s="541">
        <f>HYPERLINK("http://dx.doi.org/10.1016/j.bjps.2026.05.070","http://dx.doi.org/10.1016/j.bjps.2026.05.070")</f>
        <v>6235</v>
      </c>
      <c r="BL272" t="s" s="0">
        <v>82</v>
      </c>
      <c r="BM272" t="s" s="0">
        <v>82</v>
      </c>
      <c r="BN272" t="s" s="0">
        <v>115</v>
      </c>
      <c r="BO272" t="s" s="0">
        <v>3359</v>
      </c>
      <c r="BP272" t="s" s="0">
        <v>3359</v>
      </c>
      <c r="BQ272" t="s" s="0">
        <v>6236</v>
      </c>
      <c r="BR272" t="s" s="0">
        <v>6237</v>
      </c>
      <c r="BS272" t="s" s="0">
        <v>6238</v>
      </c>
      <c r="BT272" t="s" s="542">
        <f>HYPERLINK("https://www.webofscience.com/wos/woscc/full-record/WOS:001834638500001","View Record in Web of Science")</f>
        <v>120</v>
      </c>
      <c r="BU272" t="s" s="0">
        <v>1972</v>
      </c>
      <c r="BV272" t="s" s="0">
        <v>82</v>
      </c>
      <c r="BW272" t="s" s="0">
        <v>82</v>
      </c>
      <c r="BX272" t="s" s="0">
        <v>121</v>
      </c>
    </row>
    <row r="273">
      <c r="A273" t="s" s="0">
        <v>77</v>
      </c>
      <c r="B273" t="s" s="0">
        <v>77</v>
      </c>
      <c r="C273" t="s" s="0">
        <v>77</v>
      </c>
      <c r="D273" t="s" s="0">
        <v>77</v>
      </c>
      <c r="E273" t="s" s="0">
        <v>6239</v>
      </c>
      <c r="F273" t="s" s="0">
        <v>6240</v>
      </c>
      <c r="G273" t="s" s="0">
        <v>6241</v>
      </c>
      <c r="H273" t="s" s="0">
        <v>82</v>
      </c>
      <c r="I273" t="s" s="0">
        <v>6242</v>
      </c>
      <c r="J273" t="s" s="0">
        <v>6243</v>
      </c>
      <c r="K273" t="s" s="0">
        <v>6244</v>
      </c>
      <c r="L273" t="s" s="0">
        <v>82</v>
      </c>
      <c r="M273" t="s" s="0">
        <v>82</v>
      </c>
      <c r="N273" t="s" s="0">
        <v>82</v>
      </c>
      <c r="O273" t="s" s="0">
        <v>6245</v>
      </c>
      <c r="P273" t="s" s="0">
        <v>6246</v>
      </c>
      <c r="Q273" t="s" s="0">
        <v>88</v>
      </c>
      <c r="R273" t="s" s="0">
        <v>82</v>
      </c>
      <c r="S273" t="s" s="0">
        <v>82</v>
      </c>
      <c r="T273" t="s" s="0">
        <v>82</v>
      </c>
      <c r="U273" t="s" s="0">
        <v>82</v>
      </c>
      <c r="V273" t="s" s="0">
        <v>6247</v>
      </c>
      <c r="W273" t="s" s="0">
        <v>6248</v>
      </c>
      <c r="X273" t="s" s="0">
        <v>82</v>
      </c>
      <c r="Y273" t="s" s="0">
        <v>82</v>
      </c>
      <c r="Z273" t="s" s="0">
        <v>91</v>
      </c>
      <c r="AA273" t="s" s="0">
        <v>92</v>
      </c>
      <c r="AB273" t="s" s="0">
        <v>82</v>
      </c>
      <c r="AC273" t="s" s="0">
        <v>82</v>
      </c>
      <c r="AD273" t="s" s="0">
        <v>82</v>
      </c>
      <c r="AE273" t="s" s="0">
        <v>82</v>
      </c>
      <c r="AF273" t="s" s="0">
        <v>82</v>
      </c>
      <c r="AG273" t="s" s="0">
        <v>6249</v>
      </c>
      <c r="AH273" t="s" s="0">
        <v>6250</v>
      </c>
      <c r="AI273" t="s" s="0">
        <v>82</v>
      </c>
      <c r="AJ273" t="s" s="0">
        <v>82</v>
      </c>
      <c r="AK273" t="s" s="0">
        <v>82</v>
      </c>
      <c r="AL273" t="s" s="0">
        <v>271</v>
      </c>
      <c r="AM273" t="s" s="0">
        <v>77</v>
      </c>
      <c r="AN273" t="s" s="0">
        <v>77</v>
      </c>
      <c r="AO273" t="s" s="0">
        <v>204</v>
      </c>
      <c r="AP273" t="s" s="0">
        <v>204</v>
      </c>
      <c r="AQ273" t="s" s="0">
        <v>418</v>
      </c>
      <c r="AR273" t="s" s="0">
        <v>419</v>
      </c>
      <c r="AS273" t="s" s="0">
        <v>420</v>
      </c>
      <c r="AT273" t="s" s="0">
        <v>82</v>
      </c>
      <c r="AU273" t="s" s="0">
        <v>6251</v>
      </c>
      <c r="AV273" t="s" s="0">
        <v>82</v>
      </c>
      <c r="AW273" t="s" s="0">
        <v>6252</v>
      </c>
      <c r="AX273" t="s" s="0">
        <v>6253</v>
      </c>
      <c r="AY273" t="s" s="0">
        <v>6254</v>
      </c>
      <c r="AZ273" t="s" s="0">
        <v>179</v>
      </c>
      <c r="BA273" t="s" s="0">
        <v>209</v>
      </c>
      <c r="BB273" t="s" s="0">
        <v>110</v>
      </c>
      <c r="BC273" t="s" s="0">
        <v>82</v>
      </c>
      <c r="BD273" t="s" s="0">
        <v>82</v>
      </c>
      <c r="BE273" t="s" s="0">
        <v>82</v>
      </c>
      <c r="BF273" t="s" s="0">
        <v>82</v>
      </c>
      <c r="BG273" t="s" s="0">
        <v>82</v>
      </c>
      <c r="BH273" t="s" s="0">
        <v>82</v>
      </c>
      <c r="BI273" t="s" s="0">
        <v>6255</v>
      </c>
      <c r="BJ273" t="s" s="0">
        <v>6256</v>
      </c>
      <c r="BK273" t="s" s="543">
        <f>HYPERLINK("http://dx.doi.org/10.3390/bs16050822","http://dx.doi.org/10.3390/bs16050822")</f>
        <v>6257</v>
      </c>
      <c r="BL273" t="s" s="0">
        <v>82</v>
      </c>
      <c r="BM273" t="s" s="0">
        <v>3404</v>
      </c>
      <c r="BN273" t="s" s="0">
        <v>1004</v>
      </c>
      <c r="BO273" t="s" s="0">
        <v>6258</v>
      </c>
      <c r="BP273" t="s" s="0">
        <v>6259</v>
      </c>
      <c r="BQ273" t="s" s="0">
        <v>6260</v>
      </c>
      <c r="BR273" t="s" s="0">
        <v>6261</v>
      </c>
      <c r="BS273" t="s" s="0">
        <v>6262</v>
      </c>
      <c r="BT273" t="s" s="544">
        <f>HYPERLINK("https://www.webofscience.com/wos/woscc/full-record/WOS:001774850900001","View Record in Web of Science")</f>
        <v>120</v>
      </c>
      <c r="BU273" t="s" s="0">
        <v>189</v>
      </c>
      <c r="BV273" t="s" s="0">
        <v>82</v>
      </c>
      <c r="BW273" t="s" s="0">
        <v>82</v>
      </c>
      <c r="BX273" t="s" s="0">
        <v>121</v>
      </c>
    </row>
    <row r="274">
      <c r="A274" t="s" s="0">
        <v>77</v>
      </c>
      <c r="B274" t="s" s="0">
        <v>77</v>
      </c>
      <c r="C274" t="s" s="0">
        <v>204</v>
      </c>
      <c r="D274" t="s" s="0">
        <v>77</v>
      </c>
      <c r="E274" t="s" s="0">
        <v>6263</v>
      </c>
      <c r="F274" t="s" s="0">
        <v>6264</v>
      </c>
      <c r="G274" t="s" s="0">
        <v>6265</v>
      </c>
      <c r="H274" t="s" s="0">
        <v>82</v>
      </c>
      <c r="I274" t="s" s="0">
        <v>83</v>
      </c>
      <c r="J274" t="s" s="0">
        <v>6266</v>
      </c>
      <c r="K274" t="s" s="0">
        <v>6267</v>
      </c>
      <c r="L274" t="s" s="0">
        <v>6268</v>
      </c>
      <c r="M274" t="s" s="0">
        <v>6269</v>
      </c>
      <c r="N274" t="s" s="0">
        <v>6270</v>
      </c>
      <c r="O274" t="s" s="0">
        <v>6271</v>
      </c>
      <c r="P274" t="s" s="0">
        <v>6272</v>
      </c>
      <c r="Q274" t="s" s="0">
        <v>88</v>
      </c>
      <c r="R274" t="s" s="0">
        <v>82</v>
      </c>
      <c r="S274" t="s" s="0">
        <v>82</v>
      </c>
      <c r="T274" t="s" s="0">
        <v>82</v>
      </c>
      <c r="U274" t="s" s="0">
        <v>82</v>
      </c>
      <c r="V274" t="s" s="0">
        <v>6273</v>
      </c>
      <c r="W274" t="s" s="0">
        <v>3346</v>
      </c>
      <c r="X274" t="s" s="0">
        <v>82</v>
      </c>
      <c r="Y274" t="s" s="0">
        <v>82</v>
      </c>
      <c r="Z274" t="s" s="0">
        <v>91</v>
      </c>
      <c r="AA274" t="s" s="0">
        <v>92</v>
      </c>
      <c r="AB274" t="s" s="0">
        <v>82</v>
      </c>
      <c r="AC274" t="s" s="0">
        <v>82</v>
      </c>
      <c r="AD274" t="s" s="0">
        <v>82</v>
      </c>
      <c r="AE274" t="s" s="0">
        <v>82</v>
      </c>
      <c r="AF274" t="s" s="0">
        <v>82</v>
      </c>
      <c r="AG274" t="s" s="0">
        <v>82</v>
      </c>
      <c r="AH274" t="s" s="0">
        <v>82</v>
      </c>
      <c r="AI274" t="s" s="0">
        <v>6274</v>
      </c>
      <c r="AJ274" t="s" s="0">
        <v>6275</v>
      </c>
      <c r="AK274" t="s" s="0">
        <v>82</v>
      </c>
      <c r="AL274" t="s" s="0">
        <v>363</v>
      </c>
      <c r="AM274" t="s" s="0">
        <v>97</v>
      </c>
      <c r="AN274" t="s" s="0">
        <v>98</v>
      </c>
      <c r="AO274" t="s" s="0">
        <v>78</v>
      </c>
      <c r="AP274" t="s" s="0">
        <v>277</v>
      </c>
      <c r="AQ274" t="s" s="0">
        <v>383</v>
      </c>
      <c r="AR274" t="s" s="0">
        <v>384</v>
      </c>
      <c r="AS274" t="s" s="0">
        <v>385</v>
      </c>
      <c r="AT274" t="s" s="0">
        <v>3351</v>
      </c>
      <c r="AU274" t="s" s="0">
        <v>3352</v>
      </c>
      <c r="AV274" t="s" s="0">
        <v>82</v>
      </c>
      <c r="AW274" t="s" s="0">
        <v>3353</v>
      </c>
      <c r="AX274" t="s" s="0">
        <v>3354</v>
      </c>
      <c r="AY274" t="s" s="0">
        <v>539</v>
      </c>
      <c r="AZ274" t="s" s="0">
        <v>108</v>
      </c>
      <c r="BA274" t="s" s="0">
        <v>3186</v>
      </c>
      <c r="BB274" t="s" s="0">
        <v>99</v>
      </c>
      <c r="BC274" t="s" s="0">
        <v>82</v>
      </c>
      <c r="BD274" t="s" s="0">
        <v>82</v>
      </c>
      <c r="BE274" t="s" s="0">
        <v>82</v>
      </c>
      <c r="BF274" t="s" s="0">
        <v>82</v>
      </c>
      <c r="BG274" t="s" s="0">
        <v>2803</v>
      </c>
      <c r="BH274" t="s" s="0">
        <v>6276</v>
      </c>
      <c r="BI274" t="s" s="0">
        <v>82</v>
      </c>
      <c r="BJ274" t="s" s="0">
        <v>6277</v>
      </c>
      <c r="BK274" t="s" s="545">
        <f>HYPERLINK("http://dx.doi.org/10.1097/JS9.0000000000002234","http://dx.doi.org/10.1097/JS9.0000000000002234")</f>
        <v>6278</v>
      </c>
      <c r="BL274" t="s" s="0">
        <v>82</v>
      </c>
      <c r="BM274" t="s" s="0">
        <v>82</v>
      </c>
      <c r="BN274" t="s" s="0">
        <v>235</v>
      </c>
      <c r="BO274" t="s" s="0">
        <v>3359</v>
      </c>
      <c r="BP274" t="s" s="0">
        <v>3359</v>
      </c>
      <c r="BQ274" t="s" s="0">
        <v>6279</v>
      </c>
      <c r="BR274" t="s" s="0">
        <v>6280</v>
      </c>
      <c r="BS274" t="s" s="0">
        <v>6281</v>
      </c>
      <c r="BT274" t="s" s="546">
        <f>HYPERLINK("https://www.webofscience.com/wos/woscc/full-record/WOS:001445062100017","View Record in Web of Science")</f>
        <v>120</v>
      </c>
      <c r="BU274" t="s" s="0">
        <v>924</v>
      </c>
      <c r="BV274" t="s" s="0">
        <v>82</v>
      </c>
      <c r="BW274" t="s" s="0">
        <v>82</v>
      </c>
      <c r="BX274" t="s" s="0">
        <v>121</v>
      </c>
    </row>
    <row r="275">
      <c r="A275" t="s" s="0">
        <v>77</v>
      </c>
      <c r="B275" t="s" s="0">
        <v>77</v>
      </c>
      <c r="C275" t="s" s="0">
        <v>77</v>
      </c>
      <c r="D275" t="s" s="0">
        <v>77</v>
      </c>
      <c r="E275" t="s" s="0">
        <v>6282</v>
      </c>
      <c r="F275" t="s" s="0">
        <v>6283</v>
      </c>
      <c r="G275" t="s" s="0">
        <v>6284</v>
      </c>
      <c r="H275" t="s" s="0">
        <v>82</v>
      </c>
      <c r="I275" t="s" s="0">
        <v>83</v>
      </c>
      <c r="J275" t="s" s="0">
        <v>6285</v>
      </c>
      <c r="K275" t="s" s="0">
        <v>6286</v>
      </c>
      <c r="L275" t="s" s="0">
        <v>6287</v>
      </c>
      <c r="M275" t="s" s="0">
        <v>6287</v>
      </c>
      <c r="N275" t="s" s="0">
        <v>6288</v>
      </c>
      <c r="O275" t="s" s="0">
        <v>6289</v>
      </c>
      <c r="P275" t="s" s="0">
        <v>82</v>
      </c>
      <c r="Q275" t="s" s="0">
        <v>88</v>
      </c>
      <c r="R275" t="s" s="0">
        <v>82</v>
      </c>
      <c r="S275" t="s" s="0">
        <v>82</v>
      </c>
      <c r="T275" t="s" s="0">
        <v>82</v>
      </c>
      <c r="U275" t="s" s="0">
        <v>82</v>
      </c>
      <c r="V275" t="s" s="0">
        <v>6290</v>
      </c>
      <c r="W275" t="s" s="0">
        <v>201</v>
      </c>
      <c r="X275" t="s" s="0">
        <v>82</v>
      </c>
      <c r="Y275" t="s" s="0">
        <v>82</v>
      </c>
      <c r="Z275" t="s" s="0">
        <v>91</v>
      </c>
      <c r="AA275" t="s" s="0">
        <v>92</v>
      </c>
      <c r="AB275" t="s" s="0">
        <v>82</v>
      </c>
      <c r="AC275" t="s" s="0">
        <v>82</v>
      </c>
      <c r="AD275" t="s" s="0">
        <v>82</v>
      </c>
      <c r="AE275" t="s" s="0">
        <v>82</v>
      </c>
      <c r="AF275" t="s" s="0">
        <v>82</v>
      </c>
      <c r="AG275" t="s" s="0">
        <v>6291</v>
      </c>
      <c r="AH275" t="s" s="0">
        <v>82</v>
      </c>
      <c r="AI275" t="s" s="0">
        <v>82</v>
      </c>
      <c r="AJ275" t="s" s="0">
        <v>82</v>
      </c>
      <c r="AK275" t="s" s="0">
        <v>82</v>
      </c>
      <c r="AL275" t="s" s="0">
        <v>556</v>
      </c>
      <c r="AM275" t="s" s="0">
        <v>77</v>
      </c>
      <c r="AN275" t="s" s="0">
        <v>77</v>
      </c>
      <c r="AO275" t="s" s="0">
        <v>77</v>
      </c>
      <c r="AP275" t="s" s="0">
        <v>77</v>
      </c>
      <c r="AQ275" t="s" s="0">
        <v>172</v>
      </c>
      <c r="AR275" t="s" s="0">
        <v>173</v>
      </c>
      <c r="AS275" t="s" s="0">
        <v>174</v>
      </c>
      <c r="AT275" t="s" s="0">
        <v>205</v>
      </c>
      <c r="AU275" t="s" s="0">
        <v>82</v>
      </c>
      <c r="AV275" t="s" s="0">
        <v>82</v>
      </c>
      <c r="AW275" t="s" s="0">
        <v>206</v>
      </c>
      <c r="AX275" t="s" s="0">
        <v>207</v>
      </c>
      <c r="AY275" t="s" s="0">
        <v>6292</v>
      </c>
      <c r="AZ275" t="s" s="0">
        <v>179</v>
      </c>
      <c r="BA275" t="s" s="0">
        <v>209</v>
      </c>
      <c r="BB275" t="s" s="0">
        <v>78</v>
      </c>
      <c r="BC275" t="s" s="0">
        <v>82</v>
      </c>
      <c r="BD275" t="s" s="0">
        <v>82</v>
      </c>
      <c r="BE275" t="s" s="0">
        <v>82</v>
      </c>
      <c r="BF275" t="s" s="0">
        <v>82</v>
      </c>
      <c r="BG275" t="s" s="0">
        <v>82</v>
      </c>
      <c r="BH275" t="s" s="0">
        <v>82</v>
      </c>
      <c r="BI275" t="s" s="0">
        <v>6293</v>
      </c>
      <c r="BJ275" t="s" s="0">
        <v>6294</v>
      </c>
      <c r="BK275" t="s" s="547">
        <f>HYPERLINK("http://dx.doi.org/10.1038/s41598-026-65667-2","http://dx.doi.org/10.1038/s41598-026-65667-2")</f>
        <v>6295</v>
      </c>
      <c r="BL275" t="s" s="0">
        <v>82</v>
      </c>
      <c r="BM275" t="s" s="0">
        <v>82</v>
      </c>
      <c r="BN275" t="s" s="0">
        <v>184</v>
      </c>
      <c r="BO275" t="s" s="0">
        <v>213</v>
      </c>
      <c r="BP275" t="s" s="0">
        <v>214</v>
      </c>
      <c r="BQ275" t="s" s="0">
        <v>6296</v>
      </c>
      <c r="BR275" t="s" s="0">
        <v>6297</v>
      </c>
      <c r="BS275" t="s" s="0">
        <v>6298</v>
      </c>
      <c r="BT275" t="s" s="548">
        <f>HYPERLINK("https://www.webofscience.com/wos/woscc/full-record/WOS:001850002300009","View Record in Web of Science")</f>
        <v>120</v>
      </c>
      <c r="BU275" t="s" s="0">
        <v>189</v>
      </c>
      <c r="BV275" t="s" s="0">
        <v>82</v>
      </c>
      <c r="BW275" t="s" s="0">
        <v>82</v>
      </c>
      <c r="BX275" t="s" s="0">
        <v>121</v>
      </c>
    </row>
    <row r="276">
      <c r="A276" t="s" s="0">
        <v>77</v>
      </c>
      <c r="B276" t="s" s="0">
        <v>77</v>
      </c>
      <c r="C276" t="s" s="0">
        <v>77</v>
      </c>
      <c r="D276" t="s" s="0">
        <v>77</v>
      </c>
      <c r="E276" t="s" s="0">
        <v>6299</v>
      </c>
      <c r="F276" t="s" s="0">
        <v>6300</v>
      </c>
      <c r="G276" t="s" s="0">
        <v>6301</v>
      </c>
      <c r="H276" t="s" s="0">
        <v>82</v>
      </c>
      <c r="I276" t="s" s="0">
        <v>83</v>
      </c>
      <c r="J276" t="s" s="0">
        <v>6302</v>
      </c>
      <c r="K276" t="s" s="0">
        <v>6303</v>
      </c>
      <c r="L276" t="s" s="0">
        <v>82</v>
      </c>
      <c r="M276" t="s" s="0">
        <v>82</v>
      </c>
      <c r="N276" t="s" s="0">
        <v>82</v>
      </c>
      <c r="O276" t="s" s="0">
        <v>6304</v>
      </c>
      <c r="P276" t="s" s="0">
        <v>82</v>
      </c>
      <c r="Q276" t="s" s="0">
        <v>88</v>
      </c>
      <c r="R276" t="s" s="0">
        <v>82</v>
      </c>
      <c r="S276" t="s" s="0">
        <v>82</v>
      </c>
      <c r="T276" t="s" s="0">
        <v>82</v>
      </c>
      <c r="U276" t="s" s="0">
        <v>82</v>
      </c>
      <c r="V276" t="s" s="0">
        <v>6305</v>
      </c>
      <c r="W276" t="s" s="0">
        <v>3157</v>
      </c>
      <c r="X276" t="s" s="0">
        <v>82</v>
      </c>
      <c r="Y276" t="s" s="0">
        <v>82</v>
      </c>
      <c r="Z276" t="s" s="0">
        <v>91</v>
      </c>
      <c r="AA276" t="s" s="0">
        <v>92</v>
      </c>
      <c r="AB276" t="s" s="0">
        <v>82</v>
      </c>
      <c r="AC276" t="s" s="0">
        <v>82</v>
      </c>
      <c r="AD276" t="s" s="0">
        <v>82</v>
      </c>
      <c r="AE276" t="s" s="0">
        <v>82</v>
      </c>
      <c r="AF276" t="s" s="0">
        <v>82</v>
      </c>
      <c r="AG276" t="s" s="0">
        <v>6306</v>
      </c>
      <c r="AH276" t="s" s="0">
        <v>6307</v>
      </c>
      <c r="AI276" t="s" s="0">
        <v>6308</v>
      </c>
      <c r="AJ276" t="s" s="0">
        <v>82</v>
      </c>
      <c r="AK276" t="s" s="0">
        <v>82</v>
      </c>
      <c r="AL276" t="s" s="0">
        <v>1273</v>
      </c>
      <c r="AM276" t="s" s="0">
        <v>204</v>
      </c>
      <c r="AN276" t="s" s="0">
        <v>99</v>
      </c>
      <c r="AO276" t="s" s="0">
        <v>99</v>
      </c>
      <c r="AP276" t="s" s="0">
        <v>99</v>
      </c>
      <c r="AQ276" t="s" s="0">
        <v>418</v>
      </c>
      <c r="AR276" t="s" s="0">
        <v>419</v>
      </c>
      <c r="AS276" t="s" s="0">
        <v>420</v>
      </c>
      <c r="AT276" t="s" s="0">
        <v>82</v>
      </c>
      <c r="AU276" t="s" s="0">
        <v>3162</v>
      </c>
      <c r="AV276" t="s" s="0">
        <v>82</v>
      </c>
      <c r="AW276" t="s" s="0">
        <v>3157</v>
      </c>
      <c r="AX276" t="s" s="0">
        <v>3163</v>
      </c>
      <c r="AY276" t="s" s="0">
        <v>4800</v>
      </c>
      <c r="AZ276" t="s" s="0">
        <v>179</v>
      </c>
      <c r="BA276" t="s" s="0">
        <v>209</v>
      </c>
      <c r="BB276" t="s" s="0">
        <v>99</v>
      </c>
      <c r="BC276" t="s" s="0">
        <v>82</v>
      </c>
      <c r="BD276" t="s" s="0">
        <v>82</v>
      </c>
      <c r="BE276" t="s" s="0">
        <v>82</v>
      </c>
      <c r="BF276" t="s" s="0">
        <v>82</v>
      </c>
      <c r="BG276" t="s" s="0">
        <v>82</v>
      </c>
      <c r="BH276" t="s" s="0">
        <v>82</v>
      </c>
      <c r="BI276" t="s" s="0">
        <v>392</v>
      </c>
      <c r="BJ276" t="s" s="0">
        <v>6309</v>
      </c>
      <c r="BK276" t="s" s="549">
        <f>HYPERLINK("http://dx.doi.org/10.3390/diagnostics16030487","http://dx.doi.org/10.3390/diagnostics16030487")</f>
        <v>6310</v>
      </c>
      <c r="BL276" t="s" s="0">
        <v>82</v>
      </c>
      <c r="BM276" t="s" s="0">
        <v>82</v>
      </c>
      <c r="BN276" t="s" s="0">
        <v>277</v>
      </c>
      <c r="BO276" t="s" s="0">
        <v>1803</v>
      </c>
      <c r="BP276" t="s" s="0">
        <v>1804</v>
      </c>
      <c r="BQ276" t="s" s="0">
        <v>6311</v>
      </c>
      <c r="BR276" t="s" s="0">
        <v>6312</v>
      </c>
      <c r="BS276" t="s" s="0">
        <v>6313</v>
      </c>
      <c r="BT276" t="s" s="550">
        <f>HYPERLINK("https://www.webofscience.com/wos/woscc/full-record/WOS:001688357600001","View Record in Web of Science")</f>
        <v>120</v>
      </c>
      <c r="BU276" t="s" s="0">
        <v>189</v>
      </c>
      <c r="BV276" t="s" s="0">
        <v>82</v>
      </c>
      <c r="BW276" t="s" s="0">
        <v>82</v>
      </c>
      <c r="BX276" t="s" s="0">
        <v>121</v>
      </c>
    </row>
    <row r="277">
      <c r="A277" t="s" s="0">
        <v>77</v>
      </c>
      <c r="B277" t="s" s="0">
        <v>77</v>
      </c>
      <c r="C277" t="s" s="0">
        <v>77</v>
      </c>
      <c r="D277" t="s" s="0">
        <v>77</v>
      </c>
      <c r="E277" t="s" s="0">
        <v>6314</v>
      </c>
      <c r="F277" t="s" s="0">
        <v>6315</v>
      </c>
      <c r="G277" t="s" s="0">
        <v>6316</v>
      </c>
      <c r="H277" t="s" s="0">
        <v>82</v>
      </c>
      <c r="I277" t="s" s="0">
        <v>83</v>
      </c>
      <c r="J277" t="s" s="0">
        <v>6317</v>
      </c>
      <c r="K277" t="s" s="0">
        <v>6318</v>
      </c>
      <c r="L277" t="s" s="0">
        <v>82</v>
      </c>
      <c r="M277" t="s" s="0">
        <v>82</v>
      </c>
      <c r="N277" t="s" s="0">
        <v>82</v>
      </c>
      <c r="O277" t="s" s="0">
        <v>6319</v>
      </c>
      <c r="P277" t="s" s="0">
        <v>6320</v>
      </c>
      <c r="Q277" t="s" s="0">
        <v>88</v>
      </c>
      <c r="R277" t="s" s="0">
        <v>82</v>
      </c>
      <c r="S277" t="s" s="0">
        <v>82</v>
      </c>
      <c r="T277" t="s" s="0">
        <v>82</v>
      </c>
      <c r="U277" t="s" s="0">
        <v>82</v>
      </c>
      <c r="V277" t="s" s="0">
        <v>6321</v>
      </c>
      <c r="W277" t="s" s="0">
        <v>3157</v>
      </c>
      <c r="X277" t="s" s="0">
        <v>82</v>
      </c>
      <c r="Y277" t="s" s="0">
        <v>82</v>
      </c>
      <c r="Z277" t="s" s="0">
        <v>91</v>
      </c>
      <c r="AA277" t="s" s="0">
        <v>92</v>
      </c>
      <c r="AB277" t="s" s="0">
        <v>82</v>
      </c>
      <c r="AC277" t="s" s="0">
        <v>82</v>
      </c>
      <c r="AD277" t="s" s="0">
        <v>82</v>
      </c>
      <c r="AE277" t="s" s="0">
        <v>82</v>
      </c>
      <c r="AF277" t="s" s="0">
        <v>82</v>
      </c>
      <c r="AG277" t="s" s="0">
        <v>6322</v>
      </c>
      <c r="AH277" t="s" s="0">
        <v>6323</v>
      </c>
      <c r="AI277" t="s" s="0">
        <v>6324</v>
      </c>
      <c r="AJ277" t="s" s="0">
        <v>82</v>
      </c>
      <c r="AK277" t="s" s="0">
        <v>82</v>
      </c>
      <c r="AL277" t="s" s="0">
        <v>502</v>
      </c>
      <c r="AM277" t="s" s="0">
        <v>77</v>
      </c>
      <c r="AN277" t="s" s="0">
        <v>77</v>
      </c>
      <c r="AO277" t="s" s="0">
        <v>78</v>
      </c>
      <c r="AP277" t="s" s="0">
        <v>78</v>
      </c>
      <c r="AQ277" t="s" s="0">
        <v>418</v>
      </c>
      <c r="AR277" t="s" s="0">
        <v>419</v>
      </c>
      <c r="AS277" t="s" s="0">
        <v>420</v>
      </c>
      <c r="AT277" t="s" s="0">
        <v>82</v>
      </c>
      <c r="AU277" t="s" s="0">
        <v>3162</v>
      </c>
      <c r="AV277" t="s" s="0">
        <v>82</v>
      </c>
      <c r="AW277" t="s" s="0">
        <v>3157</v>
      </c>
      <c r="AX277" t="s" s="0">
        <v>3163</v>
      </c>
      <c r="AY277" t="s" s="0">
        <v>6325</v>
      </c>
      <c r="AZ277" t="s" s="0">
        <v>179</v>
      </c>
      <c r="BA277" t="s" s="0">
        <v>209</v>
      </c>
      <c r="BB277" t="s" s="0">
        <v>272</v>
      </c>
      <c r="BC277" t="s" s="0">
        <v>82</v>
      </c>
      <c r="BD277" t="s" s="0">
        <v>82</v>
      </c>
      <c r="BE277" t="s" s="0">
        <v>82</v>
      </c>
      <c r="BF277" t="s" s="0">
        <v>82</v>
      </c>
      <c r="BG277" t="s" s="0">
        <v>82</v>
      </c>
      <c r="BH277" t="s" s="0">
        <v>82</v>
      </c>
      <c r="BI277" t="s" s="0">
        <v>6326</v>
      </c>
      <c r="BJ277" t="s" s="0">
        <v>6327</v>
      </c>
      <c r="BK277" t="s" s="551">
        <f>HYPERLINK("http://dx.doi.org/10.3390/diagnostics16081171","http://dx.doi.org/10.3390/diagnostics16081171")</f>
        <v>6328</v>
      </c>
      <c r="BL277" t="s" s="0">
        <v>82</v>
      </c>
      <c r="BM277" t="s" s="0">
        <v>183</v>
      </c>
      <c r="BN277" t="s" s="0">
        <v>209</v>
      </c>
      <c r="BO277" t="s" s="0">
        <v>1803</v>
      </c>
      <c r="BP277" t="s" s="0">
        <v>1804</v>
      </c>
      <c r="BQ277" t="s" s="0">
        <v>6329</v>
      </c>
      <c r="BR277" t="s" s="0">
        <v>6330</v>
      </c>
      <c r="BS277" t="s" s="0">
        <v>6331</v>
      </c>
      <c r="BT277" t="s" s="552">
        <f>HYPERLINK("https://www.webofscience.com/wos/woscc/full-record/WOS:001751797300001","View Record in Web of Science")</f>
        <v>120</v>
      </c>
      <c r="BU277" t="s" s="0">
        <v>189</v>
      </c>
      <c r="BV277" t="s" s="0">
        <v>82</v>
      </c>
      <c r="BW277" t="s" s="0">
        <v>82</v>
      </c>
      <c r="BX277" t="s" s="0">
        <v>121</v>
      </c>
    </row>
    <row r="278">
      <c r="A278" t="s" s="0">
        <v>77</v>
      </c>
      <c r="B278" t="s" s="0">
        <v>77</v>
      </c>
      <c r="C278" t="s" s="0">
        <v>77</v>
      </c>
      <c r="D278" t="s" s="0">
        <v>77</v>
      </c>
      <c r="E278" t="s" s="0">
        <v>6332</v>
      </c>
      <c r="F278" t="s" s="0">
        <v>6333</v>
      </c>
      <c r="G278" t="s" s="0">
        <v>6334</v>
      </c>
      <c r="H278" t="s" s="0">
        <v>82</v>
      </c>
      <c r="I278" t="s" s="0">
        <v>83</v>
      </c>
      <c r="J278" t="s" s="0">
        <v>6335</v>
      </c>
      <c r="K278" t="s" s="0">
        <v>6336</v>
      </c>
      <c r="L278" t="s" s="0">
        <v>82</v>
      </c>
      <c r="M278" t="s" s="0">
        <v>82</v>
      </c>
      <c r="N278" t="s" s="0">
        <v>82</v>
      </c>
      <c r="O278" t="s" s="0">
        <v>6337</v>
      </c>
      <c r="P278" t="s" s="0">
        <v>6338</v>
      </c>
      <c r="Q278" t="s" s="0">
        <v>88</v>
      </c>
      <c r="R278" t="s" s="0">
        <v>82</v>
      </c>
      <c r="S278" t="s" s="0">
        <v>82</v>
      </c>
      <c r="T278" t="s" s="0">
        <v>82</v>
      </c>
      <c r="U278" t="s" s="0">
        <v>82</v>
      </c>
      <c r="V278" t="s" s="0">
        <v>6339</v>
      </c>
      <c r="W278" t="s" s="0">
        <v>6340</v>
      </c>
      <c r="X278" t="s" s="0">
        <v>82</v>
      </c>
      <c r="Y278" t="s" s="0">
        <v>82</v>
      </c>
      <c r="Z278" t="s" s="0">
        <v>91</v>
      </c>
      <c r="AA278" t="s" s="0">
        <v>92</v>
      </c>
      <c r="AB278" t="s" s="0">
        <v>82</v>
      </c>
      <c r="AC278" t="s" s="0">
        <v>82</v>
      </c>
      <c r="AD278" t="s" s="0">
        <v>82</v>
      </c>
      <c r="AE278" t="s" s="0">
        <v>82</v>
      </c>
      <c r="AF278" t="s" s="0">
        <v>82</v>
      </c>
      <c r="AG278" t="s" s="0">
        <v>6341</v>
      </c>
      <c r="AH278" t="s" s="0">
        <v>6342</v>
      </c>
      <c r="AI278" t="s" s="0">
        <v>6343</v>
      </c>
      <c r="AJ278" t="s" s="0">
        <v>82</v>
      </c>
      <c r="AK278" t="s" s="0">
        <v>82</v>
      </c>
      <c r="AL278" t="s" s="0">
        <v>96</v>
      </c>
      <c r="AM278" t="s" s="0">
        <v>78</v>
      </c>
      <c r="AN278" t="s" s="0">
        <v>78</v>
      </c>
      <c r="AO278" t="s" s="0">
        <v>235</v>
      </c>
      <c r="AP278" t="s" s="0">
        <v>235</v>
      </c>
      <c r="AQ278" t="s" s="0">
        <v>1912</v>
      </c>
      <c r="AR278" t="s" s="0">
        <v>475</v>
      </c>
      <c r="AS278" t="s" s="0">
        <v>1913</v>
      </c>
      <c r="AT278" t="s" s="0">
        <v>6344</v>
      </c>
      <c r="AU278" t="s" s="0">
        <v>82</v>
      </c>
      <c r="AV278" t="s" s="0">
        <v>82</v>
      </c>
      <c r="AW278" t="s" s="0">
        <v>6345</v>
      </c>
      <c r="AX278" t="s" s="0">
        <v>6346</v>
      </c>
      <c r="AY278" t="s" s="0">
        <v>4800</v>
      </c>
      <c r="AZ278" t="s" s="0">
        <v>179</v>
      </c>
      <c r="BA278" t="s" s="0">
        <v>331</v>
      </c>
      <c r="BB278" t="s" s="0">
        <v>78</v>
      </c>
      <c r="BC278" t="s" s="0">
        <v>82</v>
      </c>
      <c r="BD278" t="s" s="0">
        <v>82</v>
      </c>
      <c r="BE278" t="s" s="0">
        <v>82</v>
      </c>
      <c r="BF278" t="s" s="0">
        <v>82</v>
      </c>
      <c r="BG278" t="s" s="0">
        <v>82</v>
      </c>
      <c r="BH278" t="s" s="0">
        <v>82</v>
      </c>
      <c r="BI278" t="s" s="0">
        <v>4462</v>
      </c>
      <c r="BJ278" t="s" s="0">
        <v>6347</v>
      </c>
      <c r="BK278" t="s" s="553">
        <f>HYPERLINK("http://dx.doi.org/10.1186/s12890-026-04151-z","http://dx.doi.org/10.1186/s12890-026-04151-z")</f>
        <v>6348</v>
      </c>
      <c r="BL278" t="s" s="0">
        <v>82</v>
      </c>
      <c r="BM278" t="s" s="0">
        <v>82</v>
      </c>
      <c r="BN278" t="s" s="0">
        <v>184</v>
      </c>
      <c r="BO278" t="s" s="0">
        <v>6349</v>
      </c>
      <c r="BP278" t="s" s="0">
        <v>6349</v>
      </c>
      <c r="BQ278" t="s" s="0">
        <v>6350</v>
      </c>
      <c r="BR278" t="s" s="0">
        <v>6351</v>
      </c>
      <c r="BS278" t="s" s="0">
        <v>6352</v>
      </c>
      <c r="BT278" t="s" s="554">
        <f>HYPERLINK("https://www.webofscience.com/wos/woscc/full-record/WOS:001712424100002","View Record in Web of Science")</f>
        <v>120</v>
      </c>
      <c r="BU278" t="s" s="0">
        <v>189</v>
      </c>
      <c r="BV278" t="s" s="0">
        <v>82</v>
      </c>
      <c r="BW278" t="s" s="0">
        <v>82</v>
      </c>
      <c r="BX278" t="s" s="0">
        <v>121</v>
      </c>
    </row>
    <row r="279">
      <c r="A279" t="s" s="0">
        <v>77</v>
      </c>
      <c r="B279" t="s" s="0">
        <v>77</v>
      </c>
      <c r="C279" t="s" s="0">
        <v>77</v>
      </c>
      <c r="D279" t="s" s="0">
        <v>77</v>
      </c>
      <c r="E279" t="s" s="0">
        <v>6353</v>
      </c>
      <c r="F279" t="s" s="0">
        <v>6354</v>
      </c>
      <c r="G279" t="s" s="0">
        <v>6355</v>
      </c>
      <c r="H279" t="s" s="0">
        <v>82</v>
      </c>
      <c r="I279" t="s" s="0">
        <v>83</v>
      </c>
      <c r="J279" t="s" s="0">
        <v>6356</v>
      </c>
      <c r="K279" t="s" s="0">
        <v>6357</v>
      </c>
      <c r="L279" t="s" s="0">
        <v>6358</v>
      </c>
      <c r="M279" t="s" s="0">
        <v>6359</v>
      </c>
      <c r="N279" t="s" s="0">
        <v>6360</v>
      </c>
      <c r="O279" t="s" s="0">
        <v>6361</v>
      </c>
      <c r="P279" t="s" s="0">
        <v>82</v>
      </c>
      <c r="Q279" t="s" s="0">
        <v>88</v>
      </c>
      <c r="R279" t="s" s="0">
        <v>82</v>
      </c>
      <c r="S279" t="s" s="0">
        <v>82</v>
      </c>
      <c r="T279" t="s" s="0">
        <v>82</v>
      </c>
      <c r="U279" t="s" s="0">
        <v>82</v>
      </c>
      <c r="V279" t="s" s="0">
        <v>6362</v>
      </c>
      <c r="W279" t="s" s="0">
        <v>3322</v>
      </c>
      <c r="X279" t="s" s="0">
        <v>82</v>
      </c>
      <c r="Y279" t="s" s="0">
        <v>82</v>
      </c>
      <c r="Z279" t="s" s="0">
        <v>91</v>
      </c>
      <c r="AA279" t="s" s="0">
        <v>92</v>
      </c>
      <c r="AB279" t="s" s="0">
        <v>82</v>
      </c>
      <c r="AC279" t="s" s="0">
        <v>82</v>
      </c>
      <c r="AD279" t="s" s="0">
        <v>82</v>
      </c>
      <c r="AE279" t="s" s="0">
        <v>82</v>
      </c>
      <c r="AF279" t="s" s="0">
        <v>82</v>
      </c>
      <c r="AG279" t="s" s="0">
        <v>6363</v>
      </c>
      <c r="AH279" t="s" s="0">
        <v>82</v>
      </c>
      <c r="AI279" t="s" s="0">
        <v>82</v>
      </c>
      <c r="AJ279" t="s" s="0">
        <v>82</v>
      </c>
      <c r="AK279" t="s" s="0">
        <v>82</v>
      </c>
      <c r="AL279" t="s" s="0">
        <v>1532</v>
      </c>
      <c r="AM279" t="s" s="0">
        <v>77</v>
      </c>
      <c r="AN279" t="s" s="0">
        <v>77</v>
      </c>
      <c r="AO279" t="s" s="0">
        <v>77</v>
      </c>
      <c r="AP279" t="s" s="0">
        <v>77</v>
      </c>
      <c r="AQ279" t="s" s="0">
        <v>2460</v>
      </c>
      <c r="AR279" t="s" s="0">
        <v>2461</v>
      </c>
      <c r="AS279" t="s" s="0">
        <v>2462</v>
      </c>
      <c r="AT279" t="s" s="0">
        <v>3324</v>
      </c>
      <c r="AU279" t="s" s="0">
        <v>3325</v>
      </c>
      <c r="AV279" t="s" s="0">
        <v>82</v>
      </c>
      <c r="AW279" t="s" s="0">
        <v>3326</v>
      </c>
      <c r="AX279" t="s" s="0">
        <v>3327</v>
      </c>
      <c r="AY279" t="s" s="0">
        <v>6364</v>
      </c>
      <c r="AZ279" t="s" s="0">
        <v>179</v>
      </c>
      <c r="BA279" t="s" s="0">
        <v>556</v>
      </c>
      <c r="BB279" t="s" s="0">
        <v>82</v>
      </c>
      <c r="BC279" t="s" s="0">
        <v>82</v>
      </c>
      <c r="BD279" t="s" s="0">
        <v>82</v>
      </c>
      <c r="BE279" t="s" s="0">
        <v>82</v>
      </c>
      <c r="BF279" t="s" s="0">
        <v>82</v>
      </c>
      <c r="BG279" t="s" s="0">
        <v>82</v>
      </c>
      <c r="BH279" t="s" s="0">
        <v>82</v>
      </c>
      <c r="BI279" t="s" s="0">
        <v>6365</v>
      </c>
      <c r="BJ279" t="s" s="0">
        <v>6366</v>
      </c>
      <c r="BK279" t="s" s="555">
        <f>HYPERLINK("http://dx.doi.org/10.2196/92183","http://dx.doi.org/10.2196/92183")</f>
        <v>6367</v>
      </c>
      <c r="BL279" t="s" s="0">
        <v>82</v>
      </c>
      <c r="BM279" t="s" s="0">
        <v>82</v>
      </c>
      <c r="BN279" t="s" s="0">
        <v>209</v>
      </c>
      <c r="BO279" t="s" s="0">
        <v>185</v>
      </c>
      <c r="BP279" t="s" s="0">
        <v>185</v>
      </c>
      <c r="BQ279" t="s" s="0">
        <v>6368</v>
      </c>
      <c r="BR279" t="s" s="0">
        <v>6369</v>
      </c>
      <c r="BS279" t="s" s="0">
        <v>6370</v>
      </c>
      <c r="BT279" t="s" s="556">
        <f>HYPERLINK("https://www.webofscience.com/wos/woscc/full-record/WOS:001849568300010","View Record in Web of Science")</f>
        <v>120</v>
      </c>
      <c r="BU279" t="s" s="0">
        <v>189</v>
      </c>
      <c r="BV279" t="s" s="0">
        <v>82</v>
      </c>
      <c r="BW279" t="s" s="0">
        <v>82</v>
      </c>
      <c r="BX279" t="s" s="0">
        <v>121</v>
      </c>
    </row>
    <row r="280">
      <c r="A280" t="s" s="0">
        <v>77</v>
      </c>
      <c r="B280" t="s" s="0">
        <v>77</v>
      </c>
      <c r="C280" t="s" s="0">
        <v>77</v>
      </c>
      <c r="D280" t="s" s="0">
        <v>77</v>
      </c>
      <c r="E280" t="s" s="0">
        <v>6371</v>
      </c>
      <c r="F280" t="s" s="0">
        <v>6372</v>
      </c>
      <c r="G280" t="s" s="0">
        <v>6373</v>
      </c>
      <c r="H280" t="s" s="0">
        <v>82</v>
      </c>
      <c r="I280" t="s" s="0">
        <v>83</v>
      </c>
      <c r="J280" t="s" s="0">
        <v>6374</v>
      </c>
      <c r="K280" t="s" s="0">
        <v>6375</v>
      </c>
      <c r="L280" t="s" s="0">
        <v>6376</v>
      </c>
      <c r="M280" t="s" s="0">
        <v>6377</v>
      </c>
      <c r="N280" t="s" s="0">
        <v>6378</v>
      </c>
      <c r="O280" t="s" s="0">
        <v>6379</v>
      </c>
      <c r="P280" t="s" s="0">
        <v>6380</v>
      </c>
      <c r="Q280" t="s" s="0">
        <v>88</v>
      </c>
      <c r="R280" t="s" s="0">
        <v>82</v>
      </c>
      <c r="S280" t="s" s="0">
        <v>82</v>
      </c>
      <c r="T280" t="s" s="0">
        <v>82</v>
      </c>
      <c r="U280" t="s" s="0">
        <v>82</v>
      </c>
      <c r="V280" t="s" s="0">
        <v>6381</v>
      </c>
      <c r="W280" t="s" s="0">
        <v>2338</v>
      </c>
      <c r="X280" t="s" s="0">
        <v>82</v>
      </c>
      <c r="Y280" t="s" s="0">
        <v>82</v>
      </c>
      <c r="Z280" t="s" s="0">
        <v>91</v>
      </c>
      <c r="AA280" t="s" s="0">
        <v>92</v>
      </c>
      <c r="AB280" t="s" s="0">
        <v>82</v>
      </c>
      <c r="AC280" t="s" s="0">
        <v>82</v>
      </c>
      <c r="AD280" t="s" s="0">
        <v>82</v>
      </c>
      <c r="AE280" t="s" s="0">
        <v>82</v>
      </c>
      <c r="AF280" t="s" s="0">
        <v>82</v>
      </c>
      <c r="AG280" t="s" s="0">
        <v>6382</v>
      </c>
      <c r="AH280" t="s" s="0">
        <v>82</v>
      </c>
      <c r="AI280" t="s" s="0">
        <v>6383</v>
      </c>
      <c r="AJ280" t="s" s="0">
        <v>6384</v>
      </c>
      <c r="AK280" t="s" s="0">
        <v>82</v>
      </c>
      <c r="AL280" t="s" s="0">
        <v>2321</v>
      </c>
      <c r="AM280" t="s" s="0">
        <v>204</v>
      </c>
      <c r="AN280" t="s" s="0">
        <v>204</v>
      </c>
      <c r="AO280" t="s" s="0">
        <v>235</v>
      </c>
      <c r="AP280" t="s" s="0">
        <v>892</v>
      </c>
      <c r="AQ280" t="s" s="0">
        <v>764</v>
      </c>
      <c r="AR280" t="s" s="0">
        <v>765</v>
      </c>
      <c r="AS280" t="s" s="0">
        <v>766</v>
      </c>
      <c r="AT280" t="s" s="0">
        <v>82</v>
      </c>
      <c r="AU280" t="s" s="0">
        <v>2342</v>
      </c>
      <c r="AV280" t="s" s="0">
        <v>82</v>
      </c>
      <c r="AW280" t="s" s="0">
        <v>2343</v>
      </c>
      <c r="AX280" t="s" s="0">
        <v>2344</v>
      </c>
      <c r="AY280" t="s" s="0">
        <v>1360</v>
      </c>
      <c r="AZ280" t="s" s="0">
        <v>179</v>
      </c>
      <c r="BA280" t="s" s="0">
        <v>272</v>
      </c>
      <c r="BB280" t="s" s="0">
        <v>78</v>
      </c>
      <c r="BC280" t="s" s="0">
        <v>82</v>
      </c>
      <c r="BD280" t="s" s="0">
        <v>82</v>
      </c>
      <c r="BE280" t="s" s="0">
        <v>82</v>
      </c>
      <c r="BF280" t="s" s="0">
        <v>82</v>
      </c>
      <c r="BG280" t="s" s="0">
        <v>82</v>
      </c>
      <c r="BH280" t="s" s="0">
        <v>82</v>
      </c>
      <c r="BI280" t="s" s="0">
        <v>6385</v>
      </c>
      <c r="BJ280" t="s" s="0">
        <v>6386</v>
      </c>
      <c r="BK280" t="s" s="557">
        <f>HYPERLINK("http://dx.doi.org/10.1002/aisy.202500085","http://dx.doi.org/10.1002/aisy.202500085")</f>
        <v>6387</v>
      </c>
      <c r="BL280" t="s" s="0">
        <v>82</v>
      </c>
      <c r="BM280" t="s" s="0">
        <v>2022</v>
      </c>
      <c r="BN280" t="s" s="0">
        <v>115</v>
      </c>
      <c r="BO280" t="s" s="0">
        <v>2348</v>
      </c>
      <c r="BP280" t="s" s="0">
        <v>2349</v>
      </c>
      <c r="BQ280" t="s" s="0">
        <v>2350</v>
      </c>
      <c r="BR280" t="s" s="0">
        <v>82</v>
      </c>
      <c r="BS280" t="s" s="0">
        <v>6388</v>
      </c>
      <c r="BT280" t="s" s="558">
        <f>HYPERLINK("https://www.webofscience.com/wos/woscc/full-record/WOS:001533170300001","View Record in Web of Science")</f>
        <v>120</v>
      </c>
      <c r="BU280" t="s" s="0">
        <v>189</v>
      </c>
      <c r="BV280" t="s" s="0">
        <v>82</v>
      </c>
      <c r="BW280" t="s" s="0">
        <v>82</v>
      </c>
      <c r="BX280" t="s" s="0">
        <v>121</v>
      </c>
    </row>
    <row r="281">
      <c r="A281" t="s" s="0">
        <v>77</v>
      </c>
      <c r="B281" t="s" s="0">
        <v>77</v>
      </c>
      <c r="C281" t="s" s="0">
        <v>77</v>
      </c>
      <c r="D281" t="s" s="0">
        <v>77</v>
      </c>
      <c r="E281" t="s" s="0">
        <v>6389</v>
      </c>
      <c r="F281" t="s" s="0">
        <v>6390</v>
      </c>
      <c r="G281" t="s" s="0">
        <v>6391</v>
      </c>
      <c r="H281" t="s" s="0">
        <v>82</v>
      </c>
      <c r="I281" t="s" s="0">
        <v>83</v>
      </c>
      <c r="J281" t="s" s="0">
        <v>6392</v>
      </c>
      <c r="K281" t="s" s="0">
        <v>6393</v>
      </c>
      <c r="L281" t="s" s="0">
        <v>6394</v>
      </c>
      <c r="M281" t="s" s="0">
        <v>6395</v>
      </c>
      <c r="N281" t="s" s="0">
        <v>6396</v>
      </c>
      <c r="O281" t="s" s="0">
        <v>6397</v>
      </c>
      <c r="P281" t="s" s="0">
        <v>6398</v>
      </c>
      <c r="Q281" t="s" s="0">
        <v>88</v>
      </c>
      <c r="R281" t="s" s="0">
        <v>82</v>
      </c>
      <c r="S281" t="s" s="0">
        <v>82</v>
      </c>
      <c r="T281" t="s" s="0">
        <v>82</v>
      </c>
      <c r="U281" t="s" s="0">
        <v>82</v>
      </c>
      <c r="V281" t="s" s="0">
        <v>6399</v>
      </c>
      <c r="W281" t="s" s="0">
        <v>6400</v>
      </c>
      <c r="X281" t="s" s="0">
        <v>82</v>
      </c>
      <c r="Y281" t="s" s="0">
        <v>82</v>
      </c>
      <c r="Z281" t="s" s="0">
        <v>91</v>
      </c>
      <c r="AA281" t="s" s="0">
        <v>92</v>
      </c>
      <c r="AB281" t="s" s="0">
        <v>82</v>
      </c>
      <c r="AC281" t="s" s="0">
        <v>82</v>
      </c>
      <c r="AD281" t="s" s="0">
        <v>82</v>
      </c>
      <c r="AE281" t="s" s="0">
        <v>82</v>
      </c>
      <c r="AF281" t="s" s="0">
        <v>82</v>
      </c>
      <c r="AG281" t="s" s="0">
        <v>82</v>
      </c>
      <c r="AH281" t="s" s="0">
        <v>82</v>
      </c>
      <c r="AI281" t="s" s="0">
        <v>6401</v>
      </c>
      <c r="AJ281" t="s" s="0">
        <v>82</v>
      </c>
      <c r="AK281" t="s" s="0">
        <v>82</v>
      </c>
      <c r="AL281" t="s" s="0">
        <v>139</v>
      </c>
      <c r="AM281" t="s" s="0">
        <v>77</v>
      </c>
      <c r="AN281" t="s" s="0">
        <v>77</v>
      </c>
      <c r="AO281" t="s" s="0">
        <v>363</v>
      </c>
      <c r="AP281" t="s" s="0">
        <v>363</v>
      </c>
      <c r="AQ281" t="s" s="0">
        <v>6402</v>
      </c>
      <c r="AR281" t="s" s="0">
        <v>6403</v>
      </c>
      <c r="AS281" t="s" s="0">
        <v>6404</v>
      </c>
      <c r="AT281" t="s" s="0">
        <v>82</v>
      </c>
      <c r="AU281" t="s" s="0">
        <v>6405</v>
      </c>
      <c r="AV281" t="s" s="0">
        <v>82</v>
      </c>
      <c r="AW281" t="s" s="0">
        <v>6406</v>
      </c>
      <c r="AX281" t="s" s="0">
        <v>6407</v>
      </c>
      <c r="AY281" t="s" s="0">
        <v>6408</v>
      </c>
      <c r="AZ281" t="s" s="0">
        <v>179</v>
      </c>
      <c r="BA281" t="s" s="0">
        <v>98</v>
      </c>
      <c r="BB281" t="s" s="0">
        <v>82</v>
      </c>
      <c r="BC281" t="s" s="0">
        <v>82</v>
      </c>
      <c r="BD281" t="s" s="0">
        <v>82</v>
      </c>
      <c r="BE281" t="s" s="0">
        <v>82</v>
      </c>
      <c r="BF281" t="s" s="0">
        <v>82</v>
      </c>
      <c r="BG281" t="s" s="0">
        <v>82</v>
      </c>
      <c r="BH281" t="s" s="0">
        <v>82</v>
      </c>
      <c r="BI281" t="s" s="0">
        <v>6409</v>
      </c>
      <c r="BJ281" t="s" s="0">
        <v>6410</v>
      </c>
      <c r="BK281" t="s" s="559">
        <f>HYPERLINK("http://dx.doi.org/10.34133/cbsystems.0501","http://dx.doi.org/10.34133/cbsystems.0501")</f>
        <v>6411</v>
      </c>
      <c r="BL281" t="s" s="0">
        <v>82</v>
      </c>
      <c r="BM281" t="s" s="0">
        <v>82</v>
      </c>
      <c r="BN281" t="s" s="0">
        <v>184</v>
      </c>
      <c r="BO281" t="s" s="0">
        <v>6412</v>
      </c>
      <c r="BP281" t="s" s="0">
        <v>6413</v>
      </c>
      <c r="BQ281" t="s" s="0">
        <v>6414</v>
      </c>
      <c r="BR281" t="s" s="0">
        <v>6415</v>
      </c>
      <c r="BS281" t="s" s="0">
        <v>6416</v>
      </c>
      <c r="BT281" t="s" s="560">
        <f>HYPERLINK("https://www.webofscience.com/wos/woscc/full-record/WOS:001702996600001","View Record in Web of Science")</f>
        <v>120</v>
      </c>
      <c r="BU281" t="s" s="0">
        <v>189</v>
      </c>
      <c r="BV281" t="s" s="0">
        <v>82</v>
      </c>
      <c r="BW281" t="s" s="0">
        <v>82</v>
      </c>
      <c r="BX281" t="s" s="0">
        <v>121</v>
      </c>
    </row>
    <row r="282">
      <c r="A282" t="s" s="0">
        <v>77</v>
      </c>
      <c r="B282" t="s" s="0">
        <v>77</v>
      </c>
      <c r="C282" t="s" s="0">
        <v>77</v>
      </c>
      <c r="D282" t="s" s="0">
        <v>77</v>
      </c>
      <c r="E282" t="s" s="0">
        <v>6417</v>
      </c>
      <c r="F282" t="s" s="0">
        <v>6418</v>
      </c>
      <c r="G282" t="s" s="0">
        <v>6419</v>
      </c>
      <c r="H282" t="s" s="0">
        <v>82</v>
      </c>
      <c r="I282" t="s" s="0">
        <v>83</v>
      </c>
      <c r="J282" t="s" s="0">
        <v>6420</v>
      </c>
      <c r="K282" t="s" s="0">
        <v>6421</v>
      </c>
      <c r="L282" t="s" s="0">
        <v>82</v>
      </c>
      <c r="M282" t="s" s="0">
        <v>82</v>
      </c>
      <c r="N282" t="s" s="0">
        <v>82</v>
      </c>
      <c r="O282" t="s" s="0">
        <v>6422</v>
      </c>
      <c r="P282" t="s" s="0">
        <v>6423</v>
      </c>
      <c r="Q282" t="s" s="0">
        <v>88</v>
      </c>
      <c r="R282" t="s" s="0">
        <v>82</v>
      </c>
      <c r="S282" t="s" s="0">
        <v>82</v>
      </c>
      <c r="T282" t="s" s="0">
        <v>82</v>
      </c>
      <c r="U282" t="s" s="0">
        <v>82</v>
      </c>
      <c r="V282" t="s" s="0">
        <v>6424</v>
      </c>
      <c r="W282" t="s" s="0">
        <v>3157</v>
      </c>
      <c r="X282" t="s" s="0">
        <v>82</v>
      </c>
      <c r="Y282" t="s" s="0">
        <v>82</v>
      </c>
      <c r="Z282" t="s" s="0">
        <v>91</v>
      </c>
      <c r="AA282" t="s" s="0">
        <v>92</v>
      </c>
      <c r="AB282" t="s" s="0">
        <v>82</v>
      </c>
      <c r="AC282" t="s" s="0">
        <v>82</v>
      </c>
      <c r="AD282" t="s" s="0">
        <v>82</v>
      </c>
      <c r="AE282" t="s" s="0">
        <v>82</v>
      </c>
      <c r="AF282" t="s" s="0">
        <v>82</v>
      </c>
      <c r="AG282" t="s" s="0">
        <v>6425</v>
      </c>
      <c r="AH282" t="s" s="0">
        <v>6426</v>
      </c>
      <c r="AI282" t="s" s="0">
        <v>6427</v>
      </c>
      <c r="AJ282" t="s" s="0">
        <v>6428</v>
      </c>
      <c r="AK282" t="s" s="0">
        <v>82</v>
      </c>
      <c r="AL282" t="s" s="0">
        <v>802</v>
      </c>
      <c r="AM282" t="s" s="0">
        <v>115</v>
      </c>
      <c r="AN282" t="s" s="0">
        <v>115</v>
      </c>
      <c r="AO282" t="s" s="0">
        <v>235</v>
      </c>
      <c r="AP282" t="s" s="0">
        <v>115</v>
      </c>
      <c r="AQ282" t="s" s="0">
        <v>418</v>
      </c>
      <c r="AR282" t="s" s="0">
        <v>419</v>
      </c>
      <c r="AS282" t="s" s="0">
        <v>420</v>
      </c>
      <c r="AT282" t="s" s="0">
        <v>82</v>
      </c>
      <c r="AU282" t="s" s="0">
        <v>3162</v>
      </c>
      <c r="AV282" t="s" s="0">
        <v>82</v>
      </c>
      <c r="AW282" t="s" s="0">
        <v>3157</v>
      </c>
      <c r="AX282" t="s" s="0">
        <v>3163</v>
      </c>
      <c r="AY282" t="s" s="0">
        <v>6429</v>
      </c>
      <c r="AZ282" t="s" s="0">
        <v>108</v>
      </c>
      <c r="BA282" t="s" s="0">
        <v>277</v>
      </c>
      <c r="BB282" t="s" s="0">
        <v>277</v>
      </c>
      <c r="BC282" t="s" s="0">
        <v>82</v>
      </c>
      <c r="BD282" t="s" s="0">
        <v>82</v>
      </c>
      <c r="BE282" t="s" s="0">
        <v>82</v>
      </c>
      <c r="BF282" t="s" s="0">
        <v>82</v>
      </c>
      <c r="BG282" t="s" s="0">
        <v>82</v>
      </c>
      <c r="BH282" t="s" s="0">
        <v>82</v>
      </c>
      <c r="BI282" t="s" s="0">
        <v>6430</v>
      </c>
      <c r="BJ282" t="s" s="0">
        <v>6431</v>
      </c>
      <c r="BK282" t="s" s="561">
        <f>HYPERLINK("http://dx.doi.org/10.3390/diagnostics15151851","http://dx.doi.org/10.3390/diagnostics15151851")</f>
        <v>6432</v>
      </c>
      <c r="BL282" t="s" s="0">
        <v>82</v>
      </c>
      <c r="BM282" t="s" s="0">
        <v>82</v>
      </c>
      <c r="BN282" t="s" s="0">
        <v>139</v>
      </c>
      <c r="BO282" t="s" s="0">
        <v>1803</v>
      </c>
      <c r="BP282" t="s" s="0">
        <v>1804</v>
      </c>
      <c r="BQ282" t="s" s="0">
        <v>6433</v>
      </c>
      <c r="BR282" t="s" s="0">
        <v>6434</v>
      </c>
      <c r="BS282" t="s" s="0">
        <v>6435</v>
      </c>
      <c r="BT282" t="s" s="562">
        <f>HYPERLINK("https://www.webofscience.com/wos/woscc/full-record/WOS:001551179100001","View Record in Web of Science")</f>
        <v>120</v>
      </c>
      <c r="BU282" t="s" s="0">
        <v>189</v>
      </c>
      <c r="BV282" t="s" s="0">
        <v>82</v>
      </c>
      <c r="BW282" t="s" s="0">
        <v>82</v>
      </c>
      <c r="BX282" t="s" s="0">
        <v>121</v>
      </c>
    </row>
    <row r="283">
      <c r="A283" t="s" s="0">
        <v>77</v>
      </c>
      <c r="B283" t="s" s="0">
        <v>77</v>
      </c>
      <c r="C283" t="s" s="0">
        <v>77</v>
      </c>
      <c r="D283" t="s" s="0">
        <v>77</v>
      </c>
      <c r="E283" t="s" s="0">
        <v>6436</v>
      </c>
      <c r="F283" t="s" s="0">
        <v>6437</v>
      </c>
      <c r="G283" t="s" s="0">
        <v>6438</v>
      </c>
      <c r="H283" t="s" s="0">
        <v>82</v>
      </c>
      <c r="I283" t="s" s="0">
        <v>83</v>
      </c>
      <c r="J283" t="s" s="0">
        <v>6439</v>
      </c>
      <c r="K283" t="s" s="0">
        <v>6440</v>
      </c>
      <c r="L283" t="s" s="0">
        <v>6441</v>
      </c>
      <c r="M283" t="s" s="0">
        <v>6442</v>
      </c>
      <c r="N283" t="s" s="0">
        <v>6443</v>
      </c>
      <c r="O283" t="s" s="0">
        <v>6444</v>
      </c>
      <c r="P283" t="s" s="0">
        <v>6445</v>
      </c>
      <c r="Q283" t="s" s="0">
        <v>88</v>
      </c>
      <c r="R283" t="s" s="0">
        <v>82</v>
      </c>
      <c r="S283" t="s" s="0">
        <v>82</v>
      </c>
      <c r="T283" t="s" s="0">
        <v>82</v>
      </c>
      <c r="U283" t="s" s="0">
        <v>82</v>
      </c>
      <c r="V283" t="s" s="0">
        <v>6446</v>
      </c>
      <c r="W283" t="s" s="0">
        <v>6447</v>
      </c>
      <c r="X283" t="s" s="0">
        <v>82</v>
      </c>
      <c r="Y283" t="s" s="0">
        <v>82</v>
      </c>
      <c r="Z283" t="s" s="0">
        <v>91</v>
      </c>
      <c r="AA283" t="s" s="0">
        <v>92</v>
      </c>
      <c r="AB283" t="s" s="0">
        <v>82</v>
      </c>
      <c r="AC283" t="s" s="0">
        <v>82</v>
      </c>
      <c r="AD283" t="s" s="0">
        <v>82</v>
      </c>
      <c r="AE283" t="s" s="0">
        <v>82</v>
      </c>
      <c r="AF283" t="s" s="0">
        <v>82</v>
      </c>
      <c r="AG283" t="s" s="0">
        <v>6448</v>
      </c>
      <c r="AH283" t="s" s="0">
        <v>82</v>
      </c>
      <c r="AI283" t="s" s="0">
        <v>6449</v>
      </c>
      <c r="AJ283" t="s" s="0">
        <v>82</v>
      </c>
      <c r="AK283" t="s" s="0">
        <v>82</v>
      </c>
      <c r="AL283" t="s" s="0">
        <v>2782</v>
      </c>
      <c r="AM283" t="s" s="0">
        <v>77</v>
      </c>
      <c r="AN283" t="s" s="0">
        <v>77</v>
      </c>
      <c r="AO283" t="s" s="0">
        <v>77</v>
      </c>
      <c r="AP283" t="s" s="0">
        <v>115</v>
      </c>
      <c r="AQ283" t="s" s="0">
        <v>6450</v>
      </c>
      <c r="AR283" t="s" s="0">
        <v>6451</v>
      </c>
      <c r="AS283" t="s" s="0">
        <v>6452</v>
      </c>
      <c r="AT283" t="s" s="0">
        <v>6453</v>
      </c>
      <c r="AU283" t="s" s="0">
        <v>6454</v>
      </c>
      <c r="AV283" t="s" s="0">
        <v>82</v>
      </c>
      <c r="AW283" t="s" s="0">
        <v>6455</v>
      </c>
      <c r="AX283" t="s" s="0">
        <v>6456</v>
      </c>
      <c r="AY283" t="s" s="0">
        <v>5623</v>
      </c>
      <c r="AZ283" t="s" s="0">
        <v>108</v>
      </c>
      <c r="BA283" t="s" s="0">
        <v>5746</v>
      </c>
      <c r="BB283" t="s" s="0">
        <v>204</v>
      </c>
      <c r="BC283" t="s" s="0">
        <v>82</v>
      </c>
      <c r="BD283" t="s" s="0">
        <v>82</v>
      </c>
      <c r="BE283" t="s" s="0">
        <v>82</v>
      </c>
      <c r="BF283" t="s" s="0">
        <v>82</v>
      </c>
      <c r="BG283" t="s" s="0">
        <v>82</v>
      </c>
      <c r="BH283" t="s" s="0">
        <v>82</v>
      </c>
      <c r="BI283" t="s" s="0">
        <v>6457</v>
      </c>
      <c r="BJ283" t="s" s="0">
        <v>6458</v>
      </c>
      <c r="BK283" t="s" s="563">
        <f>HYPERLINK("http://dx.doi.org/10.1007/s11432-024-4416-8","http://dx.doi.org/10.1007/s11432-024-4416-8")</f>
        <v>6459</v>
      </c>
      <c r="BL283" t="s" s="0">
        <v>82</v>
      </c>
      <c r="BM283" t="s" s="0">
        <v>82</v>
      </c>
      <c r="BN283" t="s" s="0">
        <v>428</v>
      </c>
      <c r="BO283" t="s" s="0">
        <v>6460</v>
      </c>
      <c r="BP283" t="s" s="0">
        <v>279</v>
      </c>
      <c r="BQ283" t="s" s="0">
        <v>6461</v>
      </c>
      <c r="BR283" t="s" s="0">
        <v>82</v>
      </c>
      <c r="BS283" t="s" s="0">
        <v>6462</v>
      </c>
      <c r="BT283" t="s" s="564">
        <f>HYPERLINK("https://www.webofscience.com/wos/woscc/full-record/WOS:001592016500001","View Record in Web of Science")</f>
        <v>120</v>
      </c>
      <c r="BU283" t="s" s="0">
        <v>82</v>
      </c>
      <c r="BV283" t="s" s="0">
        <v>82</v>
      </c>
      <c r="BW283" t="s" s="0">
        <v>82</v>
      </c>
      <c r="BX283" t="s" s="0">
        <v>121</v>
      </c>
    </row>
    <row r="284">
      <c r="A284" t="s" s="0">
        <v>77</v>
      </c>
      <c r="B284" t="s" s="0">
        <v>77</v>
      </c>
      <c r="C284" t="s" s="0">
        <v>77</v>
      </c>
      <c r="D284" t="s" s="0">
        <v>77</v>
      </c>
      <c r="E284" t="s" s="0">
        <v>6463</v>
      </c>
      <c r="F284" t="s" s="0">
        <v>6464</v>
      </c>
      <c r="G284" t="s" s="0">
        <v>6465</v>
      </c>
      <c r="H284" t="s" s="0">
        <v>82</v>
      </c>
      <c r="I284" t="s" s="0">
        <v>83</v>
      </c>
      <c r="J284" t="s" s="0">
        <v>6317</v>
      </c>
      <c r="K284" t="s" s="0">
        <v>6466</v>
      </c>
      <c r="L284" t="s" s="0">
        <v>82</v>
      </c>
      <c r="M284" t="s" s="0">
        <v>82</v>
      </c>
      <c r="N284" t="s" s="0">
        <v>82</v>
      </c>
      <c r="O284" t="s" s="0">
        <v>6467</v>
      </c>
      <c r="P284" t="s" s="0">
        <v>6468</v>
      </c>
      <c r="Q284" t="s" s="0">
        <v>88</v>
      </c>
      <c r="R284" t="s" s="0">
        <v>82</v>
      </c>
      <c r="S284" t="s" s="0">
        <v>82</v>
      </c>
      <c r="T284" t="s" s="0">
        <v>82</v>
      </c>
      <c r="U284" t="s" s="0">
        <v>82</v>
      </c>
      <c r="V284" t="s" s="0">
        <v>6469</v>
      </c>
      <c r="W284" t="s" s="0">
        <v>3157</v>
      </c>
      <c r="X284" t="s" s="0">
        <v>82</v>
      </c>
      <c r="Y284" t="s" s="0">
        <v>82</v>
      </c>
      <c r="Z284" t="s" s="0">
        <v>91</v>
      </c>
      <c r="AA284" t="s" s="0">
        <v>92</v>
      </c>
      <c r="AB284" t="s" s="0">
        <v>82</v>
      </c>
      <c r="AC284" t="s" s="0">
        <v>82</v>
      </c>
      <c r="AD284" t="s" s="0">
        <v>82</v>
      </c>
      <c r="AE284" t="s" s="0">
        <v>82</v>
      </c>
      <c r="AF284" t="s" s="0">
        <v>82</v>
      </c>
      <c r="AG284" t="s" s="0">
        <v>6470</v>
      </c>
      <c r="AH284" t="s" s="0">
        <v>6323</v>
      </c>
      <c r="AI284" t="s" s="0">
        <v>6324</v>
      </c>
      <c r="AJ284" t="s" s="0">
        <v>6471</v>
      </c>
      <c r="AK284" t="s" s="0">
        <v>82</v>
      </c>
      <c r="AL284" t="s" s="0">
        <v>763</v>
      </c>
      <c r="AM284" t="s" s="0">
        <v>77</v>
      </c>
      <c r="AN284" t="s" s="0">
        <v>77</v>
      </c>
      <c r="AO284" t="s" s="0">
        <v>78</v>
      </c>
      <c r="AP284" t="s" s="0">
        <v>78</v>
      </c>
      <c r="AQ284" t="s" s="0">
        <v>418</v>
      </c>
      <c r="AR284" t="s" s="0">
        <v>419</v>
      </c>
      <c r="AS284" t="s" s="0">
        <v>420</v>
      </c>
      <c r="AT284" t="s" s="0">
        <v>82</v>
      </c>
      <c r="AU284" t="s" s="0">
        <v>3162</v>
      </c>
      <c r="AV284" t="s" s="0">
        <v>82</v>
      </c>
      <c r="AW284" t="s" s="0">
        <v>3157</v>
      </c>
      <c r="AX284" t="s" s="0">
        <v>3163</v>
      </c>
      <c r="AY284" t="s" s="0">
        <v>6472</v>
      </c>
      <c r="AZ284" t="s" s="0">
        <v>179</v>
      </c>
      <c r="BA284" t="s" s="0">
        <v>209</v>
      </c>
      <c r="BB284" t="s" s="0">
        <v>99</v>
      </c>
      <c r="BC284" t="s" s="0">
        <v>82</v>
      </c>
      <c r="BD284" t="s" s="0">
        <v>82</v>
      </c>
      <c r="BE284" t="s" s="0">
        <v>82</v>
      </c>
      <c r="BF284" t="s" s="0">
        <v>82</v>
      </c>
      <c r="BG284" t="s" s="0">
        <v>82</v>
      </c>
      <c r="BH284" t="s" s="0">
        <v>82</v>
      </c>
      <c r="BI284" t="s" s="0">
        <v>6473</v>
      </c>
      <c r="BJ284" t="s" s="0">
        <v>6474</v>
      </c>
      <c r="BK284" t="s" s="565">
        <f>HYPERLINK("http://dx.doi.org/10.3390/diagnostics16030424","http://dx.doi.org/10.3390/diagnostics16030424")</f>
        <v>6475</v>
      </c>
      <c r="BL284" t="s" s="0">
        <v>82</v>
      </c>
      <c r="BM284" t="s" s="0">
        <v>82</v>
      </c>
      <c r="BN284" t="s" s="0">
        <v>277</v>
      </c>
      <c r="BO284" t="s" s="0">
        <v>1803</v>
      </c>
      <c r="BP284" t="s" s="0">
        <v>1804</v>
      </c>
      <c r="BQ284" t="s" s="0">
        <v>6476</v>
      </c>
      <c r="BR284" t="s" s="0">
        <v>6477</v>
      </c>
      <c r="BS284" t="s" s="0">
        <v>6478</v>
      </c>
      <c r="BT284" t="s" s="566">
        <f>HYPERLINK("https://www.webofscience.com/wos/woscc/full-record/WOS:001688358400001","View Record in Web of Science")</f>
        <v>120</v>
      </c>
      <c r="BU284" t="s" s="0">
        <v>189</v>
      </c>
      <c r="BV284" t="s" s="0">
        <v>82</v>
      </c>
      <c r="BW284" t="s" s="0">
        <v>82</v>
      </c>
      <c r="BX284" t="s" s="0">
        <v>121</v>
      </c>
    </row>
    <row r="285">
      <c r="A285" t="s" s="0">
        <v>77</v>
      </c>
      <c r="B285" t="s" s="0">
        <v>77</v>
      </c>
      <c r="C285" t="s" s="0">
        <v>77</v>
      </c>
      <c r="D285" t="s" s="0">
        <v>77</v>
      </c>
      <c r="E285" t="s" s="0">
        <v>6479</v>
      </c>
      <c r="F285" t="s" s="0">
        <v>6480</v>
      </c>
      <c r="G285" t="s" s="0">
        <v>6481</v>
      </c>
      <c r="H285" t="s" s="0">
        <v>82</v>
      </c>
      <c r="I285" t="s" s="0">
        <v>83</v>
      </c>
      <c r="J285" t="s" s="0">
        <v>6482</v>
      </c>
      <c r="K285" t="s" s="0">
        <v>6483</v>
      </c>
      <c r="L285" t="s" s="0">
        <v>82</v>
      </c>
      <c r="M285" t="s" s="0">
        <v>82</v>
      </c>
      <c r="N285" t="s" s="0">
        <v>82</v>
      </c>
      <c r="O285" t="s" s="0">
        <v>6484</v>
      </c>
      <c r="P285" t="s" s="0">
        <v>6485</v>
      </c>
      <c r="Q285" t="s" s="0">
        <v>88</v>
      </c>
      <c r="R285" t="s" s="0">
        <v>82</v>
      </c>
      <c r="S285" t="s" s="0">
        <v>82</v>
      </c>
      <c r="T285" t="s" s="0">
        <v>82</v>
      </c>
      <c r="U285" t="s" s="0">
        <v>82</v>
      </c>
      <c r="V285" t="s" s="0">
        <v>6486</v>
      </c>
      <c r="W285" t="s" s="0">
        <v>1162</v>
      </c>
      <c r="X285" t="s" s="0">
        <v>82</v>
      </c>
      <c r="Y285" t="s" s="0">
        <v>82</v>
      </c>
      <c r="Z285" t="s" s="0">
        <v>91</v>
      </c>
      <c r="AA285" t="s" s="0">
        <v>92</v>
      </c>
      <c r="AB285" t="s" s="0">
        <v>82</v>
      </c>
      <c r="AC285" t="s" s="0">
        <v>82</v>
      </c>
      <c r="AD285" t="s" s="0">
        <v>82</v>
      </c>
      <c r="AE285" t="s" s="0">
        <v>82</v>
      </c>
      <c r="AF285" t="s" s="0">
        <v>82</v>
      </c>
      <c r="AG285" t="s" s="0">
        <v>6487</v>
      </c>
      <c r="AH285" t="s" s="0">
        <v>82</v>
      </c>
      <c r="AI285" t="s" s="0">
        <v>6488</v>
      </c>
      <c r="AJ285" t="s" s="0">
        <v>82</v>
      </c>
      <c r="AK285" t="s" s="0">
        <v>82</v>
      </c>
      <c r="AL285" t="s" s="0">
        <v>331</v>
      </c>
      <c r="AM285" t="s" s="0">
        <v>77</v>
      </c>
      <c r="AN285" t="s" s="0">
        <v>77</v>
      </c>
      <c r="AO285" t="s" s="0">
        <v>110</v>
      </c>
      <c r="AP285" t="s" s="0">
        <v>110</v>
      </c>
      <c r="AQ285" t="s" s="0">
        <v>418</v>
      </c>
      <c r="AR285" t="s" s="0">
        <v>419</v>
      </c>
      <c r="AS285" t="s" s="0">
        <v>420</v>
      </c>
      <c r="AT285" t="s" s="0">
        <v>82</v>
      </c>
      <c r="AU285" t="s" s="0">
        <v>1164</v>
      </c>
      <c r="AV285" t="s" s="0">
        <v>82</v>
      </c>
      <c r="AW285" t="s" s="0">
        <v>1165</v>
      </c>
      <c r="AX285" t="s" s="0">
        <v>1166</v>
      </c>
      <c r="AY285" t="s" s="0">
        <v>2507</v>
      </c>
      <c r="AZ285" t="s" s="0">
        <v>179</v>
      </c>
      <c r="BA285" t="s" s="0">
        <v>209</v>
      </c>
      <c r="BB285" t="s" s="0">
        <v>272</v>
      </c>
      <c r="BC285" t="s" s="0">
        <v>82</v>
      </c>
      <c r="BD285" t="s" s="0">
        <v>82</v>
      </c>
      <c r="BE285" t="s" s="0">
        <v>82</v>
      </c>
      <c r="BF285" t="s" s="0">
        <v>82</v>
      </c>
      <c r="BG285" t="s" s="0">
        <v>82</v>
      </c>
      <c r="BH285" t="s" s="0">
        <v>82</v>
      </c>
      <c r="BI285" t="s" s="0">
        <v>6489</v>
      </c>
      <c r="BJ285" t="s" s="0">
        <v>6490</v>
      </c>
      <c r="BK285" t="s" s="567">
        <f>HYPERLINK("http://dx.doi.org/10.3390/app16084046","http://dx.doi.org/10.3390/app16084046")</f>
        <v>6491</v>
      </c>
      <c r="BL285" t="s" s="0">
        <v>82</v>
      </c>
      <c r="BM285" t="s" s="0">
        <v>183</v>
      </c>
      <c r="BN285" t="s" s="0">
        <v>148</v>
      </c>
      <c r="BO285" t="s" s="0">
        <v>1171</v>
      </c>
      <c r="BP285" t="s" s="0">
        <v>1172</v>
      </c>
      <c r="BQ285" t="s" s="0">
        <v>6492</v>
      </c>
      <c r="BR285" t="s" s="0">
        <v>82</v>
      </c>
      <c r="BS285" t="s" s="0">
        <v>6493</v>
      </c>
      <c r="BT285" t="s" s="568">
        <f>HYPERLINK("https://www.webofscience.com/wos/woscc/full-record/WOS:001750823600001","View Record in Web of Science")</f>
        <v>120</v>
      </c>
      <c r="BU285" t="s" s="0">
        <v>189</v>
      </c>
      <c r="BV285" t="s" s="0">
        <v>82</v>
      </c>
      <c r="BW285" t="s" s="0">
        <v>82</v>
      </c>
      <c r="BX285" t="s" s="0">
        <v>121</v>
      </c>
    </row>
    <row r="286">
      <c r="A286" t="s" s="0">
        <v>77</v>
      </c>
      <c r="B286" t="s" s="0">
        <v>77</v>
      </c>
      <c r="C286" t="s" s="0">
        <v>204</v>
      </c>
      <c r="D286" t="s" s="0">
        <v>77</v>
      </c>
      <c r="E286" t="s" s="0">
        <v>6494</v>
      </c>
      <c r="F286" t="s" s="0">
        <v>6495</v>
      </c>
      <c r="G286" t="s" s="0">
        <v>6496</v>
      </c>
      <c r="H286" t="s" s="0">
        <v>82</v>
      </c>
      <c r="I286" t="s" s="0">
        <v>83</v>
      </c>
      <c r="J286" t="s" s="0">
        <v>6497</v>
      </c>
      <c r="K286" t="s" s="0">
        <v>6498</v>
      </c>
      <c r="L286" t="s" s="0">
        <v>82</v>
      </c>
      <c r="M286" t="s" s="0">
        <v>82</v>
      </c>
      <c r="N286" t="s" s="0">
        <v>82</v>
      </c>
      <c r="O286" t="s" s="0">
        <v>6499</v>
      </c>
      <c r="P286" t="s" s="0">
        <v>6500</v>
      </c>
      <c r="Q286" t="s" s="0">
        <v>88</v>
      </c>
      <c r="R286" t="s" s="0">
        <v>82</v>
      </c>
      <c r="S286" t="s" s="0">
        <v>82</v>
      </c>
      <c r="T286" t="s" s="0">
        <v>82</v>
      </c>
      <c r="U286" t="s" s="0">
        <v>82</v>
      </c>
      <c r="V286" t="s" s="0">
        <v>6501</v>
      </c>
      <c r="W286" t="s" s="0">
        <v>6502</v>
      </c>
      <c r="X286" t="s" s="0">
        <v>82</v>
      </c>
      <c r="Y286" t="s" s="0">
        <v>82</v>
      </c>
      <c r="Z286" t="s" s="0">
        <v>91</v>
      </c>
      <c r="AA286" t="s" s="0">
        <v>92</v>
      </c>
      <c r="AB286" t="s" s="0">
        <v>82</v>
      </c>
      <c r="AC286" t="s" s="0">
        <v>82</v>
      </c>
      <c r="AD286" t="s" s="0">
        <v>82</v>
      </c>
      <c r="AE286" t="s" s="0">
        <v>82</v>
      </c>
      <c r="AF286" t="s" s="0">
        <v>82</v>
      </c>
      <c r="AG286" t="s" s="0">
        <v>6503</v>
      </c>
      <c r="AH286" t="s" s="0">
        <v>6504</v>
      </c>
      <c r="AI286" t="s" s="0">
        <v>6505</v>
      </c>
      <c r="AJ286" t="s" s="0">
        <v>6506</v>
      </c>
      <c r="AK286" t="s" s="0">
        <v>82</v>
      </c>
      <c r="AL286" t="s" s="0">
        <v>139</v>
      </c>
      <c r="AM286" t="s" s="0">
        <v>99</v>
      </c>
      <c r="AN286" t="s" s="0">
        <v>99</v>
      </c>
      <c r="AO286" t="s" s="0">
        <v>204</v>
      </c>
      <c r="AP286" t="s" s="0">
        <v>99</v>
      </c>
      <c r="AQ286" t="s" s="0">
        <v>503</v>
      </c>
      <c r="AR286" t="s" s="0">
        <v>504</v>
      </c>
      <c r="AS286" t="s" s="0">
        <v>505</v>
      </c>
      <c r="AT286" t="s" s="0">
        <v>6507</v>
      </c>
      <c r="AU286" t="s" s="0">
        <v>6508</v>
      </c>
      <c r="AV286" t="s" s="0">
        <v>82</v>
      </c>
      <c r="AW286" t="s" s="0">
        <v>6509</v>
      </c>
      <c r="AX286" t="s" s="0">
        <v>6510</v>
      </c>
      <c r="AY286" t="s" s="0">
        <v>1688</v>
      </c>
      <c r="AZ286" t="s" s="0">
        <v>108</v>
      </c>
      <c r="BA286" t="s" s="0">
        <v>6511</v>
      </c>
      <c r="BB286" t="s" s="0">
        <v>82</v>
      </c>
      <c r="BC286" t="s" s="0">
        <v>82</v>
      </c>
      <c r="BD286" t="s" s="0">
        <v>82</v>
      </c>
      <c r="BE286" t="s" s="0">
        <v>82</v>
      </c>
      <c r="BF286" t="s" s="0">
        <v>82</v>
      </c>
      <c r="BG286" t="s" s="0">
        <v>82</v>
      </c>
      <c r="BH286" t="s" s="0">
        <v>82</v>
      </c>
      <c r="BI286" t="s" s="0">
        <v>6512</v>
      </c>
      <c r="BJ286" t="s" s="0">
        <v>6513</v>
      </c>
      <c r="BK286" t="s" s="569">
        <f>HYPERLINK("http://dx.doi.org/10.1016/j.tvjl.2025.106476","http://dx.doi.org/10.1016/j.tvjl.2025.106476")</f>
        <v>6514</v>
      </c>
      <c r="BL286" t="s" s="0">
        <v>82</v>
      </c>
      <c r="BM286" t="s" s="0">
        <v>634</v>
      </c>
      <c r="BN286" t="s" s="0">
        <v>97</v>
      </c>
      <c r="BO286" t="s" s="0">
        <v>6515</v>
      </c>
      <c r="BP286" t="s" s="0">
        <v>6515</v>
      </c>
      <c r="BQ286" t="s" s="0">
        <v>6516</v>
      </c>
      <c r="BR286" t="s" s="0">
        <v>6517</v>
      </c>
      <c r="BS286" t="s" s="0">
        <v>6518</v>
      </c>
      <c r="BT286" t="s" s="570">
        <f>HYPERLINK("https://www.webofscience.com/wos/woscc/full-record/WOS:001615213200001","View Record in Web of Science")</f>
        <v>120</v>
      </c>
      <c r="BU286" t="s" s="0">
        <v>82</v>
      </c>
      <c r="BV286" t="s" s="0">
        <v>82</v>
      </c>
      <c r="BW286" t="s" s="0">
        <v>82</v>
      </c>
      <c r="BX286" t="s" s="0">
        <v>121</v>
      </c>
    </row>
    <row r="287">
      <c r="A287" t="s" s="0">
        <v>77</v>
      </c>
      <c r="B287" t="s" s="0">
        <v>77</v>
      </c>
      <c r="C287" t="s" s="0">
        <v>77</v>
      </c>
      <c r="D287" t="s" s="0">
        <v>77</v>
      </c>
      <c r="E287" t="s" s="0">
        <v>6519</v>
      </c>
      <c r="F287" t="s" s="0">
        <v>6520</v>
      </c>
      <c r="G287" t="s" s="0">
        <v>6521</v>
      </c>
      <c r="H287" t="s" s="0">
        <v>82</v>
      </c>
      <c r="I287" t="s" s="0">
        <v>83</v>
      </c>
      <c r="J287" t="s" s="0">
        <v>6522</v>
      </c>
      <c r="K287" t="s" s="0">
        <v>4659</v>
      </c>
      <c r="L287" t="s" s="0">
        <v>82</v>
      </c>
      <c r="M287" t="s" s="0">
        <v>82</v>
      </c>
      <c r="N287" t="s" s="0">
        <v>82</v>
      </c>
      <c r="O287" t="s" s="0">
        <v>6523</v>
      </c>
      <c r="P287" t="s" s="0">
        <v>6524</v>
      </c>
      <c r="Q287" t="s" s="0">
        <v>88</v>
      </c>
      <c r="R287" t="s" s="0">
        <v>82</v>
      </c>
      <c r="S287" t="s" s="0">
        <v>82</v>
      </c>
      <c r="T287" t="s" s="0">
        <v>82</v>
      </c>
      <c r="U287" t="s" s="0">
        <v>82</v>
      </c>
      <c r="V287" t="s" s="0">
        <v>6525</v>
      </c>
      <c r="W287" t="s" s="0">
        <v>201</v>
      </c>
      <c r="X287" t="s" s="0">
        <v>82</v>
      </c>
      <c r="Y287" t="s" s="0">
        <v>82</v>
      </c>
      <c r="Z287" t="s" s="0">
        <v>91</v>
      </c>
      <c r="AA287" t="s" s="0">
        <v>92</v>
      </c>
      <c r="AB287" t="s" s="0">
        <v>82</v>
      </c>
      <c r="AC287" t="s" s="0">
        <v>82</v>
      </c>
      <c r="AD287" t="s" s="0">
        <v>82</v>
      </c>
      <c r="AE287" t="s" s="0">
        <v>82</v>
      </c>
      <c r="AF287" t="s" s="0">
        <v>82</v>
      </c>
      <c r="AG287" t="s" s="0">
        <v>6526</v>
      </c>
      <c r="AH287" t="s" s="0">
        <v>6527</v>
      </c>
      <c r="AI287" t="s" s="0">
        <v>4668</v>
      </c>
      <c r="AJ287" t="s" s="0">
        <v>6528</v>
      </c>
      <c r="AK287" t="s" s="0">
        <v>82</v>
      </c>
      <c r="AL287" t="s" s="0">
        <v>1505</v>
      </c>
      <c r="AM287" t="s" s="0">
        <v>204</v>
      </c>
      <c r="AN287" t="s" s="0">
        <v>99</v>
      </c>
      <c r="AO287" t="s" s="0">
        <v>77</v>
      </c>
      <c r="AP287" t="s" s="0">
        <v>99</v>
      </c>
      <c r="AQ287" t="s" s="0">
        <v>172</v>
      </c>
      <c r="AR287" t="s" s="0">
        <v>173</v>
      </c>
      <c r="AS287" t="s" s="0">
        <v>174</v>
      </c>
      <c r="AT287" t="s" s="0">
        <v>205</v>
      </c>
      <c r="AU287" t="s" s="0">
        <v>82</v>
      </c>
      <c r="AV287" t="s" s="0">
        <v>82</v>
      </c>
      <c r="AW287" t="s" s="0">
        <v>206</v>
      </c>
      <c r="AX287" t="s" s="0">
        <v>207</v>
      </c>
      <c r="AY287" t="s" s="0">
        <v>6529</v>
      </c>
      <c r="AZ287" t="s" s="0">
        <v>108</v>
      </c>
      <c r="BA287" t="s" s="0">
        <v>277</v>
      </c>
      <c r="BB287" t="s" s="0">
        <v>78</v>
      </c>
      <c r="BC287" t="s" s="0">
        <v>82</v>
      </c>
      <c r="BD287" t="s" s="0">
        <v>82</v>
      </c>
      <c r="BE287" t="s" s="0">
        <v>82</v>
      </c>
      <c r="BF287" t="s" s="0">
        <v>82</v>
      </c>
      <c r="BG287" t="s" s="0">
        <v>82</v>
      </c>
      <c r="BH287" t="s" s="0">
        <v>82</v>
      </c>
      <c r="BI287" t="s" s="0">
        <v>6530</v>
      </c>
      <c r="BJ287" t="s" s="0">
        <v>6531</v>
      </c>
      <c r="BK287" t="s" s="571">
        <f>HYPERLINK("http://dx.doi.org/10.1038/s41598-025-18306-1","http://dx.doi.org/10.1038/s41598-025-18306-1")</f>
        <v>6532</v>
      </c>
      <c r="BL287" t="s" s="0">
        <v>82</v>
      </c>
      <c r="BM287" t="s" s="0">
        <v>82</v>
      </c>
      <c r="BN287" t="s" s="0">
        <v>307</v>
      </c>
      <c r="BO287" t="s" s="0">
        <v>213</v>
      </c>
      <c r="BP287" t="s" s="0">
        <v>214</v>
      </c>
      <c r="BQ287" t="s" s="0">
        <v>6533</v>
      </c>
      <c r="BR287" t="s" s="0">
        <v>6534</v>
      </c>
      <c r="BS287" t="s" s="0">
        <v>6535</v>
      </c>
      <c r="BT287" t="s" s="572">
        <f>HYPERLINK("https://www.webofscience.com/wos/woscc/full-record/WOS:001582556200018","View Record in Web of Science")</f>
        <v>120</v>
      </c>
      <c r="BU287" t="s" s="0">
        <v>189</v>
      </c>
      <c r="BV287" t="s" s="0">
        <v>82</v>
      </c>
      <c r="BW287" t="s" s="0">
        <v>82</v>
      </c>
      <c r="BX287" t="s" s="0">
        <v>121</v>
      </c>
    </row>
    <row r="288">
      <c r="A288" t="s" s="0">
        <v>77</v>
      </c>
      <c r="B288" t="s" s="0">
        <v>77</v>
      </c>
      <c r="C288" t="s" s="0">
        <v>77</v>
      </c>
      <c r="D288" t="s" s="0">
        <v>77</v>
      </c>
      <c r="E288" t="s" s="0">
        <v>6536</v>
      </c>
      <c r="F288" t="s" s="0">
        <v>6537</v>
      </c>
      <c r="G288" t="s" s="0">
        <v>6538</v>
      </c>
      <c r="H288" t="s" s="0">
        <v>82</v>
      </c>
      <c r="I288" t="s" s="0">
        <v>83</v>
      </c>
      <c r="J288" t="s" s="0">
        <v>6539</v>
      </c>
      <c r="K288" t="s" s="0">
        <v>6540</v>
      </c>
      <c r="L288" t="s" s="0">
        <v>82</v>
      </c>
      <c r="M288" t="s" s="0">
        <v>82</v>
      </c>
      <c r="N288" t="s" s="0">
        <v>82</v>
      </c>
      <c r="O288" t="s" s="0">
        <v>6541</v>
      </c>
      <c r="P288" t="s" s="0">
        <v>5562</v>
      </c>
      <c r="Q288" t="s" s="0">
        <v>88</v>
      </c>
      <c r="R288" t="s" s="0">
        <v>82</v>
      </c>
      <c r="S288" t="s" s="0">
        <v>82</v>
      </c>
      <c r="T288" t="s" s="0">
        <v>82</v>
      </c>
      <c r="U288" t="s" s="0">
        <v>82</v>
      </c>
      <c r="V288" t="s" s="0">
        <v>6542</v>
      </c>
      <c r="W288" t="s" s="0">
        <v>6543</v>
      </c>
      <c r="X288" t="s" s="0">
        <v>82</v>
      </c>
      <c r="Y288" t="s" s="0">
        <v>82</v>
      </c>
      <c r="Z288" t="s" s="0">
        <v>91</v>
      </c>
      <c r="AA288" t="s" s="0">
        <v>92</v>
      </c>
      <c r="AB288" t="s" s="0">
        <v>82</v>
      </c>
      <c r="AC288" t="s" s="0">
        <v>82</v>
      </c>
      <c r="AD288" t="s" s="0">
        <v>82</v>
      </c>
      <c r="AE288" t="s" s="0">
        <v>82</v>
      </c>
      <c r="AF288" t="s" s="0">
        <v>82</v>
      </c>
      <c r="AG288" t="s" s="0">
        <v>6544</v>
      </c>
      <c r="AH288" t="s" s="0">
        <v>82</v>
      </c>
      <c r="AI288" t="s" s="0">
        <v>6545</v>
      </c>
      <c r="AJ288" t="s" s="0">
        <v>82</v>
      </c>
      <c r="AK288" t="s" s="0">
        <v>82</v>
      </c>
      <c r="AL288" t="s" s="0">
        <v>502</v>
      </c>
      <c r="AM288" t="s" s="0">
        <v>78</v>
      </c>
      <c r="AN288" t="s" s="0">
        <v>78</v>
      </c>
      <c r="AO288" t="s" s="0">
        <v>77</v>
      </c>
      <c r="AP288" t="s" s="0">
        <v>77</v>
      </c>
      <c r="AQ288" t="s" s="0">
        <v>6546</v>
      </c>
      <c r="AR288" t="s" s="0">
        <v>6547</v>
      </c>
      <c r="AS288" t="s" s="0">
        <v>6548</v>
      </c>
      <c r="AT288" t="s" s="0">
        <v>6549</v>
      </c>
      <c r="AU288" t="s" s="0">
        <v>82</v>
      </c>
      <c r="AV288" t="s" s="0">
        <v>82</v>
      </c>
      <c r="AW288" t="s" s="0">
        <v>6550</v>
      </c>
      <c r="AX288" t="s" s="0">
        <v>6551</v>
      </c>
      <c r="AY288" t="s" s="0">
        <v>448</v>
      </c>
      <c r="AZ288" t="s" s="0">
        <v>108</v>
      </c>
      <c r="BA288" t="s" s="0">
        <v>109</v>
      </c>
      <c r="BB288" t="s" s="0">
        <v>363</v>
      </c>
      <c r="BC288" t="s" s="0">
        <v>82</v>
      </c>
      <c r="BD288" t="s" s="0">
        <v>82</v>
      </c>
      <c r="BE288" t="s" s="0">
        <v>82</v>
      </c>
      <c r="BF288" t="s" s="0">
        <v>82</v>
      </c>
      <c r="BG288" t="s" s="0">
        <v>82</v>
      </c>
      <c r="BH288" t="s" s="0">
        <v>82</v>
      </c>
      <c r="BI288" t="s" s="0">
        <v>184</v>
      </c>
      <c r="BJ288" t="s" s="0">
        <v>6552</v>
      </c>
      <c r="BK288" t="s" s="573">
        <f>HYPERLINK("http://dx.doi.org/10.1167/tvst.14.10.13","http://dx.doi.org/10.1167/tvst.14.10.13")</f>
        <v>6553</v>
      </c>
      <c r="BL288" t="s" s="0">
        <v>82</v>
      </c>
      <c r="BM288" t="s" s="0">
        <v>82</v>
      </c>
      <c r="BN288" t="s" s="0">
        <v>363</v>
      </c>
      <c r="BO288" t="s" s="0">
        <v>396</v>
      </c>
      <c r="BP288" t="s" s="0">
        <v>396</v>
      </c>
      <c r="BQ288" t="s" s="0">
        <v>6554</v>
      </c>
      <c r="BR288" t="s" s="0">
        <v>6555</v>
      </c>
      <c r="BS288" t="s" s="0">
        <v>6556</v>
      </c>
      <c r="BT288" t="s" s="574">
        <f>HYPERLINK("https://www.webofscience.com/wos/woscc/full-record/WOS:001630844000004","View Record in Web of Science")</f>
        <v>120</v>
      </c>
      <c r="BU288" t="s" s="0">
        <v>189</v>
      </c>
      <c r="BV288" t="s" s="0">
        <v>82</v>
      </c>
      <c r="BW288" t="s" s="0">
        <v>82</v>
      </c>
      <c r="BX288" t="s" s="0">
        <v>121</v>
      </c>
    </row>
    <row r="289">
      <c r="A289" t="s" s="0">
        <v>77</v>
      </c>
      <c r="B289" t="s" s="0">
        <v>77</v>
      </c>
      <c r="C289" t="s" s="0">
        <v>77</v>
      </c>
      <c r="D289" t="s" s="0">
        <v>77</v>
      </c>
      <c r="E289" t="s" s="0">
        <v>6557</v>
      </c>
      <c r="F289" t="s" s="0">
        <v>6558</v>
      </c>
      <c r="G289" t="s" s="0">
        <v>6559</v>
      </c>
      <c r="H289" t="s" s="0">
        <v>82</v>
      </c>
      <c r="I289" t="s" s="0">
        <v>83</v>
      </c>
      <c r="J289" t="s" s="0">
        <v>6560</v>
      </c>
      <c r="K289" t="s" s="0">
        <v>6561</v>
      </c>
      <c r="L289" t="s" s="0">
        <v>6562</v>
      </c>
      <c r="M289" t="s" s="0">
        <v>6563</v>
      </c>
      <c r="N289" t="s" s="0">
        <v>6564</v>
      </c>
      <c r="O289" t="s" s="0">
        <v>6565</v>
      </c>
      <c r="P289" t="s" s="0">
        <v>6566</v>
      </c>
      <c r="Q289" t="s" s="0">
        <v>88</v>
      </c>
      <c r="R289" t="s" s="0">
        <v>82</v>
      </c>
      <c r="S289" t="s" s="0">
        <v>82</v>
      </c>
      <c r="T289" t="s" s="0">
        <v>82</v>
      </c>
      <c r="U289" t="s" s="0">
        <v>82</v>
      </c>
      <c r="V289" t="s" s="0">
        <v>6567</v>
      </c>
      <c r="W289" t="s" s="0">
        <v>1111</v>
      </c>
      <c r="X289" t="s" s="0">
        <v>82</v>
      </c>
      <c r="Y289" t="s" s="0">
        <v>82</v>
      </c>
      <c r="Z289" t="s" s="0">
        <v>91</v>
      </c>
      <c r="AA289" t="s" s="0">
        <v>92</v>
      </c>
      <c r="AB289" t="s" s="0">
        <v>82</v>
      </c>
      <c r="AC289" t="s" s="0">
        <v>82</v>
      </c>
      <c r="AD289" t="s" s="0">
        <v>82</v>
      </c>
      <c r="AE289" t="s" s="0">
        <v>82</v>
      </c>
      <c r="AF289" t="s" s="0">
        <v>82</v>
      </c>
      <c r="AG289" t="s" s="0">
        <v>6568</v>
      </c>
      <c r="AH289" t="s" s="0">
        <v>82</v>
      </c>
      <c r="AI289" t="s" s="0">
        <v>6569</v>
      </c>
      <c r="AJ289" t="s" s="0">
        <v>6570</v>
      </c>
      <c r="AK289" t="s" s="0">
        <v>82</v>
      </c>
      <c r="AL289" t="s" s="0">
        <v>1115</v>
      </c>
      <c r="AM289" t="s" s="0">
        <v>78</v>
      </c>
      <c r="AN289" t="s" s="0">
        <v>78</v>
      </c>
      <c r="AO289" t="s" s="0">
        <v>184</v>
      </c>
      <c r="AP289" t="s" s="0">
        <v>277</v>
      </c>
      <c r="AQ289" t="s" s="0">
        <v>296</v>
      </c>
      <c r="AR289" t="s" s="0">
        <v>297</v>
      </c>
      <c r="AS289" t="s" s="0">
        <v>298</v>
      </c>
      <c r="AT289" t="s" s="0">
        <v>1116</v>
      </c>
      <c r="AU289" t="s" s="0">
        <v>1117</v>
      </c>
      <c r="AV289" t="s" s="0">
        <v>82</v>
      </c>
      <c r="AW289" t="s" s="0">
        <v>1118</v>
      </c>
      <c r="AX289" t="s" s="0">
        <v>1119</v>
      </c>
      <c r="AY289" t="s" s="0">
        <v>3404</v>
      </c>
      <c r="AZ289" t="s" s="0">
        <v>179</v>
      </c>
      <c r="BA289" t="s" s="0">
        <v>4463</v>
      </c>
      <c r="BB289" t="s" s="0">
        <v>82</v>
      </c>
      <c r="BC289" t="s" s="0">
        <v>82</v>
      </c>
      <c r="BD289" t="s" s="0">
        <v>82</v>
      </c>
      <c r="BE289" t="s" s="0">
        <v>82</v>
      </c>
      <c r="BF289" t="s" s="0">
        <v>82</v>
      </c>
      <c r="BG289" t="s" s="0">
        <v>82</v>
      </c>
      <c r="BH289" t="s" s="0">
        <v>82</v>
      </c>
      <c r="BI289" t="s" s="0">
        <v>6571</v>
      </c>
      <c r="BJ289" t="s" s="0">
        <v>6572</v>
      </c>
      <c r="BK289" t="s" s="575">
        <f>HYPERLINK("http://dx.doi.org/10.1016/j.inffus.2025.104027","http://dx.doi.org/10.1016/j.inffus.2025.104027")</f>
        <v>6573</v>
      </c>
      <c r="BL289" t="s" s="0">
        <v>82</v>
      </c>
      <c r="BM289" t="s" s="0">
        <v>1688</v>
      </c>
      <c r="BN289" t="s" s="0">
        <v>139</v>
      </c>
      <c r="BO289" t="s" s="0">
        <v>1125</v>
      </c>
      <c r="BP289" t="s" s="0">
        <v>309</v>
      </c>
      <c r="BQ289" t="s" s="0">
        <v>6574</v>
      </c>
      <c r="BR289" t="s" s="0">
        <v>82</v>
      </c>
      <c r="BS289" t="s" s="0">
        <v>6575</v>
      </c>
      <c r="BT289" t="s" s="576">
        <f>HYPERLINK("https://www.webofscience.com/wos/woscc/full-record/WOS:001651923100001","View Record in Web of Science")</f>
        <v>120</v>
      </c>
      <c r="BU289" t="s" s="0">
        <v>1972</v>
      </c>
      <c r="BV289" t="s" s="0">
        <v>82</v>
      </c>
      <c r="BW289" t="s" s="0">
        <v>82</v>
      </c>
      <c r="BX289" t="s" s="0">
        <v>121</v>
      </c>
    </row>
    <row r="290">
      <c r="A290" t="s" s="0">
        <v>77</v>
      </c>
      <c r="B290" t="s" s="0">
        <v>77</v>
      </c>
      <c r="C290" t="s" s="0">
        <v>78</v>
      </c>
      <c r="D290" t="s" s="0">
        <v>77</v>
      </c>
      <c r="E290" t="s" s="0">
        <v>6576</v>
      </c>
      <c r="F290" t="s" s="0">
        <v>6577</v>
      </c>
      <c r="G290" t="s" s="0">
        <v>6578</v>
      </c>
      <c r="H290" t="s" s="0">
        <v>82</v>
      </c>
      <c r="I290" t="s" s="0">
        <v>460</v>
      </c>
      <c r="J290" t="s" s="0">
        <v>6579</v>
      </c>
      <c r="K290" t="s" s="0">
        <v>6580</v>
      </c>
      <c r="L290" t="s" s="0">
        <v>82</v>
      </c>
      <c r="M290" t="s" s="0">
        <v>82</v>
      </c>
      <c r="N290" t="s" s="0">
        <v>82</v>
      </c>
      <c r="O290" t="s" s="0">
        <v>6581</v>
      </c>
      <c r="P290" t="s" s="0">
        <v>6582</v>
      </c>
      <c r="Q290" t="s" s="0">
        <v>88</v>
      </c>
      <c r="R290" t="s" s="0">
        <v>82</v>
      </c>
      <c r="S290" t="s" s="0">
        <v>82</v>
      </c>
      <c r="T290" t="s" s="0">
        <v>82</v>
      </c>
      <c r="U290" t="s" s="0">
        <v>82</v>
      </c>
      <c r="V290" t="s" s="0">
        <v>6583</v>
      </c>
      <c r="W290" t="s" s="0">
        <v>992</v>
      </c>
      <c r="X290" t="s" s="0">
        <v>82</v>
      </c>
      <c r="Y290" t="s" s="0">
        <v>82</v>
      </c>
      <c r="Z290" t="s" s="0">
        <v>91</v>
      </c>
      <c r="AA290" t="s" s="0">
        <v>92</v>
      </c>
      <c r="AB290" t="s" s="0">
        <v>82</v>
      </c>
      <c r="AC290" t="s" s="0">
        <v>82</v>
      </c>
      <c r="AD290" t="s" s="0">
        <v>82</v>
      </c>
      <c r="AE290" t="s" s="0">
        <v>82</v>
      </c>
      <c r="AF290" t="s" s="0">
        <v>82</v>
      </c>
      <c r="AG290" t="s" s="0">
        <v>82</v>
      </c>
      <c r="AH290" t="s" s="0">
        <v>82</v>
      </c>
      <c r="AI290" t="s" s="0">
        <v>6584</v>
      </c>
      <c r="AJ290" t="s" s="0">
        <v>82</v>
      </c>
      <c r="AK290" t="s" s="0">
        <v>82</v>
      </c>
      <c r="AL290" t="s" s="0">
        <v>1504</v>
      </c>
      <c r="AM290" t="s" s="0">
        <v>204</v>
      </c>
      <c r="AN290" t="s" s="0">
        <v>204</v>
      </c>
      <c r="AO290" t="s" s="0">
        <v>235</v>
      </c>
      <c r="AP290" t="s" s="0">
        <v>235</v>
      </c>
      <c r="AQ290" t="s" s="0">
        <v>995</v>
      </c>
      <c r="AR290" t="s" s="0">
        <v>996</v>
      </c>
      <c r="AS290" t="s" s="0">
        <v>997</v>
      </c>
      <c r="AT290" t="s" s="0">
        <v>82</v>
      </c>
      <c r="AU290" t="s" s="0">
        <v>998</v>
      </c>
      <c r="AV290" t="s" s="0">
        <v>82</v>
      </c>
      <c r="AW290" t="s" s="0">
        <v>999</v>
      </c>
      <c r="AX290" t="s" s="0">
        <v>1000</v>
      </c>
      <c r="AY290" t="s" s="0">
        <v>6585</v>
      </c>
      <c r="AZ290" t="s" s="0">
        <v>179</v>
      </c>
      <c r="BA290" t="s" s="0">
        <v>110</v>
      </c>
      <c r="BB290" t="s" s="0">
        <v>99</v>
      </c>
      <c r="BC290" t="s" s="0">
        <v>82</v>
      </c>
      <c r="BD290" t="s" s="0">
        <v>82</v>
      </c>
      <c r="BE290" t="s" s="0">
        <v>82</v>
      </c>
      <c r="BF290" t="s" s="0">
        <v>82</v>
      </c>
      <c r="BG290" t="s" s="0">
        <v>82</v>
      </c>
      <c r="BH290" t="s" s="0">
        <v>82</v>
      </c>
      <c r="BI290" t="s" s="0">
        <v>6586</v>
      </c>
      <c r="BJ290" t="s" s="0">
        <v>6587</v>
      </c>
      <c r="BK290" t="s" s="577">
        <f>HYPERLINK("http://dx.doi.org/10.1371/journal.pdig.0001306","http://dx.doi.org/10.1371/journal.pdig.0001306")</f>
        <v>6588</v>
      </c>
      <c r="BL290" t="s" s="0">
        <v>82</v>
      </c>
      <c r="BM290" t="s" s="0">
        <v>82</v>
      </c>
      <c r="BN290" t="s" s="0">
        <v>109</v>
      </c>
      <c r="BO290" t="s" s="0">
        <v>185</v>
      </c>
      <c r="BP290" t="s" s="0">
        <v>185</v>
      </c>
      <c r="BQ290" t="s" s="0">
        <v>6589</v>
      </c>
      <c r="BR290" t="s" s="0">
        <v>6590</v>
      </c>
      <c r="BS290" t="s" s="0">
        <v>6591</v>
      </c>
      <c r="BT290" t="s" s="578">
        <f>HYPERLINK("https://www.webofscience.com/wos/woscc/full-record/WOS:001719492400002","View Record in Web of Science")</f>
        <v>120</v>
      </c>
      <c r="BU290" t="s" s="0">
        <v>189</v>
      </c>
      <c r="BV290" t="s" s="0">
        <v>82</v>
      </c>
      <c r="BW290" t="s" s="0">
        <v>82</v>
      </c>
      <c r="BX290" t="s" s="0">
        <v>121</v>
      </c>
    </row>
    <row r="291">
      <c r="A291" t="s" s="0">
        <v>77</v>
      </c>
      <c r="B291" t="s" s="0">
        <v>77</v>
      </c>
      <c r="C291" t="s" s="0">
        <v>77</v>
      </c>
      <c r="D291" t="s" s="0">
        <v>77</v>
      </c>
      <c r="E291" t="s" s="0">
        <v>6592</v>
      </c>
      <c r="F291" t="s" s="0">
        <v>6593</v>
      </c>
      <c r="G291" t="s" s="0">
        <v>6594</v>
      </c>
      <c r="H291" t="s" s="0">
        <v>82</v>
      </c>
      <c r="I291" t="s" s="0">
        <v>83</v>
      </c>
      <c r="J291" t="s" s="0">
        <v>6595</v>
      </c>
      <c r="K291" t="s" s="0">
        <v>6596</v>
      </c>
      <c r="L291" t="s" s="0">
        <v>6597</v>
      </c>
      <c r="M291" t="s" s="0">
        <v>6598</v>
      </c>
      <c r="N291" t="s" s="0">
        <v>6599</v>
      </c>
      <c r="O291" t="s" s="0">
        <v>6600</v>
      </c>
      <c r="P291" t="s" s="0">
        <v>6601</v>
      </c>
      <c r="Q291" t="s" s="0">
        <v>88</v>
      </c>
      <c r="R291" t="s" s="0">
        <v>82</v>
      </c>
      <c r="S291" t="s" s="0">
        <v>82</v>
      </c>
      <c r="T291" t="s" s="0">
        <v>82</v>
      </c>
      <c r="U291" t="s" s="0">
        <v>82</v>
      </c>
      <c r="V291" t="s" s="0">
        <v>6602</v>
      </c>
      <c r="W291" t="s" s="0">
        <v>6603</v>
      </c>
      <c r="X291" t="s" s="0">
        <v>82</v>
      </c>
      <c r="Y291" t="s" s="0">
        <v>82</v>
      </c>
      <c r="Z291" t="s" s="0">
        <v>91</v>
      </c>
      <c r="AA291" t="s" s="0">
        <v>92</v>
      </c>
      <c r="AB291" t="s" s="0">
        <v>82</v>
      </c>
      <c r="AC291" t="s" s="0">
        <v>82</v>
      </c>
      <c r="AD291" t="s" s="0">
        <v>82</v>
      </c>
      <c r="AE291" t="s" s="0">
        <v>82</v>
      </c>
      <c r="AF291" t="s" s="0">
        <v>82</v>
      </c>
      <c r="AG291" t="s" s="0">
        <v>6604</v>
      </c>
      <c r="AH291" t="s" s="0">
        <v>82</v>
      </c>
      <c r="AI291" t="s" s="0">
        <v>6605</v>
      </c>
      <c r="AJ291" t="s" s="0">
        <v>6606</v>
      </c>
      <c r="AK291" t="s" s="0">
        <v>82</v>
      </c>
      <c r="AL291" t="s" s="0">
        <v>473</v>
      </c>
      <c r="AM291" t="s" s="0">
        <v>204</v>
      </c>
      <c r="AN291" t="s" s="0">
        <v>204</v>
      </c>
      <c r="AO291" t="s" s="0">
        <v>97</v>
      </c>
      <c r="AP291" t="s" s="0">
        <v>98</v>
      </c>
      <c r="AQ291" t="s" s="0">
        <v>1296</v>
      </c>
      <c r="AR291" t="s" s="0">
        <v>965</v>
      </c>
      <c r="AS291" t="s" s="0">
        <v>1297</v>
      </c>
      <c r="AT291" t="s" s="0">
        <v>6607</v>
      </c>
      <c r="AU291" t="s" s="0">
        <v>6608</v>
      </c>
      <c r="AV291" t="s" s="0">
        <v>82</v>
      </c>
      <c r="AW291" t="s" s="0">
        <v>6609</v>
      </c>
      <c r="AX291" t="s" s="0">
        <v>6610</v>
      </c>
      <c r="AY291" t="s" s="0">
        <v>829</v>
      </c>
      <c r="AZ291" t="s" s="0">
        <v>179</v>
      </c>
      <c r="BA291" t="s" s="0">
        <v>1506</v>
      </c>
      <c r="BB291" t="s" s="0">
        <v>99</v>
      </c>
      <c r="BC291" t="s" s="0">
        <v>82</v>
      </c>
      <c r="BD291" t="s" s="0">
        <v>82</v>
      </c>
      <c r="BE291" t="s" s="0">
        <v>82</v>
      </c>
      <c r="BF291" t="s" s="0">
        <v>82</v>
      </c>
      <c r="BG291" t="s" s="0">
        <v>6611</v>
      </c>
      <c r="BH291" t="s" s="0">
        <v>1714</v>
      </c>
      <c r="BI291" t="s" s="0">
        <v>82</v>
      </c>
      <c r="BJ291" t="s" s="0">
        <v>6612</v>
      </c>
      <c r="BK291" t="s" s="579">
        <f>HYPERLINK("http://dx.doi.org/10.1093/dmfr/twaf083","http://dx.doi.org/10.1093/dmfr/twaf083")</f>
        <v>6613</v>
      </c>
      <c r="BL291" t="s" s="0">
        <v>82</v>
      </c>
      <c r="BM291" t="s" s="0">
        <v>1688</v>
      </c>
      <c r="BN291" t="s" s="0">
        <v>307</v>
      </c>
      <c r="BO291" t="s" s="0">
        <v>6614</v>
      </c>
      <c r="BP291" t="s" s="0">
        <v>6614</v>
      </c>
      <c r="BQ291" t="s" s="0">
        <v>6615</v>
      </c>
      <c r="BR291" t="s" s="0">
        <v>6616</v>
      </c>
      <c r="BS291" t="s" s="0">
        <v>6617</v>
      </c>
      <c r="BT291" t="s" s="580">
        <f>HYPERLINK("https://www.webofscience.com/wos/woscc/full-record/WOS:001644509600001","View Record in Web of Science")</f>
        <v>120</v>
      </c>
      <c r="BU291" t="s" s="0">
        <v>82</v>
      </c>
      <c r="BV291" t="s" s="0">
        <v>82</v>
      </c>
      <c r="BW291" t="s" s="0">
        <v>82</v>
      </c>
      <c r="BX291" t="s" s="0">
        <v>121</v>
      </c>
    </row>
    <row r="292">
      <c r="A292" t="s" s="0">
        <v>77</v>
      </c>
      <c r="B292" t="s" s="0">
        <v>77</v>
      </c>
      <c r="C292" t="s" s="0">
        <v>78</v>
      </c>
      <c r="D292" t="s" s="0">
        <v>77</v>
      </c>
      <c r="E292" t="s" s="0">
        <v>6618</v>
      </c>
      <c r="F292" t="s" s="0">
        <v>6619</v>
      </c>
      <c r="G292" t="s" s="0">
        <v>6620</v>
      </c>
      <c r="H292" t="s" s="0">
        <v>82</v>
      </c>
      <c r="I292" t="s" s="0">
        <v>460</v>
      </c>
      <c r="J292" t="s" s="0">
        <v>6621</v>
      </c>
      <c r="K292" t="s" s="0">
        <v>6622</v>
      </c>
      <c r="L292" t="s" s="0">
        <v>6623</v>
      </c>
      <c r="M292" t="s" s="0">
        <v>2796</v>
      </c>
      <c r="N292" t="s" s="0">
        <v>6624</v>
      </c>
      <c r="O292" t="s" s="0">
        <v>6625</v>
      </c>
      <c r="P292" t="s" s="0">
        <v>6626</v>
      </c>
      <c r="Q292" t="s" s="0">
        <v>88</v>
      </c>
      <c r="R292" t="s" s="0">
        <v>82</v>
      </c>
      <c r="S292" t="s" s="0">
        <v>82</v>
      </c>
      <c r="T292" t="s" s="0">
        <v>82</v>
      </c>
      <c r="U292" t="s" s="0">
        <v>82</v>
      </c>
      <c r="V292" t="s" s="0">
        <v>6627</v>
      </c>
      <c r="W292" t="s" s="0">
        <v>6628</v>
      </c>
      <c r="X292" t="s" s="0">
        <v>82</v>
      </c>
      <c r="Y292" t="s" s="0">
        <v>82</v>
      </c>
      <c r="Z292" t="s" s="0">
        <v>91</v>
      </c>
      <c r="AA292" t="s" s="0">
        <v>92</v>
      </c>
      <c r="AB292" t="s" s="0">
        <v>82</v>
      </c>
      <c r="AC292" t="s" s="0">
        <v>82</v>
      </c>
      <c r="AD292" t="s" s="0">
        <v>82</v>
      </c>
      <c r="AE292" t="s" s="0">
        <v>82</v>
      </c>
      <c r="AF292" t="s" s="0">
        <v>82</v>
      </c>
      <c r="AG292" t="s" s="0">
        <v>82</v>
      </c>
      <c r="AH292" t="s" s="0">
        <v>82</v>
      </c>
      <c r="AI292" t="s" s="0">
        <v>6629</v>
      </c>
      <c r="AJ292" t="s" s="0">
        <v>6630</v>
      </c>
      <c r="AK292" t="s" s="0">
        <v>82</v>
      </c>
      <c r="AL292" t="s" s="0">
        <v>763</v>
      </c>
      <c r="AM292" t="s" s="0">
        <v>235</v>
      </c>
      <c r="AN292" t="s" s="0">
        <v>98</v>
      </c>
      <c r="AO292" t="s" s="0">
        <v>78</v>
      </c>
      <c r="AP292" t="s" s="0">
        <v>97</v>
      </c>
      <c r="AQ292" t="s" s="0">
        <v>6402</v>
      </c>
      <c r="AR292" t="s" s="0">
        <v>6403</v>
      </c>
      <c r="AS292" t="s" s="0">
        <v>6404</v>
      </c>
      <c r="AT292" t="s" s="0">
        <v>82</v>
      </c>
      <c r="AU292" t="s" s="0">
        <v>6631</v>
      </c>
      <c r="AV292" t="s" s="0">
        <v>82</v>
      </c>
      <c r="AW292" t="s" s="0">
        <v>6632</v>
      </c>
      <c r="AX292" t="s" s="0">
        <v>6633</v>
      </c>
      <c r="AY292" t="s" s="0">
        <v>6634</v>
      </c>
      <c r="AZ292" t="s" s="0">
        <v>108</v>
      </c>
      <c r="BA292" t="s" s="0">
        <v>110</v>
      </c>
      <c r="BB292" t="s" s="0">
        <v>82</v>
      </c>
      <c r="BC292" t="s" s="0">
        <v>82</v>
      </c>
      <c r="BD292" t="s" s="0">
        <v>82</v>
      </c>
      <c r="BE292" t="s" s="0">
        <v>82</v>
      </c>
      <c r="BF292" t="s" s="0">
        <v>82</v>
      </c>
      <c r="BG292" t="s" s="0">
        <v>82</v>
      </c>
      <c r="BH292" t="s" s="0">
        <v>82</v>
      </c>
      <c r="BI292" t="s" s="0">
        <v>6635</v>
      </c>
      <c r="BJ292" t="s" s="0">
        <v>6636</v>
      </c>
      <c r="BK292" t="s" s="581">
        <f>HYPERLINK("http://dx.doi.org/10.34133/hds.0256","http://dx.doi.org/10.34133/hds.0256")</f>
        <v>6637</v>
      </c>
      <c r="BL292" t="s" s="0">
        <v>82</v>
      </c>
      <c r="BM292" t="s" s="0">
        <v>82</v>
      </c>
      <c r="BN292" t="s" s="0">
        <v>184</v>
      </c>
      <c r="BO292" t="s" s="0">
        <v>6638</v>
      </c>
      <c r="BP292" t="s" s="0">
        <v>6639</v>
      </c>
      <c r="BQ292" t="s" s="0">
        <v>6640</v>
      </c>
      <c r="BR292" t="s" s="0">
        <v>6641</v>
      </c>
      <c r="BS292" t="s" s="0">
        <v>6642</v>
      </c>
      <c r="BT292" t="s" s="582">
        <f>HYPERLINK("https://www.webofscience.com/wos/woscc/full-record/WOS:001547513100001","View Record in Web of Science")</f>
        <v>120</v>
      </c>
      <c r="BU292" t="s" s="0">
        <v>189</v>
      </c>
      <c r="BV292" t="s" s="0">
        <v>82</v>
      </c>
      <c r="BW292" t="s" s="0">
        <v>82</v>
      </c>
      <c r="BX292" t="s" s="0">
        <v>121</v>
      </c>
    </row>
    <row r="293">
      <c r="A293" t="s" s="0">
        <v>77</v>
      </c>
      <c r="B293" t="s" s="0">
        <v>77</v>
      </c>
      <c r="C293" t="s" s="0">
        <v>78</v>
      </c>
      <c r="D293" t="s" s="0">
        <v>77</v>
      </c>
      <c r="E293" t="s" s="0">
        <v>6643</v>
      </c>
      <c r="F293" t="s" s="0">
        <v>6644</v>
      </c>
      <c r="G293" t="s" s="0">
        <v>6645</v>
      </c>
      <c r="H293" t="s" s="0">
        <v>82</v>
      </c>
      <c r="I293" t="s" s="0">
        <v>83</v>
      </c>
      <c r="J293" t="s" s="0">
        <v>6646</v>
      </c>
      <c r="K293" t="s" s="0">
        <v>6647</v>
      </c>
      <c r="L293" t="s" s="0">
        <v>6648</v>
      </c>
      <c r="M293" t="s" s="0">
        <v>6649</v>
      </c>
      <c r="N293" t="s" s="0">
        <v>6650</v>
      </c>
      <c r="O293" t="s" s="0">
        <v>6651</v>
      </c>
      <c r="P293" t="s" s="0">
        <v>6652</v>
      </c>
      <c r="Q293" t="s" s="0">
        <v>88</v>
      </c>
      <c r="R293" t="s" s="0">
        <v>82</v>
      </c>
      <c r="S293" t="s" s="0">
        <v>82</v>
      </c>
      <c r="T293" t="s" s="0">
        <v>82</v>
      </c>
      <c r="U293" t="s" s="0">
        <v>82</v>
      </c>
      <c r="V293" t="s" s="0">
        <v>6653</v>
      </c>
      <c r="W293" t="s" s="0">
        <v>3561</v>
      </c>
      <c r="X293" t="s" s="0">
        <v>82</v>
      </c>
      <c r="Y293" t="s" s="0">
        <v>82</v>
      </c>
      <c r="Z293" t="s" s="0">
        <v>91</v>
      </c>
      <c r="AA293" t="s" s="0">
        <v>92</v>
      </c>
      <c r="AB293" t="s" s="0">
        <v>82</v>
      </c>
      <c r="AC293" t="s" s="0">
        <v>82</v>
      </c>
      <c r="AD293" t="s" s="0">
        <v>82</v>
      </c>
      <c r="AE293" t="s" s="0">
        <v>82</v>
      </c>
      <c r="AF293" t="s" s="0">
        <v>82</v>
      </c>
      <c r="AG293" t="s" s="0">
        <v>6654</v>
      </c>
      <c r="AH293" t="s" s="0">
        <v>82</v>
      </c>
      <c r="AI293" t="s" s="0">
        <v>6655</v>
      </c>
      <c r="AJ293" t="s" s="0">
        <v>6656</v>
      </c>
      <c r="AK293" t="s" s="0">
        <v>82</v>
      </c>
      <c r="AL293" t="s" s="0">
        <v>209</v>
      </c>
      <c r="AM293" t="s" s="0">
        <v>98</v>
      </c>
      <c r="AN293" t="s" s="0">
        <v>98</v>
      </c>
      <c r="AO293" t="s" s="0">
        <v>99</v>
      </c>
      <c r="AP293" t="s" s="0">
        <v>98</v>
      </c>
      <c r="AQ293" t="s" s="0">
        <v>795</v>
      </c>
      <c r="AR293" t="s" s="0">
        <v>796</v>
      </c>
      <c r="AS293" t="s" s="0">
        <v>797</v>
      </c>
      <c r="AT293" t="s" s="0">
        <v>3565</v>
      </c>
      <c r="AU293" t="s" s="0">
        <v>3566</v>
      </c>
      <c r="AV293" t="s" s="0">
        <v>82</v>
      </c>
      <c r="AW293" t="s" s="0">
        <v>3567</v>
      </c>
      <c r="AX293" t="s" s="0">
        <v>3568</v>
      </c>
      <c r="AY293" t="s" s="0">
        <v>1360</v>
      </c>
      <c r="AZ293" t="s" s="0">
        <v>179</v>
      </c>
      <c r="BA293" t="s" s="0">
        <v>449</v>
      </c>
      <c r="BB293" t="s" s="0">
        <v>78</v>
      </c>
      <c r="BC293" t="s" s="0">
        <v>82</v>
      </c>
      <c r="BD293" t="s" s="0">
        <v>82</v>
      </c>
      <c r="BE293" t="s" s="0">
        <v>82</v>
      </c>
      <c r="BF293" t="s" s="0">
        <v>82</v>
      </c>
      <c r="BG293" t="s" s="0">
        <v>6657</v>
      </c>
      <c r="BH293" t="s" s="0">
        <v>6658</v>
      </c>
      <c r="BI293" t="s" s="0">
        <v>82</v>
      </c>
      <c r="BJ293" t="s" s="0">
        <v>6659</v>
      </c>
      <c r="BK293" t="s" s="583">
        <f>HYPERLINK("http://dx.doi.org/10.1007/s11604-025-01861-y","http://dx.doi.org/10.1007/s11604-025-01861-y")</f>
        <v>6660</v>
      </c>
      <c r="BL293" t="s" s="0">
        <v>82</v>
      </c>
      <c r="BM293" t="s" s="0">
        <v>107</v>
      </c>
      <c r="BN293" t="s" s="0">
        <v>115</v>
      </c>
      <c r="BO293" t="s" s="0">
        <v>717</v>
      </c>
      <c r="BP293" t="s" s="0">
        <v>717</v>
      </c>
      <c r="BQ293" t="s" s="0">
        <v>6661</v>
      </c>
      <c r="BR293" t="s" s="0">
        <v>6662</v>
      </c>
      <c r="BS293" t="s" s="0">
        <v>6663</v>
      </c>
      <c r="BT293" t="s" s="584">
        <f>HYPERLINK("https://www.webofscience.com/wos/woscc/full-record/WOS:001570164200001","View Record in Web of Science")</f>
        <v>120</v>
      </c>
      <c r="BU293" t="s" s="0">
        <v>924</v>
      </c>
      <c r="BV293" t="s" s="0">
        <v>82</v>
      </c>
      <c r="BW293" t="s" s="0">
        <v>82</v>
      </c>
      <c r="BX293" t="s" s="0">
        <v>121</v>
      </c>
    </row>
    <row r="294">
      <c r="A294" t="s" s="0">
        <v>77</v>
      </c>
      <c r="B294" t="s" s="0">
        <v>77</v>
      </c>
      <c r="C294" t="s" s="0">
        <v>77</v>
      </c>
      <c r="D294" t="s" s="0">
        <v>77</v>
      </c>
      <c r="E294" t="s" s="0">
        <v>6664</v>
      </c>
      <c r="F294" t="s" s="0">
        <v>6665</v>
      </c>
      <c r="G294" t="s" s="0">
        <v>6666</v>
      </c>
      <c r="H294" t="s" s="0">
        <v>82</v>
      </c>
      <c r="I294" t="s" s="0">
        <v>83</v>
      </c>
      <c r="J294" t="s" s="0">
        <v>6667</v>
      </c>
      <c r="K294" t="s" s="0">
        <v>6668</v>
      </c>
      <c r="L294" t="s" s="0">
        <v>6669</v>
      </c>
      <c r="M294" t="s" s="0">
        <v>6670</v>
      </c>
      <c r="N294" t="s" s="0">
        <v>6671</v>
      </c>
      <c r="O294" t="s" s="0">
        <v>6672</v>
      </c>
      <c r="P294" t="s" s="0">
        <v>5547</v>
      </c>
      <c r="Q294" t="s" s="0">
        <v>88</v>
      </c>
      <c r="R294" t="s" s="0">
        <v>82</v>
      </c>
      <c r="S294" t="s" s="0">
        <v>82</v>
      </c>
      <c r="T294" t="s" s="0">
        <v>82</v>
      </c>
      <c r="U294" t="s" s="0">
        <v>82</v>
      </c>
      <c r="V294" t="s" s="0">
        <v>6673</v>
      </c>
      <c r="W294" t="s" s="0">
        <v>4544</v>
      </c>
      <c r="X294" t="s" s="0">
        <v>82</v>
      </c>
      <c r="Y294" t="s" s="0">
        <v>82</v>
      </c>
      <c r="Z294" t="s" s="0">
        <v>91</v>
      </c>
      <c r="AA294" t="s" s="0">
        <v>92</v>
      </c>
      <c r="AB294" t="s" s="0">
        <v>82</v>
      </c>
      <c r="AC294" t="s" s="0">
        <v>82</v>
      </c>
      <c r="AD294" t="s" s="0">
        <v>82</v>
      </c>
      <c r="AE294" t="s" s="0">
        <v>82</v>
      </c>
      <c r="AF294" t="s" s="0">
        <v>82</v>
      </c>
      <c r="AG294" t="s" s="0">
        <v>6674</v>
      </c>
      <c r="AH294" t="s" s="0">
        <v>6675</v>
      </c>
      <c r="AI294" t="s" s="0">
        <v>82</v>
      </c>
      <c r="AJ294" t="s" s="0">
        <v>82</v>
      </c>
      <c r="AK294" t="s" s="0">
        <v>82</v>
      </c>
      <c r="AL294" t="s" s="0">
        <v>794</v>
      </c>
      <c r="AM294" t="s" s="0">
        <v>77</v>
      </c>
      <c r="AN294" t="s" s="0">
        <v>77</v>
      </c>
      <c r="AO294" t="s" s="0">
        <v>77</v>
      </c>
      <c r="AP294" t="s" s="0">
        <v>77</v>
      </c>
      <c r="AQ294" t="s" s="0">
        <v>3001</v>
      </c>
      <c r="AR294" t="s" s="0">
        <v>3002</v>
      </c>
      <c r="AS294" t="s" s="0">
        <v>3003</v>
      </c>
      <c r="AT294" t="s" s="0">
        <v>82</v>
      </c>
      <c r="AU294" t="s" s="0">
        <v>4546</v>
      </c>
      <c r="AV294" t="s" s="0">
        <v>82</v>
      </c>
      <c r="AW294" t="s" s="0">
        <v>4547</v>
      </c>
      <c r="AX294" t="s" s="0">
        <v>4548</v>
      </c>
      <c r="AY294" t="s" s="0">
        <v>6676</v>
      </c>
      <c r="AZ294" t="s" s="0">
        <v>179</v>
      </c>
      <c r="BA294" t="s" s="0">
        <v>184</v>
      </c>
      <c r="BB294" t="s" s="0">
        <v>82</v>
      </c>
      <c r="BC294" t="s" s="0">
        <v>82</v>
      </c>
      <c r="BD294" t="s" s="0">
        <v>82</v>
      </c>
      <c r="BE294" t="s" s="0">
        <v>82</v>
      </c>
      <c r="BF294" t="s" s="0">
        <v>82</v>
      </c>
      <c r="BG294" t="s" s="0">
        <v>82</v>
      </c>
      <c r="BH294" t="s" s="0">
        <v>82</v>
      </c>
      <c r="BI294" t="s" s="0">
        <v>6677</v>
      </c>
      <c r="BJ294" t="s" s="0">
        <v>6678</v>
      </c>
      <c r="BK294" t="s" s="585">
        <f>HYPERLINK("http://dx.doi.org/10.3389/fmed.2026.1864498","http://dx.doi.org/10.3389/fmed.2026.1864498")</f>
        <v>6679</v>
      </c>
      <c r="BL294" t="s" s="0">
        <v>82</v>
      </c>
      <c r="BM294" t="s" s="0">
        <v>82</v>
      </c>
      <c r="BN294" t="s" s="0">
        <v>363</v>
      </c>
      <c r="BO294" t="s" s="0">
        <v>1803</v>
      </c>
      <c r="BP294" t="s" s="0">
        <v>1804</v>
      </c>
      <c r="BQ294" t="s" s="0">
        <v>6680</v>
      </c>
      <c r="BR294" t="s" s="0">
        <v>82</v>
      </c>
      <c r="BS294" t="s" s="0">
        <v>6681</v>
      </c>
      <c r="BT294" t="s" s="586">
        <f>HYPERLINK("https://www.webofscience.com/wos/woscc/full-record/WOS:001850000500001","View Record in Web of Science")</f>
        <v>120</v>
      </c>
      <c r="BU294" t="s" s="0">
        <v>189</v>
      </c>
      <c r="BV294" t="s" s="0">
        <v>82</v>
      </c>
      <c r="BW294" t="s" s="0">
        <v>82</v>
      </c>
      <c r="BX294" t="s" s="0">
        <v>121</v>
      </c>
    </row>
    <row r="295">
      <c r="A295" t="s" s="0">
        <v>77</v>
      </c>
      <c r="B295" t="s" s="0">
        <v>77</v>
      </c>
      <c r="C295" t="s" s="0">
        <v>77</v>
      </c>
      <c r="D295" t="s" s="0">
        <v>77</v>
      </c>
      <c r="E295" t="s" s="0">
        <v>6682</v>
      </c>
      <c r="F295" t="s" s="0">
        <v>6683</v>
      </c>
      <c r="G295" t="s" s="0">
        <v>6684</v>
      </c>
      <c r="H295" t="s" s="0">
        <v>82</v>
      </c>
      <c r="I295" t="s" s="0">
        <v>83</v>
      </c>
      <c r="J295" t="s" s="0">
        <v>6685</v>
      </c>
      <c r="K295" t="s" s="0">
        <v>6686</v>
      </c>
      <c r="L295" t="s" s="0">
        <v>82</v>
      </c>
      <c r="M295" t="s" s="0">
        <v>82</v>
      </c>
      <c r="N295" t="s" s="0">
        <v>82</v>
      </c>
      <c r="O295" t="s" s="0">
        <v>6687</v>
      </c>
      <c r="P295" t="s" s="0">
        <v>6688</v>
      </c>
      <c r="Q295" t="s" s="0">
        <v>88</v>
      </c>
      <c r="R295" t="s" s="0">
        <v>82</v>
      </c>
      <c r="S295" t="s" s="0">
        <v>82</v>
      </c>
      <c r="T295" t="s" s="0">
        <v>82</v>
      </c>
      <c r="U295" t="s" s="0">
        <v>82</v>
      </c>
      <c r="V295" t="s" s="0">
        <v>6689</v>
      </c>
      <c r="W295" t="s" s="0">
        <v>6690</v>
      </c>
      <c r="X295" t="s" s="0">
        <v>82</v>
      </c>
      <c r="Y295" t="s" s="0">
        <v>82</v>
      </c>
      <c r="Z295" t="s" s="0">
        <v>91</v>
      </c>
      <c r="AA295" t="s" s="0">
        <v>92</v>
      </c>
      <c r="AB295" t="s" s="0">
        <v>82</v>
      </c>
      <c r="AC295" t="s" s="0">
        <v>82</v>
      </c>
      <c r="AD295" t="s" s="0">
        <v>82</v>
      </c>
      <c r="AE295" t="s" s="0">
        <v>82</v>
      </c>
      <c r="AF295" t="s" s="0">
        <v>82</v>
      </c>
      <c r="AG295" t="s" s="0">
        <v>6691</v>
      </c>
      <c r="AH295" t="s" s="0">
        <v>82</v>
      </c>
      <c r="AI295" t="s" s="0">
        <v>6692</v>
      </c>
      <c r="AJ295" t="s" s="0">
        <v>6693</v>
      </c>
      <c r="AK295" t="s" s="0">
        <v>82</v>
      </c>
      <c r="AL295" t="s" s="0">
        <v>586</v>
      </c>
      <c r="AM295" t="s" s="0">
        <v>77</v>
      </c>
      <c r="AN295" t="s" s="0">
        <v>77</v>
      </c>
      <c r="AO295" t="s" s="0">
        <v>77</v>
      </c>
      <c r="AP295" t="s" s="0">
        <v>77</v>
      </c>
      <c r="AQ295" t="s" s="0">
        <v>605</v>
      </c>
      <c r="AR295" t="s" s="0">
        <v>606</v>
      </c>
      <c r="AS295" t="s" s="0">
        <v>607</v>
      </c>
      <c r="AT295" t="s" s="0">
        <v>6694</v>
      </c>
      <c r="AU295" t="s" s="0">
        <v>6695</v>
      </c>
      <c r="AV295" t="s" s="0">
        <v>82</v>
      </c>
      <c r="AW295" t="s" s="0">
        <v>6696</v>
      </c>
      <c r="AX295" t="s" s="0">
        <v>6697</v>
      </c>
      <c r="AY295" t="s" s="0">
        <v>6698</v>
      </c>
      <c r="AZ295" t="s" s="0">
        <v>179</v>
      </c>
      <c r="BA295" t="s" s="0">
        <v>241</v>
      </c>
      <c r="BB295" t="s" s="0">
        <v>235</v>
      </c>
      <c r="BC295" t="s" s="0">
        <v>82</v>
      </c>
      <c r="BD295" t="s" s="0">
        <v>82</v>
      </c>
      <c r="BE295" t="s" s="0">
        <v>82</v>
      </c>
      <c r="BF295" t="s" s="0">
        <v>82</v>
      </c>
      <c r="BG295" t="s" s="0">
        <v>82</v>
      </c>
      <c r="BH295" t="s" s="0">
        <v>82</v>
      </c>
      <c r="BI295" t="s" s="0">
        <v>6699</v>
      </c>
      <c r="BJ295" t="s" s="0">
        <v>6700</v>
      </c>
      <c r="BK295" t="s" s="587">
        <f>HYPERLINK("http://dx.doi.org/10.1002/ima.70409","http://dx.doi.org/10.1002/ima.70409")</f>
        <v>6701</v>
      </c>
      <c r="BL295" t="s" s="0">
        <v>82</v>
      </c>
      <c r="BM295" t="s" s="0">
        <v>82</v>
      </c>
      <c r="BN295" t="s" s="0">
        <v>148</v>
      </c>
      <c r="BO295" t="s" s="0">
        <v>6702</v>
      </c>
      <c r="BP295" t="s" s="0">
        <v>6703</v>
      </c>
      <c r="BQ295" t="s" s="0">
        <v>6704</v>
      </c>
      <c r="BR295" t="s" s="0">
        <v>82</v>
      </c>
      <c r="BS295" t="s" s="0">
        <v>6705</v>
      </c>
      <c r="BT295" t="s" s="588">
        <f>HYPERLINK("https://www.webofscience.com/wos/woscc/full-record/WOS:001816530400001","View Record in Web of Science")</f>
        <v>120</v>
      </c>
      <c r="BU295" t="s" s="0">
        <v>1972</v>
      </c>
      <c r="BV295" t="s" s="0">
        <v>82</v>
      </c>
      <c r="BW295" t="s" s="0">
        <v>82</v>
      </c>
      <c r="BX295" t="s" s="0">
        <v>121</v>
      </c>
    </row>
    <row r="296">
      <c r="A296" t="s" s="0">
        <v>78</v>
      </c>
      <c r="B296" t="s" s="0">
        <v>77</v>
      </c>
      <c r="C296" t="s" s="0">
        <v>98</v>
      </c>
      <c r="D296" t="s" s="0">
        <v>77</v>
      </c>
      <c r="E296" t="s" s="0">
        <v>6706</v>
      </c>
      <c r="F296" t="s" s="0">
        <v>6707</v>
      </c>
      <c r="G296" t="s" s="0">
        <v>6708</v>
      </c>
      <c r="H296" t="s" s="0">
        <v>82</v>
      </c>
      <c r="I296" t="s" s="0">
        <v>460</v>
      </c>
      <c r="J296" t="s" s="0">
        <v>6709</v>
      </c>
      <c r="K296" t="s" s="0">
        <v>6710</v>
      </c>
      <c r="L296" t="s" s="0">
        <v>6711</v>
      </c>
      <c r="M296" t="s" s="0">
        <v>224</v>
      </c>
      <c r="N296" t="s" s="0">
        <v>6712</v>
      </c>
      <c r="O296" t="s" s="0">
        <v>6713</v>
      </c>
      <c r="P296" t="s" s="0">
        <v>6714</v>
      </c>
      <c r="Q296" t="s" s="0">
        <v>88</v>
      </c>
      <c r="R296" t="s" s="0">
        <v>82</v>
      </c>
      <c r="S296" t="s" s="0">
        <v>82</v>
      </c>
      <c r="T296" t="s" s="0">
        <v>82</v>
      </c>
      <c r="U296" t="s" s="0">
        <v>82</v>
      </c>
      <c r="V296" t="s" s="0">
        <v>6715</v>
      </c>
      <c r="W296" t="s" s="0">
        <v>6716</v>
      </c>
      <c r="X296" t="s" s="0">
        <v>82</v>
      </c>
      <c r="Y296" t="s" s="0">
        <v>82</v>
      </c>
      <c r="Z296" t="s" s="0">
        <v>91</v>
      </c>
      <c r="AA296" t="s" s="0">
        <v>92</v>
      </c>
      <c r="AB296" t="s" s="0">
        <v>82</v>
      </c>
      <c r="AC296" t="s" s="0">
        <v>82</v>
      </c>
      <c r="AD296" t="s" s="0">
        <v>82</v>
      </c>
      <c r="AE296" t="s" s="0">
        <v>82</v>
      </c>
      <c r="AF296" t="s" s="0">
        <v>82</v>
      </c>
      <c r="AG296" t="s" s="0">
        <v>82</v>
      </c>
      <c r="AH296" t="s" s="0">
        <v>82</v>
      </c>
      <c r="AI296" t="s" s="0">
        <v>6717</v>
      </c>
      <c r="AJ296" t="s" s="0">
        <v>6718</v>
      </c>
      <c r="AK296" t="s" s="0">
        <v>82</v>
      </c>
      <c r="AL296" t="s" s="0">
        <v>2012</v>
      </c>
      <c r="AM296" t="s" s="0">
        <v>1505</v>
      </c>
      <c r="AN296" t="s" s="0">
        <v>391</v>
      </c>
      <c r="AO296" t="s" s="0">
        <v>99</v>
      </c>
      <c r="AP296" t="s" s="0">
        <v>235</v>
      </c>
      <c r="AQ296" t="s" s="0">
        <v>6719</v>
      </c>
      <c r="AR296" t="s" s="0">
        <v>6451</v>
      </c>
      <c r="AS296" t="s" s="0">
        <v>6720</v>
      </c>
      <c r="AT296" t="s" s="0">
        <v>82</v>
      </c>
      <c r="AU296" t="s" s="0">
        <v>6721</v>
      </c>
      <c r="AV296" t="s" s="0">
        <v>82</v>
      </c>
      <c r="AW296" t="s" s="0">
        <v>6716</v>
      </c>
      <c r="AX296" t="s" s="0">
        <v>6722</v>
      </c>
      <c r="AY296" t="s" s="0">
        <v>145</v>
      </c>
      <c r="AZ296" t="s" s="0">
        <v>146</v>
      </c>
      <c r="BA296" t="s" s="0">
        <v>204</v>
      </c>
      <c r="BB296" t="s" s="0">
        <v>235</v>
      </c>
      <c r="BC296" t="s" s="0">
        <v>82</v>
      </c>
      <c r="BD296" t="s" s="0">
        <v>82</v>
      </c>
      <c r="BE296" t="s" s="0">
        <v>82</v>
      </c>
      <c r="BF296" t="s" s="0">
        <v>82</v>
      </c>
      <c r="BG296" t="s" s="0">
        <v>82</v>
      </c>
      <c r="BH296" t="s" s="0">
        <v>82</v>
      </c>
      <c r="BI296" t="s" s="0">
        <v>6723</v>
      </c>
      <c r="BJ296" t="s" s="0">
        <v>6724</v>
      </c>
      <c r="BK296" t="s" s="589">
        <f>HYPERLINK("http://dx.doi.org/10.1016/j.metrad.2024.100103","http://dx.doi.org/10.1016/j.metrad.2024.100103")</f>
        <v>6725</v>
      </c>
      <c r="BL296" t="s" s="0">
        <v>82</v>
      </c>
      <c r="BM296" t="s" s="0">
        <v>390</v>
      </c>
      <c r="BN296" t="s" s="0">
        <v>976</v>
      </c>
      <c r="BO296" t="s" s="0">
        <v>6726</v>
      </c>
      <c r="BP296" t="s" s="0">
        <v>6727</v>
      </c>
      <c r="BQ296" t="s" s="0">
        <v>6728</v>
      </c>
      <c r="BR296" t="s" s="0">
        <v>82</v>
      </c>
      <c r="BS296" t="s" s="0">
        <v>6729</v>
      </c>
      <c r="BT296" t="s" s="590">
        <f>HYPERLINK("https://www.webofscience.com/wos/woscc/full-record/WOS:001577798200001","View Record in Web of Science")</f>
        <v>120</v>
      </c>
      <c r="BU296" t="s" s="0">
        <v>335</v>
      </c>
      <c r="BV296" t="s" s="0">
        <v>82</v>
      </c>
      <c r="BW296" t="s" s="0">
        <v>82</v>
      </c>
      <c r="BX296" t="s" s="0">
        <v>121</v>
      </c>
    </row>
    <row r="297">
      <c r="A297" t="s" s="0">
        <v>77</v>
      </c>
      <c r="B297" t="s" s="0">
        <v>77</v>
      </c>
      <c r="C297" t="s" s="0">
        <v>77</v>
      </c>
      <c r="D297" t="s" s="0">
        <v>77</v>
      </c>
      <c r="E297" t="s" s="0">
        <v>6730</v>
      </c>
      <c r="F297" t="s" s="0">
        <v>6731</v>
      </c>
      <c r="G297" t="s" s="0">
        <v>6732</v>
      </c>
      <c r="H297" t="s" s="0">
        <v>82</v>
      </c>
      <c r="I297" t="s" s="0">
        <v>83</v>
      </c>
      <c r="J297" t="s" s="0">
        <v>6733</v>
      </c>
      <c r="K297" t="s" s="0">
        <v>6734</v>
      </c>
      <c r="L297" t="s" s="0">
        <v>5543</v>
      </c>
      <c r="M297" t="s" s="0">
        <v>5544</v>
      </c>
      <c r="N297" t="s" s="0">
        <v>6735</v>
      </c>
      <c r="O297" t="s" s="0">
        <v>6736</v>
      </c>
      <c r="P297" t="s" s="0">
        <v>6737</v>
      </c>
      <c r="Q297" t="s" s="0">
        <v>88</v>
      </c>
      <c r="R297" t="s" s="0">
        <v>82</v>
      </c>
      <c r="S297" t="s" s="0">
        <v>82</v>
      </c>
      <c r="T297" t="s" s="0">
        <v>82</v>
      </c>
      <c r="U297" t="s" s="0">
        <v>82</v>
      </c>
      <c r="V297" t="s" s="0">
        <v>6738</v>
      </c>
      <c r="W297" t="s" s="0">
        <v>6047</v>
      </c>
      <c r="X297" t="s" s="0">
        <v>82</v>
      </c>
      <c r="Y297" t="s" s="0">
        <v>82</v>
      </c>
      <c r="Z297" t="s" s="0">
        <v>91</v>
      </c>
      <c r="AA297" t="s" s="0">
        <v>908</v>
      </c>
      <c r="AB297" t="s" s="0">
        <v>82</v>
      </c>
      <c r="AC297" t="s" s="0">
        <v>82</v>
      </c>
      <c r="AD297" t="s" s="0">
        <v>82</v>
      </c>
      <c r="AE297" t="s" s="0">
        <v>82</v>
      </c>
      <c r="AF297" t="s" s="0">
        <v>82</v>
      </c>
      <c r="AG297" t="s" s="0">
        <v>6739</v>
      </c>
      <c r="AH297" t="s" s="0">
        <v>6740</v>
      </c>
      <c r="AI297" t="s" s="0">
        <v>6741</v>
      </c>
      <c r="AJ297" t="s" s="0">
        <v>6742</v>
      </c>
      <c r="AK297" t="s" s="0">
        <v>82</v>
      </c>
      <c r="AL297" t="s" s="0">
        <v>1504</v>
      </c>
      <c r="AM297" t="s" s="0">
        <v>77</v>
      </c>
      <c r="AN297" t="s" s="0">
        <v>77</v>
      </c>
      <c r="AO297" t="s" s="0">
        <v>204</v>
      </c>
      <c r="AP297" t="s" s="0">
        <v>204</v>
      </c>
      <c r="AQ297" t="s" s="0">
        <v>6050</v>
      </c>
      <c r="AR297" t="s" s="0">
        <v>475</v>
      </c>
      <c r="AS297" t="s" s="0">
        <v>6051</v>
      </c>
      <c r="AT297" t="s" s="0">
        <v>6052</v>
      </c>
      <c r="AU297" t="s" s="0">
        <v>6053</v>
      </c>
      <c r="AV297" t="s" s="0">
        <v>82</v>
      </c>
      <c r="AW297" t="s" s="0">
        <v>6054</v>
      </c>
      <c r="AX297" t="s" s="0">
        <v>6055</v>
      </c>
      <c r="AY297" t="s" s="0">
        <v>82</v>
      </c>
      <c r="AZ297" t="s" s="0">
        <v>179</v>
      </c>
      <c r="BA297" t="s" s="0">
        <v>82</v>
      </c>
      <c r="BB297" t="s" s="0">
        <v>82</v>
      </c>
      <c r="BC297" t="s" s="0">
        <v>82</v>
      </c>
      <c r="BD297" t="s" s="0">
        <v>82</v>
      </c>
      <c r="BE297" t="s" s="0">
        <v>82</v>
      </c>
      <c r="BF297" t="s" s="0">
        <v>82</v>
      </c>
      <c r="BG297" t="s" s="0">
        <v>82</v>
      </c>
      <c r="BH297" t="s" s="0">
        <v>82</v>
      </c>
      <c r="BI297" t="s" s="0">
        <v>82</v>
      </c>
      <c r="BJ297" t="s" s="0">
        <v>6743</v>
      </c>
      <c r="BK297" t="s" s="591">
        <f>HYPERLINK("http://dx.doi.org/10.1136/bjo-2025-328992","http://dx.doi.org/10.1136/bjo-2025-328992")</f>
        <v>6744</v>
      </c>
      <c r="BL297" t="s" s="0">
        <v>82</v>
      </c>
      <c r="BM297" t="s" s="0">
        <v>358</v>
      </c>
      <c r="BN297" t="s" s="0">
        <v>363</v>
      </c>
      <c r="BO297" t="s" s="0">
        <v>396</v>
      </c>
      <c r="BP297" t="s" s="0">
        <v>396</v>
      </c>
      <c r="BQ297" t="s" s="0">
        <v>6745</v>
      </c>
      <c r="BR297" t="s" s="0">
        <v>6746</v>
      </c>
      <c r="BS297" t="s" s="0">
        <v>6747</v>
      </c>
      <c r="BT297" t="s" s="592">
        <f>HYPERLINK("https://www.webofscience.com/wos/woscc/full-record/WOS:001792377700001","View Record in Web of Science")</f>
        <v>120</v>
      </c>
      <c r="BU297" t="s" s="0">
        <v>82</v>
      </c>
      <c r="BV297" t="s" s="0">
        <v>82</v>
      </c>
      <c r="BW297" t="s" s="0">
        <v>82</v>
      </c>
      <c r="BX297" t="s" s="0">
        <v>121</v>
      </c>
    </row>
    <row r="298">
      <c r="A298" t="s" s="0">
        <v>77</v>
      </c>
      <c r="B298" t="s" s="0">
        <v>77</v>
      </c>
      <c r="C298" t="s" s="0">
        <v>77</v>
      </c>
      <c r="D298" t="s" s="0">
        <v>77</v>
      </c>
      <c r="E298" t="s" s="0">
        <v>6748</v>
      </c>
      <c r="F298" t="s" s="0">
        <v>6749</v>
      </c>
      <c r="G298" t="s" s="0">
        <v>6750</v>
      </c>
      <c r="H298" t="s" s="0">
        <v>82</v>
      </c>
      <c r="I298" t="s" s="0">
        <v>83</v>
      </c>
      <c r="J298" t="s" s="0">
        <v>6751</v>
      </c>
      <c r="K298" t="s" s="0">
        <v>6752</v>
      </c>
      <c r="L298" t="s" s="0">
        <v>6753</v>
      </c>
      <c r="M298" t="s" s="0">
        <v>6754</v>
      </c>
      <c r="N298" t="s" s="0">
        <v>6755</v>
      </c>
      <c r="O298" t="s" s="0">
        <v>6756</v>
      </c>
      <c r="P298" t="s" s="0">
        <v>6757</v>
      </c>
      <c r="Q298" t="s" s="0">
        <v>88</v>
      </c>
      <c r="R298" t="s" s="0">
        <v>82</v>
      </c>
      <c r="S298" t="s" s="0">
        <v>82</v>
      </c>
      <c r="T298" t="s" s="0">
        <v>82</v>
      </c>
      <c r="U298" t="s" s="0">
        <v>82</v>
      </c>
      <c r="V298" t="s" s="0">
        <v>6758</v>
      </c>
      <c r="W298" t="s" s="0">
        <v>6759</v>
      </c>
      <c r="X298" t="s" s="0">
        <v>82</v>
      </c>
      <c r="Y298" t="s" s="0">
        <v>82</v>
      </c>
      <c r="Z298" t="s" s="0">
        <v>91</v>
      </c>
      <c r="AA298" t="s" s="0">
        <v>92</v>
      </c>
      <c r="AB298" t="s" s="0">
        <v>82</v>
      </c>
      <c r="AC298" t="s" s="0">
        <v>82</v>
      </c>
      <c r="AD298" t="s" s="0">
        <v>82</v>
      </c>
      <c r="AE298" t="s" s="0">
        <v>82</v>
      </c>
      <c r="AF298" t="s" s="0">
        <v>82</v>
      </c>
      <c r="AG298" t="s" s="0">
        <v>6760</v>
      </c>
      <c r="AH298" t="s" s="0">
        <v>6761</v>
      </c>
      <c r="AI298" t="s" s="0">
        <v>6762</v>
      </c>
      <c r="AJ298" t="s" s="0">
        <v>6763</v>
      </c>
      <c r="AK298" t="s" s="0">
        <v>82</v>
      </c>
      <c r="AL298" t="s" s="0">
        <v>428</v>
      </c>
      <c r="AM298" t="s" s="0">
        <v>78</v>
      </c>
      <c r="AN298" t="s" s="0">
        <v>78</v>
      </c>
      <c r="AO298" t="s" s="0">
        <v>97</v>
      </c>
      <c r="AP298" t="s" s="0">
        <v>97</v>
      </c>
      <c r="AQ298" t="s" s="0">
        <v>795</v>
      </c>
      <c r="AR298" t="s" s="0">
        <v>796</v>
      </c>
      <c r="AS298" t="s" s="0">
        <v>797</v>
      </c>
      <c r="AT298" t="s" s="0">
        <v>6764</v>
      </c>
      <c r="AU298" t="s" s="0">
        <v>6765</v>
      </c>
      <c r="AV298" t="s" s="0">
        <v>82</v>
      </c>
      <c r="AW298" t="s" s="0">
        <v>6766</v>
      </c>
      <c r="AX298" t="s" s="0">
        <v>6767</v>
      </c>
      <c r="AY298" t="s" s="0">
        <v>6768</v>
      </c>
      <c r="AZ298" t="s" s="0">
        <v>179</v>
      </c>
      <c r="BA298" t="s" s="0">
        <v>6769</v>
      </c>
      <c r="BB298" t="s" s="0">
        <v>235</v>
      </c>
      <c r="BC298" t="s" s="0">
        <v>82</v>
      </c>
      <c r="BD298" t="s" s="0">
        <v>82</v>
      </c>
      <c r="BE298" t="s" s="0">
        <v>82</v>
      </c>
      <c r="BF298" t="s" s="0">
        <v>82</v>
      </c>
      <c r="BG298" t="s" s="0">
        <v>82</v>
      </c>
      <c r="BH298" t="s" s="0">
        <v>82</v>
      </c>
      <c r="BI298" t="s" s="0">
        <v>6770</v>
      </c>
      <c r="BJ298" t="s" s="0">
        <v>6771</v>
      </c>
      <c r="BK298" t="s" s="593">
        <f>HYPERLINK("http://dx.doi.org/10.1007/s00431-026-06874-x","http://dx.doi.org/10.1007/s00431-026-06874-x")</f>
        <v>6772</v>
      </c>
      <c r="BL298" t="s" s="0">
        <v>82</v>
      </c>
      <c r="BM298" t="s" s="0">
        <v>82</v>
      </c>
      <c r="BN298" t="s" s="0">
        <v>363</v>
      </c>
      <c r="BO298" t="s" s="0">
        <v>6773</v>
      </c>
      <c r="BP298" t="s" s="0">
        <v>6773</v>
      </c>
      <c r="BQ298" t="s" s="0">
        <v>6774</v>
      </c>
      <c r="BR298" t="s" s="0">
        <v>6775</v>
      </c>
      <c r="BS298" t="s" s="0">
        <v>6776</v>
      </c>
      <c r="BT298" t="s" s="594">
        <f>HYPERLINK("https://www.webofscience.com/wos/woscc/full-record/WOS:001720854700002","View Record in Web of Science")</f>
        <v>120</v>
      </c>
      <c r="BU298" t="s" s="0">
        <v>924</v>
      </c>
      <c r="BV298" t="s" s="0">
        <v>82</v>
      </c>
      <c r="BW298" t="s" s="0">
        <v>82</v>
      </c>
      <c r="BX298" t="s" s="0">
        <v>121</v>
      </c>
    </row>
    <row r="299">
      <c r="A299" t="s" s="0">
        <v>78</v>
      </c>
      <c r="B299" t="s" s="0">
        <v>77</v>
      </c>
      <c r="C299" t="s" s="0">
        <v>78</v>
      </c>
      <c r="D299" t="s" s="0">
        <v>77</v>
      </c>
      <c r="E299" t="s" s="0">
        <v>6777</v>
      </c>
      <c r="F299" t="s" s="0">
        <v>6778</v>
      </c>
      <c r="G299" t="s" s="0">
        <v>6779</v>
      </c>
      <c r="H299" t="s" s="0">
        <v>82</v>
      </c>
      <c r="I299" t="s" s="0">
        <v>83</v>
      </c>
      <c r="J299" t="s" s="0">
        <v>6780</v>
      </c>
      <c r="K299" t="s" s="0">
        <v>6781</v>
      </c>
      <c r="L299" t="s" s="0">
        <v>82</v>
      </c>
      <c r="M299" t="s" s="0">
        <v>82</v>
      </c>
      <c r="N299" t="s" s="0">
        <v>82</v>
      </c>
      <c r="O299" t="s" s="0">
        <v>6782</v>
      </c>
      <c r="P299" t="s" s="0">
        <v>4100</v>
      </c>
      <c r="Q299" t="s" s="0">
        <v>88</v>
      </c>
      <c r="R299" t="s" s="0">
        <v>82</v>
      </c>
      <c r="S299" t="s" s="0">
        <v>82</v>
      </c>
      <c r="T299" t="s" s="0">
        <v>82</v>
      </c>
      <c r="U299" t="s" s="0">
        <v>82</v>
      </c>
      <c r="V299" t="s" s="0">
        <v>6783</v>
      </c>
      <c r="W299" t="s" s="0">
        <v>1793</v>
      </c>
      <c r="X299" t="s" s="0">
        <v>82</v>
      </c>
      <c r="Y299" t="s" s="0">
        <v>82</v>
      </c>
      <c r="Z299" t="s" s="0">
        <v>91</v>
      </c>
      <c r="AA299" t="s" s="0">
        <v>92</v>
      </c>
      <c r="AB299" t="s" s="0">
        <v>82</v>
      </c>
      <c r="AC299" t="s" s="0">
        <v>82</v>
      </c>
      <c r="AD299" t="s" s="0">
        <v>82</v>
      </c>
      <c r="AE299" t="s" s="0">
        <v>82</v>
      </c>
      <c r="AF299" t="s" s="0">
        <v>82</v>
      </c>
      <c r="AG299" t="s" s="0">
        <v>6784</v>
      </c>
      <c r="AH299" t="s" s="0">
        <v>6785</v>
      </c>
      <c r="AI299" t="s" s="0">
        <v>6786</v>
      </c>
      <c r="AJ299" t="s" s="0">
        <v>6787</v>
      </c>
      <c r="AK299" t="s" s="0">
        <v>82</v>
      </c>
      <c r="AL299" t="s" s="0">
        <v>1506</v>
      </c>
      <c r="AM299" t="s" s="0">
        <v>363</v>
      </c>
      <c r="AN299" t="s" s="0">
        <v>184</v>
      </c>
      <c r="AO299" t="s" s="0">
        <v>235</v>
      </c>
      <c r="AP299" t="s" s="0">
        <v>277</v>
      </c>
      <c r="AQ299" t="s" s="0">
        <v>418</v>
      </c>
      <c r="AR299" t="s" s="0">
        <v>419</v>
      </c>
      <c r="AS299" t="s" s="0">
        <v>420</v>
      </c>
      <c r="AT299" t="s" s="0">
        <v>82</v>
      </c>
      <c r="AU299" t="s" s="0">
        <v>1797</v>
      </c>
      <c r="AV299" t="s" s="0">
        <v>82</v>
      </c>
      <c r="AW299" t="s" s="0">
        <v>1798</v>
      </c>
      <c r="AX299" t="s" s="0">
        <v>1799</v>
      </c>
      <c r="AY299" t="s" s="0">
        <v>6788</v>
      </c>
      <c r="AZ299" t="s" s="0">
        <v>108</v>
      </c>
      <c r="BA299" t="s" s="0">
        <v>109</v>
      </c>
      <c r="BB299" t="s" s="0">
        <v>363</v>
      </c>
      <c r="BC299" t="s" s="0">
        <v>82</v>
      </c>
      <c r="BD299" t="s" s="0">
        <v>82</v>
      </c>
      <c r="BE299" t="s" s="0">
        <v>82</v>
      </c>
      <c r="BF299" t="s" s="0">
        <v>82</v>
      </c>
      <c r="BG299" t="s" s="0">
        <v>82</v>
      </c>
      <c r="BH299" t="s" s="0">
        <v>82</v>
      </c>
      <c r="BI299" t="s" s="0">
        <v>6789</v>
      </c>
      <c r="BJ299" t="s" s="0">
        <v>6790</v>
      </c>
      <c r="BK299" t="s" s="595">
        <f>HYPERLINK("http://dx.doi.org/10.3390/jcm14103484","http://dx.doi.org/10.3390/jcm14103484")</f>
        <v>6791</v>
      </c>
      <c r="BL299" t="s" s="0">
        <v>82</v>
      </c>
      <c r="BM299" t="s" s="0">
        <v>82</v>
      </c>
      <c r="BN299" t="s" s="0">
        <v>1004</v>
      </c>
      <c r="BO299" t="s" s="0">
        <v>1803</v>
      </c>
      <c r="BP299" t="s" s="0">
        <v>1804</v>
      </c>
      <c r="BQ299" t="s" s="0">
        <v>6792</v>
      </c>
      <c r="BR299" t="s" s="0">
        <v>6793</v>
      </c>
      <c r="BS299" t="s" s="0">
        <v>6794</v>
      </c>
      <c r="BT299" t="s" s="596">
        <f>HYPERLINK("https://www.webofscience.com/wos/woscc/full-record/WOS:001497516400001","View Record in Web of Science")</f>
        <v>120</v>
      </c>
      <c r="BU299" t="s" s="0">
        <v>189</v>
      </c>
      <c r="BV299" t="s" s="0">
        <v>82</v>
      </c>
      <c r="BW299" t="s" s="0">
        <v>82</v>
      </c>
      <c r="BX299" t="s" s="0">
        <v>121</v>
      </c>
    </row>
    <row r="300">
      <c r="A300" t="s" s="0">
        <v>78</v>
      </c>
      <c r="B300" t="s" s="0">
        <v>77</v>
      </c>
      <c r="C300" t="s" s="0">
        <v>99</v>
      </c>
      <c r="D300" t="s" s="0">
        <v>77</v>
      </c>
      <c r="E300" t="s" s="0">
        <v>6795</v>
      </c>
      <c r="F300" t="s" s="0">
        <v>6796</v>
      </c>
      <c r="G300" t="s" s="0">
        <v>6797</v>
      </c>
      <c r="H300" t="s" s="0">
        <v>82</v>
      </c>
      <c r="I300" t="s" s="0">
        <v>83</v>
      </c>
      <c r="J300" t="s" s="0">
        <v>6798</v>
      </c>
      <c r="K300" t="s" s="0">
        <v>6799</v>
      </c>
      <c r="L300" t="s" s="0">
        <v>82</v>
      </c>
      <c r="M300" t="s" s="0">
        <v>82</v>
      </c>
      <c r="N300" t="s" s="0">
        <v>6800</v>
      </c>
      <c r="O300" t="s" s="0">
        <v>6801</v>
      </c>
      <c r="P300" t="s" s="0">
        <v>6802</v>
      </c>
      <c r="Q300" t="s" s="0">
        <v>88</v>
      </c>
      <c r="R300" t="s" s="0">
        <v>82</v>
      </c>
      <c r="S300" t="s" s="0">
        <v>82</v>
      </c>
      <c r="T300" t="s" s="0">
        <v>82</v>
      </c>
      <c r="U300" t="s" s="0">
        <v>82</v>
      </c>
      <c r="V300" t="s" s="0">
        <v>6803</v>
      </c>
      <c r="W300" t="s" s="0">
        <v>6804</v>
      </c>
      <c r="X300" t="s" s="0">
        <v>82</v>
      </c>
      <c r="Y300" t="s" s="0">
        <v>82</v>
      </c>
      <c r="Z300" t="s" s="0">
        <v>91</v>
      </c>
      <c r="AA300" t="s" s="0">
        <v>92</v>
      </c>
      <c r="AB300" t="s" s="0">
        <v>82</v>
      </c>
      <c r="AC300" t="s" s="0">
        <v>82</v>
      </c>
      <c r="AD300" t="s" s="0">
        <v>82</v>
      </c>
      <c r="AE300" t="s" s="0">
        <v>82</v>
      </c>
      <c r="AF300" t="s" s="0">
        <v>82</v>
      </c>
      <c r="AG300" t="s" s="0">
        <v>6805</v>
      </c>
      <c r="AH300" t="s" s="0">
        <v>82</v>
      </c>
      <c r="AI300" t="s" s="0">
        <v>6806</v>
      </c>
      <c r="AJ300" t="s" s="0">
        <v>6807</v>
      </c>
      <c r="AK300" t="s" s="0">
        <v>82</v>
      </c>
      <c r="AL300" t="s" s="0">
        <v>502</v>
      </c>
      <c r="AM300" t="s" s="0">
        <v>1665</v>
      </c>
      <c r="AN300" t="s" s="0">
        <v>684</v>
      </c>
      <c r="AO300" t="s" s="0">
        <v>109</v>
      </c>
      <c r="AP300" t="s" s="0">
        <v>2225</v>
      </c>
      <c r="AQ300" t="s" s="0">
        <v>2460</v>
      </c>
      <c r="AR300" t="s" s="0">
        <v>2461</v>
      </c>
      <c r="AS300" t="s" s="0">
        <v>2462</v>
      </c>
      <c r="AT300" t="s" s="0">
        <v>6808</v>
      </c>
      <c r="AU300" t="s" s="0">
        <v>82</v>
      </c>
      <c r="AV300" t="s" s="0">
        <v>82</v>
      </c>
      <c r="AW300" t="s" s="0">
        <v>6809</v>
      </c>
      <c r="AX300" t="s" s="0">
        <v>6810</v>
      </c>
      <c r="AY300" t="s" s="0">
        <v>146</v>
      </c>
      <c r="AZ300" t="s" s="0">
        <v>146</v>
      </c>
      <c r="BA300" t="s" s="0">
        <v>363</v>
      </c>
      <c r="BB300" t="s" s="0">
        <v>82</v>
      </c>
      <c r="BC300" t="s" s="0">
        <v>82</v>
      </c>
      <c r="BD300" t="s" s="0">
        <v>82</v>
      </c>
      <c r="BE300" t="s" s="0">
        <v>82</v>
      </c>
      <c r="BF300" t="s" s="0">
        <v>82</v>
      </c>
      <c r="BG300" t="s" s="0">
        <v>82</v>
      </c>
      <c r="BH300" t="s" s="0">
        <v>82</v>
      </c>
      <c r="BI300" t="s" s="0">
        <v>6811</v>
      </c>
      <c r="BJ300" t="s" s="0">
        <v>6812</v>
      </c>
      <c r="BK300" t="s" s="597">
        <f>HYPERLINK("http://dx.doi.org/10.2196/52346","http://dx.doi.org/10.2196/52346")</f>
        <v>6813</v>
      </c>
      <c r="BL300" t="s" s="0">
        <v>82</v>
      </c>
      <c r="BM300" t="s" s="0">
        <v>82</v>
      </c>
      <c r="BN300" t="s" s="0">
        <v>363</v>
      </c>
      <c r="BO300" t="s" s="0">
        <v>5319</v>
      </c>
      <c r="BP300" t="s" s="0">
        <v>5320</v>
      </c>
      <c r="BQ300" t="s" s="0">
        <v>6814</v>
      </c>
      <c r="BR300" t="s" s="0">
        <v>6815</v>
      </c>
      <c r="BS300" t="s" s="0">
        <v>6816</v>
      </c>
      <c r="BT300" t="s" s="598">
        <f>HYPERLINK("https://www.webofscience.com/wos/woscc/full-record/WOS:001326817300001","View Record in Web of Science")</f>
        <v>120</v>
      </c>
      <c r="BU300" t="s" s="0">
        <v>189</v>
      </c>
      <c r="BV300" t="s" s="0">
        <v>82</v>
      </c>
      <c r="BW300" t="s" s="0">
        <v>82</v>
      </c>
      <c r="BX300" t="s" s="0">
        <v>121</v>
      </c>
    </row>
    <row r="301">
      <c r="A301" t="s" s="0">
        <v>77</v>
      </c>
      <c r="B301" t="s" s="0">
        <v>77</v>
      </c>
      <c r="C301" t="s" s="0">
        <v>77</v>
      </c>
      <c r="D301" t="s" s="0">
        <v>77</v>
      </c>
      <c r="E301" t="s" s="0">
        <v>6817</v>
      </c>
      <c r="F301" t="s" s="0">
        <v>6818</v>
      </c>
      <c r="G301" t="s" s="0">
        <v>6819</v>
      </c>
      <c r="H301" t="s" s="0">
        <v>82</v>
      </c>
      <c r="I301" t="s" s="0">
        <v>83</v>
      </c>
      <c r="J301" t="s" s="0">
        <v>6820</v>
      </c>
      <c r="K301" t="s" s="0">
        <v>6821</v>
      </c>
      <c r="L301" t="s" s="0">
        <v>82</v>
      </c>
      <c r="M301" t="s" s="0">
        <v>82</v>
      </c>
      <c r="N301" t="s" s="0">
        <v>82</v>
      </c>
      <c r="O301" t="s" s="0">
        <v>6822</v>
      </c>
      <c r="P301" t="s" s="0">
        <v>6823</v>
      </c>
      <c r="Q301" t="s" s="0">
        <v>88</v>
      </c>
      <c r="R301" t="s" s="0">
        <v>82</v>
      </c>
      <c r="S301" t="s" s="0">
        <v>82</v>
      </c>
      <c r="T301" t="s" s="0">
        <v>82</v>
      </c>
      <c r="U301" t="s" s="0">
        <v>82</v>
      </c>
      <c r="V301" t="s" s="0">
        <v>6824</v>
      </c>
      <c r="W301" t="s" s="0">
        <v>3586</v>
      </c>
      <c r="X301" t="s" s="0">
        <v>82</v>
      </c>
      <c r="Y301" t="s" s="0">
        <v>82</v>
      </c>
      <c r="Z301" t="s" s="0">
        <v>91</v>
      </c>
      <c r="AA301" t="s" s="0">
        <v>92</v>
      </c>
      <c r="AB301" t="s" s="0">
        <v>82</v>
      </c>
      <c r="AC301" t="s" s="0">
        <v>82</v>
      </c>
      <c r="AD301" t="s" s="0">
        <v>82</v>
      </c>
      <c r="AE301" t="s" s="0">
        <v>82</v>
      </c>
      <c r="AF301" t="s" s="0">
        <v>82</v>
      </c>
      <c r="AG301" t="s" s="0">
        <v>6825</v>
      </c>
      <c r="AH301" t="s" s="0">
        <v>82</v>
      </c>
      <c r="AI301" t="s" s="0">
        <v>82</v>
      </c>
      <c r="AJ301" t="s" s="0">
        <v>82</v>
      </c>
      <c r="AK301" t="s" s="0">
        <v>82</v>
      </c>
      <c r="AL301" t="s" s="0">
        <v>277</v>
      </c>
      <c r="AM301" t="s" s="0">
        <v>115</v>
      </c>
      <c r="AN301" t="s" s="0">
        <v>363</v>
      </c>
      <c r="AO301" t="s" s="0">
        <v>77</v>
      </c>
      <c r="AP301" t="s" s="0">
        <v>110</v>
      </c>
      <c r="AQ301" t="s" s="0">
        <v>795</v>
      </c>
      <c r="AR301" t="s" s="0">
        <v>796</v>
      </c>
      <c r="AS301" t="s" s="0">
        <v>797</v>
      </c>
      <c r="AT301" t="s" s="0">
        <v>3590</v>
      </c>
      <c r="AU301" t="s" s="0">
        <v>3591</v>
      </c>
      <c r="AV301" t="s" s="0">
        <v>82</v>
      </c>
      <c r="AW301" t="s" s="0">
        <v>3592</v>
      </c>
      <c r="AX301" t="s" s="0">
        <v>3593</v>
      </c>
      <c r="AY301" t="s" s="0">
        <v>1435</v>
      </c>
      <c r="AZ301" t="s" s="0">
        <v>108</v>
      </c>
      <c r="BA301" t="s" s="0">
        <v>417</v>
      </c>
      <c r="BB301" t="s" s="0">
        <v>204</v>
      </c>
      <c r="BC301" t="s" s="0">
        <v>82</v>
      </c>
      <c r="BD301" t="s" s="0">
        <v>82</v>
      </c>
      <c r="BE301" t="s" s="0">
        <v>82</v>
      </c>
      <c r="BF301" t="s" s="0">
        <v>82</v>
      </c>
      <c r="BG301" t="s" s="0">
        <v>6658</v>
      </c>
      <c r="BH301" t="s" s="0">
        <v>6826</v>
      </c>
      <c r="BI301" t="s" s="0">
        <v>82</v>
      </c>
      <c r="BJ301" t="s" s="0">
        <v>6827</v>
      </c>
      <c r="BK301" t="s" s="599">
        <f>HYPERLINK("http://dx.doi.org/10.1007/s12149-024-01992-8","http://dx.doi.org/10.1007/s12149-024-01992-8")</f>
        <v>6828</v>
      </c>
      <c r="BL301" t="s" s="0">
        <v>82</v>
      </c>
      <c r="BM301" t="s" s="0">
        <v>390</v>
      </c>
      <c r="BN301" t="s" s="0">
        <v>272</v>
      </c>
      <c r="BO301" t="s" s="0">
        <v>717</v>
      </c>
      <c r="BP301" t="s" s="0">
        <v>717</v>
      </c>
      <c r="BQ301" t="s" s="0">
        <v>6829</v>
      </c>
      <c r="BR301" t="s" s="0">
        <v>6830</v>
      </c>
      <c r="BS301" t="s" s="0">
        <v>6831</v>
      </c>
      <c r="BT301" t="s" s="600">
        <f>HYPERLINK("https://www.webofscience.com/wos/woscc/full-record/WOS:001353876000001","View Record in Web of Science")</f>
        <v>120</v>
      </c>
      <c r="BU301" t="s" s="0">
        <v>82</v>
      </c>
      <c r="BV301" t="s" s="0">
        <v>82</v>
      </c>
      <c r="BW301" t="s" s="0">
        <v>82</v>
      </c>
      <c r="BX301" t="s" s="0">
        <v>121</v>
      </c>
    </row>
    <row r="302">
      <c r="A302" t="s" s="0">
        <v>77</v>
      </c>
      <c r="B302" t="s" s="0">
        <v>77</v>
      </c>
      <c r="C302" t="s" s="0">
        <v>78</v>
      </c>
      <c r="D302" t="s" s="0">
        <v>77</v>
      </c>
      <c r="E302" t="s" s="0">
        <v>6832</v>
      </c>
      <c r="F302" t="s" s="0">
        <v>6833</v>
      </c>
      <c r="G302" t="s" s="0">
        <v>6834</v>
      </c>
      <c r="H302" t="s" s="0">
        <v>82</v>
      </c>
      <c r="I302" t="s" s="0">
        <v>83</v>
      </c>
      <c r="J302" t="s" s="0">
        <v>6835</v>
      </c>
      <c r="K302" t="s" s="0">
        <v>6836</v>
      </c>
      <c r="L302" t="s" s="0">
        <v>6837</v>
      </c>
      <c r="M302" t="s" s="0">
        <v>6838</v>
      </c>
      <c r="N302" t="s" s="0">
        <v>6839</v>
      </c>
      <c r="O302" t="s" s="0">
        <v>6840</v>
      </c>
      <c r="P302" t="s" s="0">
        <v>6841</v>
      </c>
      <c r="Q302" t="s" s="0">
        <v>88</v>
      </c>
      <c r="R302" t="s" s="0">
        <v>82</v>
      </c>
      <c r="S302" t="s" s="0">
        <v>82</v>
      </c>
      <c r="T302" t="s" s="0">
        <v>82</v>
      </c>
      <c r="U302" t="s" s="0">
        <v>82</v>
      </c>
      <c r="V302" t="s" s="0">
        <v>6842</v>
      </c>
      <c r="W302" t="s" s="0">
        <v>6843</v>
      </c>
      <c r="X302" t="s" s="0">
        <v>82</v>
      </c>
      <c r="Y302" t="s" s="0">
        <v>82</v>
      </c>
      <c r="Z302" t="s" s="0">
        <v>91</v>
      </c>
      <c r="AA302" t="s" s="0">
        <v>92</v>
      </c>
      <c r="AB302" t="s" s="0">
        <v>82</v>
      </c>
      <c r="AC302" t="s" s="0">
        <v>82</v>
      </c>
      <c r="AD302" t="s" s="0">
        <v>82</v>
      </c>
      <c r="AE302" t="s" s="0">
        <v>82</v>
      </c>
      <c r="AF302" t="s" s="0">
        <v>82</v>
      </c>
      <c r="AG302" t="s" s="0">
        <v>82</v>
      </c>
      <c r="AH302" t="s" s="0">
        <v>82</v>
      </c>
      <c r="AI302" t="s" s="0">
        <v>6844</v>
      </c>
      <c r="AJ302" t="s" s="0">
        <v>6845</v>
      </c>
      <c r="AK302" t="s" s="0">
        <v>82</v>
      </c>
      <c r="AL302" t="s" s="0">
        <v>850</v>
      </c>
      <c r="AM302" t="s" s="0">
        <v>204</v>
      </c>
      <c r="AN302" t="s" s="0">
        <v>99</v>
      </c>
      <c r="AO302" t="s" s="0">
        <v>277</v>
      </c>
      <c r="AP302" t="s" s="0">
        <v>277</v>
      </c>
      <c r="AQ302" t="s" s="0">
        <v>172</v>
      </c>
      <c r="AR302" t="s" s="0">
        <v>173</v>
      </c>
      <c r="AS302" t="s" s="0">
        <v>174</v>
      </c>
      <c r="AT302" t="s" s="0">
        <v>82</v>
      </c>
      <c r="AU302" t="s" s="0">
        <v>6846</v>
      </c>
      <c r="AV302" t="s" s="0">
        <v>82</v>
      </c>
      <c r="AW302" t="s" s="0">
        <v>6847</v>
      </c>
      <c r="AX302" t="s" s="0">
        <v>6848</v>
      </c>
      <c r="AY302" t="s" s="0">
        <v>240</v>
      </c>
      <c r="AZ302" t="s" s="0">
        <v>179</v>
      </c>
      <c r="BA302" t="s" s="0">
        <v>272</v>
      </c>
      <c r="BB302" t="s" s="0">
        <v>204</v>
      </c>
      <c r="BC302" t="s" s="0">
        <v>82</v>
      </c>
      <c r="BD302" t="s" s="0">
        <v>82</v>
      </c>
      <c r="BE302" t="s" s="0">
        <v>82</v>
      </c>
      <c r="BF302" t="s" s="0">
        <v>82</v>
      </c>
      <c r="BG302" t="s" s="0">
        <v>82</v>
      </c>
      <c r="BH302" t="s" s="0">
        <v>82</v>
      </c>
      <c r="BI302" t="s" s="0">
        <v>82</v>
      </c>
      <c r="BJ302" t="s" s="0">
        <v>6849</v>
      </c>
      <c r="BK302" t="s" s="601">
        <f>HYPERLINK("http://dx.doi.org/10.1038/s42256-026-01180-5","http://dx.doi.org/10.1038/s42256-026-01180-5")</f>
        <v>6850</v>
      </c>
      <c r="BL302" t="s" s="0">
        <v>82</v>
      </c>
      <c r="BM302" t="s" s="0">
        <v>82</v>
      </c>
      <c r="BN302" t="s" s="0">
        <v>976</v>
      </c>
      <c r="BO302" t="s" s="0">
        <v>2286</v>
      </c>
      <c r="BP302" t="s" s="0">
        <v>309</v>
      </c>
      <c r="BQ302" t="s" s="0">
        <v>6851</v>
      </c>
      <c r="BR302" t="s" s="0">
        <v>6852</v>
      </c>
      <c r="BS302" t="s" s="0">
        <v>6853</v>
      </c>
      <c r="BT302" t="s" s="602">
        <f>HYPERLINK("https://www.webofscience.com/wos/woscc/full-record/WOS:001699315700017","View Record in Web of Science")</f>
        <v>120</v>
      </c>
      <c r="BU302" t="s" s="0">
        <v>924</v>
      </c>
      <c r="BV302" t="s" s="0">
        <v>82</v>
      </c>
      <c r="BW302" t="s" s="0">
        <v>82</v>
      </c>
      <c r="BX302" t="s" s="0">
        <v>121</v>
      </c>
    </row>
    <row r="303">
      <c r="A303" t="s" s="0">
        <v>77</v>
      </c>
      <c r="B303" t="s" s="0">
        <v>77</v>
      </c>
      <c r="C303" t="s" s="0">
        <v>78</v>
      </c>
      <c r="D303" t="s" s="0">
        <v>77</v>
      </c>
      <c r="E303" t="s" s="0">
        <v>6854</v>
      </c>
      <c r="F303" t="s" s="0">
        <v>6855</v>
      </c>
      <c r="G303" t="s" s="0">
        <v>6856</v>
      </c>
      <c r="H303" t="s" s="0">
        <v>82</v>
      </c>
      <c r="I303" t="s" s="0">
        <v>83</v>
      </c>
      <c r="J303" t="s" s="0">
        <v>6857</v>
      </c>
      <c r="K303" t="s" s="0">
        <v>5412</v>
      </c>
      <c r="L303" t="s" s="0">
        <v>82</v>
      </c>
      <c r="M303" t="s" s="0">
        <v>82</v>
      </c>
      <c r="N303" t="s" s="0">
        <v>82</v>
      </c>
      <c r="O303" t="s" s="0">
        <v>6858</v>
      </c>
      <c r="P303" t="s" s="0">
        <v>5414</v>
      </c>
      <c r="Q303" t="s" s="0">
        <v>88</v>
      </c>
      <c r="R303" t="s" s="0">
        <v>82</v>
      </c>
      <c r="S303" t="s" s="0">
        <v>82</v>
      </c>
      <c r="T303" t="s" s="0">
        <v>82</v>
      </c>
      <c r="U303" t="s" s="0">
        <v>82</v>
      </c>
      <c r="V303" t="s" s="0">
        <v>6859</v>
      </c>
      <c r="W303" t="s" s="0">
        <v>5068</v>
      </c>
      <c r="X303" t="s" s="0">
        <v>82</v>
      </c>
      <c r="Y303" t="s" s="0">
        <v>82</v>
      </c>
      <c r="Z303" t="s" s="0">
        <v>91</v>
      </c>
      <c r="AA303" t="s" s="0">
        <v>92</v>
      </c>
      <c r="AB303" t="s" s="0">
        <v>82</v>
      </c>
      <c r="AC303" t="s" s="0">
        <v>82</v>
      </c>
      <c r="AD303" t="s" s="0">
        <v>82</v>
      </c>
      <c r="AE303" t="s" s="0">
        <v>82</v>
      </c>
      <c r="AF303" t="s" s="0">
        <v>82</v>
      </c>
      <c r="AG303" t="s" s="0">
        <v>6860</v>
      </c>
      <c r="AH303" t="s" s="0">
        <v>82</v>
      </c>
      <c r="AI303" t="s" s="0">
        <v>6861</v>
      </c>
      <c r="AJ303" t="s" s="0">
        <v>82</v>
      </c>
      <c r="AK303" t="s" s="0">
        <v>82</v>
      </c>
      <c r="AL303" t="s" s="0">
        <v>428</v>
      </c>
      <c r="AM303" t="s" s="0">
        <v>235</v>
      </c>
      <c r="AN303" t="s" s="0">
        <v>235</v>
      </c>
      <c r="AO303" t="s" s="0">
        <v>204</v>
      </c>
      <c r="AP303" t="s" s="0">
        <v>204</v>
      </c>
      <c r="AQ303" t="s" s="0">
        <v>2973</v>
      </c>
      <c r="AR303" t="s" s="0">
        <v>796</v>
      </c>
      <c r="AS303" t="s" s="0">
        <v>5072</v>
      </c>
      <c r="AT303" t="s" s="0">
        <v>5073</v>
      </c>
      <c r="AU303" t="s" s="0">
        <v>5074</v>
      </c>
      <c r="AV303" t="s" s="0">
        <v>82</v>
      </c>
      <c r="AW303" t="s" s="0">
        <v>5075</v>
      </c>
      <c r="AX303" t="s" s="0">
        <v>5076</v>
      </c>
      <c r="AY303" t="s" s="0">
        <v>240</v>
      </c>
      <c r="AZ303" t="s" s="0">
        <v>179</v>
      </c>
      <c r="BA303" t="s" s="0">
        <v>1532</v>
      </c>
      <c r="BB303" t="s" s="0">
        <v>204</v>
      </c>
      <c r="BC303" t="s" s="0">
        <v>82</v>
      </c>
      <c r="BD303" t="s" s="0">
        <v>82</v>
      </c>
      <c r="BE303" t="s" s="0">
        <v>82</v>
      </c>
      <c r="BF303" t="s" s="0">
        <v>82</v>
      </c>
      <c r="BG303" t="s" s="0">
        <v>6862</v>
      </c>
      <c r="BH303" t="s" s="0">
        <v>6863</v>
      </c>
      <c r="BI303" t="s" s="0">
        <v>82</v>
      </c>
      <c r="BJ303" t="s" s="0">
        <v>6864</v>
      </c>
      <c r="BK303" t="s" s="603">
        <f>HYPERLINK("http://dx.doi.org/10.1016/j.acra.2025.10.051","http://dx.doi.org/10.1016/j.acra.2025.10.051")</f>
        <v>6865</v>
      </c>
      <c r="BL303" t="s" s="0">
        <v>82</v>
      </c>
      <c r="BM303" t="s" s="0">
        <v>1360</v>
      </c>
      <c r="BN303" t="s" s="0">
        <v>307</v>
      </c>
      <c r="BO303" t="s" s="0">
        <v>717</v>
      </c>
      <c r="BP303" t="s" s="0">
        <v>717</v>
      </c>
      <c r="BQ303" t="s" s="0">
        <v>6866</v>
      </c>
      <c r="BR303" t="s" s="0">
        <v>6867</v>
      </c>
      <c r="BS303" t="s" s="0">
        <v>6868</v>
      </c>
      <c r="BT303" t="s" s="604">
        <f>HYPERLINK("https://www.webofscience.com/wos/woscc/full-record/WOS:001675041200001","View Record in Web of Science")</f>
        <v>120</v>
      </c>
      <c r="BU303" t="s" s="0">
        <v>1972</v>
      </c>
      <c r="BV303" t="s" s="0">
        <v>82</v>
      </c>
      <c r="BW303" t="s" s="0">
        <v>82</v>
      </c>
      <c r="BX303" t="s" s="0">
        <v>121</v>
      </c>
    </row>
    <row r="304">
      <c r="A304" t="s" s="0">
        <v>77</v>
      </c>
      <c r="B304" t="s" s="0">
        <v>77</v>
      </c>
      <c r="C304" t="s" s="0">
        <v>77</v>
      </c>
      <c r="D304" t="s" s="0">
        <v>77</v>
      </c>
      <c r="E304" t="s" s="0">
        <v>6869</v>
      </c>
      <c r="F304" t="s" s="0">
        <v>6870</v>
      </c>
      <c r="G304" t="s" s="0">
        <v>6871</v>
      </c>
      <c r="H304" t="s" s="0">
        <v>82</v>
      </c>
      <c r="I304" t="s" s="0">
        <v>83</v>
      </c>
      <c r="J304" t="s" s="0">
        <v>6872</v>
      </c>
      <c r="K304" t="s" s="0">
        <v>6873</v>
      </c>
      <c r="L304" t="s" s="0">
        <v>82</v>
      </c>
      <c r="M304" t="s" s="0">
        <v>82</v>
      </c>
      <c r="N304" t="s" s="0">
        <v>82</v>
      </c>
      <c r="O304" t="s" s="0">
        <v>6874</v>
      </c>
      <c r="P304" t="s" s="0">
        <v>6875</v>
      </c>
      <c r="Q304" t="s" s="0">
        <v>88</v>
      </c>
      <c r="R304" t="s" s="0">
        <v>82</v>
      </c>
      <c r="S304" t="s" s="0">
        <v>82</v>
      </c>
      <c r="T304" t="s" s="0">
        <v>82</v>
      </c>
      <c r="U304" t="s" s="0">
        <v>82</v>
      </c>
      <c r="V304" t="s" s="0">
        <v>6876</v>
      </c>
      <c r="W304" t="s" s="0">
        <v>6877</v>
      </c>
      <c r="X304" t="s" s="0">
        <v>82</v>
      </c>
      <c r="Y304" t="s" s="0">
        <v>82</v>
      </c>
      <c r="Z304" t="s" s="0">
        <v>91</v>
      </c>
      <c r="AA304" t="s" s="0">
        <v>92</v>
      </c>
      <c r="AB304" t="s" s="0">
        <v>82</v>
      </c>
      <c r="AC304" t="s" s="0">
        <v>82</v>
      </c>
      <c r="AD304" t="s" s="0">
        <v>82</v>
      </c>
      <c r="AE304" t="s" s="0">
        <v>82</v>
      </c>
      <c r="AF304" t="s" s="0">
        <v>82</v>
      </c>
      <c r="AG304" t="s" s="0">
        <v>6878</v>
      </c>
      <c r="AH304" t="s" s="0">
        <v>6879</v>
      </c>
      <c r="AI304" t="s" s="0">
        <v>6880</v>
      </c>
      <c r="AJ304" t="s" s="0">
        <v>82</v>
      </c>
      <c r="AK304" t="s" s="0">
        <v>82</v>
      </c>
      <c r="AL304" t="s" s="0">
        <v>4463</v>
      </c>
      <c r="AM304" t="s" s="0">
        <v>77</v>
      </c>
      <c r="AN304" t="s" s="0">
        <v>77</v>
      </c>
      <c r="AO304" t="s" s="0">
        <v>110</v>
      </c>
      <c r="AP304" t="s" s="0">
        <v>110</v>
      </c>
      <c r="AQ304" t="s" s="0">
        <v>296</v>
      </c>
      <c r="AR304" t="s" s="0">
        <v>297</v>
      </c>
      <c r="AS304" t="s" s="0">
        <v>298</v>
      </c>
      <c r="AT304" t="s" s="0">
        <v>6881</v>
      </c>
      <c r="AU304" t="s" s="0">
        <v>6882</v>
      </c>
      <c r="AV304" t="s" s="0">
        <v>82</v>
      </c>
      <c r="AW304" t="s" s="0">
        <v>6883</v>
      </c>
      <c r="AX304" t="s" s="0">
        <v>6884</v>
      </c>
      <c r="AY304" t="s" s="0">
        <v>358</v>
      </c>
      <c r="AZ304" t="s" s="0">
        <v>179</v>
      </c>
      <c r="BA304" t="s" s="0">
        <v>4233</v>
      </c>
      <c r="BB304" t="s" s="0">
        <v>82</v>
      </c>
      <c r="BC304" t="s" s="0">
        <v>82</v>
      </c>
      <c r="BD304" t="s" s="0">
        <v>82</v>
      </c>
      <c r="BE304" t="s" s="0">
        <v>82</v>
      </c>
      <c r="BF304" t="s" s="0">
        <v>82</v>
      </c>
      <c r="BG304" t="s" s="0">
        <v>82</v>
      </c>
      <c r="BH304" t="s" s="0">
        <v>82</v>
      </c>
      <c r="BI304" t="s" s="0">
        <v>6885</v>
      </c>
      <c r="BJ304" t="s" s="0">
        <v>6886</v>
      </c>
      <c r="BK304" t="s" s="605">
        <f>HYPERLINK("http://dx.doi.org/10.1016/j.asoc.2026.115051","http://dx.doi.org/10.1016/j.asoc.2026.115051")</f>
        <v>6887</v>
      </c>
      <c r="BL304" t="s" s="0">
        <v>82</v>
      </c>
      <c r="BM304" t="s" s="0">
        <v>829</v>
      </c>
      <c r="BN304" t="s" s="0">
        <v>391</v>
      </c>
      <c r="BO304" t="s" s="0">
        <v>2286</v>
      </c>
      <c r="BP304" t="s" s="0">
        <v>309</v>
      </c>
      <c r="BQ304" t="s" s="0">
        <v>6888</v>
      </c>
      <c r="BR304" t="s" s="0">
        <v>82</v>
      </c>
      <c r="BS304" t="s" s="0">
        <v>6889</v>
      </c>
      <c r="BT304" t="s" s="606">
        <f>HYPERLINK("https://www.webofscience.com/wos/woscc/full-record/WOS:001734437100001","View Record in Web of Science")</f>
        <v>120</v>
      </c>
      <c r="BU304" t="s" s="0">
        <v>82</v>
      </c>
      <c r="BV304" t="s" s="0">
        <v>82</v>
      </c>
      <c r="BW304" t="s" s="0">
        <v>82</v>
      </c>
      <c r="BX304" t="s" s="0">
        <v>121</v>
      </c>
    </row>
    <row r="305">
      <c r="A305" t="s" s="0">
        <v>77</v>
      </c>
      <c r="B305" t="s" s="0">
        <v>77</v>
      </c>
      <c r="C305" t="s" s="0">
        <v>77</v>
      </c>
      <c r="D305" t="s" s="0">
        <v>77</v>
      </c>
      <c r="E305" t="s" s="0">
        <v>6890</v>
      </c>
      <c r="F305" t="s" s="0">
        <v>6891</v>
      </c>
      <c r="G305" t="s" s="0">
        <v>6892</v>
      </c>
      <c r="H305" t="s" s="0">
        <v>82</v>
      </c>
      <c r="I305" t="s" s="0">
        <v>83</v>
      </c>
      <c r="J305" t="s" s="0">
        <v>6893</v>
      </c>
      <c r="K305" t="s" s="0">
        <v>6894</v>
      </c>
      <c r="L305" t="s" s="0">
        <v>82</v>
      </c>
      <c r="M305" t="s" s="0">
        <v>82</v>
      </c>
      <c r="N305" t="s" s="0">
        <v>82</v>
      </c>
      <c r="O305" t="s" s="0">
        <v>6895</v>
      </c>
      <c r="P305" t="s" s="0">
        <v>6896</v>
      </c>
      <c r="Q305" t="s" s="0">
        <v>88</v>
      </c>
      <c r="R305" t="s" s="0">
        <v>82</v>
      </c>
      <c r="S305" t="s" s="0">
        <v>82</v>
      </c>
      <c r="T305" t="s" s="0">
        <v>82</v>
      </c>
      <c r="U305" t="s" s="0">
        <v>82</v>
      </c>
      <c r="V305" t="s" s="0">
        <v>6897</v>
      </c>
      <c r="W305" t="s" s="0">
        <v>5251</v>
      </c>
      <c r="X305" t="s" s="0">
        <v>82</v>
      </c>
      <c r="Y305" t="s" s="0">
        <v>82</v>
      </c>
      <c r="Z305" t="s" s="0">
        <v>91</v>
      </c>
      <c r="AA305" t="s" s="0">
        <v>908</v>
      </c>
      <c r="AB305" t="s" s="0">
        <v>82</v>
      </c>
      <c r="AC305" t="s" s="0">
        <v>82</v>
      </c>
      <c r="AD305" t="s" s="0">
        <v>82</v>
      </c>
      <c r="AE305" t="s" s="0">
        <v>82</v>
      </c>
      <c r="AF305" t="s" s="0">
        <v>82</v>
      </c>
      <c r="AG305" t="s" s="0">
        <v>6898</v>
      </c>
      <c r="AH305" t="s" s="0">
        <v>6899</v>
      </c>
      <c r="AI305" t="s" s="0">
        <v>82</v>
      </c>
      <c r="AJ305" t="s" s="0">
        <v>82</v>
      </c>
      <c r="AK305" t="s" s="0">
        <v>82</v>
      </c>
      <c r="AL305" t="s" s="0">
        <v>661</v>
      </c>
      <c r="AM305" t="s" s="0">
        <v>77</v>
      </c>
      <c r="AN305" t="s" s="0">
        <v>77</v>
      </c>
      <c r="AO305" t="s" s="0">
        <v>77</v>
      </c>
      <c r="AP305" t="s" s="0">
        <v>77</v>
      </c>
      <c r="AQ305" t="s" s="0">
        <v>795</v>
      </c>
      <c r="AR305" t="s" s="0">
        <v>796</v>
      </c>
      <c r="AS305" t="s" s="0">
        <v>797</v>
      </c>
      <c r="AT305" t="s" s="0">
        <v>5255</v>
      </c>
      <c r="AU305" t="s" s="0">
        <v>5256</v>
      </c>
      <c r="AV305" t="s" s="0">
        <v>82</v>
      </c>
      <c r="AW305" t="s" s="0">
        <v>5257</v>
      </c>
      <c r="AX305" t="s" s="0">
        <v>5258</v>
      </c>
      <c r="AY305" t="s" s="0">
        <v>82</v>
      </c>
      <c r="AZ305" t="s" s="0">
        <v>179</v>
      </c>
      <c r="BA305" t="s" s="0">
        <v>82</v>
      </c>
      <c r="BB305" t="s" s="0">
        <v>82</v>
      </c>
      <c r="BC305" t="s" s="0">
        <v>82</v>
      </c>
      <c r="BD305" t="s" s="0">
        <v>82</v>
      </c>
      <c r="BE305" t="s" s="0">
        <v>82</v>
      </c>
      <c r="BF305" t="s" s="0">
        <v>82</v>
      </c>
      <c r="BG305" t="s" s="0">
        <v>82</v>
      </c>
      <c r="BH305" t="s" s="0">
        <v>82</v>
      </c>
      <c r="BI305" t="s" s="0">
        <v>82</v>
      </c>
      <c r="BJ305" t="s" s="0">
        <v>6900</v>
      </c>
      <c r="BK305" t="s" s="607">
        <f>HYPERLINK("http://dx.doi.org/10.1007/s00256-026-05335-8","http://dx.doi.org/10.1007/s00256-026-05335-8")</f>
        <v>6901</v>
      </c>
      <c r="BL305" t="s" s="0">
        <v>82</v>
      </c>
      <c r="BM305" t="s" s="0">
        <v>270</v>
      </c>
      <c r="BN305" t="s" s="0">
        <v>115</v>
      </c>
      <c r="BO305" t="s" s="0">
        <v>5261</v>
      </c>
      <c r="BP305" t="s" s="0">
        <v>5261</v>
      </c>
      <c r="BQ305" t="s" s="0">
        <v>6902</v>
      </c>
      <c r="BR305" t="s" s="0">
        <v>6903</v>
      </c>
      <c r="BS305" t="s" s="0">
        <v>6904</v>
      </c>
      <c r="BT305" t="s" s="608">
        <f>HYPERLINK("https://www.webofscience.com/wos/woscc/full-record/WOS:001844170400001","View Record in Web of Science")</f>
        <v>120</v>
      </c>
      <c r="BU305" t="s" s="0">
        <v>82</v>
      </c>
      <c r="BV305" t="s" s="0">
        <v>82</v>
      </c>
      <c r="BW305" t="s" s="0">
        <v>82</v>
      </c>
      <c r="BX305" t="s" s="0">
        <v>121</v>
      </c>
    </row>
    <row r="306">
      <c r="A306" t="s" s="0">
        <v>77</v>
      </c>
      <c r="B306" t="s" s="0">
        <v>77</v>
      </c>
      <c r="C306" t="s" s="0">
        <v>77</v>
      </c>
      <c r="D306" t="s" s="0">
        <v>77</v>
      </c>
      <c r="E306" t="s" s="0">
        <v>6905</v>
      </c>
      <c r="F306" t="s" s="0">
        <v>6906</v>
      </c>
      <c r="G306" t="s" s="0">
        <v>6907</v>
      </c>
      <c r="H306" t="s" s="0">
        <v>82</v>
      </c>
      <c r="I306" t="s" s="0">
        <v>83</v>
      </c>
      <c r="J306" t="s" s="0">
        <v>6908</v>
      </c>
      <c r="K306" t="s" s="0">
        <v>6909</v>
      </c>
      <c r="L306" t="s" s="0">
        <v>6910</v>
      </c>
      <c r="M306" t="s" s="0">
        <v>6911</v>
      </c>
      <c r="N306" t="s" s="0">
        <v>6912</v>
      </c>
      <c r="O306" t="s" s="0">
        <v>6913</v>
      </c>
      <c r="P306" t="s" s="0">
        <v>6914</v>
      </c>
      <c r="Q306" t="s" s="0">
        <v>88</v>
      </c>
      <c r="R306" t="s" s="0">
        <v>82</v>
      </c>
      <c r="S306" t="s" s="0">
        <v>82</v>
      </c>
      <c r="T306" t="s" s="0">
        <v>82</v>
      </c>
      <c r="U306" t="s" s="0">
        <v>82</v>
      </c>
      <c r="V306" t="s" s="0">
        <v>6915</v>
      </c>
      <c r="W306" t="s" s="0">
        <v>6916</v>
      </c>
      <c r="X306" t="s" s="0">
        <v>82</v>
      </c>
      <c r="Y306" t="s" s="0">
        <v>82</v>
      </c>
      <c r="Z306" t="s" s="0">
        <v>91</v>
      </c>
      <c r="AA306" t="s" s="0">
        <v>908</v>
      </c>
      <c r="AB306" t="s" s="0">
        <v>82</v>
      </c>
      <c r="AC306" t="s" s="0">
        <v>82</v>
      </c>
      <c r="AD306" t="s" s="0">
        <v>82</v>
      </c>
      <c r="AE306" t="s" s="0">
        <v>82</v>
      </c>
      <c r="AF306" t="s" s="0">
        <v>82</v>
      </c>
      <c r="AG306" t="s" s="0">
        <v>6917</v>
      </c>
      <c r="AH306" t="s" s="0">
        <v>82</v>
      </c>
      <c r="AI306" t="s" s="0">
        <v>6918</v>
      </c>
      <c r="AJ306" t="s" s="0">
        <v>82</v>
      </c>
      <c r="AK306" t="s" s="0">
        <v>82</v>
      </c>
      <c r="AL306" t="s" s="0">
        <v>892</v>
      </c>
      <c r="AM306" t="s" s="0">
        <v>77</v>
      </c>
      <c r="AN306" t="s" s="0">
        <v>77</v>
      </c>
      <c r="AO306" t="s" s="0">
        <v>77</v>
      </c>
      <c r="AP306" t="s" s="0">
        <v>77</v>
      </c>
      <c r="AQ306" t="s" s="0">
        <v>795</v>
      </c>
      <c r="AR306" t="s" s="0">
        <v>796</v>
      </c>
      <c r="AS306" t="s" s="0">
        <v>797</v>
      </c>
      <c r="AT306" t="s" s="0">
        <v>6919</v>
      </c>
      <c r="AU306" t="s" s="0">
        <v>6920</v>
      </c>
      <c r="AV306" t="s" s="0">
        <v>82</v>
      </c>
      <c r="AW306" t="s" s="0">
        <v>6921</v>
      </c>
      <c r="AX306" t="s" s="0">
        <v>6922</v>
      </c>
      <c r="AY306" t="s" s="0">
        <v>82</v>
      </c>
      <c r="AZ306" t="s" s="0">
        <v>179</v>
      </c>
      <c r="BA306" t="s" s="0">
        <v>82</v>
      </c>
      <c r="BB306" t="s" s="0">
        <v>82</v>
      </c>
      <c r="BC306" t="s" s="0">
        <v>82</v>
      </c>
      <c r="BD306" t="s" s="0">
        <v>82</v>
      </c>
      <c r="BE306" t="s" s="0">
        <v>82</v>
      </c>
      <c r="BF306" t="s" s="0">
        <v>82</v>
      </c>
      <c r="BG306" t="s" s="0">
        <v>82</v>
      </c>
      <c r="BH306" t="s" s="0">
        <v>82</v>
      </c>
      <c r="BI306" t="s" s="0">
        <v>82</v>
      </c>
      <c r="BJ306" t="s" s="0">
        <v>6923</v>
      </c>
      <c r="BK306" t="s" s="609">
        <f>HYPERLINK("http://dx.doi.org/10.1007/s00261-026-05706-8","http://dx.doi.org/10.1007/s00261-026-05706-8")</f>
        <v>6924</v>
      </c>
      <c r="BL306" t="s" s="0">
        <v>82</v>
      </c>
      <c r="BM306" t="s" s="0">
        <v>716</v>
      </c>
      <c r="BN306" t="s" s="0">
        <v>963</v>
      </c>
      <c r="BO306" t="s" s="0">
        <v>717</v>
      </c>
      <c r="BP306" t="s" s="0">
        <v>717</v>
      </c>
      <c r="BQ306" t="s" s="0">
        <v>6925</v>
      </c>
      <c r="BR306" t="s" s="0">
        <v>6926</v>
      </c>
      <c r="BS306" t="s" s="0">
        <v>6927</v>
      </c>
      <c r="BT306" t="s" s="610">
        <f>HYPERLINK("https://www.webofscience.com/wos/woscc/full-record/WOS:001828578200001","View Record in Web of Science")</f>
        <v>120</v>
      </c>
      <c r="BU306" t="s" s="0">
        <v>82</v>
      </c>
      <c r="BV306" t="s" s="0">
        <v>82</v>
      </c>
      <c r="BW306" t="s" s="0">
        <v>82</v>
      </c>
      <c r="BX306" t="s" s="0">
        <v>121</v>
      </c>
    </row>
    <row r="307">
      <c r="A307" t="s" s="0">
        <v>77</v>
      </c>
      <c r="B307" t="s" s="0">
        <v>77</v>
      </c>
      <c r="C307" t="s" s="0">
        <v>78</v>
      </c>
      <c r="D307" t="s" s="0">
        <v>77</v>
      </c>
      <c r="E307" t="s" s="0">
        <v>6928</v>
      </c>
      <c r="F307" t="s" s="0">
        <v>6929</v>
      </c>
      <c r="G307" t="s" s="0">
        <v>6930</v>
      </c>
      <c r="H307" t="s" s="0">
        <v>82</v>
      </c>
      <c r="I307" t="s" s="0">
        <v>83</v>
      </c>
      <c r="J307" t="s" s="0">
        <v>6931</v>
      </c>
      <c r="K307" t="s" s="0">
        <v>6932</v>
      </c>
      <c r="L307" t="s" s="0">
        <v>82</v>
      </c>
      <c r="M307" t="s" s="0">
        <v>82</v>
      </c>
      <c r="N307" t="s" s="0">
        <v>82</v>
      </c>
      <c r="O307" t="s" s="0">
        <v>6933</v>
      </c>
      <c r="P307" t="s" s="0">
        <v>6934</v>
      </c>
      <c r="Q307" t="s" s="0">
        <v>88</v>
      </c>
      <c r="R307" t="s" s="0">
        <v>82</v>
      </c>
      <c r="S307" t="s" s="0">
        <v>82</v>
      </c>
      <c r="T307" t="s" s="0">
        <v>82</v>
      </c>
      <c r="U307" t="s" s="0">
        <v>82</v>
      </c>
      <c r="V307" t="s" s="0">
        <v>6935</v>
      </c>
      <c r="W307" t="s" s="0">
        <v>3533</v>
      </c>
      <c r="X307" t="s" s="0">
        <v>82</v>
      </c>
      <c r="Y307" t="s" s="0">
        <v>82</v>
      </c>
      <c r="Z307" t="s" s="0">
        <v>91</v>
      </c>
      <c r="AA307" t="s" s="0">
        <v>92</v>
      </c>
      <c r="AB307" t="s" s="0">
        <v>82</v>
      </c>
      <c r="AC307" t="s" s="0">
        <v>82</v>
      </c>
      <c r="AD307" t="s" s="0">
        <v>82</v>
      </c>
      <c r="AE307" t="s" s="0">
        <v>82</v>
      </c>
      <c r="AF307" t="s" s="0">
        <v>82</v>
      </c>
      <c r="AG307" t="s" s="0">
        <v>6936</v>
      </c>
      <c r="AH307" t="s" s="0">
        <v>6342</v>
      </c>
      <c r="AI307" t="s" s="0">
        <v>6937</v>
      </c>
      <c r="AJ307" t="s" s="0">
        <v>82</v>
      </c>
      <c r="AK307" t="s" s="0">
        <v>82</v>
      </c>
      <c r="AL307" t="s" s="0">
        <v>1504</v>
      </c>
      <c r="AM307" t="s" s="0">
        <v>97</v>
      </c>
      <c r="AN307" t="s" s="0">
        <v>97</v>
      </c>
      <c r="AO307" t="s" s="0">
        <v>99</v>
      </c>
      <c r="AP307" t="s" s="0">
        <v>184</v>
      </c>
      <c r="AQ307" t="s" s="0">
        <v>3536</v>
      </c>
      <c r="AR307" t="s" s="0">
        <v>3537</v>
      </c>
      <c r="AS307" t="s" s="0">
        <v>3538</v>
      </c>
      <c r="AT307" t="s" s="0">
        <v>3539</v>
      </c>
      <c r="AU307" t="s" s="0">
        <v>3540</v>
      </c>
      <c r="AV307" t="s" s="0">
        <v>82</v>
      </c>
      <c r="AW307" t="s" s="0">
        <v>3541</v>
      </c>
      <c r="AX307" t="s" s="0">
        <v>3542</v>
      </c>
      <c r="AY307" t="s" s="0">
        <v>2022</v>
      </c>
      <c r="AZ307" t="s" s="0">
        <v>108</v>
      </c>
      <c r="BA307" t="s" s="0">
        <v>4840</v>
      </c>
      <c r="BB307" t="s" s="0">
        <v>78</v>
      </c>
      <c r="BC307" t="s" s="0">
        <v>82</v>
      </c>
      <c r="BD307" t="s" s="0">
        <v>82</v>
      </c>
      <c r="BE307" t="s" s="0">
        <v>82</v>
      </c>
      <c r="BF307" t="s" s="0">
        <v>82</v>
      </c>
      <c r="BG307" t="s" s="0">
        <v>82</v>
      </c>
      <c r="BH307" t="s" s="0">
        <v>82</v>
      </c>
      <c r="BI307" t="s" s="0">
        <v>6938</v>
      </c>
      <c r="BJ307" t="s" s="0">
        <v>6939</v>
      </c>
      <c r="BK307" t="s" s="611">
        <f>HYPERLINK("http://dx.doi.org/10.2214/AJR.25.32729","http://dx.doi.org/10.2214/AJR.25.32729")</f>
        <v>6940</v>
      </c>
      <c r="BL307" t="s" s="0">
        <v>82</v>
      </c>
      <c r="BM307" t="s" s="0">
        <v>82</v>
      </c>
      <c r="BN307" t="s" s="0">
        <v>148</v>
      </c>
      <c r="BO307" t="s" s="0">
        <v>717</v>
      </c>
      <c r="BP307" t="s" s="0">
        <v>717</v>
      </c>
      <c r="BQ307" t="s" s="0">
        <v>6941</v>
      </c>
      <c r="BR307" t="s" s="0">
        <v>6942</v>
      </c>
      <c r="BS307" t="s" s="0">
        <v>6943</v>
      </c>
      <c r="BT307" t="s" s="612">
        <f>HYPERLINK("https://www.webofscience.com/wos/woscc/full-record/WOS:001549207400014","View Record in Web of Science")</f>
        <v>120</v>
      </c>
      <c r="BU307" t="s" s="0">
        <v>82</v>
      </c>
      <c r="BV307" t="s" s="0">
        <v>82</v>
      </c>
      <c r="BW307" t="s" s="0">
        <v>82</v>
      </c>
      <c r="BX307" t="s" s="0">
        <v>121</v>
      </c>
    </row>
    <row r="308">
      <c r="A308" t="s" s="0">
        <v>77</v>
      </c>
      <c r="B308" t="s" s="0">
        <v>77</v>
      </c>
      <c r="C308" t="s" s="0">
        <v>77</v>
      </c>
      <c r="D308" t="s" s="0">
        <v>77</v>
      </c>
      <c r="E308" t="s" s="0">
        <v>6944</v>
      </c>
      <c r="F308" t="s" s="0">
        <v>6945</v>
      </c>
      <c r="G308" t="s" s="0">
        <v>6946</v>
      </c>
      <c r="H308" t="s" s="0">
        <v>82</v>
      </c>
      <c r="I308" t="s" s="0">
        <v>83</v>
      </c>
      <c r="J308" t="s" s="0">
        <v>6947</v>
      </c>
      <c r="K308" t="s" s="0">
        <v>6948</v>
      </c>
      <c r="L308" t="s" s="0">
        <v>82</v>
      </c>
      <c r="M308" t="s" s="0">
        <v>82</v>
      </c>
      <c r="N308" t="s" s="0">
        <v>6949</v>
      </c>
      <c r="O308" t="s" s="0">
        <v>6950</v>
      </c>
      <c r="P308" t="s" s="0">
        <v>6951</v>
      </c>
      <c r="Q308" t="s" s="0">
        <v>88</v>
      </c>
      <c r="R308" t="s" s="0">
        <v>82</v>
      </c>
      <c r="S308" t="s" s="0">
        <v>82</v>
      </c>
      <c r="T308" t="s" s="0">
        <v>82</v>
      </c>
      <c r="U308" t="s" s="0">
        <v>82</v>
      </c>
      <c r="V308" t="s" s="0">
        <v>6952</v>
      </c>
      <c r="W308" t="s" s="0">
        <v>6953</v>
      </c>
      <c r="X308" t="s" s="0">
        <v>82</v>
      </c>
      <c r="Y308" t="s" s="0">
        <v>82</v>
      </c>
      <c r="Z308" t="s" s="0">
        <v>91</v>
      </c>
      <c r="AA308" t="s" s="0">
        <v>908</v>
      </c>
      <c r="AB308" t="s" s="0">
        <v>82</v>
      </c>
      <c r="AC308" t="s" s="0">
        <v>82</v>
      </c>
      <c r="AD308" t="s" s="0">
        <v>82</v>
      </c>
      <c r="AE308" t="s" s="0">
        <v>82</v>
      </c>
      <c r="AF308" t="s" s="0">
        <v>82</v>
      </c>
      <c r="AG308" t="s" s="0">
        <v>6954</v>
      </c>
      <c r="AH308" t="s" s="0">
        <v>552</v>
      </c>
      <c r="AI308" t="s" s="0">
        <v>6955</v>
      </c>
      <c r="AJ308" t="s" s="0">
        <v>82</v>
      </c>
      <c r="AK308" t="s" s="0">
        <v>82</v>
      </c>
      <c r="AL308" t="s" s="0">
        <v>331</v>
      </c>
      <c r="AM308" t="s" s="0">
        <v>77</v>
      </c>
      <c r="AN308" t="s" s="0">
        <v>77</v>
      </c>
      <c r="AO308" t="s" s="0">
        <v>77</v>
      </c>
      <c r="AP308" t="s" s="0">
        <v>77</v>
      </c>
      <c r="AQ308" t="s" s="0">
        <v>2392</v>
      </c>
      <c r="AR308" t="s" s="0">
        <v>2393</v>
      </c>
      <c r="AS308" t="s" s="0">
        <v>2394</v>
      </c>
      <c r="AT308" t="s" s="0">
        <v>6956</v>
      </c>
      <c r="AU308" t="s" s="0">
        <v>6957</v>
      </c>
      <c r="AV308" t="s" s="0">
        <v>82</v>
      </c>
      <c r="AW308" t="s" s="0">
        <v>6958</v>
      </c>
      <c r="AX308" t="s" s="0">
        <v>6959</v>
      </c>
      <c r="AY308" t="s" s="0">
        <v>82</v>
      </c>
      <c r="AZ308" t="s" s="0">
        <v>179</v>
      </c>
      <c r="BA308" t="s" s="0">
        <v>82</v>
      </c>
      <c r="BB308" t="s" s="0">
        <v>82</v>
      </c>
      <c r="BC308" t="s" s="0">
        <v>82</v>
      </c>
      <c r="BD308" t="s" s="0">
        <v>82</v>
      </c>
      <c r="BE308" t="s" s="0">
        <v>82</v>
      </c>
      <c r="BF308" t="s" s="0">
        <v>82</v>
      </c>
      <c r="BG308" t="s" s="0">
        <v>82</v>
      </c>
      <c r="BH308" t="s" s="0">
        <v>82</v>
      </c>
      <c r="BI308" t="s" s="0">
        <v>82</v>
      </c>
      <c r="BJ308" t="s" s="0">
        <v>6960</v>
      </c>
      <c r="BK308" t="s" s="613">
        <f>HYPERLINK("http://dx.doi.org/10.1080/15569527.2026.2692370","http://dx.doi.org/10.1080/15569527.2026.2692370")</f>
        <v>6961</v>
      </c>
      <c r="BL308" t="s" s="0">
        <v>82</v>
      </c>
      <c r="BM308" t="s" s="0">
        <v>358</v>
      </c>
      <c r="BN308" t="s" s="0">
        <v>363</v>
      </c>
      <c r="BO308" t="s" s="0">
        <v>6962</v>
      </c>
      <c r="BP308" t="s" s="0">
        <v>6962</v>
      </c>
      <c r="BQ308" t="s" s="0">
        <v>6963</v>
      </c>
      <c r="BR308" t="s" s="0">
        <v>6964</v>
      </c>
      <c r="BS308" t="s" s="0">
        <v>6965</v>
      </c>
      <c r="BT308" t="s" s="614">
        <f>HYPERLINK("https://www.webofscience.com/wos/woscc/full-record/WOS:001801851600001","View Record in Web of Science")</f>
        <v>120</v>
      </c>
      <c r="BU308" t="s" s="0">
        <v>82</v>
      </c>
      <c r="BV308" t="s" s="0">
        <v>82</v>
      </c>
      <c r="BW308" t="s" s="0">
        <v>82</v>
      </c>
      <c r="BX308" t="s" s="0">
        <v>121</v>
      </c>
    </row>
    <row r="309">
      <c r="A309" t="s" s="0">
        <v>77</v>
      </c>
      <c r="B309" t="s" s="0">
        <v>77</v>
      </c>
      <c r="C309" t="s" s="0">
        <v>78</v>
      </c>
      <c r="D309" t="s" s="0">
        <v>77</v>
      </c>
      <c r="E309" t="s" s="0">
        <v>6966</v>
      </c>
      <c r="F309" t="s" s="0">
        <v>6967</v>
      </c>
      <c r="G309" t="s" s="0">
        <v>6968</v>
      </c>
      <c r="H309" t="s" s="0">
        <v>82</v>
      </c>
      <c r="I309" t="s" s="0">
        <v>460</v>
      </c>
      <c r="J309" t="s" s="0">
        <v>6969</v>
      </c>
      <c r="K309" t="s" s="0">
        <v>6970</v>
      </c>
      <c r="L309" t="s" s="0">
        <v>6971</v>
      </c>
      <c r="M309" t="s" s="0">
        <v>6972</v>
      </c>
      <c r="N309" t="s" s="0">
        <v>6973</v>
      </c>
      <c r="O309" t="s" s="0">
        <v>6974</v>
      </c>
      <c r="P309" t="s" s="0">
        <v>6975</v>
      </c>
      <c r="Q309" t="s" s="0">
        <v>88</v>
      </c>
      <c r="R309" t="s" s="0">
        <v>82</v>
      </c>
      <c r="S309" t="s" s="0">
        <v>82</v>
      </c>
      <c r="T309" t="s" s="0">
        <v>82</v>
      </c>
      <c r="U309" t="s" s="0">
        <v>82</v>
      </c>
      <c r="V309" t="s" s="0">
        <v>6976</v>
      </c>
      <c r="W309" t="s" s="0">
        <v>6977</v>
      </c>
      <c r="X309" t="s" s="0">
        <v>82</v>
      </c>
      <c r="Y309" t="s" s="0">
        <v>82</v>
      </c>
      <c r="Z309" t="s" s="0">
        <v>91</v>
      </c>
      <c r="AA309" t="s" s="0">
        <v>92</v>
      </c>
      <c r="AB309" t="s" s="0">
        <v>82</v>
      </c>
      <c r="AC309" t="s" s="0">
        <v>82</v>
      </c>
      <c r="AD309" t="s" s="0">
        <v>82</v>
      </c>
      <c r="AE309" t="s" s="0">
        <v>82</v>
      </c>
      <c r="AF309" t="s" s="0">
        <v>82</v>
      </c>
      <c r="AG309" t="s" s="0">
        <v>6978</v>
      </c>
      <c r="AH309" t="s" s="0">
        <v>82</v>
      </c>
      <c r="AI309" t="s" s="0">
        <v>82</v>
      </c>
      <c r="AJ309" t="s" s="0">
        <v>6979</v>
      </c>
      <c r="AK309" t="s" s="0">
        <v>82</v>
      </c>
      <c r="AL309" t="s" s="0">
        <v>6980</v>
      </c>
      <c r="AM309" t="s" s="0">
        <v>78</v>
      </c>
      <c r="AN309" t="s" s="0">
        <v>78</v>
      </c>
      <c r="AO309" t="s" s="0">
        <v>204</v>
      </c>
      <c r="AP309" t="s" s="0">
        <v>99</v>
      </c>
      <c r="AQ309" t="s" s="0">
        <v>296</v>
      </c>
      <c r="AR309" t="s" s="0">
        <v>297</v>
      </c>
      <c r="AS309" t="s" s="0">
        <v>298</v>
      </c>
      <c r="AT309" t="s" s="0">
        <v>82</v>
      </c>
      <c r="AU309" t="s" s="0">
        <v>6981</v>
      </c>
      <c r="AV309" t="s" s="0">
        <v>82</v>
      </c>
      <c r="AW309" t="s" s="0">
        <v>6982</v>
      </c>
      <c r="AX309" t="s" s="0">
        <v>6983</v>
      </c>
      <c r="AY309" t="s" s="0">
        <v>829</v>
      </c>
      <c r="AZ309" t="s" s="0">
        <v>179</v>
      </c>
      <c r="BA309" t="s" s="0">
        <v>139</v>
      </c>
      <c r="BB309" t="s" s="0">
        <v>82</v>
      </c>
      <c r="BC309" t="s" s="0">
        <v>82</v>
      </c>
      <c r="BD309" t="s" s="0">
        <v>82</v>
      </c>
      <c r="BE309" t="s" s="0">
        <v>82</v>
      </c>
      <c r="BF309" t="s" s="0">
        <v>82</v>
      </c>
      <c r="BG309" t="s" s="0">
        <v>82</v>
      </c>
      <c r="BH309" t="s" s="0">
        <v>82</v>
      </c>
      <c r="BI309" t="s" s="0">
        <v>6984</v>
      </c>
      <c r="BJ309" t="s" s="0">
        <v>6985</v>
      </c>
      <c r="BK309" t="s" s="615">
        <f>HYPERLINK("http://dx.doi.org/10.1016/j.mlwa.2025.100816","http://dx.doi.org/10.1016/j.mlwa.2025.100816")</f>
        <v>6986</v>
      </c>
      <c r="BL309" t="s" s="0">
        <v>82</v>
      </c>
      <c r="BM309" t="s" s="0">
        <v>1688</v>
      </c>
      <c r="BN309" t="s" s="0">
        <v>96</v>
      </c>
      <c r="BO309" t="s" s="0">
        <v>6987</v>
      </c>
      <c r="BP309" t="s" s="0">
        <v>309</v>
      </c>
      <c r="BQ309" t="s" s="0">
        <v>6988</v>
      </c>
      <c r="BR309" t="s" s="0">
        <v>82</v>
      </c>
      <c r="BS309" t="s" s="0">
        <v>6989</v>
      </c>
      <c r="BT309" t="s" s="616">
        <f>HYPERLINK("https://www.webofscience.com/wos/woscc/full-record/WOS:001641234900002","View Record in Web of Science")</f>
        <v>120</v>
      </c>
      <c r="BU309" t="s" s="0">
        <v>335</v>
      </c>
      <c r="BV309" t="s" s="0">
        <v>82</v>
      </c>
      <c r="BW309" t="s" s="0">
        <v>82</v>
      </c>
      <c r="BX309" t="s" s="0">
        <v>121</v>
      </c>
    </row>
    <row r="310">
      <c r="A310" t="s" s="0">
        <v>77</v>
      </c>
      <c r="B310" t="s" s="0">
        <v>77</v>
      </c>
      <c r="C310" t="s" s="0">
        <v>77</v>
      </c>
      <c r="D310" t="s" s="0">
        <v>77</v>
      </c>
      <c r="E310" t="s" s="0">
        <v>6990</v>
      </c>
      <c r="F310" t="s" s="0">
        <v>6991</v>
      </c>
      <c r="G310" t="s" s="0">
        <v>6992</v>
      </c>
      <c r="H310" t="s" s="0">
        <v>82</v>
      </c>
      <c r="I310" t="s" s="0">
        <v>83</v>
      </c>
      <c r="J310" t="s" s="0">
        <v>6993</v>
      </c>
      <c r="K310" t="s" s="0">
        <v>6994</v>
      </c>
      <c r="L310" t="s" s="0">
        <v>6995</v>
      </c>
      <c r="M310" t="s" s="0">
        <v>6996</v>
      </c>
      <c r="N310" t="s" s="0">
        <v>6997</v>
      </c>
      <c r="O310" t="s" s="0">
        <v>6998</v>
      </c>
      <c r="P310" t="s" s="0">
        <v>6999</v>
      </c>
      <c r="Q310" t="s" s="0">
        <v>88</v>
      </c>
      <c r="R310" t="s" s="0">
        <v>82</v>
      </c>
      <c r="S310" t="s" s="0">
        <v>82</v>
      </c>
      <c r="T310" t="s" s="0">
        <v>82</v>
      </c>
      <c r="U310" t="s" s="0">
        <v>82</v>
      </c>
      <c r="V310" t="s" s="0">
        <v>7000</v>
      </c>
      <c r="W310" t="s" s="0">
        <v>3322</v>
      </c>
      <c r="X310" t="s" s="0">
        <v>82</v>
      </c>
      <c r="Y310" t="s" s="0">
        <v>82</v>
      </c>
      <c r="Z310" t="s" s="0">
        <v>91</v>
      </c>
      <c r="AA310" t="s" s="0">
        <v>92</v>
      </c>
      <c r="AB310" t="s" s="0">
        <v>82</v>
      </c>
      <c r="AC310" t="s" s="0">
        <v>82</v>
      </c>
      <c r="AD310" t="s" s="0">
        <v>82</v>
      </c>
      <c r="AE310" t="s" s="0">
        <v>82</v>
      </c>
      <c r="AF310" t="s" s="0">
        <v>82</v>
      </c>
      <c r="AG310" t="s" s="0">
        <v>7001</v>
      </c>
      <c r="AH310" t="s" s="0">
        <v>7002</v>
      </c>
      <c r="AI310" t="s" s="0">
        <v>82</v>
      </c>
      <c r="AJ310" t="s" s="0">
        <v>82</v>
      </c>
      <c r="AK310" t="s" s="0">
        <v>82</v>
      </c>
      <c r="AL310" t="s" s="0">
        <v>1687</v>
      </c>
      <c r="AM310" t="s" s="0">
        <v>77</v>
      </c>
      <c r="AN310" t="s" s="0">
        <v>77</v>
      </c>
      <c r="AO310" t="s" s="0">
        <v>204</v>
      </c>
      <c r="AP310" t="s" s="0">
        <v>204</v>
      </c>
      <c r="AQ310" t="s" s="0">
        <v>2460</v>
      </c>
      <c r="AR310" t="s" s="0">
        <v>2461</v>
      </c>
      <c r="AS310" t="s" s="0">
        <v>2462</v>
      </c>
      <c r="AT310" t="s" s="0">
        <v>3324</v>
      </c>
      <c r="AU310" t="s" s="0">
        <v>3325</v>
      </c>
      <c r="AV310" t="s" s="0">
        <v>82</v>
      </c>
      <c r="AW310" t="s" s="0">
        <v>3326</v>
      </c>
      <c r="AX310" t="s" s="0">
        <v>3327</v>
      </c>
      <c r="AY310" t="s" s="0">
        <v>7003</v>
      </c>
      <c r="AZ310" t="s" s="0">
        <v>179</v>
      </c>
      <c r="BA310" t="s" s="0">
        <v>556</v>
      </c>
      <c r="BB310" t="s" s="0">
        <v>82</v>
      </c>
      <c r="BC310" t="s" s="0">
        <v>82</v>
      </c>
      <c r="BD310" t="s" s="0">
        <v>82</v>
      </c>
      <c r="BE310" t="s" s="0">
        <v>82</v>
      </c>
      <c r="BF310" t="s" s="0">
        <v>82</v>
      </c>
      <c r="BG310" t="s" s="0">
        <v>82</v>
      </c>
      <c r="BH310" t="s" s="0">
        <v>82</v>
      </c>
      <c r="BI310" t="s" s="0">
        <v>7004</v>
      </c>
      <c r="BJ310" t="s" s="0">
        <v>7005</v>
      </c>
      <c r="BK310" t="s" s="617">
        <f>HYPERLINK("http://dx.doi.org/10.2196/86498","http://dx.doi.org/10.2196/86498")</f>
        <v>7006</v>
      </c>
      <c r="BL310" t="s" s="0">
        <v>82</v>
      </c>
      <c r="BM310" t="s" s="0">
        <v>82</v>
      </c>
      <c r="BN310" t="s" s="0">
        <v>184</v>
      </c>
      <c r="BO310" t="s" s="0">
        <v>185</v>
      </c>
      <c r="BP310" t="s" s="0">
        <v>185</v>
      </c>
      <c r="BQ310" t="s" s="0">
        <v>7007</v>
      </c>
      <c r="BR310" t="s" s="0">
        <v>7008</v>
      </c>
      <c r="BS310" t="s" s="0">
        <v>7009</v>
      </c>
      <c r="BT310" t="s" s="618">
        <f>HYPERLINK("https://www.webofscience.com/wos/woscc/full-record/WOS:001793444700002","View Record in Web of Science")</f>
        <v>120</v>
      </c>
      <c r="BU310" t="s" s="0">
        <v>189</v>
      </c>
      <c r="BV310" t="s" s="0">
        <v>82</v>
      </c>
      <c r="BW310" t="s" s="0">
        <v>82</v>
      </c>
      <c r="BX310" t="s" s="0">
        <v>121</v>
      </c>
    </row>
    <row r="311">
      <c r="A311" t="s" s="0">
        <v>77</v>
      </c>
      <c r="B311" t="s" s="0">
        <v>77</v>
      </c>
      <c r="C311" t="s" s="0">
        <v>77</v>
      </c>
      <c r="D311" t="s" s="0">
        <v>77</v>
      </c>
      <c r="E311" t="s" s="0">
        <v>7010</v>
      </c>
      <c r="F311" t="s" s="0">
        <v>7011</v>
      </c>
      <c r="G311" t="s" s="0">
        <v>7012</v>
      </c>
      <c r="H311" t="s" s="0">
        <v>82</v>
      </c>
      <c r="I311" t="s" s="0">
        <v>83</v>
      </c>
      <c r="J311" t="s" s="0">
        <v>7013</v>
      </c>
      <c r="K311" t="s" s="0">
        <v>7014</v>
      </c>
      <c r="L311" t="s" s="0">
        <v>7015</v>
      </c>
      <c r="M311" t="s" s="0">
        <v>7016</v>
      </c>
      <c r="N311" t="s" s="0">
        <v>7017</v>
      </c>
      <c r="O311" t="s" s="0">
        <v>7018</v>
      </c>
      <c r="P311" t="s" s="0">
        <v>7019</v>
      </c>
      <c r="Q311" t="s" s="0">
        <v>88</v>
      </c>
      <c r="R311" t="s" s="0">
        <v>82</v>
      </c>
      <c r="S311" t="s" s="0">
        <v>82</v>
      </c>
      <c r="T311" t="s" s="0">
        <v>82</v>
      </c>
      <c r="U311" t="s" s="0">
        <v>82</v>
      </c>
      <c r="V311" t="s" s="0">
        <v>7020</v>
      </c>
      <c r="W311" t="s" s="0">
        <v>1226</v>
      </c>
      <c r="X311" t="s" s="0">
        <v>82</v>
      </c>
      <c r="Y311" t="s" s="0">
        <v>82</v>
      </c>
      <c r="Z311" t="s" s="0">
        <v>91</v>
      </c>
      <c r="AA311" t="s" s="0">
        <v>908</v>
      </c>
      <c r="AB311" t="s" s="0">
        <v>82</v>
      </c>
      <c r="AC311" t="s" s="0">
        <v>82</v>
      </c>
      <c r="AD311" t="s" s="0">
        <v>82</v>
      </c>
      <c r="AE311" t="s" s="0">
        <v>82</v>
      </c>
      <c r="AF311" t="s" s="0">
        <v>82</v>
      </c>
      <c r="AG311" t="s" s="0">
        <v>7021</v>
      </c>
      <c r="AH311" t="s" s="0">
        <v>82</v>
      </c>
      <c r="AI311" t="s" s="0">
        <v>82</v>
      </c>
      <c r="AJ311" t="s" s="0">
        <v>82</v>
      </c>
      <c r="AK311" t="s" s="0">
        <v>82</v>
      </c>
      <c r="AL311" t="s" s="0">
        <v>428</v>
      </c>
      <c r="AM311" t="s" s="0">
        <v>77</v>
      </c>
      <c r="AN311" t="s" s="0">
        <v>77</v>
      </c>
      <c r="AO311" t="s" s="0">
        <v>77</v>
      </c>
      <c r="AP311" t="s" s="0">
        <v>77</v>
      </c>
      <c r="AQ311" t="s" s="0">
        <v>795</v>
      </c>
      <c r="AR311" t="s" s="0">
        <v>796</v>
      </c>
      <c r="AS311" t="s" s="0">
        <v>797</v>
      </c>
      <c r="AT311" t="s" s="0">
        <v>1229</v>
      </c>
      <c r="AU311" t="s" s="0">
        <v>1230</v>
      </c>
      <c r="AV311" t="s" s="0">
        <v>82</v>
      </c>
      <c r="AW311" t="s" s="0">
        <v>1231</v>
      </c>
      <c r="AX311" t="s" s="0">
        <v>1232</v>
      </c>
      <c r="AY311" t="s" s="0">
        <v>82</v>
      </c>
      <c r="AZ311" t="s" s="0">
        <v>179</v>
      </c>
      <c r="BA311" t="s" s="0">
        <v>82</v>
      </c>
      <c r="BB311" t="s" s="0">
        <v>82</v>
      </c>
      <c r="BC311" t="s" s="0">
        <v>82</v>
      </c>
      <c r="BD311" t="s" s="0">
        <v>82</v>
      </c>
      <c r="BE311" t="s" s="0">
        <v>82</v>
      </c>
      <c r="BF311" t="s" s="0">
        <v>82</v>
      </c>
      <c r="BG311" t="s" s="0">
        <v>82</v>
      </c>
      <c r="BH311" t="s" s="0">
        <v>82</v>
      </c>
      <c r="BI311" t="s" s="0">
        <v>82</v>
      </c>
      <c r="BJ311" t="s" s="0">
        <v>7022</v>
      </c>
      <c r="BK311" t="s" s="619">
        <f>HYPERLINK("http://dx.doi.org/10.1007/s10278-026-02163-z","http://dx.doi.org/10.1007/s10278-026-02163-z")</f>
        <v>7023</v>
      </c>
      <c r="BL311" t="s" s="0">
        <v>82</v>
      </c>
      <c r="BM311" t="s" s="0">
        <v>270</v>
      </c>
      <c r="BN311" t="s" s="0">
        <v>363</v>
      </c>
      <c r="BO311" t="s" s="0">
        <v>717</v>
      </c>
      <c r="BP311" t="s" s="0">
        <v>717</v>
      </c>
      <c r="BQ311" t="s" s="0">
        <v>7024</v>
      </c>
      <c r="BR311" t="s" s="0">
        <v>7025</v>
      </c>
      <c r="BS311" t="s" s="0">
        <v>7026</v>
      </c>
      <c r="BT311" t="s" s="620">
        <f>HYPERLINK("https://www.webofscience.com/wos/woscc/full-record/WOS:001838595600001","View Record in Web of Science")</f>
        <v>120</v>
      </c>
      <c r="BU311" t="s" s="0">
        <v>82</v>
      </c>
      <c r="BV311" t="s" s="0">
        <v>82</v>
      </c>
      <c r="BW311" t="s" s="0">
        <v>82</v>
      </c>
      <c r="BX311" t="s" s="0">
        <v>121</v>
      </c>
    </row>
    <row r="312">
      <c r="A312" t="s" s="0">
        <v>77</v>
      </c>
      <c r="B312" t="s" s="0">
        <v>77</v>
      </c>
      <c r="C312" t="s" s="0">
        <v>77</v>
      </c>
      <c r="D312" t="s" s="0">
        <v>77</v>
      </c>
      <c r="E312" t="s" s="0">
        <v>7027</v>
      </c>
      <c r="F312" t="s" s="0">
        <v>7028</v>
      </c>
      <c r="G312" t="s" s="0">
        <v>7029</v>
      </c>
      <c r="H312" t="s" s="0">
        <v>82</v>
      </c>
      <c r="I312" t="s" s="0">
        <v>83</v>
      </c>
      <c r="J312" t="s" s="0">
        <v>7030</v>
      </c>
      <c r="K312" t="s" s="0">
        <v>7031</v>
      </c>
      <c r="L312" t="s" s="0">
        <v>7032</v>
      </c>
      <c r="M312" t="s" s="0">
        <v>7033</v>
      </c>
      <c r="N312" t="s" s="0">
        <v>7034</v>
      </c>
      <c r="O312" t="s" s="0">
        <v>7035</v>
      </c>
      <c r="P312" t="s" s="0">
        <v>7036</v>
      </c>
      <c r="Q312" t="s" s="0">
        <v>88</v>
      </c>
      <c r="R312" t="s" s="0">
        <v>82</v>
      </c>
      <c r="S312" t="s" s="0">
        <v>82</v>
      </c>
      <c r="T312" t="s" s="0">
        <v>82</v>
      </c>
      <c r="U312" t="s" s="0">
        <v>82</v>
      </c>
      <c r="V312" t="s" s="0">
        <v>7037</v>
      </c>
      <c r="W312" t="s" s="0">
        <v>7038</v>
      </c>
      <c r="X312" t="s" s="0">
        <v>82</v>
      </c>
      <c r="Y312" t="s" s="0">
        <v>82</v>
      </c>
      <c r="Z312" t="s" s="0">
        <v>91</v>
      </c>
      <c r="AA312" t="s" s="0">
        <v>92</v>
      </c>
      <c r="AB312" t="s" s="0">
        <v>82</v>
      </c>
      <c r="AC312" t="s" s="0">
        <v>82</v>
      </c>
      <c r="AD312" t="s" s="0">
        <v>82</v>
      </c>
      <c r="AE312" t="s" s="0">
        <v>82</v>
      </c>
      <c r="AF312" t="s" s="0">
        <v>82</v>
      </c>
      <c r="AG312" t="s" s="0">
        <v>7039</v>
      </c>
      <c r="AH312" t="s" s="0">
        <v>7040</v>
      </c>
      <c r="AI312" t="s" s="0">
        <v>82</v>
      </c>
      <c r="AJ312" t="s" s="0">
        <v>82</v>
      </c>
      <c r="AK312" t="s" s="0">
        <v>82</v>
      </c>
      <c r="AL312" t="s" s="0">
        <v>502</v>
      </c>
      <c r="AM312" t="s" s="0">
        <v>110</v>
      </c>
      <c r="AN312" t="s" s="0">
        <v>110</v>
      </c>
      <c r="AO312" t="s" s="0">
        <v>115</v>
      </c>
      <c r="AP312" t="s" s="0">
        <v>109</v>
      </c>
      <c r="AQ312" t="s" s="0">
        <v>7041</v>
      </c>
      <c r="AR312" t="s" s="0">
        <v>7042</v>
      </c>
      <c r="AS312" t="s" s="0">
        <v>7043</v>
      </c>
      <c r="AT312" t="s" s="0">
        <v>7044</v>
      </c>
      <c r="AU312" t="s" s="0">
        <v>7045</v>
      </c>
      <c r="AV312" t="s" s="0">
        <v>82</v>
      </c>
      <c r="AW312" t="s" s="0">
        <v>7046</v>
      </c>
      <c r="AX312" t="s" s="0">
        <v>7047</v>
      </c>
      <c r="AY312" t="s" s="0">
        <v>448</v>
      </c>
      <c r="AZ312" t="s" s="0">
        <v>108</v>
      </c>
      <c r="BA312" t="s" s="0">
        <v>277</v>
      </c>
      <c r="BB312" t="s" s="0">
        <v>363</v>
      </c>
      <c r="BC312" t="s" s="0">
        <v>82</v>
      </c>
      <c r="BD312" t="s" s="0">
        <v>82</v>
      </c>
      <c r="BE312" t="s" s="0">
        <v>82</v>
      </c>
      <c r="BF312" t="s" s="0">
        <v>82</v>
      </c>
      <c r="BG312" t="s" s="0">
        <v>82</v>
      </c>
      <c r="BH312" t="s" s="0">
        <v>82</v>
      </c>
      <c r="BI312" t="s" s="0">
        <v>82</v>
      </c>
      <c r="BJ312" t="s" s="0">
        <v>7048</v>
      </c>
      <c r="BK312" t="s" s="621">
        <f>HYPERLINK("http://dx.doi.org/10.21037/qims-2025-92","http://dx.doi.org/10.21037/qims-2025-92")</f>
        <v>7049</v>
      </c>
      <c r="BL312" t="s" s="0">
        <v>82</v>
      </c>
      <c r="BM312" t="s" s="0">
        <v>82</v>
      </c>
      <c r="BN312" t="s" s="0">
        <v>428</v>
      </c>
      <c r="BO312" t="s" s="0">
        <v>717</v>
      </c>
      <c r="BP312" t="s" s="0">
        <v>717</v>
      </c>
      <c r="BQ312" t="s" s="0">
        <v>7050</v>
      </c>
      <c r="BR312" t="s" s="0">
        <v>7051</v>
      </c>
      <c r="BS312" t="s" s="0">
        <v>7052</v>
      </c>
      <c r="BT312" t="s" s="622">
        <f>HYPERLINK("https://www.webofscience.com/wos/woscc/full-record/WOS:001593087700041","View Record in Web of Science")</f>
        <v>120</v>
      </c>
      <c r="BU312" t="s" s="0">
        <v>189</v>
      </c>
      <c r="BV312" t="s" s="0">
        <v>82</v>
      </c>
      <c r="BW312" t="s" s="0">
        <v>82</v>
      </c>
      <c r="BX312" t="s" s="0">
        <v>121</v>
      </c>
    </row>
    <row r="313">
      <c r="A313" t="s" s="0">
        <v>77</v>
      </c>
      <c r="B313" t="s" s="0">
        <v>77</v>
      </c>
      <c r="C313" t="s" s="0">
        <v>77</v>
      </c>
      <c r="D313" t="s" s="0">
        <v>77</v>
      </c>
      <c r="E313" t="s" s="0">
        <v>7053</v>
      </c>
      <c r="F313" t="s" s="0">
        <v>7054</v>
      </c>
      <c r="G313" t="s" s="0">
        <v>7055</v>
      </c>
      <c r="H313" t="s" s="0">
        <v>82</v>
      </c>
      <c r="I313" t="s" s="0">
        <v>83</v>
      </c>
      <c r="J313" t="s" s="0">
        <v>7056</v>
      </c>
      <c r="K313" t="s" s="0">
        <v>7057</v>
      </c>
      <c r="L313" t="s" s="0">
        <v>7058</v>
      </c>
      <c r="M313" t="s" s="0">
        <v>7059</v>
      </c>
      <c r="N313" t="s" s="0">
        <v>7060</v>
      </c>
      <c r="O313" t="s" s="0">
        <v>7061</v>
      </c>
      <c r="P313" t="s" s="0">
        <v>7062</v>
      </c>
      <c r="Q313" t="s" s="0">
        <v>88</v>
      </c>
      <c r="R313" t="s" s="0">
        <v>82</v>
      </c>
      <c r="S313" t="s" s="0">
        <v>82</v>
      </c>
      <c r="T313" t="s" s="0">
        <v>82</v>
      </c>
      <c r="U313" t="s" s="0">
        <v>82</v>
      </c>
      <c r="V313" t="s" s="0">
        <v>7063</v>
      </c>
      <c r="W313" t="s" s="0">
        <v>3157</v>
      </c>
      <c r="X313" t="s" s="0">
        <v>82</v>
      </c>
      <c r="Y313" t="s" s="0">
        <v>82</v>
      </c>
      <c r="Z313" t="s" s="0">
        <v>91</v>
      </c>
      <c r="AA313" t="s" s="0">
        <v>92</v>
      </c>
      <c r="AB313" t="s" s="0">
        <v>82</v>
      </c>
      <c r="AC313" t="s" s="0">
        <v>82</v>
      </c>
      <c r="AD313" t="s" s="0">
        <v>82</v>
      </c>
      <c r="AE313" t="s" s="0">
        <v>82</v>
      </c>
      <c r="AF313" t="s" s="0">
        <v>82</v>
      </c>
      <c r="AG313" t="s" s="0">
        <v>7064</v>
      </c>
      <c r="AH313" t="s" s="0">
        <v>7065</v>
      </c>
      <c r="AI313" t="s" s="0">
        <v>82</v>
      </c>
      <c r="AJ313" t="s" s="0">
        <v>82</v>
      </c>
      <c r="AK313" t="s" s="0">
        <v>82</v>
      </c>
      <c r="AL313" t="s" s="0">
        <v>331</v>
      </c>
      <c r="AM313" t="s" s="0">
        <v>77</v>
      </c>
      <c r="AN313" t="s" s="0">
        <v>77</v>
      </c>
      <c r="AO313" t="s" s="0">
        <v>78</v>
      </c>
      <c r="AP313" t="s" s="0">
        <v>78</v>
      </c>
      <c r="AQ313" t="s" s="0">
        <v>418</v>
      </c>
      <c r="AR313" t="s" s="0">
        <v>419</v>
      </c>
      <c r="AS313" t="s" s="0">
        <v>420</v>
      </c>
      <c r="AT313" t="s" s="0">
        <v>82</v>
      </c>
      <c r="AU313" t="s" s="0">
        <v>3162</v>
      </c>
      <c r="AV313" t="s" s="0">
        <v>82</v>
      </c>
      <c r="AW313" t="s" s="0">
        <v>3157</v>
      </c>
      <c r="AX313" t="s" s="0">
        <v>3163</v>
      </c>
      <c r="AY313" t="s" s="0">
        <v>7066</v>
      </c>
      <c r="AZ313" t="s" s="0">
        <v>179</v>
      </c>
      <c r="BA313" t="s" s="0">
        <v>209</v>
      </c>
      <c r="BB313" t="s" s="0">
        <v>148</v>
      </c>
      <c r="BC313" t="s" s="0">
        <v>82</v>
      </c>
      <c r="BD313" t="s" s="0">
        <v>82</v>
      </c>
      <c r="BE313" t="s" s="0">
        <v>82</v>
      </c>
      <c r="BF313" t="s" s="0">
        <v>82</v>
      </c>
      <c r="BG313" t="s" s="0">
        <v>82</v>
      </c>
      <c r="BH313" t="s" s="0">
        <v>82</v>
      </c>
      <c r="BI313" t="s" s="0">
        <v>7067</v>
      </c>
      <c r="BJ313" t="s" s="0">
        <v>7068</v>
      </c>
      <c r="BK313" t="s" s="623">
        <f>HYPERLINK("http://dx.doi.org/10.3390/diagnostics16121931","http://dx.doi.org/10.3390/diagnostics16121931")</f>
        <v>7069</v>
      </c>
      <c r="BL313" t="s" s="0">
        <v>82</v>
      </c>
      <c r="BM313" t="s" s="0">
        <v>358</v>
      </c>
      <c r="BN313" t="s" s="0">
        <v>976</v>
      </c>
      <c r="BO313" t="s" s="0">
        <v>1803</v>
      </c>
      <c r="BP313" t="s" s="0">
        <v>1804</v>
      </c>
      <c r="BQ313" t="s" s="0">
        <v>7070</v>
      </c>
      <c r="BR313" t="s" s="0">
        <v>7071</v>
      </c>
      <c r="BS313" t="s" s="0">
        <v>7072</v>
      </c>
      <c r="BT313" t="s" s="624">
        <f>HYPERLINK("https://www.webofscience.com/wos/woscc/full-record/WOS:001805143600001","View Record in Web of Science")</f>
        <v>120</v>
      </c>
      <c r="BU313" t="s" s="0">
        <v>189</v>
      </c>
      <c r="BV313" t="s" s="0">
        <v>82</v>
      </c>
      <c r="BW313" t="s" s="0">
        <v>82</v>
      </c>
      <c r="BX313" t="s" s="0">
        <v>121</v>
      </c>
    </row>
    <row r="314">
      <c r="A314" t="s" s="0">
        <v>77</v>
      </c>
      <c r="B314" t="s" s="0">
        <v>77</v>
      </c>
      <c r="C314" t="s" s="0">
        <v>235</v>
      </c>
      <c r="D314" t="s" s="0">
        <v>77</v>
      </c>
      <c r="E314" t="s" s="0">
        <v>7073</v>
      </c>
      <c r="F314" t="s" s="0">
        <v>7074</v>
      </c>
      <c r="G314" t="s" s="0">
        <v>7075</v>
      </c>
      <c r="H314" t="s" s="0">
        <v>82</v>
      </c>
      <c r="I314" t="s" s="0">
        <v>83</v>
      </c>
      <c r="J314" t="s" s="0">
        <v>7076</v>
      </c>
      <c r="K314" t="s" s="0">
        <v>7077</v>
      </c>
      <c r="L314" t="s" s="0">
        <v>7078</v>
      </c>
      <c r="M314" t="s" s="0">
        <v>7079</v>
      </c>
      <c r="N314" t="s" s="0">
        <v>7080</v>
      </c>
      <c r="O314" t="s" s="0">
        <v>7081</v>
      </c>
      <c r="P314" t="s" s="0">
        <v>7082</v>
      </c>
      <c r="Q314" t="s" s="0">
        <v>88</v>
      </c>
      <c r="R314" t="s" s="0">
        <v>82</v>
      </c>
      <c r="S314" t="s" s="0">
        <v>82</v>
      </c>
      <c r="T314" t="s" s="0">
        <v>82</v>
      </c>
      <c r="U314" t="s" s="0">
        <v>82</v>
      </c>
      <c r="V314" t="s" s="0">
        <v>7083</v>
      </c>
      <c r="W314" t="s" s="0">
        <v>7084</v>
      </c>
      <c r="X314" t="s" s="0">
        <v>82</v>
      </c>
      <c r="Y314" t="s" s="0">
        <v>82</v>
      </c>
      <c r="Z314" t="s" s="0">
        <v>91</v>
      </c>
      <c r="AA314" t="s" s="0">
        <v>92</v>
      </c>
      <c r="AB314" t="s" s="0">
        <v>82</v>
      </c>
      <c r="AC314" t="s" s="0">
        <v>82</v>
      </c>
      <c r="AD314" t="s" s="0">
        <v>82</v>
      </c>
      <c r="AE314" t="s" s="0">
        <v>82</v>
      </c>
      <c r="AF314" t="s" s="0">
        <v>82</v>
      </c>
      <c r="AG314" t="s" s="0">
        <v>7085</v>
      </c>
      <c r="AH314" t="s" s="0">
        <v>7086</v>
      </c>
      <c r="AI314" t="s" s="0">
        <v>7087</v>
      </c>
      <c r="AJ314" t="s" s="0">
        <v>7088</v>
      </c>
      <c r="AK314" t="s" s="0">
        <v>82</v>
      </c>
      <c r="AL314" t="s" s="0">
        <v>1687</v>
      </c>
      <c r="AM314" t="s" s="0">
        <v>363</v>
      </c>
      <c r="AN314" t="s" s="0">
        <v>363</v>
      </c>
      <c r="AO314" t="s" s="0">
        <v>78</v>
      </c>
      <c r="AP314" t="s" s="0">
        <v>963</v>
      </c>
      <c r="AQ314" t="s" s="0">
        <v>3001</v>
      </c>
      <c r="AR314" t="s" s="0">
        <v>3002</v>
      </c>
      <c r="AS314" t="s" s="0">
        <v>3003</v>
      </c>
      <c r="AT314" t="s" s="0">
        <v>7089</v>
      </c>
      <c r="AU314" t="s" s="0">
        <v>82</v>
      </c>
      <c r="AV314" t="s" s="0">
        <v>82</v>
      </c>
      <c r="AW314" t="s" s="0">
        <v>7090</v>
      </c>
      <c r="AX314" t="s" s="0">
        <v>7091</v>
      </c>
      <c r="AY314" t="s" s="0">
        <v>7092</v>
      </c>
      <c r="AZ314" t="s" s="0">
        <v>108</v>
      </c>
      <c r="BA314" t="s" s="0">
        <v>148</v>
      </c>
      <c r="BB314" t="s" s="0">
        <v>82</v>
      </c>
      <c r="BC314" t="s" s="0">
        <v>82</v>
      </c>
      <c r="BD314" t="s" s="0">
        <v>82</v>
      </c>
      <c r="BE314" t="s" s="0">
        <v>82</v>
      </c>
      <c r="BF314" t="s" s="0">
        <v>82</v>
      </c>
      <c r="BG314" t="s" s="0">
        <v>82</v>
      </c>
      <c r="BH314" t="s" s="0">
        <v>82</v>
      </c>
      <c r="BI314" t="s" s="0">
        <v>7093</v>
      </c>
      <c r="BJ314" t="s" s="0">
        <v>7094</v>
      </c>
      <c r="BK314" t="s" s="625">
        <f>HYPERLINK("http://dx.doi.org/10.3389/fcvm.2025.1458289","http://dx.doi.org/10.3389/fcvm.2025.1458289")</f>
        <v>7095</v>
      </c>
      <c r="BL314" t="s" s="0">
        <v>82</v>
      </c>
      <c r="BM314" t="s" s="0">
        <v>82</v>
      </c>
      <c r="BN314" t="s" s="0">
        <v>115</v>
      </c>
      <c r="BO314" t="s" s="0">
        <v>7096</v>
      </c>
      <c r="BP314" t="s" s="0">
        <v>7097</v>
      </c>
      <c r="BQ314" t="s" s="0">
        <v>7098</v>
      </c>
      <c r="BR314" t="s" s="0">
        <v>7099</v>
      </c>
      <c r="BS314" t="s" s="0">
        <v>7100</v>
      </c>
      <c r="BT314" t="s" s="626">
        <f>HYPERLINK("https://www.webofscience.com/wos/woscc/full-record/WOS:001425772800001","View Record in Web of Science")</f>
        <v>120</v>
      </c>
      <c r="BU314" t="s" s="0">
        <v>189</v>
      </c>
      <c r="BV314" t="s" s="0">
        <v>82</v>
      </c>
      <c r="BW314" t="s" s="0">
        <v>82</v>
      </c>
      <c r="BX314" t="s" s="0">
        <v>121</v>
      </c>
    </row>
    <row r="315">
      <c r="A315" t="s" s="0">
        <v>77</v>
      </c>
      <c r="B315" t="s" s="0">
        <v>77</v>
      </c>
      <c r="C315" t="s" s="0">
        <v>77</v>
      </c>
      <c r="D315" t="s" s="0">
        <v>77</v>
      </c>
      <c r="E315" t="s" s="0">
        <v>7101</v>
      </c>
      <c r="F315" t="s" s="0">
        <v>7102</v>
      </c>
      <c r="G315" t="s" s="0">
        <v>7103</v>
      </c>
      <c r="H315" t="s" s="0">
        <v>82</v>
      </c>
      <c r="I315" t="s" s="0">
        <v>83</v>
      </c>
      <c r="J315" t="s" s="0">
        <v>7104</v>
      </c>
      <c r="K315" t="s" s="0">
        <v>4385</v>
      </c>
      <c r="L315" t="s" s="0">
        <v>82</v>
      </c>
      <c r="M315" t="s" s="0">
        <v>82</v>
      </c>
      <c r="N315" t="s" s="0">
        <v>82</v>
      </c>
      <c r="O315" t="s" s="0">
        <v>7105</v>
      </c>
      <c r="P315" t="s" s="0">
        <v>7106</v>
      </c>
      <c r="Q315" t="s" s="0">
        <v>88</v>
      </c>
      <c r="R315" t="s" s="0">
        <v>82</v>
      </c>
      <c r="S315" t="s" s="0">
        <v>82</v>
      </c>
      <c r="T315" t="s" s="0">
        <v>82</v>
      </c>
      <c r="U315" t="s" s="0">
        <v>82</v>
      </c>
      <c r="V315" t="s" s="0">
        <v>7107</v>
      </c>
      <c r="W315" t="s" s="0">
        <v>3396</v>
      </c>
      <c r="X315" t="s" s="0">
        <v>82</v>
      </c>
      <c r="Y315" t="s" s="0">
        <v>82</v>
      </c>
      <c r="Z315" t="s" s="0">
        <v>91</v>
      </c>
      <c r="AA315" t="s" s="0">
        <v>92</v>
      </c>
      <c r="AB315" t="s" s="0">
        <v>82</v>
      </c>
      <c r="AC315" t="s" s="0">
        <v>82</v>
      </c>
      <c r="AD315" t="s" s="0">
        <v>82</v>
      </c>
      <c r="AE315" t="s" s="0">
        <v>82</v>
      </c>
      <c r="AF315" t="s" s="0">
        <v>82</v>
      </c>
      <c r="AG315" t="s" s="0">
        <v>7108</v>
      </c>
      <c r="AH315" t="s" s="0">
        <v>3492</v>
      </c>
      <c r="AI315" t="s" s="0">
        <v>82</v>
      </c>
      <c r="AJ315" t="s" s="0">
        <v>82</v>
      </c>
      <c r="AK315" t="s" s="0">
        <v>82</v>
      </c>
      <c r="AL315" t="s" s="0">
        <v>472</v>
      </c>
      <c r="AM315" t="s" s="0">
        <v>77</v>
      </c>
      <c r="AN315" t="s" s="0">
        <v>77</v>
      </c>
      <c r="AO315" t="s" s="0">
        <v>77</v>
      </c>
      <c r="AP315" t="s" s="0">
        <v>77</v>
      </c>
      <c r="AQ315" t="s" s="0">
        <v>418</v>
      </c>
      <c r="AR315" t="s" s="0">
        <v>419</v>
      </c>
      <c r="AS315" t="s" s="0">
        <v>420</v>
      </c>
      <c r="AT315" t="s" s="0">
        <v>82</v>
      </c>
      <c r="AU315" t="s" s="0">
        <v>3398</v>
      </c>
      <c r="AV315" t="s" s="0">
        <v>82</v>
      </c>
      <c r="AW315" t="s" s="0">
        <v>3396</v>
      </c>
      <c r="AX315" t="s" s="0">
        <v>3399</v>
      </c>
      <c r="AY315" t="s" s="0">
        <v>7109</v>
      </c>
      <c r="AZ315" t="s" s="0">
        <v>179</v>
      </c>
      <c r="BA315" t="s" s="0">
        <v>976</v>
      </c>
      <c r="BB315" t="s" s="0">
        <v>277</v>
      </c>
      <c r="BC315" t="s" s="0">
        <v>82</v>
      </c>
      <c r="BD315" t="s" s="0">
        <v>82</v>
      </c>
      <c r="BE315" t="s" s="0">
        <v>82</v>
      </c>
      <c r="BF315" t="s" s="0">
        <v>82</v>
      </c>
      <c r="BG315" t="s" s="0">
        <v>82</v>
      </c>
      <c r="BH315" t="s" s="0">
        <v>82</v>
      </c>
      <c r="BI315" t="s" s="0">
        <v>830</v>
      </c>
      <c r="BJ315" t="s" s="0">
        <v>7110</v>
      </c>
      <c r="BK315" t="s" s="627">
        <f>HYPERLINK("http://dx.doi.org/10.3390/cancers18152524","http://dx.doi.org/10.3390/cancers18152524")</f>
        <v>7111</v>
      </c>
      <c r="BL315" t="s" s="0">
        <v>82</v>
      </c>
      <c r="BM315" t="s" s="0">
        <v>82</v>
      </c>
      <c r="BN315" t="s" s="0">
        <v>307</v>
      </c>
      <c r="BO315" t="s" s="0">
        <v>3405</v>
      </c>
      <c r="BP315" t="s" s="0">
        <v>3405</v>
      </c>
      <c r="BQ315" t="s" s="0">
        <v>7112</v>
      </c>
      <c r="BR315" t="s" s="0">
        <v>82</v>
      </c>
      <c r="BS315" t="s" s="0">
        <v>7113</v>
      </c>
      <c r="BT315" t="s" s="628">
        <f>HYPERLINK("https://www.webofscience.com/wos/woscc/full-record/WOS:001846657000001","View Record in Web of Science")</f>
        <v>120</v>
      </c>
      <c r="BU315" t="s" s="0">
        <v>335</v>
      </c>
      <c r="BV315" t="s" s="0">
        <v>82</v>
      </c>
      <c r="BW315" t="s" s="0">
        <v>82</v>
      </c>
      <c r="BX315" t="s" s="0">
        <v>121</v>
      </c>
    </row>
    <row r="316">
      <c r="A316" t="s" s="0">
        <v>77</v>
      </c>
      <c r="B316" t="s" s="0">
        <v>77</v>
      </c>
      <c r="C316" t="s" s="0">
        <v>77</v>
      </c>
      <c r="D316" t="s" s="0">
        <v>77</v>
      </c>
      <c r="E316" t="s" s="0">
        <v>7114</v>
      </c>
      <c r="F316" t="s" s="0">
        <v>7115</v>
      </c>
      <c r="G316" t="s" s="0">
        <v>7116</v>
      </c>
      <c r="H316" t="s" s="0">
        <v>82</v>
      </c>
      <c r="I316" t="s" s="0">
        <v>83</v>
      </c>
      <c r="J316" t="s" s="0">
        <v>7117</v>
      </c>
      <c r="K316" t="s" s="0">
        <v>7118</v>
      </c>
      <c r="L316" t="s" s="0">
        <v>82</v>
      </c>
      <c r="M316" t="s" s="0">
        <v>82</v>
      </c>
      <c r="N316" t="s" s="0">
        <v>82</v>
      </c>
      <c r="O316" t="s" s="0">
        <v>7119</v>
      </c>
      <c r="P316" t="s" s="0">
        <v>7120</v>
      </c>
      <c r="Q316" t="s" s="0">
        <v>88</v>
      </c>
      <c r="R316" t="s" s="0">
        <v>82</v>
      </c>
      <c r="S316" t="s" s="0">
        <v>82</v>
      </c>
      <c r="T316" t="s" s="0">
        <v>82</v>
      </c>
      <c r="U316" t="s" s="0">
        <v>82</v>
      </c>
      <c r="V316" t="s" s="0">
        <v>7121</v>
      </c>
      <c r="W316" t="s" s="0">
        <v>500</v>
      </c>
      <c r="X316" t="s" s="0">
        <v>82</v>
      </c>
      <c r="Y316" t="s" s="0">
        <v>82</v>
      </c>
      <c r="Z316" t="s" s="0">
        <v>91</v>
      </c>
      <c r="AA316" t="s" s="0">
        <v>92</v>
      </c>
      <c r="AB316" t="s" s="0">
        <v>82</v>
      </c>
      <c r="AC316" t="s" s="0">
        <v>82</v>
      </c>
      <c r="AD316" t="s" s="0">
        <v>82</v>
      </c>
      <c r="AE316" t="s" s="0">
        <v>82</v>
      </c>
      <c r="AF316" t="s" s="0">
        <v>82</v>
      </c>
      <c r="AG316" t="s" s="0">
        <v>7122</v>
      </c>
      <c r="AH316" t="s" s="0">
        <v>82</v>
      </c>
      <c r="AI316" t="s" s="0">
        <v>7123</v>
      </c>
      <c r="AJ316" t="s" s="0">
        <v>82</v>
      </c>
      <c r="AK316" t="s" s="0">
        <v>82</v>
      </c>
      <c r="AL316" t="s" s="0">
        <v>1115</v>
      </c>
      <c r="AM316" t="s" s="0">
        <v>78</v>
      </c>
      <c r="AN316" t="s" s="0">
        <v>78</v>
      </c>
      <c r="AO316" t="s" s="0">
        <v>235</v>
      </c>
      <c r="AP316" t="s" s="0">
        <v>235</v>
      </c>
      <c r="AQ316" t="s" s="0">
        <v>503</v>
      </c>
      <c r="AR316" t="s" s="0">
        <v>504</v>
      </c>
      <c r="AS316" t="s" s="0">
        <v>505</v>
      </c>
      <c r="AT316" t="s" s="0">
        <v>506</v>
      </c>
      <c r="AU316" t="s" s="0">
        <v>507</v>
      </c>
      <c r="AV316" t="s" s="0">
        <v>82</v>
      </c>
      <c r="AW316" t="s" s="0">
        <v>508</v>
      </c>
      <c r="AX316" t="s" s="0">
        <v>509</v>
      </c>
      <c r="AY316" t="s" s="0">
        <v>712</v>
      </c>
      <c r="AZ316" t="s" s="0">
        <v>179</v>
      </c>
      <c r="BA316" t="s" s="0">
        <v>7124</v>
      </c>
      <c r="BB316" t="s" s="0">
        <v>82</v>
      </c>
      <c r="BC316" t="s" s="0">
        <v>82</v>
      </c>
      <c r="BD316" t="s" s="0">
        <v>1320</v>
      </c>
      <c r="BE316" t="s" s="0">
        <v>82</v>
      </c>
      <c r="BF316" t="s" s="0">
        <v>82</v>
      </c>
      <c r="BG316" t="s" s="0">
        <v>82</v>
      </c>
      <c r="BH316" t="s" s="0">
        <v>82</v>
      </c>
      <c r="BI316" t="s" s="0">
        <v>7125</v>
      </c>
      <c r="BJ316" t="s" s="0">
        <v>7126</v>
      </c>
      <c r="BK316" t="s" s="629">
        <f>HYPERLINK("http://dx.doi.org/10.1016/j.bspc.2026.109908","http://dx.doi.org/10.1016/j.bspc.2026.109908")</f>
        <v>7127</v>
      </c>
      <c r="BL316" t="s" s="0">
        <v>82</v>
      </c>
      <c r="BM316" t="s" s="0">
        <v>82</v>
      </c>
      <c r="BN316" t="s" s="0">
        <v>148</v>
      </c>
      <c r="BO316" t="s" s="0">
        <v>516</v>
      </c>
      <c r="BP316" t="s" s="0">
        <v>247</v>
      </c>
      <c r="BQ316" t="s" s="0">
        <v>7128</v>
      </c>
      <c r="BR316" t="s" s="0">
        <v>82</v>
      </c>
      <c r="BS316" t="s" s="0">
        <v>7129</v>
      </c>
      <c r="BT316" t="s" s="630">
        <f>HYPERLINK("https://www.webofscience.com/wos/woscc/full-record/WOS:001705855200001","View Record in Web of Science")</f>
        <v>120</v>
      </c>
      <c r="BU316" t="s" s="0">
        <v>1972</v>
      </c>
      <c r="BV316" t="s" s="0">
        <v>82</v>
      </c>
      <c r="BW316" t="s" s="0">
        <v>82</v>
      </c>
      <c r="BX316" t="s" s="0">
        <v>121</v>
      </c>
    </row>
    <row r="317">
      <c r="A317" t="s" s="0">
        <v>77</v>
      </c>
      <c r="B317" t="s" s="0">
        <v>77</v>
      </c>
      <c r="C317" t="s" s="0">
        <v>77</v>
      </c>
      <c r="D317" t="s" s="0">
        <v>77</v>
      </c>
      <c r="E317" t="s" s="0">
        <v>7130</v>
      </c>
      <c r="F317" t="s" s="0">
        <v>7131</v>
      </c>
      <c r="G317" t="s" s="0">
        <v>7132</v>
      </c>
      <c r="H317" t="s" s="0">
        <v>82</v>
      </c>
      <c r="I317" t="s" s="0">
        <v>83</v>
      </c>
      <c r="J317" t="s" s="0">
        <v>7133</v>
      </c>
      <c r="K317" t="s" s="0">
        <v>7134</v>
      </c>
      <c r="L317" t="s" s="0">
        <v>7135</v>
      </c>
      <c r="M317" t="s" s="0">
        <v>7136</v>
      </c>
      <c r="N317" t="s" s="0">
        <v>7137</v>
      </c>
      <c r="O317" t="s" s="0">
        <v>7138</v>
      </c>
      <c r="P317" t="s" s="0">
        <v>82</v>
      </c>
      <c r="Q317" t="s" s="0">
        <v>88</v>
      </c>
      <c r="R317" t="s" s="0">
        <v>82</v>
      </c>
      <c r="S317" t="s" s="0">
        <v>82</v>
      </c>
      <c r="T317" t="s" s="0">
        <v>82</v>
      </c>
      <c r="U317" t="s" s="0">
        <v>82</v>
      </c>
      <c r="V317" t="s" s="0">
        <v>7139</v>
      </c>
      <c r="W317" t="s" s="0">
        <v>3322</v>
      </c>
      <c r="X317" t="s" s="0">
        <v>82</v>
      </c>
      <c r="Y317" t="s" s="0">
        <v>82</v>
      </c>
      <c r="Z317" t="s" s="0">
        <v>91</v>
      </c>
      <c r="AA317" t="s" s="0">
        <v>92</v>
      </c>
      <c r="AB317" t="s" s="0">
        <v>82</v>
      </c>
      <c r="AC317" t="s" s="0">
        <v>82</v>
      </c>
      <c r="AD317" t="s" s="0">
        <v>82</v>
      </c>
      <c r="AE317" t="s" s="0">
        <v>82</v>
      </c>
      <c r="AF317" t="s" s="0">
        <v>82</v>
      </c>
      <c r="AG317" t="s" s="0">
        <v>7140</v>
      </c>
      <c r="AH317" t="s" s="0">
        <v>7141</v>
      </c>
      <c r="AI317" t="s" s="0">
        <v>82</v>
      </c>
      <c r="AJ317" t="s" s="0">
        <v>7142</v>
      </c>
      <c r="AK317" t="s" s="0">
        <v>82</v>
      </c>
      <c r="AL317" t="s" s="0">
        <v>417</v>
      </c>
      <c r="AM317" t="s" s="0">
        <v>77</v>
      </c>
      <c r="AN317" t="s" s="0">
        <v>77</v>
      </c>
      <c r="AO317" t="s" s="0">
        <v>77</v>
      </c>
      <c r="AP317" t="s" s="0">
        <v>77</v>
      </c>
      <c r="AQ317" t="s" s="0">
        <v>2460</v>
      </c>
      <c r="AR317" t="s" s="0">
        <v>2461</v>
      </c>
      <c r="AS317" t="s" s="0">
        <v>2462</v>
      </c>
      <c r="AT317" t="s" s="0">
        <v>3324</v>
      </c>
      <c r="AU317" t="s" s="0">
        <v>3325</v>
      </c>
      <c r="AV317" t="s" s="0">
        <v>82</v>
      </c>
      <c r="AW317" t="s" s="0">
        <v>3326</v>
      </c>
      <c r="AX317" t="s" s="0">
        <v>3327</v>
      </c>
      <c r="AY317" t="s" s="0">
        <v>7143</v>
      </c>
      <c r="AZ317" t="s" s="0">
        <v>179</v>
      </c>
      <c r="BA317" t="s" s="0">
        <v>556</v>
      </c>
      <c r="BB317" t="s" s="0">
        <v>82</v>
      </c>
      <c r="BC317" t="s" s="0">
        <v>82</v>
      </c>
      <c r="BD317" t="s" s="0">
        <v>82</v>
      </c>
      <c r="BE317" t="s" s="0">
        <v>82</v>
      </c>
      <c r="BF317" t="s" s="0">
        <v>82</v>
      </c>
      <c r="BG317" t="s" s="0">
        <v>82</v>
      </c>
      <c r="BH317" t="s" s="0">
        <v>82</v>
      </c>
      <c r="BI317" t="s" s="0">
        <v>7144</v>
      </c>
      <c r="BJ317" t="s" s="0">
        <v>7145</v>
      </c>
      <c r="BK317" t="s" s="631">
        <f>HYPERLINK("http://dx.doi.org/10.2196/92919","http://dx.doi.org/10.2196/92919")</f>
        <v>7146</v>
      </c>
      <c r="BL317" t="s" s="0">
        <v>82</v>
      </c>
      <c r="BM317" t="s" s="0">
        <v>82</v>
      </c>
      <c r="BN317" t="s" s="0">
        <v>209</v>
      </c>
      <c r="BO317" t="s" s="0">
        <v>185</v>
      </c>
      <c r="BP317" t="s" s="0">
        <v>185</v>
      </c>
      <c r="BQ317" t="s" s="0">
        <v>7147</v>
      </c>
      <c r="BR317" t="s" s="0">
        <v>7148</v>
      </c>
      <c r="BS317" t="s" s="0">
        <v>7149</v>
      </c>
      <c r="BT317" t="s" s="632">
        <f>HYPERLINK("https://www.webofscience.com/wos/woscc/full-record/WOS:001849575100010","View Record in Web of Science")</f>
        <v>120</v>
      </c>
      <c r="BU317" t="s" s="0">
        <v>189</v>
      </c>
      <c r="BV317" t="s" s="0">
        <v>82</v>
      </c>
      <c r="BW317" t="s" s="0">
        <v>82</v>
      </c>
      <c r="BX317" t="s" s="0">
        <v>121</v>
      </c>
    </row>
    <row r="318">
      <c r="A318" t="s" s="0">
        <v>77</v>
      </c>
      <c r="B318" t="s" s="0">
        <v>77</v>
      </c>
      <c r="C318" t="s" s="0">
        <v>77</v>
      </c>
      <c r="D318" t="s" s="0">
        <v>77</v>
      </c>
      <c r="E318" t="s" s="0">
        <v>7150</v>
      </c>
      <c r="F318" t="s" s="0">
        <v>7151</v>
      </c>
      <c r="G318" t="s" s="0">
        <v>7152</v>
      </c>
      <c r="H318" t="s" s="0">
        <v>82</v>
      </c>
      <c r="I318" t="s" s="0">
        <v>460</v>
      </c>
      <c r="J318" t="s" s="0">
        <v>7153</v>
      </c>
      <c r="K318" t="s" s="0">
        <v>7154</v>
      </c>
      <c r="L318" t="s" s="0">
        <v>82</v>
      </c>
      <c r="M318" t="s" s="0">
        <v>82</v>
      </c>
      <c r="N318" t="s" s="0">
        <v>82</v>
      </c>
      <c r="O318" t="s" s="0">
        <v>7155</v>
      </c>
      <c r="P318" t="s" s="0">
        <v>7156</v>
      </c>
      <c r="Q318" t="s" s="0">
        <v>88</v>
      </c>
      <c r="R318" t="s" s="0">
        <v>82</v>
      </c>
      <c r="S318" t="s" s="0">
        <v>82</v>
      </c>
      <c r="T318" t="s" s="0">
        <v>82</v>
      </c>
      <c r="U318" t="s" s="0">
        <v>82</v>
      </c>
      <c r="V318" t="s" s="0">
        <v>7157</v>
      </c>
      <c r="W318" t="s" s="0">
        <v>7158</v>
      </c>
      <c r="X318" t="s" s="0">
        <v>82</v>
      </c>
      <c r="Y318" t="s" s="0">
        <v>82</v>
      </c>
      <c r="Z318" t="s" s="0">
        <v>91</v>
      </c>
      <c r="AA318" t="s" s="0">
        <v>92</v>
      </c>
      <c r="AB318" t="s" s="0">
        <v>82</v>
      </c>
      <c r="AC318" t="s" s="0">
        <v>82</v>
      </c>
      <c r="AD318" t="s" s="0">
        <v>82</v>
      </c>
      <c r="AE318" t="s" s="0">
        <v>82</v>
      </c>
      <c r="AF318" t="s" s="0">
        <v>82</v>
      </c>
      <c r="AG318" t="s" s="0">
        <v>7159</v>
      </c>
      <c r="AH318" t="s" s="0">
        <v>82</v>
      </c>
      <c r="AI318" t="s" s="0">
        <v>7160</v>
      </c>
      <c r="AJ318" t="s" s="0">
        <v>82</v>
      </c>
      <c r="AK318" t="s" s="0">
        <v>82</v>
      </c>
      <c r="AL318" t="s" s="0">
        <v>109</v>
      </c>
      <c r="AM318" t="s" s="0">
        <v>78</v>
      </c>
      <c r="AN318" t="s" s="0">
        <v>78</v>
      </c>
      <c r="AO318" t="s" s="0">
        <v>99</v>
      </c>
      <c r="AP318" t="s" s="0">
        <v>99</v>
      </c>
      <c r="AQ318" t="s" s="0">
        <v>7161</v>
      </c>
      <c r="AR318" t="s" s="0">
        <v>7162</v>
      </c>
      <c r="AS318" t="s" s="0">
        <v>7163</v>
      </c>
      <c r="AT318" t="s" s="0">
        <v>7164</v>
      </c>
      <c r="AU318" t="s" s="0">
        <v>7165</v>
      </c>
      <c r="AV318" t="s" s="0">
        <v>82</v>
      </c>
      <c r="AW318" t="s" s="0">
        <v>7166</v>
      </c>
      <c r="AX318" t="s" s="0">
        <v>7167</v>
      </c>
      <c r="AY318" t="s" s="0">
        <v>108</v>
      </c>
      <c r="AZ318" t="s" s="0">
        <v>108</v>
      </c>
      <c r="BA318" t="s" s="0">
        <v>363</v>
      </c>
      <c r="BB318" t="s" s="0">
        <v>235</v>
      </c>
      <c r="BC318" t="s" s="0">
        <v>82</v>
      </c>
      <c r="BD318" t="s" s="0">
        <v>82</v>
      </c>
      <c r="BE318" t="s" s="0">
        <v>82</v>
      </c>
      <c r="BF318" t="s" s="0">
        <v>82</v>
      </c>
      <c r="BG318" t="s" s="0">
        <v>4273</v>
      </c>
      <c r="BH318" t="s" s="0">
        <v>7168</v>
      </c>
      <c r="BI318" t="s" s="0">
        <v>82</v>
      </c>
      <c r="BJ318" t="s" s="0">
        <v>7169</v>
      </c>
      <c r="BK318" t="s" s="633">
        <f>HYPERLINK("http://dx.doi.org/10.14744/bej.2025.06332","http://dx.doi.org/10.14744/bej.2025.06332")</f>
        <v>7170</v>
      </c>
      <c r="BL318" t="s" s="0">
        <v>82</v>
      </c>
      <c r="BM318" t="s" s="0">
        <v>82</v>
      </c>
      <c r="BN318" t="s" s="0">
        <v>97</v>
      </c>
      <c r="BO318" t="s" s="0">
        <v>396</v>
      </c>
      <c r="BP318" t="s" s="0">
        <v>396</v>
      </c>
      <c r="BQ318" t="s" s="0">
        <v>7171</v>
      </c>
      <c r="BR318" t="s" s="0">
        <v>7172</v>
      </c>
      <c r="BS318" t="s" s="0">
        <v>7173</v>
      </c>
      <c r="BT318" t="s" s="634">
        <f>HYPERLINK("https://www.webofscience.com/wos/woscc/full-record/WOS:001696239900007","View Record in Web of Science")</f>
        <v>120</v>
      </c>
      <c r="BU318" t="s" s="0">
        <v>189</v>
      </c>
      <c r="BV318" t="s" s="0">
        <v>82</v>
      </c>
      <c r="BW318" t="s" s="0">
        <v>82</v>
      </c>
      <c r="BX318" t="s" s="0">
        <v>121</v>
      </c>
    </row>
    <row r="319">
      <c r="A319" t="s" s="0">
        <v>77</v>
      </c>
      <c r="B319" t="s" s="0">
        <v>77</v>
      </c>
      <c r="C319" t="s" s="0">
        <v>77</v>
      </c>
      <c r="D319" t="s" s="0">
        <v>77</v>
      </c>
      <c r="E319" t="s" s="0">
        <v>7174</v>
      </c>
      <c r="F319" t="s" s="0">
        <v>7175</v>
      </c>
      <c r="G319" t="s" s="0">
        <v>7176</v>
      </c>
      <c r="H319" t="s" s="0">
        <v>82</v>
      </c>
      <c r="I319" t="s" s="0">
        <v>83</v>
      </c>
      <c r="J319" t="s" s="0">
        <v>7177</v>
      </c>
      <c r="K319" t="s" s="0">
        <v>7178</v>
      </c>
      <c r="L319" t="s" s="0">
        <v>82</v>
      </c>
      <c r="M319" t="s" s="0">
        <v>82</v>
      </c>
      <c r="N319" t="s" s="0">
        <v>82</v>
      </c>
      <c r="O319" t="s" s="0">
        <v>7179</v>
      </c>
      <c r="P319" t="s" s="0">
        <v>7180</v>
      </c>
      <c r="Q319" t="s" s="0">
        <v>88</v>
      </c>
      <c r="R319" t="s" s="0">
        <v>82</v>
      </c>
      <c r="S319" t="s" s="0">
        <v>82</v>
      </c>
      <c r="T319" t="s" s="0">
        <v>82</v>
      </c>
      <c r="U319" t="s" s="0">
        <v>82</v>
      </c>
      <c r="V319" t="s" s="0">
        <v>7181</v>
      </c>
      <c r="W319" t="s" s="0">
        <v>7182</v>
      </c>
      <c r="X319" t="s" s="0">
        <v>82</v>
      </c>
      <c r="Y319" t="s" s="0">
        <v>82</v>
      </c>
      <c r="Z319" t="s" s="0">
        <v>91</v>
      </c>
      <c r="AA319" t="s" s="0">
        <v>92</v>
      </c>
      <c r="AB319" t="s" s="0">
        <v>82</v>
      </c>
      <c r="AC319" t="s" s="0">
        <v>82</v>
      </c>
      <c r="AD319" t="s" s="0">
        <v>82</v>
      </c>
      <c r="AE319" t="s" s="0">
        <v>82</v>
      </c>
      <c r="AF319" t="s" s="0">
        <v>82</v>
      </c>
      <c r="AG319" t="s" s="0">
        <v>7183</v>
      </c>
      <c r="AH319" t="s" s="0">
        <v>82</v>
      </c>
      <c r="AI319" t="s" s="0">
        <v>7184</v>
      </c>
      <c r="AJ319" t="s" s="0">
        <v>7185</v>
      </c>
      <c r="AK319" t="s" s="0">
        <v>82</v>
      </c>
      <c r="AL319" t="s" s="0">
        <v>763</v>
      </c>
      <c r="AM319" t="s" s="0">
        <v>115</v>
      </c>
      <c r="AN319" t="s" s="0">
        <v>115</v>
      </c>
      <c r="AO319" t="s" s="0">
        <v>204</v>
      </c>
      <c r="AP319" t="s" s="0">
        <v>235</v>
      </c>
      <c r="AQ319" t="s" s="0">
        <v>7186</v>
      </c>
      <c r="AR319" t="s" s="0">
        <v>3695</v>
      </c>
      <c r="AS319" t="s" s="0">
        <v>7187</v>
      </c>
      <c r="AT319" t="s" s="0">
        <v>7188</v>
      </c>
      <c r="AU319" t="s" s="0">
        <v>7189</v>
      </c>
      <c r="AV319" t="s" s="0">
        <v>82</v>
      </c>
      <c r="AW319" t="s" s="0">
        <v>7182</v>
      </c>
      <c r="AX319" t="s" s="0">
        <v>7190</v>
      </c>
      <c r="AY319" t="s" s="0">
        <v>2725</v>
      </c>
      <c r="AZ319" t="s" s="0">
        <v>108</v>
      </c>
      <c r="BA319" t="s" s="0">
        <v>449</v>
      </c>
      <c r="BB319" t="s" s="0">
        <v>99</v>
      </c>
      <c r="BC319" t="s" s="0">
        <v>82</v>
      </c>
      <c r="BD319" t="s" s="0">
        <v>82</v>
      </c>
      <c r="BE319" t="s" s="0">
        <v>82</v>
      </c>
      <c r="BF319" t="s" s="0">
        <v>82</v>
      </c>
      <c r="BG319" t="s" s="0">
        <v>1967</v>
      </c>
      <c r="BH319" t="s" s="0">
        <v>7191</v>
      </c>
      <c r="BI319" t="s" s="0">
        <v>82</v>
      </c>
      <c r="BJ319" t="s" s="0">
        <v>7192</v>
      </c>
      <c r="BK319" t="s" s="635">
        <f>HYPERLINK("http://dx.doi.org/10.14366/usg.25012","http://dx.doi.org/10.14366/usg.25012")</f>
        <v>7193</v>
      </c>
      <c r="BL319" t="s" s="0">
        <v>82</v>
      </c>
      <c r="BM319" t="s" s="0">
        <v>539</v>
      </c>
      <c r="BN319" t="s" s="0">
        <v>148</v>
      </c>
      <c r="BO319" t="s" s="0">
        <v>717</v>
      </c>
      <c r="BP319" t="s" s="0">
        <v>717</v>
      </c>
      <c r="BQ319" t="s" s="0">
        <v>7194</v>
      </c>
      <c r="BR319" t="s" s="0">
        <v>7195</v>
      </c>
      <c r="BS319" t="s" s="0">
        <v>7196</v>
      </c>
      <c r="BT319" t="s" s="636">
        <f>HYPERLINK("https://www.webofscience.com/wos/woscc/full-record/WOS:001476719600001","View Record in Web of Science")</f>
        <v>120</v>
      </c>
      <c r="BU319" t="s" s="0">
        <v>189</v>
      </c>
      <c r="BV319" t="s" s="0">
        <v>82</v>
      </c>
      <c r="BW319" t="s" s="0">
        <v>82</v>
      </c>
      <c r="BX319" t="s" s="0">
        <v>121</v>
      </c>
    </row>
    <row r="320">
      <c r="A320" t="s" s="0">
        <v>77</v>
      </c>
      <c r="B320" t="s" s="0">
        <v>77</v>
      </c>
      <c r="C320" t="s" s="0">
        <v>204</v>
      </c>
      <c r="D320" t="s" s="0">
        <v>77</v>
      </c>
      <c r="E320" t="s" s="0">
        <v>7197</v>
      </c>
      <c r="F320" t="s" s="0">
        <v>7198</v>
      </c>
      <c r="G320" t="s" s="0">
        <v>7199</v>
      </c>
      <c r="H320" t="s" s="0">
        <v>82</v>
      </c>
      <c r="I320" t="s" s="0">
        <v>460</v>
      </c>
      <c r="J320" t="s" s="0">
        <v>7200</v>
      </c>
      <c r="K320" t="s" s="0">
        <v>7201</v>
      </c>
      <c r="L320" t="s" s="0">
        <v>82</v>
      </c>
      <c r="M320" t="s" s="0">
        <v>82</v>
      </c>
      <c r="N320" t="s" s="0">
        <v>82</v>
      </c>
      <c r="O320" t="s" s="0">
        <v>7202</v>
      </c>
      <c r="P320" t="s" s="0">
        <v>7203</v>
      </c>
      <c r="Q320" t="s" s="0">
        <v>88</v>
      </c>
      <c r="R320" t="s" s="0">
        <v>82</v>
      </c>
      <c r="S320" t="s" s="0">
        <v>82</v>
      </c>
      <c r="T320" t="s" s="0">
        <v>82</v>
      </c>
      <c r="U320" t="s" s="0">
        <v>82</v>
      </c>
      <c r="V320" t="s" s="0">
        <v>7204</v>
      </c>
      <c r="W320" t="s" s="0">
        <v>7205</v>
      </c>
      <c r="X320" t="s" s="0">
        <v>82</v>
      </c>
      <c r="Y320" t="s" s="0">
        <v>82</v>
      </c>
      <c r="Z320" t="s" s="0">
        <v>91</v>
      </c>
      <c r="AA320" t="s" s="0">
        <v>92</v>
      </c>
      <c r="AB320" t="s" s="0">
        <v>82</v>
      </c>
      <c r="AC320" t="s" s="0">
        <v>82</v>
      </c>
      <c r="AD320" t="s" s="0">
        <v>82</v>
      </c>
      <c r="AE320" t="s" s="0">
        <v>82</v>
      </c>
      <c r="AF320" t="s" s="0">
        <v>82</v>
      </c>
      <c r="AG320" t="s" s="0">
        <v>7206</v>
      </c>
      <c r="AH320" t="s" s="0">
        <v>552</v>
      </c>
      <c r="AI320" t="s" s="0">
        <v>7207</v>
      </c>
      <c r="AJ320" t="s" s="0">
        <v>7208</v>
      </c>
      <c r="AK320" t="s" s="0">
        <v>82</v>
      </c>
      <c r="AL320" t="s" s="0">
        <v>363</v>
      </c>
      <c r="AM320" t="s" s="0">
        <v>472</v>
      </c>
      <c r="AN320" t="s" s="0">
        <v>1505</v>
      </c>
      <c r="AO320" t="s" s="0">
        <v>139</v>
      </c>
      <c r="AP320" t="s" s="0">
        <v>7209</v>
      </c>
      <c r="AQ320" t="s" s="0">
        <v>2460</v>
      </c>
      <c r="AR320" t="s" s="0">
        <v>2461</v>
      </c>
      <c r="AS320" t="s" s="0">
        <v>2462</v>
      </c>
      <c r="AT320" t="s" s="0">
        <v>82</v>
      </c>
      <c r="AU320" t="s" s="0">
        <v>7210</v>
      </c>
      <c r="AV320" t="s" s="0">
        <v>82</v>
      </c>
      <c r="AW320" t="s" s="0">
        <v>7211</v>
      </c>
      <c r="AX320" t="s" s="0">
        <v>7212</v>
      </c>
      <c r="AY320" t="s" s="0">
        <v>146</v>
      </c>
      <c r="AZ320" t="s" s="0">
        <v>146</v>
      </c>
      <c r="BA320" t="s" s="0">
        <v>98</v>
      </c>
      <c r="BB320" t="s" s="0">
        <v>82</v>
      </c>
      <c r="BC320" t="s" s="0">
        <v>82</v>
      </c>
      <c r="BD320" t="s" s="0">
        <v>82</v>
      </c>
      <c r="BE320" t="s" s="0">
        <v>82</v>
      </c>
      <c r="BF320" t="s" s="0">
        <v>82</v>
      </c>
      <c r="BG320" t="s" s="0">
        <v>7213</v>
      </c>
      <c r="BH320" t="s" s="0">
        <v>7214</v>
      </c>
      <c r="BI320" t="s" s="0">
        <v>82</v>
      </c>
      <c r="BJ320" t="s" s="0">
        <v>7215</v>
      </c>
      <c r="BK320" t="s" s="637">
        <f>HYPERLINK("http://dx.doi.org/10.2196/55508","http://dx.doi.org/10.2196/55508")</f>
        <v>7216</v>
      </c>
      <c r="BL320" t="s" s="0">
        <v>82</v>
      </c>
      <c r="BM320" t="s" s="0">
        <v>82</v>
      </c>
      <c r="BN320" t="s" s="0">
        <v>110</v>
      </c>
      <c r="BO320" t="s" s="0">
        <v>7217</v>
      </c>
      <c r="BP320" t="s" s="0">
        <v>7217</v>
      </c>
      <c r="BQ320" t="s" s="0">
        <v>7218</v>
      </c>
      <c r="BR320" t="s" s="0">
        <v>7219</v>
      </c>
      <c r="BS320" t="s" s="0">
        <v>7220</v>
      </c>
      <c r="BT320" t="s" s="638">
        <f>HYPERLINK("https://www.webofscience.com/wos/woscc/full-record/WOS:001597999300058","View Record in Web of Science")</f>
        <v>120</v>
      </c>
      <c r="BU320" t="s" s="0">
        <v>189</v>
      </c>
      <c r="BV320" t="s" s="0">
        <v>82</v>
      </c>
      <c r="BW320" t="s" s="0">
        <v>82</v>
      </c>
      <c r="BX320" t="s" s="0">
        <v>121</v>
      </c>
    </row>
    <row r="321">
      <c r="A321" t="s" s="0">
        <v>77</v>
      </c>
      <c r="B321" t="s" s="0">
        <v>77</v>
      </c>
      <c r="C321" t="s" s="0">
        <v>77</v>
      </c>
      <c r="D321" t="s" s="0">
        <v>77</v>
      </c>
      <c r="E321" t="s" s="0">
        <v>7221</v>
      </c>
      <c r="F321" t="s" s="0">
        <v>7222</v>
      </c>
      <c r="G321" t="s" s="0">
        <v>7223</v>
      </c>
      <c r="H321" t="s" s="0">
        <v>82</v>
      </c>
      <c r="I321" t="s" s="0">
        <v>83</v>
      </c>
      <c r="J321" t="s" s="0">
        <v>7224</v>
      </c>
      <c r="K321" t="s" s="0">
        <v>7225</v>
      </c>
      <c r="L321" t="s" s="0">
        <v>7226</v>
      </c>
      <c r="M321" t="s" s="0">
        <v>7226</v>
      </c>
      <c r="N321" t="s" s="0">
        <v>4522</v>
      </c>
      <c r="O321" t="s" s="0">
        <v>7227</v>
      </c>
      <c r="P321" t="s" s="0">
        <v>7228</v>
      </c>
      <c r="Q321" t="s" s="0">
        <v>88</v>
      </c>
      <c r="R321" t="s" s="0">
        <v>82</v>
      </c>
      <c r="S321" t="s" s="0">
        <v>82</v>
      </c>
      <c r="T321" t="s" s="0">
        <v>82</v>
      </c>
      <c r="U321" t="s" s="0">
        <v>82</v>
      </c>
      <c r="V321" t="s" s="0">
        <v>7229</v>
      </c>
      <c r="W321" t="s" s="0">
        <v>5662</v>
      </c>
      <c r="X321" t="s" s="0">
        <v>82</v>
      </c>
      <c r="Y321" t="s" s="0">
        <v>82</v>
      </c>
      <c r="Z321" t="s" s="0">
        <v>91</v>
      </c>
      <c r="AA321" t="s" s="0">
        <v>92</v>
      </c>
      <c r="AB321" t="s" s="0">
        <v>82</v>
      </c>
      <c r="AC321" t="s" s="0">
        <v>82</v>
      </c>
      <c r="AD321" t="s" s="0">
        <v>82</v>
      </c>
      <c r="AE321" t="s" s="0">
        <v>82</v>
      </c>
      <c r="AF321" t="s" s="0">
        <v>82</v>
      </c>
      <c r="AG321" t="s" s="0">
        <v>7230</v>
      </c>
      <c r="AH321" t="s" s="0">
        <v>82</v>
      </c>
      <c r="AI321" t="s" s="0">
        <v>7231</v>
      </c>
      <c r="AJ321" t="s" s="0">
        <v>82</v>
      </c>
      <c r="AK321" t="s" s="0">
        <v>82</v>
      </c>
      <c r="AL321" t="s" s="0">
        <v>139</v>
      </c>
      <c r="AM321" t="s" s="0">
        <v>77</v>
      </c>
      <c r="AN321" t="s" s="0">
        <v>77</v>
      </c>
      <c r="AO321" t="s" s="0">
        <v>77</v>
      </c>
      <c r="AP321" t="s" s="0">
        <v>77</v>
      </c>
      <c r="AQ321" t="s" s="0">
        <v>1912</v>
      </c>
      <c r="AR321" t="s" s="0">
        <v>475</v>
      </c>
      <c r="AS321" t="s" s="0">
        <v>1913</v>
      </c>
      <c r="AT321" t="s" s="0">
        <v>5665</v>
      </c>
      <c r="AU321" t="s" s="0">
        <v>82</v>
      </c>
      <c r="AV321" t="s" s="0">
        <v>82</v>
      </c>
      <c r="AW321" t="s" s="0">
        <v>5662</v>
      </c>
      <c r="AX321" t="s" s="0">
        <v>5666</v>
      </c>
      <c r="AY321" t="s" s="0">
        <v>7232</v>
      </c>
      <c r="AZ321" t="s" s="0">
        <v>179</v>
      </c>
      <c r="BA321" t="s" s="0">
        <v>331</v>
      </c>
      <c r="BB321" t="s" s="0">
        <v>78</v>
      </c>
      <c r="BC321" t="s" s="0">
        <v>82</v>
      </c>
      <c r="BD321" t="s" s="0">
        <v>82</v>
      </c>
      <c r="BE321" t="s" s="0">
        <v>82</v>
      </c>
      <c r="BF321" t="s" s="0">
        <v>82</v>
      </c>
      <c r="BG321" t="s" s="0">
        <v>82</v>
      </c>
      <c r="BH321" t="s" s="0">
        <v>82</v>
      </c>
      <c r="BI321" t="s" s="0">
        <v>7233</v>
      </c>
      <c r="BJ321" t="s" s="0">
        <v>7234</v>
      </c>
      <c r="BK321" t="s" s="639">
        <f>HYPERLINK("http://dx.doi.org/10.1186/s12903-026-08644-5","http://dx.doi.org/10.1186/s12903-026-08644-5")</f>
        <v>7235</v>
      </c>
      <c r="BL321" t="s" s="0">
        <v>82</v>
      </c>
      <c r="BM321" t="s" s="0">
        <v>3404</v>
      </c>
      <c r="BN321" t="s" s="0">
        <v>976</v>
      </c>
      <c r="BO321" t="s" s="0">
        <v>920</v>
      </c>
      <c r="BP321" t="s" s="0">
        <v>920</v>
      </c>
      <c r="BQ321" t="s" s="0">
        <v>7236</v>
      </c>
      <c r="BR321" t="s" s="0">
        <v>7237</v>
      </c>
      <c r="BS321" t="s" s="0">
        <v>7238</v>
      </c>
      <c r="BT321" t="s" s="640">
        <f>HYPERLINK("https://www.webofscience.com/wos/woscc/full-record/WOS:001792605000001","View Record in Web of Science")</f>
        <v>120</v>
      </c>
      <c r="BU321" t="s" s="0">
        <v>189</v>
      </c>
      <c r="BV321" t="s" s="0">
        <v>82</v>
      </c>
      <c r="BW321" t="s" s="0">
        <v>82</v>
      </c>
      <c r="BX321" t="s" s="0">
        <v>121</v>
      </c>
    </row>
    <row r="322">
      <c r="A322" t="s" s="0">
        <v>77</v>
      </c>
      <c r="B322" t="s" s="0">
        <v>77</v>
      </c>
      <c r="C322" t="s" s="0">
        <v>77</v>
      </c>
      <c r="D322" t="s" s="0">
        <v>77</v>
      </c>
      <c r="E322" t="s" s="0">
        <v>7239</v>
      </c>
      <c r="F322" t="s" s="0">
        <v>7240</v>
      </c>
      <c r="G322" t="s" s="0">
        <v>7241</v>
      </c>
      <c r="H322" t="s" s="0">
        <v>82</v>
      </c>
      <c r="I322" t="s" s="0">
        <v>83</v>
      </c>
      <c r="J322" t="s" s="0">
        <v>7242</v>
      </c>
      <c r="K322" t="s" s="0">
        <v>7243</v>
      </c>
      <c r="L322" t="s" s="0">
        <v>7244</v>
      </c>
      <c r="M322" t="s" s="0">
        <v>7245</v>
      </c>
      <c r="N322" t="s" s="0">
        <v>7246</v>
      </c>
      <c r="O322" t="s" s="0">
        <v>7247</v>
      </c>
      <c r="P322" t="s" s="0">
        <v>7248</v>
      </c>
      <c r="Q322" t="s" s="0">
        <v>88</v>
      </c>
      <c r="R322" t="s" s="0">
        <v>82</v>
      </c>
      <c r="S322" t="s" s="0">
        <v>82</v>
      </c>
      <c r="T322" t="s" s="0">
        <v>82</v>
      </c>
      <c r="U322" t="s" s="0">
        <v>82</v>
      </c>
      <c r="V322" t="s" s="0">
        <v>7249</v>
      </c>
      <c r="W322" t="s" s="0">
        <v>7250</v>
      </c>
      <c r="X322" t="s" s="0">
        <v>82</v>
      </c>
      <c r="Y322" t="s" s="0">
        <v>82</v>
      </c>
      <c r="Z322" t="s" s="0">
        <v>91</v>
      </c>
      <c r="AA322" t="s" s="0">
        <v>92</v>
      </c>
      <c r="AB322" t="s" s="0">
        <v>82</v>
      </c>
      <c r="AC322" t="s" s="0">
        <v>82</v>
      </c>
      <c r="AD322" t="s" s="0">
        <v>82</v>
      </c>
      <c r="AE322" t="s" s="0">
        <v>82</v>
      </c>
      <c r="AF322" t="s" s="0">
        <v>82</v>
      </c>
      <c r="AG322" t="s" s="0">
        <v>7251</v>
      </c>
      <c r="AH322" t="s" s="0">
        <v>82</v>
      </c>
      <c r="AI322" t="s" s="0">
        <v>82</v>
      </c>
      <c r="AJ322" t="s" s="0">
        <v>82</v>
      </c>
      <c r="AK322" t="s" s="0">
        <v>82</v>
      </c>
      <c r="AL322" t="s" s="0">
        <v>473</v>
      </c>
      <c r="AM322" t="s" s="0">
        <v>77</v>
      </c>
      <c r="AN322" t="s" s="0">
        <v>77</v>
      </c>
      <c r="AO322" t="s" s="0">
        <v>78</v>
      </c>
      <c r="AP322" t="s" s="0">
        <v>78</v>
      </c>
      <c r="AQ322" t="s" s="0">
        <v>7252</v>
      </c>
      <c r="AR322" t="s" s="0">
        <v>7253</v>
      </c>
      <c r="AS322" t="s" s="0">
        <v>7254</v>
      </c>
      <c r="AT322" t="s" s="0">
        <v>7255</v>
      </c>
      <c r="AU322" t="s" s="0">
        <v>82</v>
      </c>
      <c r="AV322" t="s" s="0">
        <v>82</v>
      </c>
      <c r="AW322" t="s" s="0">
        <v>7256</v>
      </c>
      <c r="AX322" t="s" s="0">
        <v>7257</v>
      </c>
      <c r="AY322" t="s" s="0">
        <v>178</v>
      </c>
      <c r="AZ322" t="s" s="0">
        <v>179</v>
      </c>
      <c r="BA322" t="s" s="0">
        <v>963</v>
      </c>
      <c r="BB322" t="s" s="0">
        <v>235</v>
      </c>
      <c r="BC322" t="s" s="0">
        <v>82</v>
      </c>
      <c r="BD322" t="s" s="0">
        <v>82</v>
      </c>
      <c r="BE322" t="s" s="0">
        <v>82</v>
      </c>
      <c r="BF322" t="s" s="0">
        <v>82</v>
      </c>
      <c r="BG322" t="s" s="0">
        <v>7258</v>
      </c>
      <c r="BH322" t="s" s="0">
        <v>7259</v>
      </c>
      <c r="BI322" t="s" s="0">
        <v>82</v>
      </c>
      <c r="BJ322" t="s" s="0">
        <v>7260</v>
      </c>
      <c r="BK322" t="s" s="641">
        <f>HYPERLINK("http://dx.doi.org/10.3837/tiis.2026.04.018","http://dx.doi.org/10.3837/tiis.2026.04.018")</f>
        <v>7261</v>
      </c>
      <c r="BL322" t="s" s="0">
        <v>82</v>
      </c>
      <c r="BM322" t="s" s="0">
        <v>82</v>
      </c>
      <c r="BN322" t="s" s="0">
        <v>976</v>
      </c>
      <c r="BO322" t="s" s="0">
        <v>7262</v>
      </c>
      <c r="BP322" t="s" s="0">
        <v>2557</v>
      </c>
      <c r="BQ322" t="s" s="0">
        <v>7263</v>
      </c>
      <c r="BR322" t="s" s="0">
        <v>82</v>
      </c>
      <c r="BS322" t="s" s="0">
        <v>7264</v>
      </c>
      <c r="BT322" t="s" s="642">
        <f>HYPERLINK("https://www.webofscience.com/wos/woscc/full-record/WOS:001759081600018","View Record in Web of Science")</f>
        <v>120</v>
      </c>
      <c r="BU322" t="s" s="0">
        <v>335</v>
      </c>
      <c r="BV322" t="s" s="0">
        <v>82</v>
      </c>
      <c r="BW322" t="s" s="0">
        <v>82</v>
      </c>
      <c r="BX322" t="s" s="0">
        <v>121</v>
      </c>
    </row>
    <row r="323">
      <c r="A323" t="s" s="0">
        <v>77</v>
      </c>
      <c r="B323" t="s" s="0">
        <v>77</v>
      </c>
      <c r="C323" t="s" s="0">
        <v>78</v>
      </c>
      <c r="D323" t="s" s="0">
        <v>77</v>
      </c>
      <c r="E323" t="s" s="0">
        <v>7265</v>
      </c>
      <c r="F323" t="s" s="0">
        <v>7266</v>
      </c>
      <c r="G323" t="s" s="0">
        <v>7267</v>
      </c>
      <c r="H323" t="s" s="0">
        <v>82</v>
      </c>
      <c r="I323" t="s" s="0">
        <v>460</v>
      </c>
      <c r="J323" t="s" s="0">
        <v>7268</v>
      </c>
      <c r="K323" t="s" s="0">
        <v>7269</v>
      </c>
      <c r="L323" t="s" s="0">
        <v>7270</v>
      </c>
      <c r="M323" t="s" s="0">
        <v>7271</v>
      </c>
      <c r="N323" t="s" s="0">
        <v>7272</v>
      </c>
      <c r="O323" t="s" s="0">
        <v>7273</v>
      </c>
      <c r="P323" t="s" s="0">
        <v>7274</v>
      </c>
      <c r="Q323" t="s" s="0">
        <v>88</v>
      </c>
      <c r="R323" t="s" s="0">
        <v>82</v>
      </c>
      <c r="S323" t="s" s="0">
        <v>82</v>
      </c>
      <c r="T323" t="s" s="0">
        <v>82</v>
      </c>
      <c r="U323" t="s" s="0">
        <v>82</v>
      </c>
      <c r="V323" t="s" s="0">
        <v>7275</v>
      </c>
      <c r="W323" t="s" s="0">
        <v>7276</v>
      </c>
      <c r="X323" t="s" s="0">
        <v>82</v>
      </c>
      <c r="Y323" t="s" s="0">
        <v>82</v>
      </c>
      <c r="Z323" t="s" s="0">
        <v>91</v>
      </c>
      <c r="AA323" t="s" s="0">
        <v>92</v>
      </c>
      <c r="AB323" t="s" s="0">
        <v>82</v>
      </c>
      <c r="AC323" t="s" s="0">
        <v>82</v>
      </c>
      <c r="AD323" t="s" s="0">
        <v>82</v>
      </c>
      <c r="AE323" t="s" s="0">
        <v>82</v>
      </c>
      <c r="AF323" t="s" s="0">
        <v>82</v>
      </c>
      <c r="AG323" t="s" s="0">
        <v>7277</v>
      </c>
      <c r="AH323" t="s" s="0">
        <v>6761</v>
      </c>
      <c r="AI323" t="s" s="0">
        <v>7278</v>
      </c>
      <c r="AJ323" t="s" s="0">
        <v>7279</v>
      </c>
      <c r="AK323" t="s" s="0">
        <v>82</v>
      </c>
      <c r="AL323" t="s" s="0">
        <v>96</v>
      </c>
      <c r="AM323" t="s" s="0">
        <v>98</v>
      </c>
      <c r="AN323" t="s" s="0">
        <v>98</v>
      </c>
      <c r="AO323" t="s" s="0">
        <v>98</v>
      </c>
      <c r="AP323" t="s" s="0">
        <v>98</v>
      </c>
      <c r="AQ323" t="s" s="0">
        <v>2460</v>
      </c>
      <c r="AR323" t="s" s="0">
        <v>2461</v>
      </c>
      <c r="AS323" t="s" s="0">
        <v>2462</v>
      </c>
      <c r="AT323" t="s" s="0">
        <v>82</v>
      </c>
      <c r="AU323" t="s" s="0">
        <v>7280</v>
      </c>
      <c r="AV323" t="s" s="0">
        <v>82</v>
      </c>
      <c r="AW323" t="s" s="0">
        <v>7276</v>
      </c>
      <c r="AX323" t="s" s="0">
        <v>7276</v>
      </c>
      <c r="AY323" t="s" s="0">
        <v>108</v>
      </c>
      <c r="AZ323" t="s" s="0">
        <v>108</v>
      </c>
      <c r="BA323" t="s" s="0">
        <v>235</v>
      </c>
      <c r="BB323" t="s" s="0">
        <v>82</v>
      </c>
      <c r="BC323" t="s" s="0">
        <v>82</v>
      </c>
      <c r="BD323" t="s" s="0">
        <v>82</v>
      </c>
      <c r="BE323" t="s" s="0">
        <v>82</v>
      </c>
      <c r="BF323" t="s" s="0">
        <v>82</v>
      </c>
      <c r="BG323" t="s" s="0">
        <v>82</v>
      </c>
      <c r="BH323" t="s" s="0">
        <v>82</v>
      </c>
      <c r="BI323" t="s" s="0">
        <v>7281</v>
      </c>
      <c r="BJ323" t="s" s="0">
        <v>7282</v>
      </c>
      <c r="BK323" t="s" s="643">
        <f>HYPERLINK("http://dx.doi.org/10.2196/75910","http://dx.doi.org/10.2196/75910")</f>
        <v>7283</v>
      </c>
      <c r="BL323" t="s" s="0">
        <v>82</v>
      </c>
      <c r="BM323" t="s" s="0">
        <v>82</v>
      </c>
      <c r="BN323" t="s" s="0">
        <v>307</v>
      </c>
      <c r="BO323" t="s" s="0">
        <v>185</v>
      </c>
      <c r="BP323" t="s" s="0">
        <v>185</v>
      </c>
      <c r="BQ323" t="s" s="0">
        <v>7284</v>
      </c>
      <c r="BR323" t="s" s="0">
        <v>7285</v>
      </c>
      <c r="BS323" t="s" s="0">
        <v>7286</v>
      </c>
      <c r="BT323" t="s" s="644">
        <f>HYPERLINK("https://www.webofscience.com/wos/woscc/full-record/WOS:001578857100001","View Record in Web of Science")</f>
        <v>120</v>
      </c>
      <c r="BU323" t="s" s="0">
        <v>189</v>
      </c>
      <c r="BV323" t="s" s="0">
        <v>82</v>
      </c>
      <c r="BW323" t="s" s="0">
        <v>82</v>
      </c>
      <c r="BX323" t="s" s="0">
        <v>121</v>
      </c>
    </row>
    <row r="324">
      <c r="A324" t="s" s="0">
        <v>77</v>
      </c>
      <c r="B324" t="s" s="0">
        <v>77</v>
      </c>
      <c r="C324" t="s" s="0">
        <v>99</v>
      </c>
      <c r="D324" t="s" s="0">
        <v>77</v>
      </c>
      <c r="E324" t="s" s="0">
        <v>7287</v>
      </c>
      <c r="F324" t="s" s="0">
        <v>7288</v>
      </c>
      <c r="G324" t="s" s="0">
        <v>7289</v>
      </c>
      <c r="H324" t="s" s="0">
        <v>82</v>
      </c>
      <c r="I324" t="s" s="0">
        <v>83</v>
      </c>
      <c r="J324" t="s" s="0">
        <v>7290</v>
      </c>
      <c r="K324" t="s" s="0">
        <v>7291</v>
      </c>
      <c r="L324" t="s" s="0">
        <v>82</v>
      </c>
      <c r="M324" t="s" s="0">
        <v>82</v>
      </c>
      <c r="N324" t="s" s="0">
        <v>82</v>
      </c>
      <c r="O324" t="s" s="0">
        <v>7292</v>
      </c>
      <c r="P324" t="s" s="0">
        <v>7293</v>
      </c>
      <c r="Q324" t="s" s="0">
        <v>88</v>
      </c>
      <c r="R324" t="s" s="0">
        <v>82</v>
      </c>
      <c r="S324" t="s" s="0">
        <v>82</v>
      </c>
      <c r="T324" t="s" s="0">
        <v>82</v>
      </c>
      <c r="U324" t="s" s="0">
        <v>82</v>
      </c>
      <c r="V324" t="s" s="0">
        <v>7294</v>
      </c>
      <c r="W324" t="s" s="0">
        <v>4032</v>
      </c>
      <c r="X324" t="s" s="0">
        <v>82</v>
      </c>
      <c r="Y324" t="s" s="0">
        <v>82</v>
      </c>
      <c r="Z324" t="s" s="0">
        <v>91</v>
      </c>
      <c r="AA324" t="s" s="0">
        <v>92</v>
      </c>
      <c r="AB324" t="s" s="0">
        <v>82</v>
      </c>
      <c r="AC324" t="s" s="0">
        <v>82</v>
      </c>
      <c r="AD324" t="s" s="0">
        <v>82</v>
      </c>
      <c r="AE324" t="s" s="0">
        <v>82</v>
      </c>
      <c r="AF324" t="s" s="0">
        <v>82</v>
      </c>
      <c r="AG324" t="s" s="0">
        <v>7295</v>
      </c>
      <c r="AH324" t="s" s="0">
        <v>7296</v>
      </c>
      <c r="AI324" t="s" s="0">
        <v>7297</v>
      </c>
      <c r="AJ324" t="s" s="0">
        <v>7298</v>
      </c>
      <c r="AK324" t="s" s="0">
        <v>82</v>
      </c>
      <c r="AL324" t="s" s="0">
        <v>586</v>
      </c>
      <c r="AM324" t="s" s="0">
        <v>363</v>
      </c>
      <c r="AN324" t="s" s="0">
        <v>363</v>
      </c>
      <c r="AO324" t="s" s="0">
        <v>97</v>
      </c>
      <c r="AP324" t="s" s="0">
        <v>363</v>
      </c>
      <c r="AQ324" t="s" s="0">
        <v>296</v>
      </c>
      <c r="AR324" t="s" s="0">
        <v>297</v>
      </c>
      <c r="AS324" t="s" s="0">
        <v>298</v>
      </c>
      <c r="AT324" t="s" s="0">
        <v>4035</v>
      </c>
      <c r="AU324" t="s" s="0">
        <v>4036</v>
      </c>
      <c r="AV324" t="s" s="0">
        <v>82</v>
      </c>
      <c r="AW324" t="s" s="0">
        <v>4037</v>
      </c>
      <c r="AX324" t="s" s="0">
        <v>4038</v>
      </c>
      <c r="AY324" t="s" s="0">
        <v>240</v>
      </c>
      <c r="AZ324" t="s" s="0">
        <v>179</v>
      </c>
      <c r="BA324" t="s" s="0">
        <v>3469</v>
      </c>
      <c r="BB324" t="s" s="0">
        <v>78</v>
      </c>
      <c r="BC324" t="s" s="0">
        <v>82</v>
      </c>
      <c r="BD324" t="s" s="0">
        <v>82</v>
      </c>
      <c r="BE324" t="s" s="0">
        <v>82</v>
      </c>
      <c r="BF324" t="s" s="0">
        <v>82</v>
      </c>
      <c r="BG324" t="s" s="0">
        <v>82</v>
      </c>
      <c r="BH324" t="s" s="0">
        <v>82</v>
      </c>
      <c r="BI324" t="s" s="0">
        <v>7299</v>
      </c>
      <c r="BJ324" t="s" s="0">
        <v>7300</v>
      </c>
      <c r="BK324" t="s" s="645">
        <f>HYPERLINK("http://dx.doi.org/10.1016/j.identj.2025.109357","http://dx.doi.org/10.1016/j.identj.2025.109357")</f>
        <v>7301</v>
      </c>
      <c r="BL324" t="s" s="0">
        <v>82</v>
      </c>
      <c r="BM324" t="s" s="0">
        <v>1688</v>
      </c>
      <c r="BN324" t="s" s="0">
        <v>363</v>
      </c>
      <c r="BO324" t="s" s="0">
        <v>920</v>
      </c>
      <c r="BP324" t="s" s="0">
        <v>920</v>
      </c>
      <c r="BQ324" t="s" s="0">
        <v>7302</v>
      </c>
      <c r="BR324" t="s" s="0">
        <v>7303</v>
      </c>
      <c r="BS324" t="s" s="0">
        <v>7304</v>
      </c>
      <c r="BT324" t="s" s="646">
        <f>HYPERLINK("https://www.webofscience.com/wos/woscc/full-record/WOS:001658687900001","View Record in Web of Science")</f>
        <v>120</v>
      </c>
      <c r="BU324" t="s" s="0">
        <v>189</v>
      </c>
      <c r="BV324" t="s" s="0">
        <v>82</v>
      </c>
      <c r="BW324" t="s" s="0">
        <v>82</v>
      </c>
      <c r="BX324" t="s" s="0">
        <v>121</v>
      </c>
    </row>
    <row r="325">
      <c r="A325" t="s" s="0">
        <v>77</v>
      </c>
      <c r="B325" t="s" s="0">
        <v>77</v>
      </c>
      <c r="C325" t="s" s="0">
        <v>77</v>
      </c>
      <c r="D325" t="s" s="0">
        <v>77</v>
      </c>
      <c r="E325" t="s" s="0">
        <v>7305</v>
      </c>
      <c r="F325" t="s" s="0">
        <v>7306</v>
      </c>
      <c r="G325" t="s" s="0">
        <v>7307</v>
      </c>
      <c r="H325" t="s" s="0">
        <v>82</v>
      </c>
      <c r="I325" t="s" s="0">
        <v>83</v>
      </c>
      <c r="J325" t="s" s="0">
        <v>7308</v>
      </c>
      <c r="K325" t="s" s="0">
        <v>7309</v>
      </c>
      <c r="L325" t="s" s="0">
        <v>7310</v>
      </c>
      <c r="M325" t="s" s="0">
        <v>7311</v>
      </c>
      <c r="N325" t="s" s="0">
        <v>7312</v>
      </c>
      <c r="O325" t="s" s="0">
        <v>7313</v>
      </c>
      <c r="P325" t="s" s="0">
        <v>7314</v>
      </c>
      <c r="Q325" t="s" s="0">
        <v>88</v>
      </c>
      <c r="R325" t="s" s="0">
        <v>82</v>
      </c>
      <c r="S325" t="s" s="0">
        <v>82</v>
      </c>
      <c r="T325" t="s" s="0">
        <v>82</v>
      </c>
      <c r="U325" t="s" s="0">
        <v>82</v>
      </c>
      <c r="V325" t="s" s="0">
        <v>7315</v>
      </c>
      <c r="W325" t="s" s="0">
        <v>2972</v>
      </c>
      <c r="X325" t="s" s="0">
        <v>82</v>
      </c>
      <c r="Y325" t="s" s="0">
        <v>82</v>
      </c>
      <c r="Z325" t="s" s="0">
        <v>91</v>
      </c>
      <c r="AA325" t="s" s="0">
        <v>92</v>
      </c>
      <c r="AB325" t="s" s="0">
        <v>82</v>
      </c>
      <c r="AC325" t="s" s="0">
        <v>82</v>
      </c>
      <c r="AD325" t="s" s="0">
        <v>82</v>
      </c>
      <c r="AE325" t="s" s="0">
        <v>82</v>
      </c>
      <c r="AF325" t="s" s="0">
        <v>82</v>
      </c>
      <c r="AG325" t="s" s="0">
        <v>7316</v>
      </c>
      <c r="AH325" t="s" s="0">
        <v>82</v>
      </c>
      <c r="AI325" t="s" s="0">
        <v>7317</v>
      </c>
      <c r="AJ325" t="s" s="0">
        <v>7318</v>
      </c>
      <c r="AK325" t="s" s="0">
        <v>82</v>
      </c>
      <c r="AL325" t="s" s="0">
        <v>241</v>
      </c>
      <c r="AM325" t="s" s="0">
        <v>78</v>
      </c>
      <c r="AN325" t="s" s="0">
        <v>204</v>
      </c>
      <c r="AO325" t="s" s="0">
        <v>77</v>
      </c>
      <c r="AP325" t="s" s="0">
        <v>77</v>
      </c>
      <c r="AQ325" t="s" s="0">
        <v>383</v>
      </c>
      <c r="AR325" t="s" s="0">
        <v>384</v>
      </c>
      <c r="AS325" t="s" s="0">
        <v>385</v>
      </c>
      <c r="AT325" t="s" s="0">
        <v>7319</v>
      </c>
      <c r="AU325" t="s" s="0">
        <v>7320</v>
      </c>
      <c r="AV325" t="s" s="0">
        <v>82</v>
      </c>
      <c r="AW325" t="s" s="0">
        <v>2972</v>
      </c>
      <c r="AX325" t="s" s="0">
        <v>7321</v>
      </c>
      <c r="AY325" t="s" s="0">
        <v>7322</v>
      </c>
      <c r="AZ325" t="s" s="0">
        <v>179</v>
      </c>
      <c r="BA325" t="s" s="0">
        <v>4462</v>
      </c>
      <c r="BB325" t="s" s="0">
        <v>235</v>
      </c>
      <c r="BC325" t="s" s="0">
        <v>82</v>
      </c>
      <c r="BD325" t="s" s="0">
        <v>82</v>
      </c>
      <c r="BE325" t="s" s="0">
        <v>82</v>
      </c>
      <c r="BF325" t="s" s="0">
        <v>82</v>
      </c>
      <c r="BG325" t="s" s="0">
        <v>82</v>
      </c>
      <c r="BH325" t="s" s="0">
        <v>82</v>
      </c>
      <c r="BI325" t="s" s="0">
        <v>7323</v>
      </c>
      <c r="BJ325" t="s" s="0">
        <v>7324</v>
      </c>
      <c r="BK325" t="s" s="647">
        <f>HYPERLINK("http://dx.doi.org/10.1097/MD.0000000000047071","http://dx.doi.org/10.1097/MD.0000000000047071")</f>
        <v>7325</v>
      </c>
      <c r="BL325" t="s" s="0">
        <v>82</v>
      </c>
      <c r="BM325" t="s" s="0">
        <v>82</v>
      </c>
      <c r="BN325" t="s" s="0">
        <v>363</v>
      </c>
      <c r="BO325" t="s" s="0">
        <v>1803</v>
      </c>
      <c r="BP325" t="s" s="0">
        <v>1804</v>
      </c>
      <c r="BQ325" t="s" s="0">
        <v>7326</v>
      </c>
      <c r="BR325" t="s" s="0">
        <v>7327</v>
      </c>
      <c r="BS325" t="s" s="0">
        <v>7328</v>
      </c>
      <c r="BT325" t="s" s="648">
        <f>HYPERLINK("https://www.webofscience.com/wos/woscc/full-record/WOS:001679956900033","View Record in Web of Science")</f>
        <v>120</v>
      </c>
      <c r="BU325" t="s" s="0">
        <v>189</v>
      </c>
      <c r="BV325" t="s" s="0">
        <v>82</v>
      </c>
      <c r="BW325" t="s" s="0">
        <v>82</v>
      </c>
      <c r="BX325" t="s" s="0">
        <v>121</v>
      </c>
    </row>
    <row r="326">
      <c r="A326" t="s" s="0">
        <v>77</v>
      </c>
      <c r="B326" t="s" s="0">
        <v>77</v>
      </c>
      <c r="C326" t="s" s="0">
        <v>77</v>
      </c>
      <c r="D326" t="s" s="0">
        <v>77</v>
      </c>
      <c r="E326" t="s" s="0">
        <v>7329</v>
      </c>
      <c r="F326" t="s" s="0">
        <v>7330</v>
      </c>
      <c r="G326" t="s" s="0">
        <v>7331</v>
      </c>
      <c r="H326" t="s" s="0">
        <v>82</v>
      </c>
      <c r="I326" t="s" s="0">
        <v>83</v>
      </c>
      <c r="J326" t="s" s="0">
        <v>5038</v>
      </c>
      <c r="K326" t="s" s="0">
        <v>5039</v>
      </c>
      <c r="L326" t="s" s="0">
        <v>7332</v>
      </c>
      <c r="M326" t="s" s="0">
        <v>7333</v>
      </c>
      <c r="N326" t="s" s="0">
        <v>7334</v>
      </c>
      <c r="O326" t="s" s="0">
        <v>7335</v>
      </c>
      <c r="P326" t="s" s="0">
        <v>5803</v>
      </c>
      <c r="Q326" t="s" s="0">
        <v>88</v>
      </c>
      <c r="R326" t="s" s="0">
        <v>82</v>
      </c>
      <c r="S326" t="s" s="0">
        <v>82</v>
      </c>
      <c r="T326" t="s" s="0">
        <v>82</v>
      </c>
      <c r="U326" t="s" s="0">
        <v>82</v>
      </c>
      <c r="V326" t="s" s="0">
        <v>7336</v>
      </c>
      <c r="W326" t="s" s="0">
        <v>5805</v>
      </c>
      <c r="X326" t="s" s="0">
        <v>82</v>
      </c>
      <c r="Y326" t="s" s="0">
        <v>82</v>
      </c>
      <c r="Z326" t="s" s="0">
        <v>91</v>
      </c>
      <c r="AA326" t="s" s="0">
        <v>92</v>
      </c>
      <c r="AB326" t="s" s="0">
        <v>82</v>
      </c>
      <c r="AC326" t="s" s="0">
        <v>82</v>
      </c>
      <c r="AD326" t="s" s="0">
        <v>82</v>
      </c>
      <c r="AE326" t="s" s="0">
        <v>82</v>
      </c>
      <c r="AF326" t="s" s="0">
        <v>82</v>
      </c>
      <c r="AG326" t="s" s="0">
        <v>7337</v>
      </c>
      <c r="AH326" t="s" s="0">
        <v>7338</v>
      </c>
      <c r="AI326" t="s" s="0">
        <v>7339</v>
      </c>
      <c r="AJ326" t="s" s="0">
        <v>82</v>
      </c>
      <c r="AK326" t="s" s="0">
        <v>82</v>
      </c>
      <c r="AL326" t="s" s="0">
        <v>586</v>
      </c>
      <c r="AM326" t="s" s="0">
        <v>78</v>
      </c>
      <c r="AN326" t="s" s="0">
        <v>78</v>
      </c>
      <c r="AO326" t="s" s="0">
        <v>78</v>
      </c>
      <c r="AP326" t="s" s="0">
        <v>235</v>
      </c>
      <c r="AQ326" t="s" s="0">
        <v>5808</v>
      </c>
      <c r="AR326" t="s" s="0">
        <v>5809</v>
      </c>
      <c r="AS326" t="s" s="0">
        <v>5810</v>
      </c>
      <c r="AT326" t="s" s="0">
        <v>5811</v>
      </c>
      <c r="AU326" t="s" s="0">
        <v>5812</v>
      </c>
      <c r="AV326" t="s" s="0">
        <v>82</v>
      </c>
      <c r="AW326" t="s" s="0">
        <v>5813</v>
      </c>
      <c r="AX326" t="s" s="0">
        <v>5814</v>
      </c>
      <c r="AY326" t="s" s="0">
        <v>1360</v>
      </c>
      <c r="AZ326" t="s" s="0">
        <v>179</v>
      </c>
      <c r="BA326" t="s" s="0">
        <v>138</v>
      </c>
      <c r="BB326" t="s" s="0">
        <v>78</v>
      </c>
      <c r="BC326" t="s" s="0">
        <v>82</v>
      </c>
      <c r="BD326" t="s" s="0">
        <v>82</v>
      </c>
      <c r="BE326" t="s" s="0">
        <v>82</v>
      </c>
      <c r="BF326" t="s" s="0">
        <v>82</v>
      </c>
      <c r="BG326" t="s" s="0">
        <v>7340</v>
      </c>
      <c r="BH326" t="s" s="0">
        <v>2613</v>
      </c>
      <c r="BI326" t="s" s="0">
        <v>82</v>
      </c>
      <c r="BJ326" t="s" s="0">
        <v>7341</v>
      </c>
      <c r="BK326" t="s" s="649">
        <f>HYPERLINK("http://dx.doi.org/10.1016/j.jds.2025.06.005","http://dx.doi.org/10.1016/j.jds.2025.06.005")</f>
        <v>7342</v>
      </c>
      <c r="BL326" t="s" s="0">
        <v>82</v>
      </c>
      <c r="BM326" t="s" s="0">
        <v>1360</v>
      </c>
      <c r="BN326" t="s" s="0">
        <v>272</v>
      </c>
      <c r="BO326" t="s" s="0">
        <v>920</v>
      </c>
      <c r="BP326" t="s" s="0">
        <v>920</v>
      </c>
      <c r="BQ326" t="s" s="0">
        <v>7343</v>
      </c>
      <c r="BR326" t="s" s="0">
        <v>7344</v>
      </c>
      <c r="BS326" t="s" s="0">
        <v>7345</v>
      </c>
      <c r="BT326" t="s" s="650">
        <f>HYPERLINK("https://www.webofscience.com/wos/woscc/full-record/WOS:001661222200001","View Record in Web of Science")</f>
        <v>120</v>
      </c>
      <c r="BU326" t="s" s="0">
        <v>189</v>
      </c>
      <c r="BV326" t="s" s="0">
        <v>82</v>
      </c>
      <c r="BW326" t="s" s="0">
        <v>82</v>
      </c>
      <c r="BX326" t="s" s="0">
        <v>121</v>
      </c>
    </row>
    <row r="327">
      <c r="A327" t="s" s="0">
        <v>77</v>
      </c>
      <c r="B327" t="s" s="0">
        <v>77</v>
      </c>
      <c r="C327" t="s" s="0">
        <v>77</v>
      </c>
      <c r="D327" t="s" s="0">
        <v>77</v>
      </c>
      <c r="E327" t="s" s="0">
        <v>7346</v>
      </c>
      <c r="F327" t="s" s="0">
        <v>7347</v>
      </c>
      <c r="G327" t="s" s="0">
        <v>7348</v>
      </c>
      <c r="H327" t="s" s="0">
        <v>82</v>
      </c>
      <c r="I327" t="s" s="0">
        <v>83</v>
      </c>
      <c r="J327" t="s" s="0">
        <v>7349</v>
      </c>
      <c r="K327" t="s" s="0">
        <v>7350</v>
      </c>
      <c r="L327" t="s" s="0">
        <v>7351</v>
      </c>
      <c r="M327" t="s" s="0">
        <v>7352</v>
      </c>
      <c r="N327" t="s" s="0">
        <v>7353</v>
      </c>
      <c r="O327" t="s" s="0">
        <v>7354</v>
      </c>
      <c r="P327" t="s" s="0">
        <v>7355</v>
      </c>
      <c r="Q327" t="s" s="0">
        <v>88</v>
      </c>
      <c r="R327" t="s" s="0">
        <v>82</v>
      </c>
      <c r="S327" t="s" s="0">
        <v>82</v>
      </c>
      <c r="T327" t="s" s="0">
        <v>82</v>
      </c>
      <c r="U327" t="s" s="0">
        <v>82</v>
      </c>
      <c r="V327" t="s" s="0">
        <v>7356</v>
      </c>
      <c r="W327" t="s" s="0">
        <v>4544</v>
      </c>
      <c r="X327" t="s" s="0">
        <v>82</v>
      </c>
      <c r="Y327" t="s" s="0">
        <v>82</v>
      </c>
      <c r="Z327" t="s" s="0">
        <v>91</v>
      </c>
      <c r="AA327" t="s" s="0">
        <v>92</v>
      </c>
      <c r="AB327" t="s" s="0">
        <v>82</v>
      </c>
      <c r="AC327" t="s" s="0">
        <v>82</v>
      </c>
      <c r="AD327" t="s" s="0">
        <v>82</v>
      </c>
      <c r="AE327" t="s" s="0">
        <v>82</v>
      </c>
      <c r="AF327" t="s" s="0">
        <v>82</v>
      </c>
      <c r="AG327" t="s" s="0">
        <v>7357</v>
      </c>
      <c r="AH327" t="s" s="0">
        <v>82</v>
      </c>
      <c r="AI327" t="s" s="0">
        <v>7358</v>
      </c>
      <c r="AJ327" t="s" s="0">
        <v>82</v>
      </c>
      <c r="AK327" t="s" s="0">
        <v>82</v>
      </c>
      <c r="AL327" t="s" s="0">
        <v>892</v>
      </c>
      <c r="AM327" t="s" s="0">
        <v>77</v>
      </c>
      <c r="AN327" t="s" s="0">
        <v>77</v>
      </c>
      <c r="AO327" t="s" s="0">
        <v>77</v>
      </c>
      <c r="AP327" t="s" s="0">
        <v>77</v>
      </c>
      <c r="AQ327" t="s" s="0">
        <v>3001</v>
      </c>
      <c r="AR327" t="s" s="0">
        <v>3002</v>
      </c>
      <c r="AS327" t="s" s="0">
        <v>3003</v>
      </c>
      <c r="AT327" t="s" s="0">
        <v>82</v>
      </c>
      <c r="AU327" t="s" s="0">
        <v>4546</v>
      </c>
      <c r="AV327" t="s" s="0">
        <v>82</v>
      </c>
      <c r="AW327" t="s" s="0">
        <v>4547</v>
      </c>
      <c r="AX327" t="s" s="0">
        <v>4548</v>
      </c>
      <c r="AY327" t="s" s="0">
        <v>7359</v>
      </c>
      <c r="AZ327" t="s" s="0">
        <v>179</v>
      </c>
      <c r="BA327" t="s" s="0">
        <v>184</v>
      </c>
      <c r="BB327" t="s" s="0">
        <v>82</v>
      </c>
      <c r="BC327" t="s" s="0">
        <v>82</v>
      </c>
      <c r="BD327" t="s" s="0">
        <v>82</v>
      </c>
      <c r="BE327" t="s" s="0">
        <v>82</v>
      </c>
      <c r="BF327" t="s" s="0">
        <v>82</v>
      </c>
      <c r="BG327" t="s" s="0">
        <v>82</v>
      </c>
      <c r="BH327" t="s" s="0">
        <v>82</v>
      </c>
      <c r="BI327" t="s" s="0">
        <v>7360</v>
      </c>
      <c r="BJ327" t="s" s="0">
        <v>7361</v>
      </c>
      <c r="BK327" t="s" s="651">
        <f>HYPERLINK("http://dx.doi.org/10.3389/fmed.2026.1791488","http://dx.doi.org/10.3389/fmed.2026.1791488")</f>
        <v>7362</v>
      </c>
      <c r="BL327" t="s" s="0">
        <v>82</v>
      </c>
      <c r="BM327" t="s" s="0">
        <v>3404</v>
      </c>
      <c r="BN327" t="s" s="0">
        <v>272</v>
      </c>
      <c r="BO327" t="s" s="0">
        <v>1803</v>
      </c>
      <c r="BP327" t="s" s="0">
        <v>1804</v>
      </c>
      <c r="BQ327" t="s" s="0">
        <v>7363</v>
      </c>
      <c r="BR327" t="s" s="0">
        <v>7364</v>
      </c>
      <c r="BS327" t="s" s="0">
        <v>7365</v>
      </c>
      <c r="BT327" t="s" s="652">
        <f>HYPERLINK("https://www.webofscience.com/wos/woscc/full-record/WOS:001775883200001","View Record in Web of Science")</f>
        <v>120</v>
      </c>
      <c r="BU327" t="s" s="0">
        <v>189</v>
      </c>
      <c r="BV327" t="s" s="0">
        <v>82</v>
      </c>
      <c r="BW327" t="s" s="0">
        <v>82</v>
      </c>
      <c r="BX327" t="s" s="0">
        <v>121</v>
      </c>
    </row>
    <row r="328">
      <c r="A328" t="s" s="0">
        <v>77</v>
      </c>
      <c r="B328" t="s" s="0">
        <v>77</v>
      </c>
      <c r="C328" t="s" s="0">
        <v>77</v>
      </c>
      <c r="D328" t="s" s="0">
        <v>77</v>
      </c>
      <c r="E328" t="s" s="0">
        <v>7366</v>
      </c>
      <c r="F328" t="s" s="0">
        <v>7367</v>
      </c>
      <c r="G328" t="s" s="0">
        <v>7368</v>
      </c>
      <c r="H328" t="s" s="0">
        <v>82</v>
      </c>
      <c r="I328" t="s" s="0">
        <v>460</v>
      </c>
      <c r="J328" t="s" s="0">
        <v>7369</v>
      </c>
      <c r="K328" t="s" s="0">
        <v>7370</v>
      </c>
      <c r="L328" t="s" s="0">
        <v>82</v>
      </c>
      <c r="M328" t="s" s="0">
        <v>82</v>
      </c>
      <c r="N328" t="s" s="0">
        <v>82</v>
      </c>
      <c r="O328" t="s" s="0">
        <v>7371</v>
      </c>
      <c r="P328" t="s" s="0">
        <v>7372</v>
      </c>
      <c r="Q328" t="s" s="0">
        <v>88</v>
      </c>
      <c r="R328" t="s" s="0">
        <v>82</v>
      </c>
      <c r="S328" t="s" s="0">
        <v>82</v>
      </c>
      <c r="T328" t="s" s="0">
        <v>82</v>
      </c>
      <c r="U328" t="s" s="0">
        <v>82</v>
      </c>
      <c r="V328" t="s" s="0">
        <v>7373</v>
      </c>
      <c r="W328" t="s" s="0">
        <v>2456</v>
      </c>
      <c r="X328" t="s" s="0">
        <v>82</v>
      </c>
      <c r="Y328" t="s" s="0">
        <v>82</v>
      </c>
      <c r="Z328" t="s" s="0">
        <v>91</v>
      </c>
      <c r="AA328" t="s" s="0">
        <v>92</v>
      </c>
      <c r="AB328" t="s" s="0">
        <v>82</v>
      </c>
      <c r="AC328" t="s" s="0">
        <v>82</v>
      </c>
      <c r="AD328" t="s" s="0">
        <v>82</v>
      </c>
      <c r="AE328" t="s" s="0">
        <v>82</v>
      </c>
      <c r="AF328" t="s" s="0">
        <v>82</v>
      </c>
      <c r="AG328" t="s" s="0">
        <v>7374</v>
      </c>
      <c r="AH328" t="s" s="0">
        <v>7375</v>
      </c>
      <c r="AI328" t="s" s="0">
        <v>7376</v>
      </c>
      <c r="AJ328" t="s" s="0">
        <v>82</v>
      </c>
      <c r="AK328" t="s" s="0">
        <v>82</v>
      </c>
      <c r="AL328" t="s" s="0">
        <v>661</v>
      </c>
      <c r="AM328" t="s" s="0">
        <v>77</v>
      </c>
      <c r="AN328" t="s" s="0">
        <v>77</v>
      </c>
      <c r="AO328" t="s" s="0">
        <v>77</v>
      </c>
      <c r="AP328" t="s" s="0">
        <v>77</v>
      </c>
      <c r="AQ328" t="s" s="0">
        <v>2460</v>
      </c>
      <c r="AR328" t="s" s="0">
        <v>2461</v>
      </c>
      <c r="AS328" t="s" s="0">
        <v>2462</v>
      </c>
      <c r="AT328" t="s" s="0">
        <v>82</v>
      </c>
      <c r="AU328" t="s" s="0">
        <v>2463</v>
      </c>
      <c r="AV328" t="s" s="0">
        <v>82</v>
      </c>
      <c r="AW328" t="s" s="0">
        <v>2464</v>
      </c>
      <c r="AX328" t="s" s="0">
        <v>2465</v>
      </c>
      <c r="AY328" t="s" s="0">
        <v>179</v>
      </c>
      <c r="AZ328" t="s" s="0">
        <v>179</v>
      </c>
      <c r="BA328" t="s" s="0">
        <v>363</v>
      </c>
      <c r="BB328" t="s" s="0">
        <v>82</v>
      </c>
      <c r="BC328" t="s" s="0">
        <v>82</v>
      </c>
      <c r="BD328" t="s" s="0">
        <v>82</v>
      </c>
      <c r="BE328" t="s" s="0">
        <v>82</v>
      </c>
      <c r="BF328" t="s" s="0">
        <v>82</v>
      </c>
      <c r="BG328" t="s" s="0">
        <v>82</v>
      </c>
      <c r="BH328" t="s" s="0">
        <v>82</v>
      </c>
      <c r="BI328" t="s" s="0">
        <v>7377</v>
      </c>
      <c r="BJ328" t="s" s="0">
        <v>7378</v>
      </c>
      <c r="BK328" t="s" s="653">
        <f>HYPERLINK("http://dx.doi.org/10.2196/88618","http://dx.doi.org/10.2196/88618")</f>
        <v>7379</v>
      </c>
      <c r="BL328" t="s" s="0">
        <v>82</v>
      </c>
      <c r="BM328" t="s" s="0">
        <v>82</v>
      </c>
      <c r="BN328" t="s" s="0">
        <v>428</v>
      </c>
      <c r="BO328" t="s" s="0">
        <v>185</v>
      </c>
      <c r="BP328" t="s" s="0">
        <v>185</v>
      </c>
      <c r="BQ328" t="s" s="0">
        <v>7380</v>
      </c>
      <c r="BR328" t="s" s="0">
        <v>7381</v>
      </c>
      <c r="BS328" t="s" s="0">
        <v>7382</v>
      </c>
      <c r="BT328" t="s" s="654">
        <f>HYPERLINK("https://www.webofscience.com/wos/woscc/full-record/WOS:001771353300001","View Record in Web of Science")</f>
        <v>120</v>
      </c>
      <c r="BU328" t="s" s="0">
        <v>189</v>
      </c>
      <c r="BV328" t="s" s="0">
        <v>82</v>
      </c>
      <c r="BW328" t="s" s="0">
        <v>82</v>
      </c>
      <c r="BX328" t="s" s="0">
        <v>121</v>
      </c>
    </row>
    <row r="329">
      <c r="A329" t="s" s="0">
        <v>77</v>
      </c>
      <c r="B329" t="s" s="0">
        <v>77</v>
      </c>
      <c r="C329" t="s" s="0">
        <v>77</v>
      </c>
      <c r="D329" t="s" s="0">
        <v>77</v>
      </c>
      <c r="E329" t="s" s="0">
        <v>7383</v>
      </c>
      <c r="F329" t="s" s="0">
        <v>7384</v>
      </c>
      <c r="G329" t="s" s="0">
        <v>7385</v>
      </c>
      <c r="H329" t="s" s="0">
        <v>82</v>
      </c>
      <c r="I329" t="s" s="0">
        <v>83</v>
      </c>
      <c r="J329" t="s" s="0">
        <v>7386</v>
      </c>
      <c r="K329" t="s" s="0">
        <v>7387</v>
      </c>
      <c r="L329" t="s" s="0">
        <v>7388</v>
      </c>
      <c r="M329" t="s" s="0">
        <v>224</v>
      </c>
      <c r="N329" t="s" s="0">
        <v>7389</v>
      </c>
      <c r="O329" t="s" s="0">
        <v>7390</v>
      </c>
      <c r="P329" t="s" s="0">
        <v>7391</v>
      </c>
      <c r="Q329" t="s" s="0">
        <v>88</v>
      </c>
      <c r="R329" t="s" s="0">
        <v>82</v>
      </c>
      <c r="S329" t="s" s="0">
        <v>82</v>
      </c>
      <c r="T329" t="s" s="0">
        <v>82</v>
      </c>
      <c r="U329" t="s" s="0">
        <v>82</v>
      </c>
      <c r="V329" t="s" s="0">
        <v>7392</v>
      </c>
      <c r="W329" t="s" s="0">
        <v>7393</v>
      </c>
      <c r="X329" t="s" s="0">
        <v>82</v>
      </c>
      <c r="Y329" t="s" s="0">
        <v>82</v>
      </c>
      <c r="Z329" t="s" s="0">
        <v>91</v>
      </c>
      <c r="AA329" t="s" s="0">
        <v>908</v>
      </c>
      <c r="AB329" t="s" s="0">
        <v>82</v>
      </c>
      <c r="AC329" t="s" s="0">
        <v>82</v>
      </c>
      <c r="AD329" t="s" s="0">
        <v>82</v>
      </c>
      <c r="AE329" t="s" s="0">
        <v>82</v>
      </c>
      <c r="AF329" t="s" s="0">
        <v>82</v>
      </c>
      <c r="AG329" t="s" s="0">
        <v>7394</v>
      </c>
      <c r="AH329" t="s" s="0">
        <v>7395</v>
      </c>
      <c r="AI329" t="s" s="0">
        <v>7396</v>
      </c>
      <c r="AJ329" t="s" s="0">
        <v>82</v>
      </c>
      <c r="AK329" t="s" s="0">
        <v>82</v>
      </c>
      <c r="AL329" t="s" s="0">
        <v>241</v>
      </c>
      <c r="AM329" t="s" s="0">
        <v>77</v>
      </c>
      <c r="AN329" t="s" s="0">
        <v>77</v>
      </c>
      <c r="AO329" t="s" s="0">
        <v>78</v>
      </c>
      <c r="AP329" t="s" s="0">
        <v>78</v>
      </c>
      <c r="AQ329" t="s" s="0">
        <v>605</v>
      </c>
      <c r="AR329" t="s" s="0">
        <v>606</v>
      </c>
      <c r="AS329" t="s" s="0">
        <v>607</v>
      </c>
      <c r="AT329" t="s" s="0">
        <v>7397</v>
      </c>
      <c r="AU329" t="s" s="0">
        <v>7398</v>
      </c>
      <c r="AV329" t="s" s="0">
        <v>82</v>
      </c>
      <c r="AW329" t="s" s="0">
        <v>7399</v>
      </c>
      <c r="AX329" t="s" s="0">
        <v>7400</v>
      </c>
      <c r="AY329" t="s" s="0">
        <v>82</v>
      </c>
      <c r="AZ329" t="s" s="0">
        <v>179</v>
      </c>
      <c r="BA329" t="s" s="0">
        <v>82</v>
      </c>
      <c r="BB329" t="s" s="0">
        <v>82</v>
      </c>
      <c r="BC329" t="s" s="0">
        <v>82</v>
      </c>
      <c r="BD329" t="s" s="0">
        <v>82</v>
      </c>
      <c r="BE329" t="s" s="0">
        <v>82</v>
      </c>
      <c r="BF329" t="s" s="0">
        <v>82</v>
      </c>
      <c r="BG329" t="s" s="0">
        <v>82</v>
      </c>
      <c r="BH329" t="s" s="0">
        <v>82</v>
      </c>
      <c r="BI329" t="s" s="0">
        <v>82</v>
      </c>
      <c r="BJ329" t="s" s="0">
        <v>7401</v>
      </c>
      <c r="BK329" t="s" s="655">
        <f>HYPERLINK("http://dx.doi.org/10.1111/aos.70185","http://dx.doi.org/10.1111/aos.70185")</f>
        <v>7402</v>
      </c>
      <c r="BL329" t="s" s="0">
        <v>82</v>
      </c>
      <c r="BM329" t="s" s="0">
        <v>358</v>
      </c>
      <c r="BN329" t="s" s="0">
        <v>307</v>
      </c>
      <c r="BO329" t="s" s="0">
        <v>396</v>
      </c>
      <c r="BP329" t="s" s="0">
        <v>396</v>
      </c>
      <c r="BQ329" t="s" s="0">
        <v>7403</v>
      </c>
      <c r="BR329" t="s" s="0">
        <v>7404</v>
      </c>
      <c r="BS329" t="s" s="0">
        <v>7405</v>
      </c>
      <c r="BT329" t="s" s="656">
        <f>HYPERLINK("https://www.webofscience.com/wos/woscc/full-record/WOS:001799667900001","View Record in Web of Science")</f>
        <v>120</v>
      </c>
      <c r="BU329" t="s" s="0">
        <v>82</v>
      </c>
      <c r="BV329" t="s" s="0">
        <v>82</v>
      </c>
      <c r="BW329" t="s" s="0">
        <v>82</v>
      </c>
      <c r="BX329" t="s" s="0">
        <v>121</v>
      </c>
    </row>
    <row r="330">
      <c r="A330" t="s" s="0">
        <v>77</v>
      </c>
      <c r="B330" t="s" s="0">
        <v>77</v>
      </c>
      <c r="C330" t="s" s="0">
        <v>204</v>
      </c>
      <c r="D330" t="s" s="0">
        <v>77</v>
      </c>
      <c r="E330" t="s" s="0">
        <v>7406</v>
      </c>
      <c r="F330" t="s" s="0">
        <v>7407</v>
      </c>
      <c r="G330" t="s" s="0">
        <v>7408</v>
      </c>
      <c r="H330" t="s" s="0">
        <v>82</v>
      </c>
      <c r="I330" t="s" s="0">
        <v>1284</v>
      </c>
      <c r="J330" t="s" s="0">
        <v>7409</v>
      </c>
      <c r="K330" t="s" s="0">
        <v>7410</v>
      </c>
      <c r="L330" t="s" s="0">
        <v>7411</v>
      </c>
      <c r="M330" t="s" s="0">
        <v>7412</v>
      </c>
      <c r="N330" t="s" s="0">
        <v>7413</v>
      </c>
      <c r="O330" t="s" s="0">
        <v>7414</v>
      </c>
      <c r="P330" t="s" s="0">
        <v>7415</v>
      </c>
      <c r="Q330" t="s" s="0">
        <v>88</v>
      </c>
      <c r="R330" t="s" s="0">
        <v>82</v>
      </c>
      <c r="S330" t="s" s="0">
        <v>82</v>
      </c>
      <c r="T330" t="s" s="0">
        <v>82</v>
      </c>
      <c r="U330" t="s" s="0">
        <v>82</v>
      </c>
      <c r="V330" t="s" s="0">
        <v>7416</v>
      </c>
      <c r="W330" t="s" s="0">
        <v>7417</v>
      </c>
      <c r="X330" t="s" s="0">
        <v>82</v>
      </c>
      <c r="Y330" t="s" s="0">
        <v>82</v>
      </c>
      <c r="Z330" t="s" s="0">
        <v>91</v>
      </c>
      <c r="AA330" t="s" s="0">
        <v>92</v>
      </c>
      <c r="AB330" t="s" s="0">
        <v>82</v>
      </c>
      <c r="AC330" t="s" s="0">
        <v>82</v>
      </c>
      <c r="AD330" t="s" s="0">
        <v>82</v>
      </c>
      <c r="AE330" t="s" s="0">
        <v>82</v>
      </c>
      <c r="AF330" t="s" s="0">
        <v>82</v>
      </c>
      <c r="AG330" t="s" s="0">
        <v>7418</v>
      </c>
      <c r="AH330" t="s" s="0">
        <v>7419</v>
      </c>
      <c r="AI330" t="s" s="0">
        <v>7420</v>
      </c>
      <c r="AJ330" t="s" s="0">
        <v>7421</v>
      </c>
      <c r="AK330" t="s" s="0">
        <v>82</v>
      </c>
      <c r="AL330" t="s" s="0">
        <v>7422</v>
      </c>
      <c r="AM330" t="s" s="0">
        <v>556</v>
      </c>
      <c r="AN330" t="s" s="0">
        <v>473</v>
      </c>
      <c r="AO330" t="s" s="0">
        <v>138</v>
      </c>
      <c r="AP330" t="s" s="0">
        <v>3099</v>
      </c>
      <c r="AQ330" t="s" s="0">
        <v>418</v>
      </c>
      <c r="AR330" t="s" s="0">
        <v>419</v>
      </c>
      <c r="AS330" t="s" s="0">
        <v>420</v>
      </c>
      <c r="AT330" t="s" s="0">
        <v>82</v>
      </c>
      <c r="AU330" t="s" s="0">
        <v>7423</v>
      </c>
      <c r="AV330" t="s" s="0">
        <v>82</v>
      </c>
      <c r="AW330" t="s" s="0">
        <v>7424</v>
      </c>
      <c r="AX330" t="s" s="0">
        <v>7425</v>
      </c>
      <c r="AY330" t="s" s="0">
        <v>145</v>
      </c>
      <c r="AZ330" t="s" s="0">
        <v>146</v>
      </c>
      <c r="BA330" t="s" s="0">
        <v>209</v>
      </c>
      <c r="BB330" t="s" s="0">
        <v>139</v>
      </c>
      <c r="BC330" t="s" s="0">
        <v>82</v>
      </c>
      <c r="BD330" t="s" s="0">
        <v>82</v>
      </c>
      <c r="BE330" t="s" s="0">
        <v>82</v>
      </c>
      <c r="BF330" t="s" s="0">
        <v>82</v>
      </c>
      <c r="BG330" t="s" s="0">
        <v>82</v>
      </c>
      <c r="BH330" t="s" s="0">
        <v>82</v>
      </c>
      <c r="BI330" t="s" s="0">
        <v>7426</v>
      </c>
      <c r="BJ330" t="s" s="0">
        <v>7427</v>
      </c>
      <c r="BK330" t="s" s="657">
        <f>HYPERLINK("http://dx.doi.org/10.3390/su162310780","http://dx.doi.org/10.3390/su162310780")</f>
        <v>7428</v>
      </c>
      <c r="BL330" t="s" s="0">
        <v>82</v>
      </c>
      <c r="BM330" t="s" s="0">
        <v>82</v>
      </c>
      <c r="BN330" t="s" s="0">
        <v>556</v>
      </c>
      <c r="BO330" t="s" s="0">
        <v>7429</v>
      </c>
      <c r="BP330" t="s" s="0">
        <v>7430</v>
      </c>
      <c r="BQ330" t="s" s="0">
        <v>7431</v>
      </c>
      <c r="BR330" t="s" s="0">
        <v>82</v>
      </c>
      <c r="BS330" t="s" s="0">
        <v>7432</v>
      </c>
      <c r="BT330" t="s" s="658">
        <f>HYPERLINK("https://www.webofscience.com/wos/woscc/full-record/WOS:001377758600001","View Record in Web of Science")</f>
        <v>120</v>
      </c>
      <c r="BU330" t="s" s="0">
        <v>335</v>
      </c>
      <c r="BV330" t="s" s="0">
        <v>82</v>
      </c>
      <c r="BW330" t="s" s="0">
        <v>82</v>
      </c>
      <c r="BX330" t="s" s="0">
        <v>121</v>
      </c>
    </row>
    <row r="331"/>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 ref="BK202" r:id="rId401"/>
    <hyperlink ref="BT202" r:id="rId402"/>
    <hyperlink ref="BK203" r:id="rId403"/>
    <hyperlink ref="BT203" r:id="rId404"/>
    <hyperlink ref="BK204" r:id="rId405"/>
    <hyperlink ref="BT204" r:id="rId406"/>
    <hyperlink ref="BK205" r:id="rId407"/>
    <hyperlink ref="BT205" r:id="rId408"/>
    <hyperlink ref="BK206" r:id="rId409"/>
    <hyperlink ref="BT206" r:id="rId410"/>
    <hyperlink ref="BK207" r:id="rId411"/>
    <hyperlink ref="BT207" r:id="rId412"/>
    <hyperlink ref="BK208" r:id="rId413"/>
    <hyperlink ref="BT208" r:id="rId414"/>
    <hyperlink ref="BK209" r:id="rId415"/>
    <hyperlink ref="BT209" r:id="rId416"/>
    <hyperlink ref="BK210" r:id="rId417"/>
    <hyperlink ref="BT210" r:id="rId418"/>
    <hyperlink ref="BK211" r:id="rId419"/>
    <hyperlink ref="BT211" r:id="rId420"/>
    <hyperlink ref="BK212" r:id="rId421"/>
    <hyperlink ref="BT212" r:id="rId422"/>
    <hyperlink ref="BK213" r:id="rId423"/>
    <hyperlink ref="BT213" r:id="rId424"/>
    <hyperlink ref="BK214" r:id="rId425"/>
    <hyperlink ref="BT214" r:id="rId426"/>
    <hyperlink ref="BK215" r:id="rId427"/>
    <hyperlink ref="BT215" r:id="rId428"/>
    <hyperlink ref="BK216" r:id="rId429"/>
    <hyperlink ref="BT216" r:id="rId430"/>
    <hyperlink ref="BK217" r:id="rId431"/>
    <hyperlink ref="BT217" r:id="rId432"/>
    <hyperlink ref="BK218" r:id="rId433"/>
    <hyperlink ref="BT218" r:id="rId434"/>
    <hyperlink ref="BK219" r:id="rId435"/>
    <hyperlink ref="BT219" r:id="rId436"/>
    <hyperlink ref="BK220" r:id="rId437"/>
    <hyperlink ref="BT220" r:id="rId438"/>
    <hyperlink ref="BK221" r:id="rId439"/>
    <hyperlink ref="BT221" r:id="rId440"/>
    <hyperlink ref="BK222" r:id="rId441"/>
    <hyperlink ref="BT222" r:id="rId442"/>
    <hyperlink ref="BK223" r:id="rId443"/>
    <hyperlink ref="BT223" r:id="rId444"/>
    <hyperlink ref="BK224" r:id="rId445"/>
    <hyperlink ref="BT224" r:id="rId446"/>
    <hyperlink ref="BK225" r:id="rId447"/>
    <hyperlink ref="BT225" r:id="rId448"/>
    <hyperlink ref="BK226" r:id="rId449"/>
    <hyperlink ref="BT226" r:id="rId450"/>
    <hyperlink ref="BK227" r:id="rId451"/>
    <hyperlink ref="BT227" r:id="rId452"/>
    <hyperlink ref="BK228" r:id="rId453"/>
    <hyperlink ref="BT228" r:id="rId454"/>
    <hyperlink ref="BK229" r:id="rId455"/>
    <hyperlink ref="BT229" r:id="rId456"/>
    <hyperlink ref="BK230" r:id="rId457"/>
    <hyperlink ref="BT230" r:id="rId458"/>
    <hyperlink ref="BK231" r:id="rId459"/>
    <hyperlink ref="BT231" r:id="rId460"/>
    <hyperlink ref="BK232" r:id="rId461"/>
    <hyperlink ref="BT232" r:id="rId462"/>
    <hyperlink ref="BK233" r:id="rId463"/>
    <hyperlink ref="BT233" r:id="rId464"/>
    <hyperlink ref="BK234" r:id="rId465"/>
    <hyperlink ref="BT234" r:id="rId466"/>
    <hyperlink ref="BK235" r:id="rId467"/>
    <hyperlink ref="BT235" r:id="rId468"/>
    <hyperlink ref="BK236" r:id="rId469"/>
    <hyperlink ref="BT236" r:id="rId470"/>
    <hyperlink ref="BK237" r:id="rId471"/>
    <hyperlink ref="BT237" r:id="rId472"/>
    <hyperlink ref="BK238" r:id="rId473"/>
    <hyperlink ref="BT238" r:id="rId474"/>
    <hyperlink ref="BK239" r:id="rId475"/>
    <hyperlink ref="BT239" r:id="rId476"/>
    <hyperlink ref="BK240" r:id="rId477"/>
    <hyperlink ref="BT240" r:id="rId478"/>
    <hyperlink ref="BK241" r:id="rId479"/>
    <hyperlink ref="BT241" r:id="rId480"/>
    <hyperlink ref="BK242" r:id="rId481"/>
    <hyperlink ref="BT242" r:id="rId482"/>
    <hyperlink ref="BK243" r:id="rId483"/>
    <hyperlink ref="BT243" r:id="rId484"/>
    <hyperlink ref="BK244" r:id="rId485"/>
    <hyperlink ref="BT244" r:id="rId486"/>
    <hyperlink ref="BK245" r:id="rId487"/>
    <hyperlink ref="BT245" r:id="rId488"/>
    <hyperlink ref="BK246" r:id="rId489"/>
    <hyperlink ref="BT246" r:id="rId490"/>
    <hyperlink ref="BK247" r:id="rId491"/>
    <hyperlink ref="BT247" r:id="rId492"/>
    <hyperlink ref="BK248" r:id="rId493"/>
    <hyperlink ref="BT248" r:id="rId494"/>
    <hyperlink ref="BK249" r:id="rId495"/>
    <hyperlink ref="BT249" r:id="rId496"/>
    <hyperlink ref="BK250" r:id="rId497"/>
    <hyperlink ref="BT250" r:id="rId498"/>
    <hyperlink ref="BK251" r:id="rId499"/>
    <hyperlink ref="BT251" r:id="rId500"/>
    <hyperlink ref="BK252" r:id="rId501"/>
    <hyperlink ref="BT252" r:id="rId502"/>
    <hyperlink ref="BK253" r:id="rId503"/>
    <hyperlink ref="BT253" r:id="rId504"/>
    <hyperlink ref="BK254" r:id="rId505"/>
    <hyperlink ref="BT254" r:id="rId506"/>
    <hyperlink ref="BK255" r:id="rId507"/>
    <hyperlink ref="BT255" r:id="rId508"/>
    <hyperlink ref="BK256" r:id="rId509"/>
    <hyperlink ref="BT256" r:id="rId510"/>
    <hyperlink ref="BK257" r:id="rId511"/>
    <hyperlink ref="BT257" r:id="rId512"/>
    <hyperlink ref="BK258" r:id="rId513"/>
    <hyperlink ref="BT258" r:id="rId514"/>
    <hyperlink ref="BK259" r:id="rId515"/>
    <hyperlink ref="BT259" r:id="rId516"/>
    <hyperlink ref="BK260" r:id="rId517"/>
    <hyperlink ref="BT260" r:id="rId518"/>
    <hyperlink ref="BK261" r:id="rId519"/>
    <hyperlink ref="BT261" r:id="rId520"/>
    <hyperlink ref="BK262" r:id="rId521"/>
    <hyperlink ref="BT262" r:id="rId522"/>
    <hyperlink ref="BK263" r:id="rId523"/>
    <hyperlink ref="BT263" r:id="rId524"/>
    <hyperlink ref="BK264" r:id="rId525"/>
    <hyperlink ref="BT264" r:id="rId526"/>
    <hyperlink ref="BK265" r:id="rId527"/>
    <hyperlink ref="BT265" r:id="rId528"/>
    <hyperlink ref="BK266" r:id="rId529"/>
    <hyperlink ref="BT266" r:id="rId530"/>
    <hyperlink ref="BK267" r:id="rId531"/>
    <hyperlink ref="BT267" r:id="rId532"/>
    <hyperlink ref="BK268" r:id="rId533"/>
    <hyperlink ref="BT268" r:id="rId534"/>
    <hyperlink ref="BK269" r:id="rId535"/>
    <hyperlink ref="BT269" r:id="rId536"/>
    <hyperlink ref="BK270" r:id="rId537"/>
    <hyperlink ref="BT270" r:id="rId538"/>
    <hyperlink ref="BK271" r:id="rId539"/>
    <hyperlink ref="BT271" r:id="rId540"/>
    <hyperlink ref="BK272" r:id="rId541"/>
    <hyperlink ref="BT272" r:id="rId542"/>
    <hyperlink ref="BK273" r:id="rId543"/>
    <hyperlink ref="BT273" r:id="rId544"/>
    <hyperlink ref="BK274" r:id="rId545"/>
    <hyperlink ref="BT274" r:id="rId546"/>
    <hyperlink ref="BK275" r:id="rId547"/>
    <hyperlink ref="BT275" r:id="rId548"/>
    <hyperlink ref="BK276" r:id="rId549"/>
    <hyperlink ref="BT276" r:id="rId550"/>
    <hyperlink ref="BK277" r:id="rId551"/>
    <hyperlink ref="BT277" r:id="rId552"/>
    <hyperlink ref="BK278" r:id="rId553"/>
    <hyperlink ref="BT278" r:id="rId554"/>
    <hyperlink ref="BK279" r:id="rId555"/>
    <hyperlink ref="BT279" r:id="rId556"/>
    <hyperlink ref="BK280" r:id="rId557"/>
    <hyperlink ref="BT280" r:id="rId558"/>
    <hyperlink ref="BK281" r:id="rId559"/>
    <hyperlink ref="BT281" r:id="rId560"/>
    <hyperlink ref="BK282" r:id="rId561"/>
    <hyperlink ref="BT282" r:id="rId562"/>
    <hyperlink ref="BK283" r:id="rId563"/>
    <hyperlink ref="BT283" r:id="rId564"/>
    <hyperlink ref="BK284" r:id="rId565"/>
    <hyperlink ref="BT284" r:id="rId566"/>
    <hyperlink ref="BK285" r:id="rId567"/>
    <hyperlink ref="BT285" r:id="rId568"/>
    <hyperlink ref="BK286" r:id="rId569"/>
    <hyperlink ref="BT286" r:id="rId570"/>
    <hyperlink ref="BK287" r:id="rId571"/>
    <hyperlink ref="BT287" r:id="rId572"/>
    <hyperlink ref="BK288" r:id="rId573"/>
    <hyperlink ref="BT288" r:id="rId574"/>
    <hyperlink ref="BK289" r:id="rId575"/>
    <hyperlink ref="BT289" r:id="rId576"/>
    <hyperlink ref="BK290" r:id="rId577"/>
    <hyperlink ref="BT290" r:id="rId578"/>
    <hyperlink ref="BK291" r:id="rId579"/>
    <hyperlink ref="BT291" r:id="rId580"/>
    <hyperlink ref="BK292" r:id="rId581"/>
    <hyperlink ref="BT292" r:id="rId582"/>
    <hyperlink ref="BK293" r:id="rId583"/>
    <hyperlink ref="BT293" r:id="rId584"/>
    <hyperlink ref="BK294" r:id="rId585"/>
    <hyperlink ref="BT294" r:id="rId586"/>
    <hyperlink ref="BK295" r:id="rId587"/>
    <hyperlink ref="BT295" r:id="rId588"/>
    <hyperlink ref="BK296" r:id="rId589"/>
    <hyperlink ref="BT296" r:id="rId590"/>
    <hyperlink ref="BK297" r:id="rId591"/>
    <hyperlink ref="BT297" r:id="rId592"/>
    <hyperlink ref="BK298" r:id="rId593"/>
    <hyperlink ref="BT298" r:id="rId594"/>
    <hyperlink ref="BK299" r:id="rId595"/>
    <hyperlink ref="BT299" r:id="rId596"/>
    <hyperlink ref="BK300" r:id="rId597"/>
    <hyperlink ref="BT300" r:id="rId598"/>
    <hyperlink ref="BK301" r:id="rId599"/>
    <hyperlink ref="BT301" r:id="rId600"/>
    <hyperlink ref="BK302" r:id="rId601"/>
    <hyperlink ref="BT302" r:id="rId602"/>
    <hyperlink ref="BK303" r:id="rId603"/>
    <hyperlink ref="BT303" r:id="rId604"/>
    <hyperlink ref="BK304" r:id="rId605"/>
    <hyperlink ref="BT304" r:id="rId606"/>
    <hyperlink ref="BK305" r:id="rId607"/>
    <hyperlink ref="BT305" r:id="rId608"/>
    <hyperlink ref="BK306" r:id="rId609"/>
    <hyperlink ref="BT306" r:id="rId610"/>
    <hyperlink ref="BK307" r:id="rId611"/>
    <hyperlink ref="BT307" r:id="rId612"/>
    <hyperlink ref="BK308" r:id="rId613"/>
    <hyperlink ref="BT308" r:id="rId614"/>
    <hyperlink ref="BK309" r:id="rId615"/>
    <hyperlink ref="BT309" r:id="rId616"/>
    <hyperlink ref="BK310" r:id="rId617"/>
    <hyperlink ref="BT310" r:id="rId618"/>
    <hyperlink ref="BK311" r:id="rId619"/>
    <hyperlink ref="BT311" r:id="rId620"/>
    <hyperlink ref="BK312" r:id="rId621"/>
    <hyperlink ref="BT312" r:id="rId622"/>
    <hyperlink ref="BK313" r:id="rId623"/>
    <hyperlink ref="BT313" r:id="rId624"/>
    <hyperlink ref="BK314" r:id="rId625"/>
    <hyperlink ref="BT314" r:id="rId626"/>
    <hyperlink ref="BK315" r:id="rId627"/>
    <hyperlink ref="BT315" r:id="rId628"/>
    <hyperlink ref="BK316" r:id="rId629"/>
    <hyperlink ref="BT316" r:id="rId630"/>
    <hyperlink ref="BK317" r:id="rId631"/>
    <hyperlink ref="BT317" r:id="rId632"/>
    <hyperlink ref="BK318" r:id="rId633"/>
    <hyperlink ref="BT318" r:id="rId634"/>
    <hyperlink ref="BK319" r:id="rId635"/>
    <hyperlink ref="BT319" r:id="rId636"/>
    <hyperlink ref="BK320" r:id="rId637"/>
    <hyperlink ref="BT320" r:id="rId638"/>
    <hyperlink ref="BK321" r:id="rId639"/>
    <hyperlink ref="BT321" r:id="rId640"/>
    <hyperlink ref="BK322" r:id="rId641"/>
    <hyperlink ref="BT322" r:id="rId642"/>
    <hyperlink ref="BK323" r:id="rId643"/>
    <hyperlink ref="BT323" r:id="rId644"/>
    <hyperlink ref="BK324" r:id="rId645"/>
    <hyperlink ref="BT324" r:id="rId646"/>
    <hyperlink ref="BK325" r:id="rId647"/>
    <hyperlink ref="BT325" r:id="rId648"/>
    <hyperlink ref="BK326" r:id="rId649"/>
    <hyperlink ref="BT326" r:id="rId650"/>
    <hyperlink ref="BK327" r:id="rId651"/>
    <hyperlink ref="BT327" r:id="rId652"/>
    <hyperlink ref="BK328" r:id="rId653"/>
    <hyperlink ref="BT328" r:id="rId654"/>
    <hyperlink ref="BK329" r:id="rId655"/>
    <hyperlink ref="BT329" r:id="rId656"/>
    <hyperlink ref="BK330" r:id="rId657"/>
    <hyperlink ref="BT330" r:id="rId658"/>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2026-08-26T14:29:03Z</dcterms:created>
  <dc:creator>Apache POI</dc:creator>
</cp:coreProperties>
</file>